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_EnterNet\z00 Dictionary\"/>
    </mc:Choice>
  </mc:AlternateContent>
  <xr:revisionPtr revIDLastSave="0" documentId="13_ncr:1_{3AC742E7-32CA-4FA2-A672-DE3FFE0048E6}" xr6:coauthVersionLast="47" xr6:coauthVersionMax="47" xr10:uidLastSave="{00000000-0000-0000-0000-000000000000}"/>
  <bookViews>
    <workbookView xWindow="577" yWindow="683" windowWidth="21601" windowHeight="11145" tabRatio="1000" activeTab="3" xr2:uid="{00000000-000D-0000-FFFF-FFFF00000000}"/>
  </bookViews>
  <sheets>
    <sheet name="aaDictionaryColumn" sheetId="33" r:id="rId1"/>
    <sheet name="aaDictionaryTable" sheetId="34" r:id="rId2"/>
    <sheet name="aasysMessage" sheetId="71" r:id="rId3"/>
    <sheet name="aaMultilinkTableRule" sheetId="63" r:id="rId4"/>
    <sheet name="Screens" sheetId="49" r:id="rId5"/>
    <sheet name="xRef" sheetId="73" r:id="rId6"/>
    <sheet name="aaReferenceFields" sheetId="72" r:id="rId7"/>
    <sheet name="Changes" sheetId="70" r:id="rId8"/>
    <sheet name="Naming Conventions" sheetId="43" r:id="rId9"/>
    <sheet name="ToDo" sheetId="40" r:id="rId10"/>
    <sheet name="OldCol" sheetId="64" r:id="rId11"/>
    <sheet name="oldtbl" sheetId="65" r:id="rId12"/>
    <sheet name="FrameworkChanges" sheetId="50" r:id="rId13"/>
    <sheet name="SystemTables" sheetId="74" r:id="rId14"/>
    <sheet name="SystemColumns" sheetId="75" r:id="rId15"/>
  </sheets>
  <externalReferences>
    <externalReference r:id="rId16"/>
  </externalReferences>
  <definedNames>
    <definedName name="_xlnm._FilterDatabase" localSheetId="0" hidden="1">aaDictionaryColumn!$A$1:$AT$1796</definedName>
    <definedName name="_xlnm._FilterDatabase" localSheetId="1" hidden="1">aaDictionaryTable!$A$1:$AP$236</definedName>
    <definedName name="_xlnm._FilterDatabase" localSheetId="6" hidden="1">aaReferenceFields!$A$1:$K$2554</definedName>
    <definedName name="_xlnm._FilterDatabase" localSheetId="7" hidden="1">Changes!$A$1:$C$155</definedName>
    <definedName name="_xlnm._FilterDatabase" localSheetId="4" hidden="1">Screens!$A$1:$AB$280</definedName>
    <definedName name="_xlnm._FilterDatabase" localSheetId="14" hidden="1">SystemColumns!$A$1:$AH$460</definedName>
    <definedName name="_xlnm._FilterDatabase" localSheetId="13" hidden="1">SystemTables!$A$1:$AR$130</definedName>
    <definedName name="_xlnm._FilterDatabase" localSheetId="5" hidden="1">xRef!$A$1:$D$2611</definedName>
    <definedName name="ColumnId">aaDictionaryColumn!$A:$AD</definedName>
    <definedName name="DictionaryColumnID">aaDictionaryColumn!$A:$AC</definedName>
    <definedName name="DictionaryColumns">aaDictionaryColumn!$C:$AC</definedName>
    <definedName name="DictionaryTableID">aaDictionaryTable!$A:$U</definedName>
    <definedName name="DictionaryTables">aaDictionaryTable!$C:$AJ</definedName>
    <definedName name="IDConv">xRef!$B:$C</definedName>
    <definedName name="newcol">OldCol!$A:$B</definedName>
    <definedName name="System">SystemTables!$A:$A</definedName>
    <definedName name="SystemTableId">SystemTables!$A:$W</definedName>
    <definedName name="SystemTables">SystemTables!$C:$Z</definedName>
    <definedName name="tem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12" i="33" l="1"/>
  <c r="AP912" i="33" s="1"/>
  <c r="E846" i="33"/>
  <c r="AP846" i="33" s="1"/>
  <c r="E828" i="33"/>
  <c r="AP828" i="33" s="1"/>
  <c r="W810" i="33"/>
  <c r="E810" i="33"/>
  <c r="W809" i="33"/>
  <c r="W807" i="33"/>
  <c r="E812" i="33"/>
  <c r="E813" i="33"/>
  <c r="AP813" i="33" s="1"/>
  <c r="E806" i="33"/>
  <c r="AP806" i="33" s="1"/>
  <c r="E811" i="33"/>
  <c r="C811" i="33" s="1"/>
  <c r="E809" i="33"/>
  <c r="C809" i="33" s="1"/>
  <c r="E808" i="33"/>
  <c r="C808" i="33" s="1"/>
  <c r="E807" i="33"/>
  <c r="C807" i="33" s="1"/>
  <c r="AK12" i="34"/>
  <c r="P12" i="34"/>
  <c r="W118" i="33"/>
  <c r="F118" i="33"/>
  <c r="E118" i="33"/>
  <c r="E125" i="33"/>
  <c r="E124" i="33"/>
  <c r="E177" i="33"/>
  <c r="E176" i="33"/>
  <c r="C912" i="33" l="1"/>
  <c r="AJ912" i="33"/>
  <c r="H810" i="33"/>
  <c r="C846" i="33"/>
  <c r="AJ846" i="33"/>
  <c r="C828" i="33"/>
  <c r="AK828" i="33" s="1"/>
  <c r="AJ828" i="33"/>
  <c r="C810" i="33"/>
  <c r="H812" i="33"/>
  <c r="C812" i="33"/>
  <c r="H811" i="33"/>
  <c r="H808" i="33"/>
  <c r="H807" i="33"/>
  <c r="H809" i="33"/>
  <c r="AJ813" i="33"/>
  <c r="C813" i="33"/>
  <c r="AK813" i="33" s="1"/>
  <c r="C806" i="33"/>
  <c r="H806" i="33"/>
  <c r="C118" i="33"/>
  <c r="C124" i="33"/>
  <c r="C125" i="33"/>
  <c r="C176" i="33"/>
  <c r="C177" i="33"/>
  <c r="E322" i="33" l="1"/>
  <c r="E320" i="33"/>
  <c r="E326" i="33"/>
  <c r="E361" i="33"/>
  <c r="E360" i="33"/>
  <c r="E736" i="33"/>
  <c r="AP736" i="33" s="1"/>
  <c r="E735" i="33"/>
  <c r="E734" i="33"/>
  <c r="AP734" i="33" s="1"/>
  <c r="E733" i="33"/>
  <c r="AP733" i="33" s="1"/>
  <c r="E732" i="33"/>
  <c r="AP732" i="33" s="1"/>
  <c r="E731" i="33"/>
  <c r="AP731" i="33" s="1"/>
  <c r="E730" i="33"/>
  <c r="AP730" i="33" s="1"/>
  <c r="E729" i="33"/>
  <c r="AP729" i="33" s="1"/>
  <c r="E728" i="33"/>
  <c r="AP728" i="33" s="1"/>
  <c r="E727" i="33"/>
  <c r="C727" i="33" s="1"/>
  <c r="AK727" i="33" s="1"/>
  <c r="E726" i="33"/>
  <c r="AP726" i="33" s="1"/>
  <c r="E725" i="33"/>
  <c r="E724" i="33"/>
  <c r="AP724" i="33" s="1"/>
  <c r="E723" i="33"/>
  <c r="AP723" i="33" s="1"/>
  <c r="E722" i="33"/>
  <c r="C322" i="33" l="1"/>
  <c r="C320" i="33"/>
  <c r="C326" i="33"/>
  <c r="C361" i="33"/>
  <c r="C360" i="33"/>
  <c r="C724" i="33"/>
  <c r="AK724" i="33" s="1"/>
  <c r="AP727" i="33"/>
  <c r="C729" i="33"/>
  <c r="AK729" i="33" s="1"/>
  <c r="C732" i="33"/>
  <c r="AK732" i="33" s="1"/>
  <c r="C723" i="33"/>
  <c r="AK723" i="33" s="1"/>
  <c r="C730" i="33"/>
  <c r="AK730" i="33" s="1"/>
  <c r="C728" i="33"/>
  <c r="AK728" i="33" s="1"/>
  <c r="C731" i="33"/>
  <c r="AK731" i="33" s="1"/>
  <c r="AL735" i="33"/>
  <c r="AP725" i="33"/>
  <c r="C726" i="33"/>
  <c r="AK726" i="33" s="1"/>
  <c r="C734" i="33"/>
  <c r="AK734" i="33" s="1"/>
  <c r="AP735" i="33"/>
  <c r="C722" i="33"/>
  <c r="C725" i="33"/>
  <c r="AK725" i="33" s="1"/>
  <c r="C733" i="33"/>
  <c r="AK733" i="33" s="1"/>
  <c r="C736" i="33"/>
  <c r="AK736" i="33" s="1"/>
  <c r="C735" i="33"/>
  <c r="AJ735" i="33" s="1"/>
  <c r="W638" i="33" l="1"/>
  <c r="W626" i="33"/>
  <c r="W608" i="33"/>
  <c r="W266" i="33"/>
  <c r="W256" i="33"/>
  <c r="W19" i="33"/>
  <c r="F638" i="33"/>
  <c r="C638" i="33" s="1"/>
  <c r="F626" i="33"/>
  <c r="C626" i="33" s="1"/>
  <c r="F608" i="33"/>
  <c r="C608" i="33" s="1"/>
  <c r="F266" i="33"/>
  <c r="C266" i="33" s="1"/>
  <c r="F256" i="33"/>
  <c r="C256" i="33" s="1"/>
  <c r="F19" i="33"/>
  <c r="C19" i="33" s="1"/>
  <c r="E762" i="33"/>
  <c r="AJ762" i="33" s="1"/>
  <c r="E692" i="33"/>
  <c r="F692" i="33"/>
  <c r="W692" i="33"/>
  <c r="F762" i="33"/>
  <c r="W762" i="33"/>
  <c r="AK9" i="34"/>
  <c r="AI9" i="34"/>
  <c r="P9" i="34"/>
  <c r="F64" i="75"/>
  <c r="F89" i="75"/>
  <c r="F82" i="75"/>
  <c r="F13" i="75"/>
  <c r="F63" i="75"/>
  <c r="F88" i="75"/>
  <c r="F81" i="75"/>
  <c r="F61" i="75"/>
  <c r="F25" i="75"/>
  <c r="F108" i="75"/>
  <c r="F87" i="75"/>
  <c r="F80" i="75"/>
  <c r="F60" i="75"/>
  <c r="F30" i="75"/>
  <c r="F29" i="75"/>
  <c r="F12" i="75"/>
  <c r="F460" i="75"/>
  <c r="F438" i="75"/>
  <c r="F429" i="75"/>
  <c r="F424" i="75"/>
  <c r="F411" i="75"/>
  <c r="F310" i="75"/>
  <c r="F304" i="75"/>
  <c r="F284" i="75"/>
  <c r="F194" i="75"/>
  <c r="F374" i="75"/>
  <c r="F459" i="75"/>
  <c r="F373" i="75"/>
  <c r="C373" i="75" s="1"/>
  <c r="F346" i="75"/>
  <c r="F345" i="75"/>
  <c r="F344" i="75"/>
  <c r="F326" i="75"/>
  <c r="F290" i="75"/>
  <c r="F282" i="75"/>
  <c r="F275" i="75"/>
  <c r="F266" i="75"/>
  <c r="F259" i="75"/>
  <c r="F316" i="75"/>
  <c r="F309" i="75"/>
  <c r="F303" i="75"/>
  <c r="F298" i="75"/>
  <c r="F291" i="75"/>
  <c r="F283" i="75"/>
  <c r="F276" i="75"/>
  <c r="F267" i="75"/>
  <c r="F260" i="75"/>
  <c r="F297" i="75"/>
  <c r="F274" i="75"/>
  <c r="F265" i="75"/>
  <c r="F178" i="75"/>
  <c r="F315" i="75"/>
  <c r="F296" i="75"/>
  <c r="C296" i="75" s="1"/>
  <c r="F289" i="75"/>
  <c r="F200" i="75"/>
  <c r="F273" i="75"/>
  <c r="F256" i="75"/>
  <c r="F199" i="75"/>
  <c r="F193" i="75"/>
  <c r="F187" i="75"/>
  <c r="F177" i="75"/>
  <c r="C177" i="75" s="1"/>
  <c r="F423" i="75"/>
  <c r="F164" i="75"/>
  <c r="F163" i="75"/>
  <c r="F132" i="75"/>
  <c r="W64" i="75"/>
  <c r="W89" i="75"/>
  <c r="W82" i="75"/>
  <c r="W13" i="75"/>
  <c r="W63" i="75"/>
  <c r="W88" i="75"/>
  <c r="W81" i="75"/>
  <c r="W61" i="75"/>
  <c r="W25" i="75"/>
  <c r="W108" i="75"/>
  <c r="W87" i="75"/>
  <c r="W80" i="75"/>
  <c r="W60" i="75"/>
  <c r="W30" i="75"/>
  <c r="W29" i="75"/>
  <c r="W12" i="75"/>
  <c r="W460" i="75"/>
  <c r="W438" i="75"/>
  <c r="W429" i="75"/>
  <c r="W424" i="75"/>
  <c r="W411" i="75"/>
  <c r="W310" i="75"/>
  <c r="W304" i="75"/>
  <c r="W284" i="75"/>
  <c r="W194" i="75"/>
  <c r="W374" i="75"/>
  <c r="W459" i="75"/>
  <c r="W373" i="75"/>
  <c r="W346" i="75"/>
  <c r="W345" i="75"/>
  <c r="W344" i="75"/>
  <c r="W326" i="75"/>
  <c r="W290" i="75"/>
  <c r="W282" i="75"/>
  <c r="W275" i="75"/>
  <c r="W266" i="75"/>
  <c r="W259" i="75"/>
  <c r="W316" i="75"/>
  <c r="W309" i="75"/>
  <c r="W303" i="75"/>
  <c r="W298" i="75"/>
  <c r="W291" i="75"/>
  <c r="W283" i="75"/>
  <c r="W276" i="75"/>
  <c r="W267" i="75"/>
  <c r="W260" i="75"/>
  <c r="W297" i="75"/>
  <c r="W274" i="75"/>
  <c r="W265" i="75"/>
  <c r="W178" i="75"/>
  <c r="W315" i="75"/>
  <c r="W296" i="75"/>
  <c r="W289" i="75"/>
  <c r="W200" i="75"/>
  <c r="W273" i="75"/>
  <c r="W256" i="75"/>
  <c r="W199" i="75"/>
  <c r="W193" i="75"/>
  <c r="W187" i="75"/>
  <c r="W177" i="75"/>
  <c r="W423" i="75"/>
  <c r="W164" i="75"/>
  <c r="W163" i="75"/>
  <c r="W132" i="75"/>
  <c r="E458" i="75"/>
  <c r="H458" i="75" s="1"/>
  <c r="E456" i="75"/>
  <c r="H456" i="75" s="1"/>
  <c r="E457" i="75"/>
  <c r="H457" i="75" s="1"/>
  <c r="E444" i="75"/>
  <c r="H444" i="75" s="1"/>
  <c r="E455" i="75"/>
  <c r="H455" i="75" s="1"/>
  <c r="E454" i="75"/>
  <c r="E453" i="75"/>
  <c r="E452" i="75"/>
  <c r="H452" i="75" s="1"/>
  <c r="E451" i="75"/>
  <c r="H451" i="75" s="1"/>
  <c r="E450" i="75"/>
  <c r="H450" i="75" s="1"/>
  <c r="E449" i="75"/>
  <c r="H449" i="75" s="1"/>
  <c r="E448" i="75"/>
  <c r="H448" i="75" s="1"/>
  <c r="E447" i="75"/>
  <c r="H447" i="75" s="1"/>
  <c r="E445" i="75"/>
  <c r="H445" i="75" s="1"/>
  <c r="E443" i="75"/>
  <c r="H443" i="75" s="1"/>
  <c r="E442" i="75"/>
  <c r="H442" i="75" s="1"/>
  <c r="E441" i="75"/>
  <c r="H441" i="75" s="1"/>
  <c r="E460" i="75"/>
  <c r="H460" i="75" s="1"/>
  <c r="E459" i="75"/>
  <c r="H459" i="75" s="1"/>
  <c r="E446" i="75"/>
  <c r="H446" i="75" s="1"/>
  <c r="E437" i="75"/>
  <c r="H437" i="75" s="1"/>
  <c r="E436" i="75"/>
  <c r="H436" i="75" s="1"/>
  <c r="E440" i="75"/>
  <c r="H440" i="75" s="1"/>
  <c r="E439" i="75"/>
  <c r="H439" i="75" s="1"/>
  <c r="E432" i="75"/>
  <c r="H432" i="75" s="1"/>
  <c r="E435" i="75"/>
  <c r="H435" i="75" s="1"/>
  <c r="E434" i="75"/>
  <c r="H434" i="75" s="1"/>
  <c r="E431" i="75"/>
  <c r="H431" i="75" s="1"/>
  <c r="E430" i="75"/>
  <c r="H430" i="75" s="1"/>
  <c r="E438" i="75"/>
  <c r="H438" i="75" s="1"/>
  <c r="E433" i="75"/>
  <c r="C433" i="75" s="1"/>
  <c r="E428" i="75"/>
  <c r="E427" i="75"/>
  <c r="E429" i="75"/>
  <c r="E425" i="75"/>
  <c r="E426" i="75"/>
  <c r="E422" i="75"/>
  <c r="E421" i="75"/>
  <c r="E424" i="75"/>
  <c r="E423" i="75"/>
  <c r="E420" i="75"/>
  <c r="E419" i="75"/>
  <c r="E418" i="75"/>
  <c r="E417" i="75"/>
  <c r="E415" i="75"/>
  <c r="E416" i="75"/>
  <c r="E414" i="75"/>
  <c r="E413" i="75"/>
  <c r="H413" i="75" s="1"/>
  <c r="E412" i="75"/>
  <c r="H412" i="75" s="1"/>
  <c r="E410" i="75"/>
  <c r="H410" i="75" s="1"/>
  <c r="E403" i="75"/>
  <c r="H403" i="75" s="1"/>
  <c r="E409" i="75"/>
  <c r="H409" i="75" s="1"/>
  <c r="E408" i="75"/>
  <c r="H408" i="75" s="1"/>
  <c r="E407" i="75"/>
  <c r="C407" i="75" s="1"/>
  <c r="E406" i="75"/>
  <c r="H406" i="75" s="1"/>
  <c r="E405" i="75"/>
  <c r="H405" i="75" s="1"/>
  <c r="E404" i="75"/>
  <c r="H404" i="75" s="1"/>
  <c r="E402" i="75"/>
  <c r="H402" i="75" s="1"/>
  <c r="E401" i="75"/>
  <c r="H401" i="75" s="1"/>
  <c r="E400" i="75"/>
  <c r="H400" i="75" s="1"/>
  <c r="E399" i="75"/>
  <c r="H399" i="75" s="1"/>
  <c r="E398" i="75"/>
  <c r="E397" i="75"/>
  <c r="H397" i="75" s="1"/>
  <c r="E396" i="75"/>
  <c r="H396" i="75" s="1"/>
  <c r="E394" i="75"/>
  <c r="H394" i="75" s="1"/>
  <c r="E393" i="75"/>
  <c r="H393" i="75" s="1"/>
  <c r="E392" i="75"/>
  <c r="H392" i="75" s="1"/>
  <c r="E391" i="75"/>
  <c r="H391" i="75" s="1"/>
  <c r="E411" i="75"/>
  <c r="H411" i="75" s="1"/>
  <c r="E395" i="75"/>
  <c r="C395" i="75" s="1"/>
  <c r="E389" i="75"/>
  <c r="H389" i="75" s="1"/>
  <c r="E390" i="75"/>
  <c r="H390" i="75" s="1"/>
  <c r="E388" i="75"/>
  <c r="H388" i="75" s="1"/>
  <c r="E387" i="75"/>
  <c r="H387" i="75" s="1"/>
  <c r="E385" i="75"/>
  <c r="H385" i="75" s="1"/>
  <c r="E384" i="75"/>
  <c r="H384" i="75" s="1"/>
  <c r="E386" i="75"/>
  <c r="H386" i="75" s="1"/>
  <c r="E383" i="75"/>
  <c r="H383" i="75" s="1"/>
  <c r="E382" i="75"/>
  <c r="C382" i="75" s="1"/>
  <c r="E380" i="75"/>
  <c r="H380" i="75" s="1"/>
  <c r="E379" i="75"/>
  <c r="H379" i="75" s="1"/>
  <c r="E381" i="75"/>
  <c r="H381" i="75" s="1"/>
  <c r="E378" i="75"/>
  <c r="H378" i="75" s="1"/>
  <c r="E377" i="75"/>
  <c r="H377" i="75" s="1"/>
  <c r="E376" i="75"/>
  <c r="H376" i="75" s="1"/>
  <c r="E375" i="75"/>
  <c r="H375" i="75" s="1"/>
  <c r="E372" i="75"/>
  <c r="H372" i="75" s="1"/>
  <c r="E371" i="75"/>
  <c r="H371" i="75" s="1"/>
  <c r="E365" i="75"/>
  <c r="H365" i="75" s="1"/>
  <c r="E370" i="75"/>
  <c r="H370" i="75" s="1"/>
  <c r="E369" i="75"/>
  <c r="H369" i="75" s="1"/>
  <c r="E368" i="75"/>
  <c r="H368" i="75" s="1"/>
  <c r="E367" i="75"/>
  <c r="H367" i="75" s="1"/>
  <c r="E364" i="75"/>
  <c r="H364" i="75" s="1"/>
  <c r="E374" i="75"/>
  <c r="H374" i="75" s="1"/>
  <c r="E373" i="75"/>
  <c r="H373" i="75" s="1"/>
  <c r="E366" i="75"/>
  <c r="H366" i="75" s="1"/>
  <c r="E363" i="75"/>
  <c r="H363" i="75" s="1"/>
  <c r="E362" i="75"/>
  <c r="H362" i="75" s="1"/>
  <c r="E361" i="75"/>
  <c r="H361" i="75" s="1"/>
  <c r="E359" i="75"/>
  <c r="H359" i="75" s="1"/>
  <c r="E360" i="75"/>
  <c r="H360" i="75" s="1"/>
  <c r="E358" i="75"/>
  <c r="AP358" i="75" s="1"/>
  <c r="E356" i="75"/>
  <c r="H356" i="75" s="1"/>
  <c r="E357" i="75"/>
  <c r="H357" i="75" s="1"/>
  <c r="E354" i="75"/>
  <c r="H354" i="75" s="1"/>
  <c r="E353" i="75"/>
  <c r="H353" i="75" s="1"/>
  <c r="E355" i="75"/>
  <c r="H355" i="75" s="1"/>
  <c r="E352" i="75"/>
  <c r="H352" i="75" s="1"/>
  <c r="E350" i="75"/>
  <c r="E351" i="75"/>
  <c r="H351" i="75" s="1"/>
  <c r="E348" i="75"/>
  <c r="H348" i="75" s="1"/>
  <c r="E347" i="75"/>
  <c r="H347" i="75" s="1"/>
  <c r="E349" i="75"/>
  <c r="H349" i="75" s="1"/>
  <c r="E343" i="75"/>
  <c r="H343" i="75" s="1"/>
  <c r="E341" i="75"/>
  <c r="H341" i="75" s="1"/>
  <c r="E342" i="75"/>
  <c r="H342" i="75" s="1"/>
  <c r="E333" i="75"/>
  <c r="C333" i="75" s="1"/>
  <c r="E340" i="75"/>
  <c r="C340" i="75" s="1"/>
  <c r="E339" i="75"/>
  <c r="H339" i="75" s="1"/>
  <c r="E338" i="75"/>
  <c r="H338" i="75" s="1"/>
  <c r="E337" i="75"/>
  <c r="H337" i="75" s="1"/>
  <c r="E334" i="75"/>
  <c r="H334" i="75" s="1"/>
  <c r="E332" i="75"/>
  <c r="H332" i="75" s="1"/>
  <c r="E329" i="75"/>
  <c r="H329" i="75" s="1"/>
  <c r="E346" i="75"/>
  <c r="H346" i="75" s="1"/>
  <c r="E345" i="75"/>
  <c r="H345" i="75" s="1"/>
  <c r="E344" i="75"/>
  <c r="H344" i="75" s="1"/>
  <c r="E335" i="75"/>
  <c r="H335" i="75" s="1"/>
  <c r="E331" i="75"/>
  <c r="H331" i="75" s="1"/>
  <c r="E330" i="75"/>
  <c r="H330" i="75" s="1"/>
  <c r="E336" i="75"/>
  <c r="H336" i="75" s="1"/>
  <c r="E325" i="75"/>
  <c r="H325" i="75" s="1"/>
  <c r="E324" i="75"/>
  <c r="C324" i="75" s="1"/>
  <c r="E328" i="75"/>
  <c r="H328" i="75" s="1"/>
  <c r="E327" i="75"/>
  <c r="H327" i="75" s="1"/>
  <c r="E320" i="75"/>
  <c r="H320" i="75" s="1"/>
  <c r="E323" i="75"/>
  <c r="H323" i="75" s="1"/>
  <c r="E322" i="75"/>
  <c r="H322" i="75" s="1"/>
  <c r="E319" i="75"/>
  <c r="H319" i="75" s="1"/>
  <c r="E318" i="75"/>
  <c r="H318" i="75" s="1"/>
  <c r="E317" i="75"/>
  <c r="C317" i="75" s="1"/>
  <c r="E326" i="75"/>
  <c r="H326" i="75" s="1"/>
  <c r="E321" i="75"/>
  <c r="H321" i="75" s="1"/>
  <c r="E314" i="75"/>
  <c r="H314" i="75" s="1"/>
  <c r="E313" i="75"/>
  <c r="H313" i="75" s="1"/>
  <c r="E311" i="75"/>
  <c r="H311" i="75" s="1"/>
  <c r="E316" i="75"/>
  <c r="H316" i="75" s="1"/>
  <c r="E315" i="75"/>
  <c r="H315" i="75" s="1"/>
  <c r="E312" i="75"/>
  <c r="H312" i="75" s="1"/>
  <c r="E308" i="75"/>
  <c r="E307" i="75"/>
  <c r="H307" i="75" s="1"/>
  <c r="E305" i="75"/>
  <c r="H305" i="75" s="1"/>
  <c r="E310" i="75"/>
  <c r="H310" i="75" s="1"/>
  <c r="E309" i="75"/>
  <c r="H309" i="75" s="1"/>
  <c r="E306" i="75"/>
  <c r="H306" i="75" s="1"/>
  <c r="E302" i="75"/>
  <c r="H302" i="75" s="1"/>
  <c r="E301" i="75"/>
  <c r="C301" i="75" s="1"/>
  <c r="E299" i="75"/>
  <c r="H299" i="75" s="1"/>
  <c r="E304" i="75"/>
  <c r="H304" i="75" s="1"/>
  <c r="E303" i="75"/>
  <c r="H303" i="75" s="1"/>
  <c r="E300" i="75"/>
  <c r="H300" i="75" s="1"/>
  <c r="E295" i="75"/>
  <c r="H295" i="75" s="1"/>
  <c r="E294" i="75"/>
  <c r="H294" i="75" s="1"/>
  <c r="E292" i="75"/>
  <c r="H292" i="75" s="1"/>
  <c r="E298" i="75"/>
  <c r="H298" i="75" s="1"/>
  <c r="E297" i="75"/>
  <c r="H297" i="75" s="1"/>
  <c r="E296" i="75"/>
  <c r="H296" i="75" s="1"/>
  <c r="E293" i="75"/>
  <c r="H293" i="75" s="1"/>
  <c r="E288" i="75"/>
  <c r="H288" i="75" s="1"/>
  <c r="E287" i="75"/>
  <c r="H287" i="75" s="1"/>
  <c r="E285" i="75"/>
  <c r="H285" i="75" s="1"/>
  <c r="E291" i="75"/>
  <c r="H291" i="75" s="1"/>
  <c r="E290" i="75"/>
  <c r="E289" i="75"/>
  <c r="H289" i="75" s="1"/>
  <c r="E286" i="75"/>
  <c r="H286" i="75" s="1"/>
  <c r="E281" i="75"/>
  <c r="H281" i="75" s="1"/>
  <c r="E280" i="75"/>
  <c r="H280" i="75" s="1"/>
  <c r="E278" i="75"/>
  <c r="H278" i="75" s="1"/>
  <c r="E284" i="75"/>
  <c r="H284" i="75" s="1"/>
  <c r="E283" i="75"/>
  <c r="H283" i="75" s="1"/>
  <c r="E282" i="75"/>
  <c r="E279" i="75"/>
  <c r="AL279" i="75" s="1"/>
  <c r="E272" i="75"/>
  <c r="H272" i="75" s="1"/>
  <c r="E271" i="75"/>
  <c r="H271" i="75" s="1"/>
  <c r="E277" i="75"/>
  <c r="H277" i="75" s="1"/>
  <c r="E270" i="75"/>
  <c r="H270" i="75" s="1"/>
  <c r="E268" i="75"/>
  <c r="H268" i="75" s="1"/>
  <c r="E276" i="75"/>
  <c r="H276" i="75" s="1"/>
  <c r="E275" i="75"/>
  <c r="E274" i="75"/>
  <c r="H274" i="75" s="1"/>
  <c r="E273" i="75"/>
  <c r="H273" i="75" s="1"/>
  <c r="E269" i="75"/>
  <c r="H269" i="75" s="1"/>
  <c r="E264" i="75"/>
  <c r="H264" i="75" s="1"/>
  <c r="E263" i="75"/>
  <c r="H263" i="75" s="1"/>
  <c r="E261" i="75"/>
  <c r="H261" i="75" s="1"/>
  <c r="E267" i="75"/>
  <c r="H267" i="75" s="1"/>
  <c r="E266" i="75"/>
  <c r="E265" i="75"/>
  <c r="AP265" i="75" s="1"/>
  <c r="E262" i="75"/>
  <c r="H262" i="75" s="1"/>
  <c r="E255" i="75"/>
  <c r="H255" i="75" s="1"/>
  <c r="E250" i="75"/>
  <c r="H250" i="75" s="1"/>
  <c r="E254" i="75"/>
  <c r="H254" i="75" s="1"/>
  <c r="E253" i="75"/>
  <c r="H253" i="75" s="1"/>
  <c r="E252" i="75"/>
  <c r="H252" i="75" s="1"/>
  <c r="E251" i="75"/>
  <c r="E239" i="75"/>
  <c r="AP239" i="75" s="1"/>
  <c r="E249" i="75"/>
  <c r="H249" i="75" s="1"/>
  <c r="E248" i="75"/>
  <c r="H248" i="75" s="1"/>
  <c r="E247" i="75"/>
  <c r="H247" i="75" s="1"/>
  <c r="E246" i="75"/>
  <c r="H246" i="75" s="1"/>
  <c r="E245" i="75"/>
  <c r="H245" i="75" s="1"/>
  <c r="E244" i="75"/>
  <c r="H244" i="75" s="1"/>
  <c r="E243" i="75"/>
  <c r="E242" i="75"/>
  <c r="C242" i="75" s="1"/>
  <c r="E240" i="75"/>
  <c r="H240" i="75" s="1"/>
  <c r="E238" i="75"/>
  <c r="H238" i="75" s="1"/>
  <c r="E237" i="75"/>
  <c r="H237" i="75" s="1"/>
  <c r="E236" i="75"/>
  <c r="H236" i="75" s="1"/>
  <c r="E260" i="75"/>
  <c r="H260" i="75" s="1"/>
  <c r="E259" i="75"/>
  <c r="H259" i="75" s="1"/>
  <c r="E258" i="75"/>
  <c r="H258" i="75" s="1"/>
  <c r="E257" i="75"/>
  <c r="H257" i="75" s="1"/>
  <c r="E256" i="75"/>
  <c r="H256" i="75" s="1"/>
  <c r="E241" i="75"/>
  <c r="H241" i="75" s="1"/>
  <c r="E233" i="75"/>
  <c r="H233" i="75" s="1"/>
  <c r="E231" i="75"/>
  <c r="H231" i="75" s="1"/>
  <c r="E235" i="75"/>
  <c r="H235" i="75" s="1"/>
  <c r="E232" i="75"/>
  <c r="H232" i="75" s="1"/>
  <c r="E230" i="75"/>
  <c r="E229" i="75"/>
  <c r="H229" i="75" s="1"/>
  <c r="E228" i="75"/>
  <c r="H228" i="75" s="1"/>
  <c r="E227" i="75"/>
  <c r="H227" i="75" s="1"/>
  <c r="E226" i="75"/>
  <c r="H226" i="75" s="1"/>
  <c r="E225" i="75"/>
  <c r="H225" i="75" s="1"/>
  <c r="E224" i="75"/>
  <c r="H224" i="75" s="1"/>
  <c r="E223" i="75"/>
  <c r="H223" i="75" s="1"/>
  <c r="E221" i="75"/>
  <c r="C221" i="75" s="1"/>
  <c r="E220" i="75"/>
  <c r="H220" i="75" s="1"/>
  <c r="E219" i="75"/>
  <c r="H219" i="75" s="1"/>
  <c r="E218" i="75"/>
  <c r="H218" i="75" s="1"/>
  <c r="E234" i="75"/>
  <c r="H234" i="75" s="1"/>
  <c r="E222" i="75"/>
  <c r="H222" i="75" s="1"/>
  <c r="E217" i="75"/>
  <c r="H217" i="75" s="1"/>
  <c r="E216" i="75"/>
  <c r="H216" i="75" s="1"/>
  <c r="E215" i="75"/>
  <c r="H215" i="75" s="1"/>
  <c r="E213" i="75"/>
  <c r="AL213" i="75" s="1"/>
  <c r="E212" i="75"/>
  <c r="H212" i="75" s="1"/>
  <c r="E214" i="75"/>
  <c r="H214" i="75" s="1"/>
  <c r="E209" i="75"/>
  <c r="H209" i="75" s="1"/>
  <c r="E208" i="75"/>
  <c r="H208" i="75" s="1"/>
  <c r="E211" i="75"/>
  <c r="H211" i="75" s="1"/>
  <c r="E210" i="75"/>
  <c r="H210" i="75" s="1"/>
  <c r="E207" i="75"/>
  <c r="H207" i="75" s="1"/>
  <c r="E206" i="75"/>
  <c r="H206" i="75" s="1"/>
  <c r="E205" i="75"/>
  <c r="H205" i="75" s="1"/>
  <c r="AP401" i="75"/>
  <c r="E204" i="75"/>
  <c r="H204" i="75" s="1"/>
  <c r="E203" i="75"/>
  <c r="H203" i="75" s="1"/>
  <c r="E201" i="75"/>
  <c r="H201" i="75" s="1"/>
  <c r="E202" i="75"/>
  <c r="H202" i="75" s="1"/>
  <c r="E198" i="75"/>
  <c r="H198" i="75" s="1"/>
  <c r="E197" i="75"/>
  <c r="H197" i="75" s="1"/>
  <c r="E195" i="75"/>
  <c r="H195" i="75" s="1"/>
  <c r="E200" i="75"/>
  <c r="AP200" i="75" s="1"/>
  <c r="E199" i="75"/>
  <c r="H199" i="75" s="1"/>
  <c r="E196" i="75"/>
  <c r="H196" i="75" s="1"/>
  <c r="E192" i="75"/>
  <c r="H192" i="75" s="1"/>
  <c r="E191" i="75"/>
  <c r="H191" i="75" s="1"/>
  <c r="E189" i="75"/>
  <c r="H189" i="75" s="1"/>
  <c r="E194" i="75"/>
  <c r="H194" i="75" s="1"/>
  <c r="E193" i="75"/>
  <c r="H193" i="75" s="1"/>
  <c r="E190" i="75"/>
  <c r="H190" i="75" s="1"/>
  <c r="E186" i="75"/>
  <c r="H186" i="75" s="1"/>
  <c r="E185" i="75"/>
  <c r="H185" i="75" s="1"/>
  <c r="E184" i="75"/>
  <c r="H184" i="75" s="1"/>
  <c r="E183" i="75"/>
  <c r="H183" i="75" s="1"/>
  <c r="E182" i="75"/>
  <c r="H182" i="75" s="1"/>
  <c r="E180" i="75"/>
  <c r="H180" i="75" s="1"/>
  <c r="E179" i="75"/>
  <c r="H179" i="75" s="1"/>
  <c r="E188" i="75"/>
  <c r="E187" i="75"/>
  <c r="H187" i="75" s="1"/>
  <c r="E181" i="75"/>
  <c r="H181" i="75" s="1"/>
  <c r="E176" i="75"/>
  <c r="H176" i="75" s="1"/>
  <c r="E175" i="75"/>
  <c r="H175" i="75" s="1"/>
  <c r="E173" i="75"/>
  <c r="H173" i="75" s="1"/>
  <c r="E178" i="75"/>
  <c r="H178" i="75" s="1"/>
  <c r="E177" i="75"/>
  <c r="H177" i="75" s="1"/>
  <c r="E174" i="75"/>
  <c r="H174" i="75" s="1"/>
  <c r="E172" i="75"/>
  <c r="H172" i="75" s="1"/>
  <c r="E171" i="75"/>
  <c r="H171" i="75" s="1"/>
  <c r="E170" i="75"/>
  <c r="H170" i="75" s="1"/>
  <c r="E169" i="75"/>
  <c r="H169" i="75" s="1"/>
  <c r="E168" i="75"/>
  <c r="H168" i="75" s="1"/>
  <c r="E167" i="75"/>
  <c r="H167" i="75" s="1"/>
  <c r="E165" i="75"/>
  <c r="H165" i="75" s="1"/>
  <c r="E166" i="75"/>
  <c r="E162" i="75"/>
  <c r="E161" i="75"/>
  <c r="E159" i="75"/>
  <c r="E158" i="75"/>
  <c r="E164" i="75"/>
  <c r="E163" i="75"/>
  <c r="E160" i="75"/>
  <c r="E156" i="75"/>
  <c r="E154" i="75"/>
  <c r="E157" i="75"/>
  <c r="E155" i="75"/>
  <c r="E153" i="75"/>
  <c r="E152" i="75"/>
  <c r="E151" i="75"/>
  <c r="AP151" i="75" s="1"/>
  <c r="E150" i="75"/>
  <c r="E149" i="75"/>
  <c r="AP149" i="75" s="1"/>
  <c r="E147" i="75"/>
  <c r="E146" i="75"/>
  <c r="E145" i="75"/>
  <c r="C145" i="75" s="1"/>
  <c r="E144" i="75"/>
  <c r="E143" i="75"/>
  <c r="E148" i="75"/>
  <c r="E141" i="75"/>
  <c r="H141" i="75" s="1"/>
  <c r="E140" i="75"/>
  <c r="E142" i="75"/>
  <c r="H142" i="75" s="1"/>
  <c r="E134" i="75"/>
  <c r="H134" i="75" s="1"/>
  <c r="E139" i="75"/>
  <c r="H139" i="75" s="1"/>
  <c r="E138" i="75"/>
  <c r="H138" i="75" s="1"/>
  <c r="E137" i="75"/>
  <c r="H137" i="75" s="1"/>
  <c r="E135" i="75"/>
  <c r="H135" i="75" s="1"/>
  <c r="E133" i="75"/>
  <c r="H133" i="75" s="1"/>
  <c r="E136" i="75"/>
  <c r="AP128" i="75" s="1"/>
  <c r="E131" i="75"/>
  <c r="H131" i="75" s="1"/>
  <c r="E130" i="75"/>
  <c r="H130" i="75" s="1"/>
  <c r="E122" i="75"/>
  <c r="H122" i="75" s="1"/>
  <c r="E129" i="75"/>
  <c r="H129" i="75" s="1"/>
  <c r="E128" i="75"/>
  <c r="H128" i="75" s="1"/>
  <c r="E127" i="75"/>
  <c r="H127" i="75" s="1"/>
  <c r="E126" i="75"/>
  <c r="H126" i="75" s="1"/>
  <c r="E124" i="75"/>
  <c r="E123" i="75"/>
  <c r="H123" i="75" s="1"/>
  <c r="E121" i="75"/>
  <c r="H121" i="75" s="1"/>
  <c r="E120" i="75"/>
  <c r="H120" i="75" s="1"/>
  <c r="E119" i="75"/>
  <c r="H119" i="75" s="1"/>
  <c r="E118" i="75"/>
  <c r="H118" i="75" s="1"/>
  <c r="E132" i="75"/>
  <c r="H132" i="75" s="1"/>
  <c r="E125" i="75"/>
  <c r="H125" i="75" s="1"/>
  <c r="E117" i="75"/>
  <c r="AP175" i="75" s="1"/>
  <c r="E116" i="75"/>
  <c r="H116" i="75" s="1"/>
  <c r="E115" i="75"/>
  <c r="H115" i="75" s="1"/>
  <c r="E114" i="75"/>
  <c r="H114" i="75" s="1"/>
  <c r="E112" i="75"/>
  <c r="H112" i="75" s="1"/>
  <c r="E113" i="75"/>
  <c r="H113" i="75" s="1"/>
  <c r="AP5" i="75"/>
  <c r="E111" i="75"/>
  <c r="E110" i="75"/>
  <c r="AP168" i="75" s="1"/>
  <c r="E109" i="75"/>
  <c r="E107" i="75"/>
  <c r="E105" i="75"/>
  <c r="H105" i="75" s="1"/>
  <c r="E104" i="75"/>
  <c r="E103" i="75"/>
  <c r="E108" i="75"/>
  <c r="H108" i="75" s="1"/>
  <c r="E106" i="75"/>
  <c r="E102" i="75"/>
  <c r="E100" i="75"/>
  <c r="E101" i="75"/>
  <c r="E98" i="75"/>
  <c r="E97" i="75"/>
  <c r="E99" i="75"/>
  <c r="E96" i="75"/>
  <c r="E94" i="75"/>
  <c r="E95" i="75"/>
  <c r="AP95" i="75" s="1"/>
  <c r="E92" i="75"/>
  <c r="E93" i="75"/>
  <c r="E91" i="75"/>
  <c r="E90" i="75"/>
  <c r="E89" i="75"/>
  <c r="E88" i="75"/>
  <c r="E87" i="75"/>
  <c r="E85" i="75"/>
  <c r="E86" i="75"/>
  <c r="E84" i="75"/>
  <c r="E83" i="75"/>
  <c r="AP83" i="75" s="1"/>
  <c r="E82" i="75"/>
  <c r="E81" i="75"/>
  <c r="E80" i="75"/>
  <c r="E78" i="75"/>
  <c r="E77" i="75"/>
  <c r="E79" i="75"/>
  <c r="E75" i="75"/>
  <c r="E73" i="75"/>
  <c r="E57" i="75"/>
  <c r="E76" i="75"/>
  <c r="E74" i="75"/>
  <c r="E72" i="75"/>
  <c r="E71" i="75"/>
  <c r="AP243" i="75" s="1"/>
  <c r="E70" i="75"/>
  <c r="E69" i="75"/>
  <c r="E68" i="75"/>
  <c r="E67" i="75"/>
  <c r="E66" i="75"/>
  <c r="E65" i="75"/>
  <c r="AP65" i="75" s="1"/>
  <c r="E62" i="75"/>
  <c r="E59" i="75"/>
  <c r="E58" i="75"/>
  <c r="E56" i="75"/>
  <c r="E54" i="75"/>
  <c r="C54" i="75" s="1"/>
  <c r="E53" i="75"/>
  <c r="E52" i="75"/>
  <c r="E51" i="75"/>
  <c r="E50" i="75"/>
  <c r="E49" i="75"/>
  <c r="E48" i="75"/>
  <c r="E43" i="75"/>
  <c r="E42" i="75"/>
  <c r="E41" i="75"/>
  <c r="E40" i="75"/>
  <c r="E39" i="75"/>
  <c r="E38" i="75"/>
  <c r="E64" i="75"/>
  <c r="E63" i="75"/>
  <c r="E61" i="75"/>
  <c r="E60" i="75"/>
  <c r="C60" i="75" s="1"/>
  <c r="E47" i="75"/>
  <c r="E46" i="75"/>
  <c r="E45" i="75"/>
  <c r="AP53" i="75" s="1"/>
  <c r="E44" i="75"/>
  <c r="E55" i="75"/>
  <c r="E37" i="75"/>
  <c r="E35" i="75"/>
  <c r="E36" i="75"/>
  <c r="E33" i="75"/>
  <c r="E34" i="75"/>
  <c r="E32" i="75"/>
  <c r="C32" i="75" s="1"/>
  <c r="E31" i="75"/>
  <c r="E30" i="75"/>
  <c r="AP30" i="75" s="1"/>
  <c r="E29" i="75"/>
  <c r="E28" i="75"/>
  <c r="E27" i="75"/>
  <c r="AP27" i="75" s="1"/>
  <c r="E26" i="75"/>
  <c r="E24" i="75"/>
  <c r="E23" i="75"/>
  <c r="E25" i="75"/>
  <c r="E22" i="75"/>
  <c r="AL117" i="75" s="1"/>
  <c r="E21" i="75"/>
  <c r="E19" i="75"/>
  <c r="E20" i="75"/>
  <c r="E17" i="75"/>
  <c r="E16" i="75"/>
  <c r="E18" i="75"/>
  <c r="E15" i="75"/>
  <c r="E14" i="75"/>
  <c r="E13" i="75"/>
  <c r="E12" i="75"/>
  <c r="E10" i="75"/>
  <c r="E11" i="75"/>
  <c r="E9" i="75"/>
  <c r="E8" i="75"/>
  <c r="E7" i="75"/>
  <c r="E6" i="75"/>
  <c r="AL202" i="75" s="1"/>
  <c r="E5" i="75"/>
  <c r="E3" i="75"/>
  <c r="E2" i="75"/>
  <c r="C2" i="75" s="1"/>
  <c r="E4" i="75"/>
  <c r="AP458" i="75"/>
  <c r="C453" i="75"/>
  <c r="AP455" i="75"/>
  <c r="C452" i="75"/>
  <c r="AP454" i="75"/>
  <c r="C451" i="75"/>
  <c r="AP453" i="75"/>
  <c r="AP447" i="75"/>
  <c r="C442" i="75"/>
  <c r="AP446" i="75"/>
  <c r="C441" i="75"/>
  <c r="AP445" i="75"/>
  <c r="AP441" i="75"/>
  <c r="C439" i="75"/>
  <c r="AP438" i="75"/>
  <c r="AP437" i="75"/>
  <c r="AP436" i="75"/>
  <c r="C438" i="75"/>
  <c r="AP432" i="75"/>
  <c r="AP431" i="75"/>
  <c r="C427" i="75"/>
  <c r="AO429" i="75"/>
  <c r="W425" i="75"/>
  <c r="F425" i="75"/>
  <c r="AL425" i="75" s="1"/>
  <c r="C422" i="75"/>
  <c r="AO424" i="75"/>
  <c r="AO423" i="75"/>
  <c r="AL423" i="75"/>
  <c r="C423" i="75"/>
  <c r="AP417" i="75"/>
  <c r="C413" i="75"/>
  <c r="C412" i="75"/>
  <c r="AP413" i="75"/>
  <c r="C408" i="75"/>
  <c r="AP407" i="75"/>
  <c r="AP406" i="75"/>
  <c r="C404" i="75"/>
  <c r="AP405" i="75"/>
  <c r="AP404" i="75"/>
  <c r="AP402" i="75"/>
  <c r="AP399" i="75"/>
  <c r="C396" i="75"/>
  <c r="C394" i="75"/>
  <c r="AP396" i="75"/>
  <c r="AP395" i="75"/>
  <c r="AP394" i="75"/>
  <c r="AL394" i="75"/>
  <c r="AP391" i="75"/>
  <c r="AP390" i="75"/>
  <c r="C388" i="75"/>
  <c r="AP388" i="75"/>
  <c r="C385" i="75"/>
  <c r="AP386" i="75"/>
  <c r="AP383" i="75"/>
  <c r="C379" i="75"/>
  <c r="AP381" i="75"/>
  <c r="AP380" i="75"/>
  <c r="AL380" i="75"/>
  <c r="AL376" i="75"/>
  <c r="AL375" i="75"/>
  <c r="AP375" i="75"/>
  <c r="C371" i="75"/>
  <c r="AP373" i="75"/>
  <c r="C370" i="75"/>
  <c r="C369" i="75"/>
  <c r="AP371" i="75"/>
  <c r="C374" i="75"/>
  <c r="AP366" i="75"/>
  <c r="AL366" i="75"/>
  <c r="C366" i="75"/>
  <c r="C361" i="75"/>
  <c r="AP360" i="75"/>
  <c r="AL359" i="75"/>
  <c r="C356" i="75"/>
  <c r="C357" i="75"/>
  <c r="AP357" i="75"/>
  <c r="AL356" i="75"/>
  <c r="AL355" i="75"/>
  <c r="AP350" i="75"/>
  <c r="AP348" i="75"/>
  <c r="AP347" i="75"/>
  <c r="AP346" i="75"/>
  <c r="AP344" i="75"/>
  <c r="AP342" i="75"/>
  <c r="C338" i="75"/>
  <c r="AP340" i="75"/>
  <c r="AP338" i="75"/>
  <c r="AP334" i="75"/>
  <c r="W335" i="75"/>
  <c r="F335" i="75"/>
  <c r="C335" i="75" s="1"/>
  <c r="W331" i="75"/>
  <c r="F331" i="75"/>
  <c r="W330" i="75"/>
  <c r="F330" i="75"/>
  <c r="AP331" i="75"/>
  <c r="AP329" i="75"/>
  <c r="C327" i="75"/>
  <c r="C320" i="75"/>
  <c r="AP323" i="75"/>
  <c r="AP322" i="75"/>
  <c r="AP321" i="75"/>
  <c r="AP320" i="75"/>
  <c r="C321" i="75"/>
  <c r="AP318" i="75"/>
  <c r="C314" i="75"/>
  <c r="C315" i="75"/>
  <c r="AP311" i="75"/>
  <c r="C307" i="75"/>
  <c r="C305" i="75"/>
  <c r="AL441" i="75"/>
  <c r="AP308" i="75"/>
  <c r="AP305" i="75"/>
  <c r="AL305" i="75"/>
  <c r="AP304" i="75"/>
  <c r="C303" i="75"/>
  <c r="AL301" i="75"/>
  <c r="AP301" i="75"/>
  <c r="C300" i="75"/>
  <c r="AP298" i="75"/>
  <c r="AL294" i="75"/>
  <c r="C293" i="75"/>
  <c r="AL293" i="75"/>
  <c r="AP292" i="75"/>
  <c r="AP290" i="75"/>
  <c r="C286" i="75"/>
  <c r="AL286" i="75"/>
  <c r="C280" i="75"/>
  <c r="C284" i="75"/>
  <c r="C272" i="75"/>
  <c r="AL278" i="75"/>
  <c r="C271" i="75"/>
  <c r="AP275" i="75"/>
  <c r="AP273" i="75"/>
  <c r="AP272" i="75"/>
  <c r="AP270" i="75"/>
  <c r="AL268" i="75"/>
  <c r="AP267" i="75"/>
  <c r="C262" i="75"/>
  <c r="C255" i="75"/>
  <c r="AP258" i="75"/>
  <c r="C252" i="75"/>
  <c r="C251" i="75"/>
  <c r="AP256" i="75"/>
  <c r="AP255" i="75"/>
  <c r="AP253" i="75"/>
  <c r="AP252" i="75"/>
  <c r="AP250" i="75"/>
  <c r="AP249" i="75"/>
  <c r="C243" i="75"/>
  <c r="AP248" i="75"/>
  <c r="AP244" i="75"/>
  <c r="C260" i="75"/>
  <c r="W258" i="75"/>
  <c r="F258" i="75"/>
  <c r="W257" i="75"/>
  <c r="F257" i="75"/>
  <c r="C256" i="75"/>
  <c r="AP238" i="75"/>
  <c r="AP233" i="75"/>
  <c r="C230" i="75"/>
  <c r="AP230" i="75"/>
  <c r="C227" i="75"/>
  <c r="AP227" i="75"/>
  <c r="AP226" i="75"/>
  <c r="AP223" i="75"/>
  <c r="C218" i="75"/>
  <c r="W234" i="75"/>
  <c r="F234" i="75"/>
  <c r="C234" i="75" s="1"/>
  <c r="AL219" i="75"/>
  <c r="AP216" i="75"/>
  <c r="AP215" i="75"/>
  <c r="C212" i="75"/>
  <c r="C209" i="75"/>
  <c r="AP212" i="75"/>
  <c r="AL212" i="75"/>
  <c r="C210" i="75"/>
  <c r="AP207" i="75"/>
  <c r="AL207" i="75"/>
  <c r="C205" i="75"/>
  <c r="AO206" i="75"/>
  <c r="AP205" i="75"/>
  <c r="AL205" i="75"/>
  <c r="AL201" i="75"/>
  <c r="C198" i="75"/>
  <c r="C197" i="75"/>
  <c r="C195" i="75"/>
  <c r="C199" i="75"/>
  <c r="AP195" i="75"/>
  <c r="AP194" i="75"/>
  <c r="AP189" i="75"/>
  <c r="AL189" i="75"/>
  <c r="C179" i="75"/>
  <c r="W188" i="75"/>
  <c r="F188" i="75"/>
  <c r="AP180" i="75"/>
  <c r="AP179" i="75"/>
  <c r="AL179" i="75"/>
  <c r="C173" i="75"/>
  <c r="AP171" i="75"/>
  <c r="C165" i="75"/>
  <c r="AP165" i="75"/>
  <c r="AO161" i="75"/>
  <c r="AP160" i="75"/>
  <c r="AO160" i="75"/>
  <c r="C154" i="75"/>
  <c r="C152" i="75"/>
  <c r="AP152" i="75"/>
  <c r="C147" i="75"/>
  <c r="C143" i="75"/>
  <c r="AP144" i="75"/>
  <c r="AP143" i="75"/>
  <c r="AL143" i="75"/>
  <c r="C141" i="75"/>
  <c r="AP141" i="75"/>
  <c r="AP137" i="75"/>
  <c r="C137" i="75"/>
  <c r="C135" i="75"/>
  <c r="C131" i="75"/>
  <c r="C128" i="75"/>
  <c r="C127" i="75"/>
  <c r="C126" i="75"/>
  <c r="AP123" i="75"/>
  <c r="C120" i="75"/>
  <c r="C118" i="75"/>
  <c r="AL119" i="75"/>
  <c r="C125" i="75"/>
  <c r="C116" i="75"/>
  <c r="C115" i="75"/>
  <c r="AP113" i="75"/>
  <c r="AL113" i="75"/>
  <c r="C113" i="75"/>
  <c r="AO112" i="75"/>
  <c r="C111" i="75"/>
  <c r="AP109" i="75"/>
  <c r="C103" i="75"/>
  <c r="AP104" i="75"/>
  <c r="AO104" i="75"/>
  <c r="AP103" i="75"/>
  <c r="AP99" i="75"/>
  <c r="AL99" i="75"/>
  <c r="C98" i="75"/>
  <c r="C99" i="75"/>
  <c r="C94" i="75"/>
  <c r="C90" i="75"/>
  <c r="AP89" i="75"/>
  <c r="AO89" i="75"/>
  <c r="C89" i="75"/>
  <c r="AO88" i="75"/>
  <c r="AP87" i="75"/>
  <c r="AO87" i="75"/>
  <c r="C87" i="75"/>
  <c r="W85" i="75"/>
  <c r="F85" i="75"/>
  <c r="AP82" i="75"/>
  <c r="AO82" i="75"/>
  <c r="AP81" i="75"/>
  <c r="AO81" i="75"/>
  <c r="AO80" i="75"/>
  <c r="W78" i="75"/>
  <c r="F78" i="75"/>
  <c r="C78" i="75" s="1"/>
  <c r="W77" i="75"/>
  <c r="F77" i="75"/>
  <c r="C73" i="75"/>
  <c r="C76" i="75"/>
  <c r="C72" i="75"/>
  <c r="C70" i="75"/>
  <c r="AP67" i="75"/>
  <c r="AP66" i="75"/>
  <c r="C62" i="75"/>
  <c r="C58" i="75"/>
  <c r="C50" i="75"/>
  <c r="C42" i="75"/>
  <c r="C40" i="75"/>
  <c r="C38" i="75"/>
  <c r="C63" i="75"/>
  <c r="AP44" i="75"/>
  <c r="AO43" i="75"/>
  <c r="W47" i="75"/>
  <c r="F47" i="75"/>
  <c r="W46" i="75"/>
  <c r="F46" i="75"/>
  <c r="C46" i="75" s="1"/>
  <c r="W45" i="75"/>
  <c r="F45" i="75"/>
  <c r="W44" i="75"/>
  <c r="F44" i="75"/>
  <c r="C44" i="75" s="1"/>
  <c r="C35" i="75"/>
  <c r="AO30" i="75"/>
  <c r="AO29" i="75"/>
  <c r="AP25" i="75"/>
  <c r="C24" i="75"/>
  <c r="AO23" i="75"/>
  <c r="C21" i="75"/>
  <c r="AP15" i="75"/>
  <c r="C15" i="75"/>
  <c r="AP13" i="75"/>
  <c r="AO13" i="75"/>
  <c r="AO12" i="75"/>
  <c r="W10" i="75"/>
  <c r="F10" i="75"/>
  <c r="C11" i="75"/>
  <c r="C9" i="75"/>
  <c r="C7" i="75"/>
  <c r="AL2" i="75"/>
  <c r="C4" i="75"/>
  <c r="AI10" i="34"/>
  <c r="AK10" i="34"/>
  <c r="AK52" i="74"/>
  <c r="AI52" i="74"/>
  <c r="P52" i="74"/>
  <c r="AK51" i="74"/>
  <c r="AI51" i="74"/>
  <c r="X51" i="74" a="1"/>
  <c r="H725" i="33" l="1"/>
  <c r="H733" i="33"/>
  <c r="H735" i="33"/>
  <c r="H724" i="33"/>
  <c r="H723" i="33"/>
  <c r="H736" i="33"/>
  <c r="H726" i="33"/>
  <c r="H728" i="33"/>
  <c r="H732" i="33"/>
  <c r="H731" i="33"/>
  <c r="H729" i="33"/>
  <c r="H730" i="33"/>
  <c r="H727" i="33"/>
  <c r="H734" i="33"/>
  <c r="H722" i="33"/>
  <c r="C692" i="33"/>
  <c r="C762" i="33"/>
  <c r="AL762" i="33"/>
  <c r="AP105" i="75"/>
  <c r="C170" i="75"/>
  <c r="AL180" i="75"/>
  <c r="AL194" i="75"/>
  <c r="AP201" i="75"/>
  <c r="C235" i="75"/>
  <c r="AP242" i="75"/>
  <c r="AP260" i="75"/>
  <c r="C274" i="75"/>
  <c r="AP279" i="75"/>
  <c r="C289" i="75"/>
  <c r="AL319" i="75"/>
  <c r="AP328" i="75"/>
  <c r="C355" i="75"/>
  <c r="C372" i="75"/>
  <c r="C406" i="75"/>
  <c r="H104" i="75"/>
  <c r="AP762" i="33"/>
  <c r="C201" i="75"/>
  <c r="AJ201" i="75" s="1"/>
  <c r="C211" i="75"/>
  <c r="C224" i="75"/>
  <c r="AP284" i="75"/>
  <c r="C285" i="75"/>
  <c r="C294" i="75"/>
  <c r="C336" i="75"/>
  <c r="AP377" i="75"/>
  <c r="C391" i="75"/>
  <c r="C400" i="75"/>
  <c r="C409" i="75"/>
  <c r="AL443" i="75"/>
  <c r="H101" i="75"/>
  <c r="H107" i="75"/>
  <c r="C27" i="75"/>
  <c r="C20" i="75"/>
  <c r="C83" i="75"/>
  <c r="C122" i="75"/>
  <c r="C159" i="75"/>
  <c r="AP176" i="75"/>
  <c r="AP197" i="75"/>
  <c r="AP211" i="75"/>
  <c r="AP245" i="75"/>
  <c r="AL299" i="75"/>
  <c r="C345" i="75"/>
  <c r="AP444" i="75"/>
  <c r="H109" i="75"/>
  <c r="C10" i="75"/>
  <c r="AL20" i="75"/>
  <c r="C68" i="75"/>
  <c r="AP120" i="75"/>
  <c r="AP163" i="75"/>
  <c r="AL220" i="75"/>
  <c r="C257" i="75"/>
  <c r="AK257" i="75" s="1"/>
  <c r="C261" i="75"/>
  <c r="AL285" i="75"/>
  <c r="AP299" i="75"/>
  <c r="AP306" i="75"/>
  <c r="AP336" i="75"/>
  <c r="AP374" i="75"/>
  <c r="C426" i="75"/>
  <c r="AP50" i="75"/>
  <c r="AP51" i="75"/>
  <c r="AP220" i="75"/>
  <c r="AP20" i="75"/>
  <c r="AP135" i="75"/>
  <c r="C148" i="75"/>
  <c r="C155" i="75"/>
  <c r="C176" i="75"/>
  <c r="C184" i="75"/>
  <c r="AP257" i="75"/>
  <c r="AP285" i="75"/>
  <c r="C306" i="75"/>
  <c r="AP397" i="75"/>
  <c r="H106" i="75"/>
  <c r="H111" i="75"/>
  <c r="AP2" i="75"/>
  <c r="AP42" i="75"/>
  <c r="C114" i="75"/>
  <c r="C163" i="75"/>
  <c r="C167" i="75"/>
  <c r="AP294" i="75"/>
  <c r="AP319" i="75"/>
  <c r="C328" i="75"/>
  <c r="AP341" i="75"/>
  <c r="C368" i="75"/>
  <c r="AP382" i="75"/>
  <c r="C389" i="75"/>
  <c r="H99" i="75"/>
  <c r="H103" i="75"/>
  <c r="AP11" i="75"/>
  <c r="AP59" i="75"/>
  <c r="AP71" i="75"/>
  <c r="AP119" i="75"/>
  <c r="AP169" i="75"/>
  <c r="C291" i="75"/>
  <c r="AL318" i="75"/>
  <c r="AP376" i="75"/>
  <c r="AL386" i="75"/>
  <c r="C47" i="75"/>
  <c r="AK42" i="75" s="1"/>
  <c r="AP47" i="75"/>
  <c r="C112" i="75"/>
  <c r="C158" i="75"/>
  <c r="C190" i="75"/>
  <c r="AP302" i="75"/>
  <c r="AP77" i="75"/>
  <c r="C82" i="75"/>
  <c r="AK82" i="75" s="1"/>
  <c r="AT191" i="75"/>
  <c r="AP291" i="75"/>
  <c r="AP359" i="75"/>
  <c r="AP367" i="75"/>
  <c r="C164" i="75"/>
  <c r="C273" i="75"/>
  <c r="C297" i="75"/>
  <c r="C344" i="75"/>
  <c r="C304" i="75"/>
  <c r="C81" i="75"/>
  <c r="AP49" i="75"/>
  <c r="AL200" i="75"/>
  <c r="C316" i="75"/>
  <c r="AP17" i="75"/>
  <c r="AP26" i="75"/>
  <c r="AP117" i="75"/>
  <c r="AP183" i="75"/>
  <c r="AP210" i="75"/>
  <c r="C223" i="75"/>
  <c r="C232" i="75"/>
  <c r="AP315" i="75"/>
  <c r="C309" i="75"/>
  <c r="C236" i="75"/>
  <c r="AP263" i="75"/>
  <c r="AL311" i="75"/>
  <c r="AL172" i="75"/>
  <c r="AP199" i="75"/>
  <c r="AP234" i="75"/>
  <c r="C5" i="75"/>
  <c r="AP63" i="75"/>
  <c r="C101" i="75"/>
  <c r="C331" i="75"/>
  <c r="C378" i="75"/>
  <c r="C393" i="75"/>
  <c r="C457" i="75"/>
  <c r="C13" i="75"/>
  <c r="AP75" i="75"/>
  <c r="AL77" i="75"/>
  <c r="AL85" i="75"/>
  <c r="AP96" i="75"/>
  <c r="C100" i="75"/>
  <c r="C109" i="75"/>
  <c r="C130" i="75"/>
  <c r="C142" i="75"/>
  <c r="AP146" i="75"/>
  <c r="AP162" i="75"/>
  <c r="C222" i="75"/>
  <c r="AK222" i="75" s="1"/>
  <c r="AP237" i="75"/>
  <c r="AL270" i="75"/>
  <c r="AP278" i="75"/>
  <c r="C278" i="75"/>
  <c r="AP300" i="75"/>
  <c r="C311" i="75"/>
  <c r="AJ311" i="75" s="1"/>
  <c r="AL330" i="75"/>
  <c r="C381" i="75"/>
  <c r="AP387" i="75"/>
  <c r="AL353" i="75"/>
  <c r="AP3" i="75"/>
  <c r="AP21" i="75"/>
  <c r="AL92" i="75"/>
  <c r="AP353" i="75"/>
  <c r="AL93" i="75"/>
  <c r="AP449" i="75"/>
  <c r="AL381" i="75"/>
  <c r="C3" i="75"/>
  <c r="AP23" i="75"/>
  <c r="C29" i="75"/>
  <c r="AP39" i="75"/>
  <c r="C49" i="75"/>
  <c r="AP92" i="75"/>
  <c r="AP172" i="75"/>
  <c r="C181" i="75"/>
  <c r="C203" i="75"/>
  <c r="AK203" i="75" s="1"/>
  <c r="C226" i="75"/>
  <c r="C237" i="75"/>
  <c r="C287" i="75"/>
  <c r="AP313" i="75"/>
  <c r="AP378" i="75"/>
  <c r="AP403" i="75"/>
  <c r="C419" i="75"/>
  <c r="C449" i="75"/>
  <c r="AP459" i="75"/>
  <c r="C187" i="75"/>
  <c r="AP134" i="75"/>
  <c r="AP157" i="75"/>
  <c r="C171" i="75"/>
  <c r="C48" i="75"/>
  <c r="AP61" i="75"/>
  <c r="AP69" i="75"/>
  <c r="C246" i="75"/>
  <c r="AL313" i="75"/>
  <c r="AP450" i="75"/>
  <c r="C12" i="75"/>
  <c r="AP187" i="75"/>
  <c r="C254" i="75"/>
  <c r="C334" i="75"/>
  <c r="AP385" i="75"/>
  <c r="AP29" i="75"/>
  <c r="AP43" i="75"/>
  <c r="AP55" i="75"/>
  <c r="AP79" i="75"/>
  <c r="AL100" i="75"/>
  <c r="AP107" i="75"/>
  <c r="AL188" i="75"/>
  <c r="C233" i="75"/>
  <c r="AP246" i="75"/>
  <c r="C263" i="75"/>
  <c r="C277" i="75"/>
  <c r="AP280" i="75"/>
  <c r="AP369" i="75"/>
  <c r="C402" i="75"/>
  <c r="AP434" i="75"/>
  <c r="AP425" i="75"/>
  <c r="AP28" i="75"/>
  <c r="C121" i="75"/>
  <c r="C162" i="75"/>
  <c r="AP185" i="75"/>
  <c r="AP203" i="75"/>
  <c r="C330" i="75"/>
  <c r="C92" i="75"/>
  <c r="C172" i="75"/>
  <c r="AJ172" i="75" s="1"/>
  <c r="AP222" i="75"/>
  <c r="AP236" i="75"/>
  <c r="C247" i="75"/>
  <c r="AL280" i="75"/>
  <c r="AP309" i="75"/>
  <c r="AP410" i="75"/>
  <c r="AJ2" i="75"/>
  <c r="AP8" i="75"/>
  <c r="AP12" i="75"/>
  <c r="C19" i="75"/>
  <c r="AJ20" i="75" s="1"/>
  <c r="C61" i="75"/>
  <c r="AP48" i="75"/>
  <c r="AP58" i="75"/>
  <c r="AP100" i="75"/>
  <c r="C107" i="75"/>
  <c r="AK171" i="75"/>
  <c r="C134" i="75"/>
  <c r="AP154" i="75"/>
  <c r="C186" i="75"/>
  <c r="C196" i="75"/>
  <c r="C208" i="75"/>
  <c r="AP225" i="75"/>
  <c r="AP231" i="75"/>
  <c r="AL237" i="75"/>
  <c r="C250" i="75"/>
  <c r="C295" i="75"/>
  <c r="AP310" i="75"/>
  <c r="C337" i="75"/>
  <c r="C343" i="75"/>
  <c r="C354" i="75"/>
  <c r="AL392" i="75"/>
  <c r="C410" i="75"/>
  <c r="AK410" i="75" s="1"/>
  <c r="AP429" i="75"/>
  <c r="AL422" i="75"/>
  <c r="AL416" i="75"/>
  <c r="AK406" i="75"/>
  <c r="AL132" i="75"/>
  <c r="C45" i="75"/>
  <c r="AP45" i="75"/>
  <c r="AP57" i="75"/>
  <c r="AK73" i="75"/>
  <c r="AP85" i="75"/>
  <c r="C129" i="75"/>
  <c r="AL157" i="75"/>
  <c r="C169" i="75"/>
  <c r="C183" i="75"/>
  <c r="AP213" i="75"/>
  <c r="AL238" i="75"/>
  <c r="C259" i="75"/>
  <c r="AL263" i="75"/>
  <c r="C342" i="75"/>
  <c r="AP426" i="75"/>
  <c r="C447" i="75"/>
  <c r="AK167" i="75" s="1"/>
  <c r="AP363" i="75"/>
  <c r="AP408" i="75"/>
  <c r="AL430" i="75"/>
  <c r="AP457" i="75"/>
  <c r="AK335" i="75"/>
  <c r="AP131" i="75"/>
  <c r="C138" i="75"/>
  <c r="AP192" i="75"/>
  <c r="AP221" i="75"/>
  <c r="AP247" i="75"/>
  <c r="AP264" i="75"/>
  <c r="AL287" i="75"/>
  <c r="C292" i="75"/>
  <c r="AP335" i="75"/>
  <c r="AP368" i="75"/>
  <c r="C376" i="75"/>
  <c r="AJ376" i="75" s="1"/>
  <c r="AL432" i="75"/>
  <c r="C191" i="75"/>
  <c r="C276" i="75"/>
  <c r="C302" i="75"/>
  <c r="AP332" i="75"/>
  <c r="AK336" i="75"/>
  <c r="AL405" i="75"/>
  <c r="C415" i="75"/>
  <c r="AP451" i="75"/>
  <c r="C455" i="75"/>
  <c r="AK455" i="75" s="1"/>
  <c r="AP35" i="75"/>
  <c r="AP9" i="75"/>
  <c r="AP18" i="75"/>
  <c r="AP41" i="75"/>
  <c r="AK61" i="75"/>
  <c r="AP80" i="75"/>
  <c r="AL103" i="75"/>
  <c r="C144" i="75"/>
  <c r="C153" i="75"/>
  <c r="C216" i="75"/>
  <c r="AP254" i="75"/>
  <c r="AP274" i="75"/>
  <c r="AL329" i="75"/>
  <c r="AP379" i="75"/>
  <c r="AP389" i="75"/>
  <c r="AL412" i="75"/>
  <c r="AP419" i="75"/>
  <c r="AK433" i="75"/>
  <c r="AK452" i="75"/>
  <c r="AP420" i="75"/>
  <c r="C430" i="75"/>
  <c r="C437" i="75"/>
  <c r="AK447" i="75"/>
  <c r="AK199" i="75"/>
  <c r="AL195" i="75"/>
  <c r="C244" i="75"/>
  <c r="AJ301" i="75"/>
  <c r="AP266" i="75"/>
  <c r="C329" i="75"/>
  <c r="AJ329" i="75" s="1"/>
  <c r="AL331" i="75"/>
  <c r="AP354" i="75"/>
  <c r="AP370" i="75"/>
  <c r="AP423" i="75"/>
  <c r="AP435" i="75"/>
  <c r="AP456" i="75"/>
  <c r="AL168" i="75"/>
  <c r="AK260" i="75"/>
  <c r="AL19" i="75"/>
  <c r="AP19" i="75"/>
  <c r="AL18" i="75"/>
  <c r="AK15" i="75"/>
  <c r="AK89" i="75"/>
  <c r="AK44" i="75"/>
  <c r="AP93" i="75"/>
  <c r="AJ173" i="75"/>
  <c r="AK154" i="75"/>
  <c r="AP116" i="75"/>
  <c r="AK210" i="75"/>
  <c r="AP240" i="75"/>
  <c r="AK296" i="75"/>
  <c r="AL8" i="75"/>
  <c r="AP214" i="75"/>
  <c r="AK327" i="75"/>
  <c r="C411" i="75"/>
  <c r="AK63" i="75" s="1"/>
  <c r="AK328" i="75"/>
  <c r="AK40" i="75"/>
  <c r="AK163" i="75"/>
  <c r="C88" i="75"/>
  <c r="AP74" i="75"/>
  <c r="AK177" i="75"/>
  <c r="AK211" i="75"/>
  <c r="AK7" i="75"/>
  <c r="AK129" i="75"/>
  <c r="AP177" i="75"/>
  <c r="C180" i="75"/>
  <c r="AK184" i="75" s="1"/>
  <c r="C189" i="75"/>
  <c r="AP229" i="75"/>
  <c r="AP64" i="75"/>
  <c r="AK87" i="75"/>
  <c r="AP132" i="75"/>
  <c r="AL17" i="75"/>
  <c r="C39" i="75"/>
  <c r="AP140" i="75"/>
  <c r="AP161" i="75"/>
  <c r="C182" i="75"/>
  <c r="AP193" i="75"/>
  <c r="AK221" i="75"/>
  <c r="AP235" i="75"/>
  <c r="AK244" i="75"/>
  <c r="AK21" i="75"/>
  <c r="AK54" i="75"/>
  <c r="AK141" i="75"/>
  <c r="AK242" i="75"/>
  <c r="AK271" i="75"/>
  <c r="AP32" i="75"/>
  <c r="AK115" i="75"/>
  <c r="AP124" i="75"/>
  <c r="AJ237" i="75"/>
  <c r="C6" i="75"/>
  <c r="AK6" i="75" s="1"/>
  <c r="AL14" i="75"/>
  <c r="AP22" i="75"/>
  <c r="C30" i="75"/>
  <c r="AP46" i="75"/>
  <c r="C71" i="75"/>
  <c r="AP78" i="75"/>
  <c r="AP86" i="75"/>
  <c r="C95" i="75"/>
  <c r="AJ94" i="75" s="1"/>
  <c r="C110" i="75"/>
  <c r="H110" i="75"/>
  <c r="C117" i="75"/>
  <c r="H117" i="75"/>
  <c r="AP126" i="75"/>
  <c r="H124" i="75"/>
  <c r="C136" i="75"/>
  <c r="AJ190" i="75" s="1"/>
  <c r="H136" i="75"/>
  <c r="AL142" i="75"/>
  <c r="H140" i="75"/>
  <c r="AP150" i="75"/>
  <c r="AP166" i="75"/>
  <c r="H166" i="75"/>
  <c r="AP182" i="75"/>
  <c r="H188" i="75"/>
  <c r="AP198" i="75"/>
  <c r="H200" i="75"/>
  <c r="AP206" i="75"/>
  <c r="AP90" i="75"/>
  <c r="AL95" i="75"/>
  <c r="AK127" i="75"/>
  <c r="AK137" i="75"/>
  <c r="AK187" i="75"/>
  <c r="H213" i="75"/>
  <c r="AP261" i="75"/>
  <c r="AP287" i="75"/>
  <c r="H242" i="75"/>
  <c r="C239" i="75"/>
  <c r="AK256" i="75" s="1"/>
  <c r="H239" i="75"/>
  <c r="AP295" i="75"/>
  <c r="C265" i="75"/>
  <c r="H265" i="75"/>
  <c r="AL312" i="75"/>
  <c r="H279" i="75"/>
  <c r="AP312" i="75"/>
  <c r="C279" i="75"/>
  <c r="AJ143" i="75" s="1"/>
  <c r="AP40" i="75"/>
  <c r="AJ117" i="75"/>
  <c r="AL269" i="75"/>
  <c r="H221" i="75"/>
  <c r="H230" i="75"/>
  <c r="AP277" i="75"/>
  <c r="H243" i="75"/>
  <c r="AP288" i="75"/>
  <c r="AP296" i="75"/>
  <c r="H251" i="75"/>
  <c r="C266" i="75"/>
  <c r="H266" i="75"/>
  <c r="C275" i="75"/>
  <c r="H275" i="75"/>
  <c r="C282" i="75"/>
  <c r="H282" i="75"/>
  <c r="H290" i="75"/>
  <c r="C290" i="75"/>
  <c r="AK289" i="75" s="1"/>
  <c r="AK345" i="75"/>
  <c r="AJ355" i="75"/>
  <c r="C375" i="75"/>
  <c r="AP384" i="75"/>
  <c r="AP393" i="75"/>
  <c r="C397" i="75"/>
  <c r="AK400" i="75" s="1"/>
  <c r="AJ415" i="75"/>
  <c r="AP430" i="75"/>
  <c r="C436" i="75"/>
  <c r="C443" i="75"/>
  <c r="AJ278" i="75"/>
  <c r="AJ292" i="75"/>
  <c r="C299" i="75"/>
  <c r="AK304" i="75" s="1"/>
  <c r="C312" i="75"/>
  <c r="C346" i="75"/>
  <c r="AP355" i="75"/>
  <c r="C364" i="75"/>
  <c r="AK369" i="75" s="1"/>
  <c r="AL377" i="75"/>
  <c r="AL385" i="75"/>
  <c r="AL393" i="75"/>
  <c r="C398" i="75"/>
  <c r="AP415" i="75"/>
  <c r="AP448" i="75"/>
  <c r="H308" i="75"/>
  <c r="H340" i="75"/>
  <c r="H358" i="75"/>
  <c r="H382" i="75"/>
  <c r="H414" i="75"/>
  <c r="H433" i="75"/>
  <c r="H453" i="75"/>
  <c r="H301" i="75"/>
  <c r="H317" i="75"/>
  <c r="H324" i="75"/>
  <c r="H333" i="75"/>
  <c r="H350" i="75"/>
  <c r="H395" i="75"/>
  <c r="H398" i="75"/>
  <c r="H407" i="75"/>
  <c r="H454" i="75"/>
  <c r="AK284" i="75"/>
  <c r="AK316" i="75"/>
  <c r="AP337" i="75"/>
  <c r="C358" i="75"/>
  <c r="AK371" i="75" s="1"/>
  <c r="AP416" i="75"/>
  <c r="AK303" i="75"/>
  <c r="C308" i="75"/>
  <c r="AK388" i="75"/>
  <c r="AP392" i="75"/>
  <c r="AK291" i="75"/>
  <c r="AK295" i="75"/>
  <c r="AK373" i="75"/>
  <c r="C77" i="75"/>
  <c r="AK78" i="75" s="1"/>
  <c r="C74" i="75"/>
  <c r="AK333" i="75" s="1"/>
  <c r="C80" i="75"/>
  <c r="AK80" i="75" s="1"/>
  <c r="C85" i="75"/>
  <c r="AP88" i="75"/>
  <c r="AP112" i="75"/>
  <c r="AL134" i="75"/>
  <c r="C166" i="75"/>
  <c r="AJ166" i="75" s="1"/>
  <c r="AP190" i="75"/>
  <c r="AP6" i="75"/>
  <c r="C22" i="75"/>
  <c r="C55" i="75"/>
  <c r="AJ38" i="75" s="1"/>
  <c r="AP72" i="75"/>
  <c r="C149" i="75"/>
  <c r="AK170" i="75" s="1"/>
  <c r="AL166" i="75"/>
  <c r="C188" i="75"/>
  <c r="AJ381" i="75" s="1"/>
  <c r="C156" i="75"/>
  <c r="AK158" i="75" s="1"/>
  <c r="AL190" i="75"/>
  <c r="C14" i="75"/>
  <c r="C51" i="75"/>
  <c r="AP14" i="75"/>
  <c r="AL22" i="75"/>
  <c r="AP56" i="75"/>
  <c r="C65" i="75"/>
  <c r="AL174" i="75"/>
  <c r="C108" i="75"/>
  <c r="C64" i="75"/>
  <c r="AK46" i="75" s="1"/>
  <c r="AP7" i="75"/>
  <c r="AL10" i="75"/>
  <c r="AP4" i="75"/>
  <c r="C8" i="75"/>
  <c r="AJ8" i="75" s="1"/>
  <c r="AP10" i="75"/>
  <c r="AL16" i="75"/>
  <c r="C17" i="75"/>
  <c r="C34" i="75"/>
  <c r="AL33" i="75"/>
  <c r="AP34" i="75"/>
  <c r="AL36" i="75"/>
  <c r="AL38" i="75"/>
  <c r="C52" i="75"/>
  <c r="AP62" i="75"/>
  <c r="AP122" i="75"/>
  <c r="AP125" i="75"/>
  <c r="C123" i="75"/>
  <c r="AP16" i="75"/>
  <c r="AL35" i="75"/>
  <c r="C36" i="75"/>
  <c r="AP36" i="75"/>
  <c r="AP38" i="75"/>
  <c r="AP60" i="75"/>
  <c r="C56" i="75"/>
  <c r="AJ179" i="75" s="1"/>
  <c r="AP111" i="75"/>
  <c r="AP115" i="75"/>
  <c r="AP133" i="75"/>
  <c r="AL133" i="75"/>
  <c r="C16" i="75"/>
  <c r="AJ17" i="75" s="1"/>
  <c r="C26" i="75"/>
  <c r="AK26" i="75" s="1"/>
  <c r="AP31" i="75"/>
  <c r="C37" i="75"/>
  <c r="AK37" i="75" s="1"/>
  <c r="AP37" i="75"/>
  <c r="C66" i="75"/>
  <c r="AP91" i="75"/>
  <c r="C91" i="75"/>
  <c r="AK91" i="75" s="1"/>
  <c r="AP118" i="75"/>
  <c r="AL118" i="75"/>
  <c r="C139" i="75"/>
  <c r="AK139" i="75" s="1"/>
  <c r="AP139" i="75"/>
  <c r="AP24" i="75"/>
  <c r="C23" i="75"/>
  <c r="AK24" i="75" s="1"/>
  <c r="C28" i="75"/>
  <c r="AJ28" i="75" s="1"/>
  <c r="AL28" i="75"/>
  <c r="AP33" i="75"/>
  <c r="AP68" i="75"/>
  <c r="C69" i="75"/>
  <c r="AP76" i="75"/>
  <c r="C75" i="75"/>
  <c r="AP94" i="75"/>
  <c r="AL94" i="75"/>
  <c r="AP106" i="75"/>
  <c r="C104" i="75"/>
  <c r="C18" i="75"/>
  <c r="C25" i="75"/>
  <c r="C33" i="75"/>
  <c r="AP73" i="75"/>
  <c r="AP102" i="75"/>
  <c r="C102" i="75"/>
  <c r="AK344" i="75" s="1"/>
  <c r="AP54" i="75"/>
  <c r="AP84" i="75"/>
  <c r="C84" i="75"/>
  <c r="AL98" i="75"/>
  <c r="C97" i="75"/>
  <c r="AK71" i="75" s="1"/>
  <c r="AP98" i="75"/>
  <c r="AP130" i="75"/>
  <c r="C31" i="75"/>
  <c r="AL34" i="75"/>
  <c r="AP52" i="75"/>
  <c r="C43" i="75"/>
  <c r="C59" i="75"/>
  <c r="AK197" i="75" s="1"/>
  <c r="C119" i="75"/>
  <c r="AK122" i="75" s="1"/>
  <c r="C79" i="75"/>
  <c r="AK121" i="75" s="1"/>
  <c r="C86" i="75"/>
  <c r="C93" i="75"/>
  <c r="AJ92" i="75" s="1"/>
  <c r="C96" i="75"/>
  <c r="C106" i="75"/>
  <c r="C105" i="75"/>
  <c r="AJ99" i="75" s="1"/>
  <c r="C132" i="75"/>
  <c r="C124" i="75"/>
  <c r="AK126" i="75" s="1"/>
  <c r="C133" i="75"/>
  <c r="AK135" i="75" s="1"/>
  <c r="AP142" i="75"/>
  <c r="AP148" i="75"/>
  <c r="C151" i="75"/>
  <c r="AK152" i="75" s="1"/>
  <c r="AP156" i="75"/>
  <c r="AL159" i="75"/>
  <c r="AL164" i="75"/>
  <c r="C168" i="75"/>
  <c r="AP174" i="75"/>
  <c r="C178" i="75"/>
  <c r="AK176" i="75" s="1"/>
  <c r="AL178" i="75"/>
  <c r="AP184" i="75"/>
  <c r="AP186" i="75"/>
  <c r="C194" i="75"/>
  <c r="AJ194" i="75" s="1"/>
  <c r="C204" i="75"/>
  <c r="AL214" i="75"/>
  <c r="C214" i="75"/>
  <c r="AJ214" i="75" s="1"/>
  <c r="AP217" i="75"/>
  <c r="C215" i="75"/>
  <c r="C41" i="75"/>
  <c r="C53" i="75"/>
  <c r="AK58" i="75" s="1"/>
  <c r="C67" i="75"/>
  <c r="AP70" i="75"/>
  <c r="C57" i="75"/>
  <c r="AL97" i="75"/>
  <c r="AL101" i="75"/>
  <c r="AP108" i="75"/>
  <c r="AP127" i="75"/>
  <c r="AP136" i="75"/>
  <c r="AP145" i="75"/>
  <c r="AP153" i="75"/>
  <c r="AP159" i="75"/>
  <c r="AP164" i="75"/>
  <c r="AP167" i="75"/>
  <c r="AP170" i="75"/>
  <c r="AL173" i="75"/>
  <c r="AP178" i="75"/>
  <c r="AP181" i="75"/>
  <c r="C206" i="75"/>
  <c r="AP97" i="75"/>
  <c r="AP101" i="75"/>
  <c r="AP173" i="75"/>
  <c r="C193" i="75"/>
  <c r="AP208" i="75"/>
  <c r="AP218" i="75"/>
  <c r="C225" i="75"/>
  <c r="AK225" i="75" s="1"/>
  <c r="AP228" i="75"/>
  <c r="C258" i="75"/>
  <c r="AP241" i="75"/>
  <c r="AP110" i="75"/>
  <c r="AP114" i="75"/>
  <c r="AP121" i="75"/>
  <c r="AP129" i="75"/>
  <c r="AP138" i="75"/>
  <c r="C140" i="75"/>
  <c r="AK277" i="75" s="1"/>
  <c r="AL144" i="75"/>
  <c r="AP147" i="75"/>
  <c r="C150" i="75"/>
  <c r="AP155" i="75"/>
  <c r="AP158" i="75"/>
  <c r="C174" i="75"/>
  <c r="AJ174" i="75" s="1"/>
  <c r="AP191" i="75"/>
  <c r="AP196" i="75"/>
  <c r="AL196" i="75"/>
  <c r="C200" i="75"/>
  <c r="AJ200" i="75" s="1"/>
  <c r="C207" i="75"/>
  <c r="AK209" i="75" s="1"/>
  <c r="AL218" i="75"/>
  <c r="AP232" i="75"/>
  <c r="C229" i="75"/>
  <c r="AK232" i="75" s="1"/>
  <c r="C146" i="75"/>
  <c r="AK148" i="75" s="1"/>
  <c r="C157" i="75"/>
  <c r="C160" i="75"/>
  <c r="C161" i="75"/>
  <c r="C175" i="75"/>
  <c r="AK230" i="75" s="1"/>
  <c r="C185" i="75"/>
  <c r="AP188" i="75"/>
  <c r="C202" i="75"/>
  <c r="AJ202" i="75" s="1"/>
  <c r="AP202" i="75"/>
  <c r="AP209" i="75"/>
  <c r="AS191" i="75"/>
  <c r="AP204" i="75"/>
  <c r="AL204" i="75"/>
  <c r="AP224" i="75"/>
  <c r="C220" i="75"/>
  <c r="AK224" i="75" s="1"/>
  <c r="AL186" i="75"/>
  <c r="C192" i="75"/>
  <c r="C231" i="75"/>
  <c r="AJ236" i="75" s="1"/>
  <c r="AL236" i="75"/>
  <c r="AP219" i="75"/>
  <c r="C241" i="75"/>
  <c r="C240" i="75"/>
  <c r="AK247" i="75" s="1"/>
  <c r="AP251" i="75"/>
  <c r="C249" i="75"/>
  <c r="AK249" i="75" s="1"/>
  <c r="AP259" i="75"/>
  <c r="AP262" i="75"/>
  <c r="C269" i="75"/>
  <c r="C268" i="75"/>
  <c r="AK32" i="75" s="1"/>
  <c r="AP276" i="75"/>
  <c r="AP283" i="75"/>
  <c r="AP286" i="75"/>
  <c r="AP293" i="75"/>
  <c r="AL300" i="75"/>
  <c r="AP307" i="75"/>
  <c r="C310" i="75"/>
  <c r="AK309" i="75" s="1"/>
  <c r="AP314" i="75"/>
  <c r="AP317" i="75"/>
  <c r="C322" i="75"/>
  <c r="AK324" i="75" s="1"/>
  <c r="AP325" i="75"/>
  <c r="AP327" i="75"/>
  <c r="AP330" i="75"/>
  <c r="C359" i="75"/>
  <c r="AP362" i="75"/>
  <c r="AP297" i="75"/>
  <c r="AL349" i="75"/>
  <c r="C349" i="75"/>
  <c r="C348" i="75"/>
  <c r="AJ348" i="75" s="1"/>
  <c r="AL261" i="75"/>
  <c r="AP268" i="75"/>
  <c r="AP282" i="75"/>
  <c r="AP289" i="75"/>
  <c r="AL292" i="75"/>
  <c r="AL306" i="75"/>
  <c r="AP333" i="75"/>
  <c r="C341" i="75"/>
  <c r="AL347" i="75"/>
  <c r="AP356" i="75"/>
  <c r="C353" i="75"/>
  <c r="AJ356" i="75" s="1"/>
  <c r="AK358" i="75"/>
  <c r="AJ358" i="75"/>
  <c r="C213" i="75"/>
  <c r="AJ213" i="75" s="1"/>
  <c r="C217" i="75"/>
  <c r="C219" i="75"/>
  <c r="AK13" i="75" s="1"/>
  <c r="C228" i="75"/>
  <c r="AK231" i="75" s="1"/>
  <c r="C238" i="75"/>
  <c r="C248" i="75"/>
  <c r="AK254" i="75" s="1"/>
  <c r="C267" i="75"/>
  <c r="C264" i="75"/>
  <c r="AP271" i="75"/>
  <c r="AP281" i="75"/>
  <c r="C288" i="75"/>
  <c r="AP303" i="75"/>
  <c r="AP316" i="75"/>
  <c r="C319" i="75"/>
  <c r="AP324" i="75"/>
  <c r="C332" i="75"/>
  <c r="AP339" i="75"/>
  <c r="AP343" i="75"/>
  <c r="C339" i="75"/>
  <c r="AK343" i="75" s="1"/>
  <c r="AP345" i="75"/>
  <c r="AP351" i="75"/>
  <c r="C245" i="75"/>
  <c r="C253" i="75"/>
  <c r="AK259" i="75" s="1"/>
  <c r="C270" i="75"/>
  <c r="AK276" i="75" s="1"/>
  <c r="C283" i="75"/>
  <c r="AK283" i="75" s="1"/>
  <c r="C281" i="75"/>
  <c r="C298" i="75"/>
  <c r="C313" i="75"/>
  <c r="AJ317" i="75" s="1"/>
  <c r="C326" i="75"/>
  <c r="AK320" i="75" s="1"/>
  <c r="C323" i="75"/>
  <c r="AP326" i="75"/>
  <c r="C325" i="75"/>
  <c r="AP349" i="75"/>
  <c r="C351" i="75"/>
  <c r="C352" i="75"/>
  <c r="AK354" i="75" s="1"/>
  <c r="C347" i="75"/>
  <c r="C360" i="75"/>
  <c r="C362" i="75"/>
  <c r="AL348" i="75"/>
  <c r="AL361" i="75"/>
  <c r="AL364" i="75"/>
  <c r="AL262" i="75"/>
  <c r="AP269" i="75"/>
  <c r="AL307" i="75"/>
  <c r="AL317" i="75"/>
  <c r="C318" i="75"/>
  <c r="AK322" i="75" s="1"/>
  <c r="AL350" i="75"/>
  <c r="AP352" i="75"/>
  <c r="AP361" i="75"/>
  <c r="AP364" i="75"/>
  <c r="C365" i="75"/>
  <c r="C384" i="75"/>
  <c r="AK384" i="75" s="1"/>
  <c r="AP398" i="75"/>
  <c r="C399" i="75"/>
  <c r="AP409" i="75"/>
  <c r="AP412" i="75"/>
  <c r="AL415" i="75"/>
  <c r="C416" i="75"/>
  <c r="C418" i="75"/>
  <c r="AP422" i="75"/>
  <c r="AL424" i="75"/>
  <c r="C434" i="75"/>
  <c r="AP440" i="75"/>
  <c r="C445" i="75"/>
  <c r="C454" i="75"/>
  <c r="C350" i="75"/>
  <c r="AL365" i="75"/>
  <c r="AP365" i="75"/>
  <c r="AP372" i="75"/>
  <c r="C380" i="75"/>
  <c r="C386" i="75"/>
  <c r="C387" i="75"/>
  <c r="AK389" i="75" s="1"/>
  <c r="C392" i="75"/>
  <c r="AK396" i="75" s="1"/>
  <c r="AP400" i="75"/>
  <c r="C401" i="75"/>
  <c r="AK404" i="75" s="1"/>
  <c r="C405" i="75"/>
  <c r="AK407" i="75" s="1"/>
  <c r="AP411" i="75"/>
  <c r="AL414" i="75"/>
  <c r="C414" i="75"/>
  <c r="AJ416" i="75" s="1"/>
  <c r="AP418" i="75"/>
  <c r="AP421" i="75"/>
  <c r="C424" i="75"/>
  <c r="AJ424" i="75" s="1"/>
  <c r="AP424" i="75"/>
  <c r="AL427" i="75"/>
  <c r="AL428" i="75"/>
  <c r="C432" i="75"/>
  <c r="AJ432" i="75" s="1"/>
  <c r="AP443" i="75"/>
  <c r="C460" i="75"/>
  <c r="AK460" i="75" s="1"/>
  <c r="C448" i="75"/>
  <c r="AK451" i="75" s="1"/>
  <c r="C444" i="75"/>
  <c r="C458" i="75"/>
  <c r="C403" i="75"/>
  <c r="AJ412" i="75" s="1"/>
  <c r="AP414" i="75"/>
  <c r="C417" i="75"/>
  <c r="AK226" i="75" s="1"/>
  <c r="C420" i="75"/>
  <c r="C421" i="75"/>
  <c r="AP427" i="75"/>
  <c r="AL429" i="75"/>
  <c r="C431" i="75"/>
  <c r="AP439" i="75"/>
  <c r="AL442" i="75"/>
  <c r="C459" i="75"/>
  <c r="AK444" i="75" s="1"/>
  <c r="AP452" i="75"/>
  <c r="AP460" i="75"/>
  <c r="C367" i="75"/>
  <c r="AK367" i="75" s="1"/>
  <c r="C377" i="75"/>
  <c r="AK379" i="75" s="1"/>
  <c r="C383" i="75"/>
  <c r="AJ393" i="75" s="1"/>
  <c r="C390" i="75"/>
  <c r="AK390" i="75" s="1"/>
  <c r="AL417" i="75"/>
  <c r="AL420" i="75"/>
  <c r="C425" i="75"/>
  <c r="AP428" i="75"/>
  <c r="C428" i="75"/>
  <c r="C440" i="75"/>
  <c r="AP442" i="75"/>
  <c r="C450" i="75"/>
  <c r="AK453" i="75" s="1"/>
  <c r="C456" i="75"/>
  <c r="AK456" i="75" s="1"/>
  <c r="C363" i="75"/>
  <c r="AJ365" i="75" s="1"/>
  <c r="C429" i="75"/>
  <c r="AP433" i="75"/>
  <c r="C435" i="75"/>
  <c r="C446" i="75"/>
  <c r="X51" i="74"/>
  <c r="P51" i="74"/>
  <c r="H98" i="75" s="1"/>
  <c r="AK50" i="74"/>
  <c r="AI50" i="74"/>
  <c r="X50" i="74" a="1"/>
  <c r="AJ443" i="75" l="1"/>
  <c r="AJ405" i="75"/>
  <c r="AK326" i="75"/>
  <c r="AK449" i="75"/>
  <c r="AK241" i="75"/>
  <c r="AK454" i="75"/>
  <c r="H97" i="75"/>
  <c r="AJ350" i="75"/>
  <c r="AJ100" i="75"/>
  <c r="H102" i="75"/>
  <c r="H100" i="75"/>
  <c r="AK435" i="75"/>
  <c r="AJ180" i="75"/>
  <c r="AJ364" i="75"/>
  <c r="AK193" i="75"/>
  <c r="AJ353" i="75"/>
  <c r="AK25" i="75"/>
  <c r="AJ287" i="75"/>
  <c r="AJ392" i="75"/>
  <c r="AK383" i="75"/>
  <c r="AK266" i="75"/>
  <c r="AK69" i="75"/>
  <c r="AK56" i="75"/>
  <c r="AK86" i="75"/>
  <c r="AK273" i="75"/>
  <c r="AJ269" i="75"/>
  <c r="AK337" i="75"/>
  <c r="AJ318" i="75"/>
  <c r="AJ33" i="75"/>
  <c r="AK310" i="75"/>
  <c r="AJ168" i="75"/>
  <c r="AJ313" i="75"/>
  <c r="AK325" i="75"/>
  <c r="AK156" i="75"/>
  <c r="AK228" i="75"/>
  <c r="AK59" i="75"/>
  <c r="AK206" i="75"/>
  <c r="AK149" i="75"/>
  <c r="AJ189" i="75"/>
  <c r="AJ196" i="75"/>
  <c r="AJ347" i="75"/>
  <c r="AK448" i="75"/>
  <c r="AK185" i="75"/>
  <c r="AK239" i="75"/>
  <c r="AK450" i="75"/>
  <c r="AK258" i="75"/>
  <c r="AK459" i="75"/>
  <c r="AK437" i="75"/>
  <c r="AJ417" i="75"/>
  <c r="AJ219" i="75"/>
  <c r="AJ359" i="75"/>
  <c r="AJ425" i="75"/>
  <c r="AJ85" i="75"/>
  <c r="AJ133" i="75"/>
  <c r="AK265" i="75"/>
  <c r="AK229" i="75"/>
  <c r="AK421" i="75"/>
  <c r="AK146" i="75"/>
  <c r="AK458" i="75"/>
  <c r="AJ429" i="75"/>
  <c r="AJ422" i="75"/>
  <c r="AK413" i="75"/>
  <c r="AJ380" i="75"/>
  <c r="AK81" i="75"/>
  <c r="AJ312" i="75"/>
  <c r="AK302" i="75"/>
  <c r="AK401" i="75"/>
  <c r="AJ119" i="75"/>
  <c r="AK67" i="75"/>
  <c r="AK457" i="75"/>
  <c r="AK245" i="75"/>
  <c r="AK282" i="75"/>
  <c r="AJ428" i="75"/>
  <c r="AJ386" i="75"/>
  <c r="AJ330" i="75"/>
  <c r="AJ164" i="75"/>
  <c r="AJ279" i="75"/>
  <c r="AJ77" i="75"/>
  <c r="AK76" i="75"/>
  <c r="AK321" i="75"/>
  <c r="AK51" i="75"/>
  <c r="AK131" i="75"/>
  <c r="AJ10" i="75"/>
  <c r="AK418" i="75"/>
  <c r="AK255" i="75"/>
  <c r="AK274" i="75"/>
  <c r="AJ19" i="75"/>
  <c r="AK398" i="75"/>
  <c r="AK116" i="75"/>
  <c r="AK123" i="75"/>
  <c r="AK288" i="75"/>
  <c r="AK169" i="75"/>
  <c r="AK436" i="75"/>
  <c r="AK251" i="75"/>
  <c r="AK323" i="75"/>
  <c r="AK362" i="75"/>
  <c r="AJ205" i="75"/>
  <c r="AK23" i="75"/>
  <c r="AK68" i="75"/>
  <c r="AJ97" i="75"/>
  <c r="AJ14" i="75"/>
  <c r="AK281" i="75"/>
  <c r="AK108" i="75"/>
  <c r="AK105" i="75"/>
  <c r="AJ299" i="75"/>
  <c r="AK446" i="75"/>
  <c r="AJ188" i="75"/>
  <c r="AK66" i="75"/>
  <c r="AK84" i="75"/>
  <c r="AK233" i="75"/>
  <c r="AK9" i="75"/>
  <c r="AK160" i="75"/>
  <c r="AJ263" i="75"/>
  <c r="AK368" i="75"/>
  <c r="AK252" i="75"/>
  <c r="AJ300" i="75"/>
  <c r="AK342" i="75"/>
  <c r="AK250" i="75"/>
  <c r="AK227" i="75"/>
  <c r="AK183" i="75"/>
  <c r="AJ420" i="75"/>
  <c r="AK297" i="75"/>
  <c r="AK267" i="75"/>
  <c r="AK96" i="75"/>
  <c r="AJ441" i="75"/>
  <c r="AK79" i="75"/>
  <c r="AJ186" i="75"/>
  <c r="AK240" i="75"/>
  <c r="AK314" i="75"/>
  <c r="AK419" i="75"/>
  <c r="AK74" i="75"/>
  <c r="AJ34" i="75"/>
  <c r="AK70" i="75"/>
  <c r="AJ144" i="75"/>
  <c r="AJ195" i="75"/>
  <c r="AK57" i="75"/>
  <c r="AJ430" i="75"/>
  <c r="AK234" i="75"/>
  <c r="AK11" i="75"/>
  <c r="AK440" i="75"/>
  <c r="AJ35" i="75"/>
  <c r="AK64" i="75"/>
  <c r="AK4" i="75"/>
  <c r="AK403" i="75"/>
  <c r="AK30" i="75"/>
  <c r="AK138" i="75"/>
  <c r="AK370" i="75"/>
  <c r="AK102" i="75"/>
  <c r="AK49" i="75"/>
  <c r="AK243" i="75"/>
  <c r="AK48" i="75"/>
  <c r="AK41" i="75"/>
  <c r="AK198" i="75"/>
  <c r="AK90" i="75"/>
  <c r="AJ98" i="75"/>
  <c r="AJ157" i="75"/>
  <c r="AK445" i="75"/>
  <c r="AK438" i="75"/>
  <c r="AK275" i="75"/>
  <c r="AK125" i="75"/>
  <c r="AJ414" i="75"/>
  <c r="AK334" i="75"/>
  <c r="AK338" i="75"/>
  <c r="AK161" i="75"/>
  <c r="AJ132" i="75"/>
  <c r="AK112" i="75"/>
  <c r="AK5" i="75"/>
  <c r="AK290" i="75"/>
  <c r="AK111" i="75"/>
  <c r="AK145" i="75"/>
  <c r="AJ220" i="75"/>
  <c r="AJ394" i="75"/>
  <c r="AK75" i="75"/>
  <c r="AJ113" i="75"/>
  <c r="AJ377" i="75"/>
  <c r="AK53" i="75"/>
  <c r="AK391" i="75"/>
  <c r="AJ361" i="75"/>
  <c r="AK246" i="75"/>
  <c r="AJ285" i="75"/>
  <c r="AK357" i="75"/>
  <c r="AJ142" i="75"/>
  <c r="AK208" i="75"/>
  <c r="AK253" i="75"/>
  <c r="AK120" i="75"/>
  <c r="AK62" i="75"/>
  <c r="AJ18" i="75"/>
  <c r="AK104" i="75"/>
  <c r="AJ22" i="75"/>
  <c r="AK399" i="75"/>
  <c r="AJ280" i="75"/>
  <c r="AK397" i="75"/>
  <c r="AJ218" i="75"/>
  <c r="AJ118" i="75"/>
  <c r="AJ204" i="75"/>
  <c r="AK55" i="75"/>
  <c r="AK124" i="75"/>
  <c r="AK130" i="75"/>
  <c r="AK402" i="75"/>
  <c r="AK409" i="75"/>
  <c r="AJ385" i="75"/>
  <c r="AK387" i="75"/>
  <c r="AK395" i="75"/>
  <c r="AK192" i="75"/>
  <c r="AK47" i="75"/>
  <c r="AK107" i="75"/>
  <c r="AK165" i="75"/>
  <c r="AK52" i="75"/>
  <c r="AJ16" i="75"/>
  <c r="AJ95" i="75"/>
  <c r="AK72" i="75"/>
  <c r="AK140" i="75"/>
  <c r="AJ366" i="75"/>
  <c r="AJ442" i="75"/>
  <c r="AK363" i="75"/>
  <c r="AK27" i="75"/>
  <c r="AK114" i="75"/>
  <c r="AJ93" i="75"/>
  <c r="AK43" i="75"/>
  <c r="AK248" i="75"/>
  <c r="AK374" i="75"/>
  <c r="AJ293" i="75"/>
  <c r="AJ319" i="75"/>
  <c r="AK223" i="75"/>
  <c r="AJ103" i="75"/>
  <c r="AK162" i="75"/>
  <c r="AK106" i="75"/>
  <c r="AK346" i="75"/>
  <c r="AK341" i="75"/>
  <c r="AJ305" i="75"/>
  <c r="AJ357" i="75"/>
  <c r="AK110" i="75"/>
  <c r="AK136" i="75"/>
  <c r="AJ212" i="75"/>
  <c r="AK109" i="75"/>
  <c r="AK29" i="75"/>
  <c r="AK235" i="75"/>
  <c r="AK175" i="75"/>
  <c r="AK431" i="75"/>
  <c r="AK434" i="75"/>
  <c r="AJ286" i="75"/>
  <c r="AJ349" i="75"/>
  <c r="AK50" i="75"/>
  <c r="AK182" i="75"/>
  <c r="AK411" i="75"/>
  <c r="AK298" i="75"/>
  <c r="AK382" i="75"/>
  <c r="AK408" i="75"/>
  <c r="AJ331" i="75"/>
  <c r="AK39" i="75"/>
  <c r="AK45" i="75"/>
  <c r="AJ101" i="75"/>
  <c r="AJ270" i="75"/>
  <c r="AJ306" i="75"/>
  <c r="AJ159" i="75"/>
  <c r="AK215" i="75"/>
  <c r="AK216" i="75"/>
  <c r="AJ261" i="75"/>
  <c r="AK191" i="75"/>
  <c r="AK12" i="75"/>
  <c r="AK217" i="75"/>
  <c r="AJ262" i="75"/>
  <c r="AK31" i="75"/>
  <c r="AK439" i="75"/>
  <c r="AK372" i="75"/>
  <c r="AK378" i="75"/>
  <c r="AJ307" i="75"/>
  <c r="AK426" i="75"/>
  <c r="AJ375" i="75"/>
  <c r="AK315" i="75"/>
  <c r="AJ134" i="75"/>
  <c r="AJ268" i="75"/>
  <c r="AK181" i="75"/>
  <c r="AK60" i="75"/>
  <c r="AK128" i="75"/>
  <c r="AK339" i="75"/>
  <c r="AJ238" i="75"/>
  <c r="AJ178" i="75"/>
  <c r="AK151" i="75"/>
  <c r="AJ207" i="75"/>
  <c r="AK65" i="75"/>
  <c r="AK150" i="75"/>
  <c r="AJ427" i="75"/>
  <c r="AK340" i="75"/>
  <c r="AK360" i="75"/>
  <c r="AK332" i="75"/>
  <c r="AK155" i="75"/>
  <c r="AK264" i="75"/>
  <c r="AK272" i="75"/>
  <c r="AJ294" i="75"/>
  <c r="AK147" i="75"/>
  <c r="AK153" i="75"/>
  <c r="AK3" i="75"/>
  <c r="AJ36" i="75"/>
  <c r="AJ423" i="75"/>
  <c r="AK83" i="75"/>
  <c r="AK88" i="75"/>
  <c r="AK308" i="75"/>
  <c r="AK352" i="75"/>
  <c r="AJ352" i="75"/>
  <c r="AK351" i="75"/>
  <c r="AJ351" i="75"/>
  <c r="X50" i="74"/>
  <c r="P50" i="74"/>
  <c r="AK49" i="74"/>
  <c r="P49" i="74"/>
  <c r="AK48" i="74"/>
  <c r="P48" i="74"/>
  <c r="AK47" i="74"/>
  <c r="P47" i="74"/>
  <c r="AK46" i="74"/>
  <c r="AI46" i="74"/>
  <c r="X46" i="74" a="1"/>
  <c r="H82" i="75" l="1"/>
  <c r="H77" i="75"/>
  <c r="H78" i="75"/>
  <c r="H84" i="75"/>
  <c r="H83" i="75"/>
  <c r="H80" i="75"/>
  <c r="H81" i="75"/>
  <c r="H79" i="75"/>
  <c r="H92" i="75"/>
  <c r="H94" i="75"/>
  <c r="H95" i="75"/>
  <c r="H93" i="75"/>
  <c r="H96" i="75"/>
  <c r="H43" i="75"/>
  <c r="H72" i="75"/>
  <c r="H40" i="75"/>
  <c r="H67" i="75"/>
  <c r="H51" i="75"/>
  <c r="H56" i="75"/>
  <c r="H42" i="75"/>
  <c r="H52" i="75"/>
  <c r="H74" i="75"/>
  <c r="H69" i="75"/>
  <c r="H63" i="75"/>
  <c r="H68" i="75"/>
  <c r="H66" i="75"/>
  <c r="H50" i="75"/>
  <c r="H47" i="75"/>
  <c r="H75" i="75"/>
  <c r="H48" i="75"/>
  <c r="H54" i="75"/>
  <c r="H39" i="75"/>
  <c r="H76" i="75"/>
  <c r="H45" i="75"/>
  <c r="H59" i="75"/>
  <c r="H41" i="75"/>
  <c r="H58" i="75"/>
  <c r="H55" i="75"/>
  <c r="H44" i="75"/>
  <c r="H64" i="75"/>
  <c r="H71" i="75"/>
  <c r="H53" i="75"/>
  <c r="H70" i="75"/>
  <c r="H49" i="75"/>
  <c r="H38" i="75"/>
  <c r="H65" i="75"/>
  <c r="H57" i="75"/>
  <c r="H61" i="75"/>
  <c r="H73" i="75"/>
  <c r="H62" i="75"/>
  <c r="H46" i="75"/>
  <c r="H60" i="75"/>
  <c r="H90" i="75"/>
  <c r="H87" i="75"/>
  <c r="H88" i="75"/>
  <c r="H85" i="75"/>
  <c r="H91" i="75"/>
  <c r="H89" i="75"/>
  <c r="H86" i="75"/>
  <c r="X46" i="74"/>
  <c r="P46" i="74"/>
  <c r="AK45" i="74"/>
  <c r="X45" i="74" a="1"/>
  <c r="H34" i="75" l="1"/>
  <c r="H37" i="75"/>
  <c r="H33" i="75"/>
  <c r="H36" i="75"/>
  <c r="H35" i="75"/>
  <c r="X45" i="74"/>
  <c r="P45" i="74"/>
  <c r="AK44" i="74"/>
  <c r="P44" i="74"/>
  <c r="AK43" i="74"/>
  <c r="AI43" i="74"/>
  <c r="X43" i="74" a="1"/>
  <c r="H29" i="75" l="1"/>
  <c r="H30" i="75"/>
  <c r="H31" i="75"/>
  <c r="H28" i="75"/>
  <c r="H32" i="75"/>
  <c r="H23" i="75"/>
  <c r="H27" i="75"/>
  <c r="H22" i="75"/>
  <c r="H26" i="75"/>
  <c r="H25" i="75"/>
  <c r="H24" i="75"/>
  <c r="X43" i="74"/>
  <c r="P43" i="74"/>
  <c r="AK42" i="74"/>
  <c r="P42" i="74"/>
  <c r="AK41" i="74"/>
  <c r="P41" i="74"/>
  <c r="AK38" i="74"/>
  <c r="P38" i="74"/>
  <c r="AK37" i="74"/>
  <c r="P37" i="74"/>
  <c r="AK36" i="74"/>
  <c r="AI36" i="74"/>
  <c r="P36" i="74"/>
  <c r="AK12" i="74"/>
  <c r="AK6" i="74"/>
  <c r="AE6" i="74"/>
  <c r="AD6" i="74"/>
  <c r="AB6" i="74"/>
  <c r="P6" i="74"/>
  <c r="AK5" i="74"/>
  <c r="AI5" i="74"/>
  <c r="P5" i="74"/>
  <c r="E852" i="33"/>
  <c r="F851" i="33"/>
  <c r="E856" i="33"/>
  <c r="E855" i="33"/>
  <c r="AJ855" i="33" s="1"/>
  <c r="W851" i="33"/>
  <c r="E851" i="33"/>
  <c r="AJ851" i="33" s="1"/>
  <c r="E854" i="33"/>
  <c r="AJ854" i="33" s="1"/>
  <c r="E853" i="33"/>
  <c r="AJ853" i="33" s="1"/>
  <c r="W850" i="33"/>
  <c r="F850" i="33"/>
  <c r="E850" i="33"/>
  <c r="AJ850" i="33" s="1"/>
  <c r="E849" i="33"/>
  <c r="AK106" i="34"/>
  <c r="P106" i="34"/>
  <c r="W130" i="33"/>
  <c r="F130" i="33"/>
  <c r="E130" i="33"/>
  <c r="C849" i="33" l="1"/>
  <c r="AJ849" i="33"/>
  <c r="AP856" i="33"/>
  <c r="AJ856" i="33"/>
  <c r="AL852" i="33"/>
  <c r="AJ852" i="33"/>
  <c r="H13" i="75"/>
  <c r="H10" i="75"/>
  <c r="H15" i="75"/>
  <c r="H12" i="75"/>
  <c r="H11" i="75"/>
  <c r="H14" i="75"/>
  <c r="H418" i="75"/>
  <c r="H416" i="75"/>
  <c r="H417" i="75"/>
  <c r="H419" i="75"/>
  <c r="H415" i="75"/>
  <c r="H422" i="75"/>
  <c r="H423" i="75"/>
  <c r="H421" i="75"/>
  <c r="H420" i="75"/>
  <c r="H424" i="75"/>
  <c r="H17" i="75"/>
  <c r="H18" i="75"/>
  <c r="H19" i="75"/>
  <c r="H16" i="75"/>
  <c r="H20" i="75"/>
  <c r="H21" i="75"/>
  <c r="H161" i="75"/>
  <c r="H164" i="75"/>
  <c r="H163" i="75"/>
  <c r="H159" i="75"/>
  <c r="H158" i="75"/>
  <c r="H162" i="75"/>
  <c r="H160" i="75"/>
  <c r="H428" i="75"/>
  <c r="H425" i="75"/>
  <c r="H426" i="75"/>
  <c r="H427" i="75"/>
  <c r="H429" i="75"/>
  <c r="H146" i="75"/>
  <c r="H143" i="75"/>
  <c r="H149" i="75"/>
  <c r="H157" i="75"/>
  <c r="H152" i="75"/>
  <c r="H156" i="75"/>
  <c r="H148" i="75"/>
  <c r="H147" i="75"/>
  <c r="H144" i="75"/>
  <c r="H154" i="75"/>
  <c r="H155" i="75"/>
  <c r="H151" i="75"/>
  <c r="H153" i="75"/>
  <c r="H145" i="75"/>
  <c r="H150" i="75"/>
  <c r="H8" i="75"/>
  <c r="H7" i="75"/>
  <c r="H3" i="75"/>
  <c r="H2" i="75"/>
  <c r="H9" i="75"/>
  <c r="H4" i="75"/>
  <c r="H6" i="75"/>
  <c r="H5" i="75"/>
  <c r="H854" i="33"/>
  <c r="H855" i="33"/>
  <c r="H852" i="33"/>
  <c r="AP852" i="33"/>
  <c r="C852" i="33"/>
  <c r="C854" i="33"/>
  <c r="AL850" i="33"/>
  <c r="AL853" i="33"/>
  <c r="AP853" i="33"/>
  <c r="C851" i="33"/>
  <c r="AL851" i="33"/>
  <c r="C850" i="33"/>
  <c r="AP850" i="33"/>
  <c r="C853" i="33"/>
  <c r="AL855" i="33"/>
  <c r="AP854" i="33"/>
  <c r="AP855" i="33"/>
  <c r="AP849" i="33"/>
  <c r="H850" i="33"/>
  <c r="H853" i="33"/>
  <c r="H849" i="33"/>
  <c r="AL849" i="33"/>
  <c r="AL854" i="33"/>
  <c r="AP851" i="33"/>
  <c r="C856" i="33"/>
  <c r="AK856" i="33" s="1"/>
  <c r="H851" i="33"/>
  <c r="C855" i="33"/>
  <c r="H856" i="33"/>
  <c r="C130" i="33"/>
  <c r="R130" i="33" s="1"/>
  <c r="W140" i="33" l="1"/>
  <c r="F140" i="33"/>
  <c r="E140" i="33"/>
  <c r="W134" i="33"/>
  <c r="E134" i="33"/>
  <c r="E132" i="33"/>
  <c r="F133" i="33"/>
  <c r="W133" i="33"/>
  <c r="E173" i="33"/>
  <c r="E172" i="33"/>
  <c r="E210" i="33"/>
  <c r="C140" i="33" l="1"/>
  <c r="C134" i="33"/>
  <c r="C132" i="33"/>
  <c r="C172" i="33"/>
  <c r="C173" i="33"/>
  <c r="C210" i="33"/>
  <c r="E209" i="33"/>
  <c r="E199" i="33"/>
  <c r="E201" i="33"/>
  <c r="AK105" i="34"/>
  <c r="P105" i="34"/>
  <c r="H912" i="33" s="1"/>
  <c r="AK104" i="34"/>
  <c r="P104" i="34"/>
  <c r="E914" i="33"/>
  <c r="E913" i="33"/>
  <c r="AJ913" i="33" s="1"/>
  <c r="W911" i="33"/>
  <c r="E911" i="33"/>
  <c r="W910" i="33"/>
  <c r="F910" i="33"/>
  <c r="E910" i="33"/>
  <c r="AJ910" i="33" s="1"/>
  <c r="W909" i="33"/>
  <c r="F909" i="33"/>
  <c r="E909" i="33"/>
  <c r="AJ909" i="33" s="1"/>
  <c r="W908" i="33"/>
  <c r="F908" i="33"/>
  <c r="E908" i="33"/>
  <c r="AJ908" i="33" s="1"/>
  <c r="E907" i="33"/>
  <c r="AJ907" i="33" s="1"/>
  <c r="E906" i="33"/>
  <c r="E905" i="33"/>
  <c r="E904" i="33"/>
  <c r="W903" i="33"/>
  <c r="F903" i="33"/>
  <c r="E903" i="33"/>
  <c r="W902" i="33"/>
  <c r="F902" i="33"/>
  <c r="E902" i="33"/>
  <c r="E901" i="33"/>
  <c r="AJ901" i="33" s="1"/>
  <c r="E900" i="33"/>
  <c r="E899" i="33"/>
  <c r="AJ899" i="33" s="1"/>
  <c r="W898" i="33"/>
  <c r="F898" i="33"/>
  <c r="E898" i="33"/>
  <c r="AJ898" i="33" s="1"/>
  <c r="W897" i="33"/>
  <c r="F897" i="33"/>
  <c r="E897" i="33"/>
  <c r="AJ897" i="33" s="1"/>
  <c r="E896" i="33"/>
  <c r="AJ896" i="33" s="1"/>
  <c r="AK103" i="34"/>
  <c r="P103" i="34"/>
  <c r="AP914" i="33" l="1"/>
  <c r="AJ914" i="33"/>
  <c r="AP905" i="33"/>
  <c r="AJ905" i="33"/>
  <c r="C906" i="33"/>
  <c r="AK906" i="33" s="1"/>
  <c r="AJ906" i="33"/>
  <c r="AP904" i="33"/>
  <c r="AJ904" i="33"/>
  <c r="AP902" i="33"/>
  <c r="AJ902" i="33"/>
  <c r="AP900" i="33"/>
  <c r="AJ900" i="33"/>
  <c r="AP903" i="33"/>
  <c r="AJ903" i="33"/>
  <c r="AL911" i="33"/>
  <c r="AJ911" i="33"/>
  <c r="C201" i="33"/>
  <c r="H899" i="33"/>
  <c r="H897" i="33"/>
  <c r="AP907" i="33"/>
  <c r="AL901" i="33"/>
  <c r="AL896" i="33"/>
  <c r="C199" i="33"/>
  <c r="C209" i="33"/>
  <c r="AL910" i="33"/>
  <c r="C901" i="33"/>
  <c r="AL903" i="33"/>
  <c r="AL908" i="33"/>
  <c r="AP901" i="33"/>
  <c r="AL902" i="33"/>
  <c r="C907" i="33"/>
  <c r="AL909" i="33"/>
  <c r="AP911" i="33"/>
  <c r="AP913" i="33"/>
  <c r="AL907" i="33"/>
  <c r="C902" i="33"/>
  <c r="C903" i="33"/>
  <c r="C904" i="33"/>
  <c r="AP908" i="33"/>
  <c r="AP909" i="33"/>
  <c r="AP910" i="33"/>
  <c r="C913" i="33"/>
  <c r="C905" i="33"/>
  <c r="C908" i="33"/>
  <c r="C909" i="33"/>
  <c r="C910" i="33"/>
  <c r="C911" i="33"/>
  <c r="AP906" i="33"/>
  <c r="C914" i="33"/>
  <c r="AK914" i="33" s="1"/>
  <c r="C898" i="33"/>
  <c r="C897" i="33"/>
  <c r="AK897" i="33" s="1"/>
  <c r="AP897" i="33"/>
  <c r="AP896" i="33"/>
  <c r="H896" i="33"/>
  <c r="AL898" i="33"/>
  <c r="C899" i="33"/>
  <c r="AL899" i="33"/>
  <c r="H900" i="33"/>
  <c r="H898" i="33"/>
  <c r="AP898" i="33"/>
  <c r="AP899" i="33"/>
  <c r="C896" i="33"/>
  <c r="C900" i="33"/>
  <c r="AK900" i="33" s="1"/>
  <c r="E754" i="33" l="1"/>
  <c r="AJ754" i="33" s="1"/>
  <c r="E895" i="33"/>
  <c r="W891" i="33"/>
  <c r="F891" i="33"/>
  <c r="E891" i="33"/>
  <c r="E864" i="33"/>
  <c r="E867" i="33"/>
  <c r="AJ867" i="33" s="1"/>
  <c r="AK98" i="34"/>
  <c r="P98" i="34"/>
  <c r="E866" i="33"/>
  <c r="AJ866" i="33" s="1"/>
  <c r="E865" i="33"/>
  <c r="AJ865" i="33" s="1"/>
  <c r="E863" i="33"/>
  <c r="AJ863" i="33" s="1"/>
  <c r="AP864" i="33" l="1"/>
  <c r="AJ864" i="33"/>
  <c r="AP895" i="33"/>
  <c r="AJ895" i="33"/>
  <c r="AP891" i="33"/>
  <c r="AJ891" i="33"/>
  <c r="AP863" i="33"/>
  <c r="H867" i="33"/>
  <c r="C866" i="33"/>
  <c r="AK866" i="33" s="1"/>
  <c r="AP866" i="33"/>
  <c r="AL754" i="33"/>
  <c r="AP754" i="33"/>
  <c r="AP867" i="33"/>
  <c r="C865" i="33"/>
  <c r="AK865" i="33" s="1"/>
  <c r="AP865" i="33"/>
  <c r="C754" i="33"/>
  <c r="C895" i="33"/>
  <c r="AK895" i="33" s="1"/>
  <c r="AL891" i="33"/>
  <c r="C891" i="33"/>
  <c r="H864" i="33"/>
  <c r="C864" i="33"/>
  <c r="AK864" i="33" s="1"/>
  <c r="C867" i="33"/>
  <c r="AK867" i="33" s="1"/>
  <c r="C863" i="33"/>
  <c r="AL863" i="33"/>
  <c r="W198" i="33"/>
  <c r="F198" i="33"/>
  <c r="E198" i="33"/>
  <c r="E752" i="33"/>
  <c r="E827" i="33"/>
  <c r="E860" i="33"/>
  <c r="E894" i="33"/>
  <c r="E893" i="33"/>
  <c r="AJ893" i="33" s="1"/>
  <c r="E892" i="33"/>
  <c r="AJ892" i="33" s="1"/>
  <c r="W890" i="33"/>
  <c r="F890" i="33"/>
  <c r="E890" i="33"/>
  <c r="W889" i="33"/>
  <c r="F889" i="33"/>
  <c r="E889" i="33"/>
  <c r="W888" i="33"/>
  <c r="F888" i="33"/>
  <c r="E888" i="33"/>
  <c r="E887" i="33"/>
  <c r="AJ887" i="33" s="1"/>
  <c r="AK102" i="34"/>
  <c r="P102" i="34"/>
  <c r="H891" i="33" s="1"/>
  <c r="E875" i="33"/>
  <c r="AJ875" i="33" s="1"/>
  <c r="AP889" i="33" l="1"/>
  <c r="AJ889" i="33"/>
  <c r="AP860" i="33"/>
  <c r="AJ860" i="33"/>
  <c r="AP827" i="33"/>
  <c r="AJ827" i="33"/>
  <c r="AP894" i="33"/>
  <c r="AJ894" i="33"/>
  <c r="AP890" i="33"/>
  <c r="AJ890" i="33"/>
  <c r="AP752" i="33"/>
  <c r="AJ752" i="33"/>
  <c r="AP888" i="33"/>
  <c r="AJ888" i="33"/>
  <c r="AP887" i="33"/>
  <c r="AL875" i="33"/>
  <c r="AP875" i="33"/>
  <c r="C892" i="33"/>
  <c r="AK892" i="33" s="1"/>
  <c r="AP892" i="33"/>
  <c r="C893" i="33"/>
  <c r="AK893" i="33" s="1"/>
  <c r="AP893" i="33"/>
  <c r="H895" i="33"/>
  <c r="AK754" i="33"/>
  <c r="H890" i="33"/>
  <c r="C198" i="33"/>
  <c r="H894" i="33"/>
  <c r="AL894" i="33"/>
  <c r="C752" i="33"/>
  <c r="AL752" i="33"/>
  <c r="C887" i="33"/>
  <c r="AL887" i="33"/>
  <c r="AL888" i="33"/>
  <c r="AL860" i="33"/>
  <c r="C827" i="33"/>
  <c r="C860" i="33"/>
  <c r="C888" i="33"/>
  <c r="C889" i="33"/>
  <c r="H888" i="33"/>
  <c r="H889" i="33"/>
  <c r="C890" i="33"/>
  <c r="H893" i="33"/>
  <c r="H887" i="33"/>
  <c r="H892" i="33"/>
  <c r="C894" i="33"/>
  <c r="C875" i="33"/>
  <c r="E879" i="33"/>
  <c r="E886" i="33"/>
  <c r="E881" i="33"/>
  <c r="E862" i="33"/>
  <c r="AP862" i="33" l="1"/>
  <c r="AJ862" i="33"/>
  <c r="AP886" i="33"/>
  <c r="AJ886" i="33"/>
  <c r="AP881" i="33"/>
  <c r="AJ881" i="33"/>
  <c r="AP879" i="33"/>
  <c r="AJ879" i="33"/>
  <c r="AK752" i="33"/>
  <c r="AK889" i="33"/>
  <c r="AK890" i="33"/>
  <c r="AK827" i="33"/>
  <c r="C881" i="33"/>
  <c r="C886" i="33"/>
  <c r="C862" i="33"/>
  <c r="C879" i="33"/>
  <c r="W858" i="33"/>
  <c r="F858" i="33"/>
  <c r="E858" i="33"/>
  <c r="E878" i="33"/>
  <c r="E877" i="33"/>
  <c r="W874" i="33"/>
  <c r="F874" i="33"/>
  <c r="E885" i="33"/>
  <c r="AJ885" i="33" s="1"/>
  <c r="E883" i="33"/>
  <c r="AJ883" i="33" s="1"/>
  <c r="E884" i="33"/>
  <c r="AJ884" i="33" s="1"/>
  <c r="E882" i="33"/>
  <c r="AJ882" i="33" s="1"/>
  <c r="AK101" i="34"/>
  <c r="P101" i="34"/>
  <c r="H886" i="33" s="1"/>
  <c r="E874" i="33"/>
  <c r="AJ874" i="33" s="1"/>
  <c r="AM86" i="34"/>
  <c r="AM83" i="34"/>
  <c r="AM65" i="34"/>
  <c r="AM88" i="34"/>
  <c r="AM87" i="34"/>
  <c r="AM85" i="34"/>
  <c r="AM84" i="34"/>
  <c r="AM78" i="34"/>
  <c r="AM77" i="34"/>
  <c r="AM76" i="34"/>
  <c r="AM75" i="34"/>
  <c r="AM74" i="34"/>
  <c r="AM67" i="34"/>
  <c r="AM66" i="34"/>
  <c r="AM55" i="34"/>
  <c r="AM53" i="34"/>
  <c r="AM47" i="34"/>
  <c r="AM45" i="34"/>
  <c r="AM43" i="34"/>
  <c r="AM40" i="34"/>
  <c r="AM39" i="34"/>
  <c r="AM38" i="34"/>
  <c r="AM37" i="34"/>
  <c r="AM36" i="34"/>
  <c r="AM28" i="34"/>
  <c r="AM27" i="34"/>
  <c r="AM22" i="34"/>
  <c r="AM19" i="34"/>
  <c r="AM18" i="34"/>
  <c r="AM17" i="34"/>
  <c r="AM4" i="34"/>
  <c r="E872" i="33"/>
  <c r="AJ872" i="33" s="1"/>
  <c r="F869" i="33"/>
  <c r="W869" i="33"/>
  <c r="W870" i="33"/>
  <c r="F870" i="33"/>
  <c r="E870" i="33"/>
  <c r="E718" i="33"/>
  <c r="W716" i="33"/>
  <c r="F716" i="33"/>
  <c r="E716" i="33"/>
  <c r="W717" i="33"/>
  <c r="F717" i="33"/>
  <c r="E717" i="33"/>
  <c r="E698" i="33"/>
  <c r="E751" i="33"/>
  <c r="AJ751" i="33" s="1"/>
  <c r="AP877" i="33" l="1"/>
  <c r="AJ877" i="33"/>
  <c r="AP878" i="33"/>
  <c r="AJ878" i="33"/>
  <c r="AP870" i="33"/>
  <c r="AJ870" i="33"/>
  <c r="AP858" i="33"/>
  <c r="AJ858" i="33"/>
  <c r="AP874" i="33"/>
  <c r="C874" i="33"/>
  <c r="AL751" i="33"/>
  <c r="AP751" i="33"/>
  <c r="AL882" i="33"/>
  <c r="AP882" i="33"/>
  <c r="AL885" i="33"/>
  <c r="AP885" i="33"/>
  <c r="AL872" i="33"/>
  <c r="AP872" i="33"/>
  <c r="AL884" i="33"/>
  <c r="AP884" i="33"/>
  <c r="AL883" i="33"/>
  <c r="AP883" i="33"/>
  <c r="AL874" i="33"/>
  <c r="AL858" i="33"/>
  <c r="AL870" i="33"/>
  <c r="AK886" i="33"/>
  <c r="AK879" i="33"/>
  <c r="AK862" i="33"/>
  <c r="AK881" i="33"/>
  <c r="C882" i="33"/>
  <c r="C885" i="33"/>
  <c r="C718" i="33"/>
  <c r="C883" i="33"/>
  <c r="C858" i="33"/>
  <c r="H884" i="33"/>
  <c r="C878" i="33"/>
  <c r="C877" i="33"/>
  <c r="H882" i="33"/>
  <c r="H885" i="33"/>
  <c r="C884" i="33"/>
  <c r="H883" i="33"/>
  <c r="C872" i="33"/>
  <c r="C870" i="33"/>
  <c r="C716" i="33"/>
  <c r="C717" i="33"/>
  <c r="C698" i="33"/>
  <c r="C751" i="33"/>
  <c r="AK878" i="33" l="1"/>
  <c r="AK751" i="33"/>
  <c r="AK877" i="33"/>
  <c r="E819" i="33" l="1"/>
  <c r="E818" i="33"/>
  <c r="E829" i="33"/>
  <c r="E830" i="33"/>
  <c r="F802" i="33"/>
  <c r="AK13" i="34"/>
  <c r="P13" i="34"/>
  <c r="H813" i="33" s="1"/>
  <c r="E869" i="33"/>
  <c r="AJ869" i="33" s="1"/>
  <c r="W871" i="33"/>
  <c r="F871" i="33"/>
  <c r="E871" i="33"/>
  <c r="E868" i="33"/>
  <c r="AJ868" i="33" s="1"/>
  <c r="W841" i="33"/>
  <c r="F841" i="33"/>
  <c r="E841" i="33"/>
  <c r="W843" i="33"/>
  <c r="F843" i="33"/>
  <c r="E843" i="33"/>
  <c r="W842" i="33"/>
  <c r="F842" i="33"/>
  <c r="E842" i="33"/>
  <c r="AP842" i="33" l="1"/>
  <c r="AJ842" i="33"/>
  <c r="AP841" i="33"/>
  <c r="AJ841" i="33"/>
  <c r="AP830" i="33"/>
  <c r="AJ830" i="33"/>
  <c r="AP829" i="33"/>
  <c r="AJ829" i="33"/>
  <c r="AP843" i="33"/>
  <c r="AJ843" i="33"/>
  <c r="AP818" i="33"/>
  <c r="AJ818" i="33"/>
  <c r="AP871" i="33"/>
  <c r="AJ871" i="33"/>
  <c r="AP819" i="33"/>
  <c r="AJ819" i="33"/>
  <c r="AL868" i="33"/>
  <c r="AP868" i="33"/>
  <c r="AL869" i="33"/>
  <c r="AP869" i="33"/>
  <c r="AL841" i="33"/>
  <c r="AL842" i="33"/>
  <c r="AL871" i="33"/>
  <c r="AL843" i="33"/>
  <c r="C868" i="33"/>
  <c r="C869" i="33"/>
  <c r="C818" i="33"/>
  <c r="C819" i="33"/>
  <c r="C829" i="33"/>
  <c r="C830" i="33"/>
  <c r="C871" i="33"/>
  <c r="C841" i="33"/>
  <c r="C843" i="33"/>
  <c r="C842" i="33"/>
  <c r="AK818" i="33" l="1"/>
  <c r="AK830" i="33"/>
  <c r="AK819" i="33"/>
  <c r="AK829" i="33"/>
  <c r="W825" i="33"/>
  <c r="F825" i="33"/>
  <c r="E825" i="33"/>
  <c r="W815" i="33"/>
  <c r="F815" i="33"/>
  <c r="E815" i="33"/>
  <c r="F835" i="33"/>
  <c r="F834" i="33"/>
  <c r="F824" i="33"/>
  <c r="F823" i="33"/>
  <c r="F816" i="33"/>
  <c r="E876" i="33"/>
  <c r="AJ876" i="33" s="1"/>
  <c r="AP825" i="33" l="1"/>
  <c r="AJ825" i="33"/>
  <c r="AP815" i="33"/>
  <c r="AJ815" i="33"/>
  <c r="AL876" i="33"/>
  <c r="AP876" i="33"/>
  <c r="AL815" i="33"/>
  <c r="C876" i="33"/>
  <c r="C825" i="33"/>
  <c r="C815" i="33"/>
  <c r="E804" i="33"/>
  <c r="E805" i="33"/>
  <c r="AP805" i="33" l="1"/>
  <c r="AJ805" i="33"/>
  <c r="AP804" i="33"/>
  <c r="AJ804" i="33"/>
  <c r="C805" i="33"/>
  <c r="C804" i="33"/>
  <c r="E803" i="33"/>
  <c r="AJ803" i="33" s="1"/>
  <c r="W802" i="33"/>
  <c r="E802" i="33"/>
  <c r="AJ802" i="33" s="1"/>
  <c r="E880" i="33"/>
  <c r="AJ880" i="33" s="1"/>
  <c r="E873" i="33"/>
  <c r="AJ873" i="33" s="1"/>
  <c r="W844" i="33"/>
  <c r="W835" i="33"/>
  <c r="W834" i="33"/>
  <c r="W824" i="33"/>
  <c r="W823" i="33"/>
  <c r="E836" i="33"/>
  <c r="E838" i="33"/>
  <c r="E837" i="33"/>
  <c r="E835" i="33"/>
  <c r="AJ835" i="33" s="1"/>
  <c r="E834" i="33"/>
  <c r="AJ834" i="33" s="1"/>
  <c r="AK96" i="34"/>
  <c r="P96" i="34"/>
  <c r="H846" i="33" s="1"/>
  <c r="E823" i="33"/>
  <c r="W816" i="33"/>
  <c r="E801" i="33"/>
  <c r="AJ801" i="33" s="1"/>
  <c r="AK99" i="34"/>
  <c r="P99" i="34"/>
  <c r="E826" i="33"/>
  <c r="AJ826" i="33" s="1"/>
  <c r="E832" i="33"/>
  <c r="E831" i="33"/>
  <c r="AJ831" i="33" s="1"/>
  <c r="AK100" i="34"/>
  <c r="P100" i="34"/>
  <c r="AK97" i="34"/>
  <c r="P97" i="34"/>
  <c r="H860" i="33" s="1"/>
  <c r="AK94" i="34"/>
  <c r="AI94" i="34"/>
  <c r="P94" i="34"/>
  <c r="AK95" i="34"/>
  <c r="P95" i="34"/>
  <c r="AK93" i="34"/>
  <c r="P93" i="34"/>
  <c r="M66" i="71"/>
  <c r="M65" i="71"/>
  <c r="H827" i="33" l="1"/>
  <c r="H828" i="33"/>
  <c r="AP832" i="33"/>
  <c r="AJ832" i="33"/>
  <c r="AP823" i="33"/>
  <c r="AJ823" i="33"/>
  <c r="AP837" i="33"/>
  <c r="AJ837" i="33"/>
  <c r="AP838" i="33"/>
  <c r="AJ838" i="33"/>
  <c r="AP836" i="33"/>
  <c r="AJ836" i="33"/>
  <c r="H904" i="33"/>
  <c r="H902" i="33"/>
  <c r="H903" i="33"/>
  <c r="H901" i="33"/>
  <c r="H905" i="33"/>
  <c r="H906" i="33"/>
  <c r="H907" i="33"/>
  <c r="H908" i="33"/>
  <c r="H913" i="33"/>
  <c r="H914" i="33"/>
  <c r="H911" i="33"/>
  <c r="H910" i="33"/>
  <c r="H909" i="33"/>
  <c r="AL802" i="33"/>
  <c r="AP802" i="33"/>
  <c r="AL835" i="33"/>
  <c r="AP835" i="33"/>
  <c r="AL826" i="33"/>
  <c r="AP826" i="33"/>
  <c r="AL834" i="33"/>
  <c r="AP834" i="33"/>
  <c r="AL831" i="33"/>
  <c r="AP831" i="33"/>
  <c r="AL873" i="33"/>
  <c r="AP873" i="33"/>
  <c r="AL803" i="33"/>
  <c r="AP803" i="33"/>
  <c r="AL801" i="33"/>
  <c r="AP801" i="33"/>
  <c r="AL880" i="33"/>
  <c r="AP880" i="33"/>
  <c r="H863" i="33"/>
  <c r="H866" i="33"/>
  <c r="H865" i="33"/>
  <c r="AK805" i="33"/>
  <c r="AK804" i="33"/>
  <c r="C838" i="33"/>
  <c r="C836" i="33"/>
  <c r="C826" i="33"/>
  <c r="C823" i="33"/>
  <c r="C835" i="33"/>
  <c r="C801" i="33"/>
  <c r="C880" i="33"/>
  <c r="C834" i="33"/>
  <c r="C831" i="33"/>
  <c r="C837" i="33"/>
  <c r="C803" i="33"/>
  <c r="H875" i="33"/>
  <c r="H879" i="33"/>
  <c r="H881" i="33"/>
  <c r="H862" i="33"/>
  <c r="H858" i="33"/>
  <c r="H878" i="33"/>
  <c r="H874" i="33"/>
  <c r="H877" i="33"/>
  <c r="H876" i="33"/>
  <c r="H872" i="33"/>
  <c r="H870" i="33"/>
  <c r="H818" i="33"/>
  <c r="H819" i="33"/>
  <c r="H825" i="33"/>
  <c r="H830" i="33"/>
  <c r="H829" i="33"/>
  <c r="H804" i="33"/>
  <c r="H868" i="33"/>
  <c r="H869" i="33"/>
  <c r="H871" i="33"/>
  <c r="H815" i="33"/>
  <c r="H842" i="33"/>
  <c r="H841" i="33"/>
  <c r="H843" i="33"/>
  <c r="H805" i="33"/>
  <c r="H802" i="33"/>
  <c r="H873" i="33"/>
  <c r="C802" i="33"/>
  <c r="H803" i="33"/>
  <c r="C873" i="33"/>
  <c r="H880" i="33"/>
  <c r="H836" i="33"/>
  <c r="H838" i="33"/>
  <c r="H837" i="33"/>
  <c r="H834" i="33"/>
  <c r="H835" i="33"/>
  <c r="H823" i="33"/>
  <c r="H801" i="33"/>
  <c r="E820" i="33"/>
  <c r="AJ820" i="33" s="1"/>
  <c r="E814" i="33"/>
  <c r="AJ814" i="33" s="1"/>
  <c r="E821" i="33"/>
  <c r="E816" i="33"/>
  <c r="AJ816" i="33" s="1"/>
  <c r="E817" i="33"/>
  <c r="AJ817" i="33" s="1"/>
  <c r="E824" i="33"/>
  <c r="AJ824" i="33" s="1"/>
  <c r="H832" i="33"/>
  <c r="E847" i="33"/>
  <c r="AJ847" i="33" s="1"/>
  <c r="E833" i="33"/>
  <c r="AJ833" i="33" s="1"/>
  <c r="E839" i="33"/>
  <c r="E822" i="33"/>
  <c r="AJ822" i="33" s="1"/>
  <c r="H831" i="33"/>
  <c r="C832" i="33"/>
  <c r="H826" i="33"/>
  <c r="W1355" i="33"/>
  <c r="E1355" i="33"/>
  <c r="AJ1355" i="33" s="1"/>
  <c r="AO1354" i="33"/>
  <c r="W1354" i="33"/>
  <c r="E1354" i="33"/>
  <c r="E1353" i="33"/>
  <c r="E1352" i="33"/>
  <c r="AJ1352" i="33" s="1"/>
  <c r="E1351" i="33"/>
  <c r="E1350" i="33"/>
  <c r="E1349" i="33"/>
  <c r="AJ1349" i="33" s="1"/>
  <c r="W1348" i="33"/>
  <c r="E1348" i="33"/>
  <c r="E1347" i="33"/>
  <c r="E1346" i="33"/>
  <c r="AE1345" i="33"/>
  <c r="E1345" i="33"/>
  <c r="E1344" i="33"/>
  <c r="AJ1344" i="33" s="1"/>
  <c r="E1343" i="33"/>
  <c r="AJ1343" i="33" s="1"/>
  <c r="W1342" i="33"/>
  <c r="E1342" i="33"/>
  <c r="AJ1342" i="33" s="1"/>
  <c r="E1341" i="33"/>
  <c r="E1340" i="33"/>
  <c r="E1339" i="33"/>
  <c r="E1338" i="33"/>
  <c r="AJ1338" i="33" s="1"/>
  <c r="W1337" i="33"/>
  <c r="E1337" i="33"/>
  <c r="E1336" i="33"/>
  <c r="AJ1336" i="33" s="1"/>
  <c r="E1335" i="33"/>
  <c r="W1334" i="33"/>
  <c r="E1334" i="33"/>
  <c r="E1333" i="33"/>
  <c r="E1332" i="33"/>
  <c r="E1331" i="33"/>
  <c r="W1330" i="33"/>
  <c r="E1330" i="33"/>
  <c r="AJ1330" i="33" s="1"/>
  <c r="W1329" i="33"/>
  <c r="E1329" i="33"/>
  <c r="AJ1329" i="33" s="1"/>
  <c r="AE1328" i="33"/>
  <c r="E1328" i="33"/>
  <c r="AJ1328" i="33" s="1"/>
  <c r="E1327" i="33"/>
  <c r="AO1326" i="33"/>
  <c r="W1326" i="33"/>
  <c r="E1326" i="33"/>
  <c r="AJ1326" i="33" s="1"/>
  <c r="E1325" i="33"/>
  <c r="E1324" i="33"/>
  <c r="AJ1324" i="33" s="1"/>
  <c r="E1323" i="33"/>
  <c r="E1322" i="33"/>
  <c r="AJ1322" i="33" s="1"/>
  <c r="E1321" i="33"/>
  <c r="E1320" i="33"/>
  <c r="AJ1320" i="33" s="1"/>
  <c r="E1319" i="33"/>
  <c r="E1318" i="33"/>
  <c r="AJ1318" i="33" s="1"/>
  <c r="W1317" i="33"/>
  <c r="E1317" i="33"/>
  <c r="E1316" i="33"/>
  <c r="AJ1316" i="33" s="1"/>
  <c r="E1315" i="33"/>
  <c r="AJ1315" i="33" s="1"/>
  <c r="W1314" i="33"/>
  <c r="E1314" i="33"/>
  <c r="AJ1314" i="33" s="1"/>
  <c r="E1313" i="33"/>
  <c r="AJ1313" i="33" s="1"/>
  <c r="W1312" i="33"/>
  <c r="E1312" i="33"/>
  <c r="AJ1312" i="33" s="1"/>
  <c r="W1311" i="33"/>
  <c r="E1311" i="33"/>
  <c r="AE1310" i="33"/>
  <c r="E1310" i="33"/>
  <c r="E1309" i="33"/>
  <c r="AJ1309" i="33" s="1"/>
  <c r="E1308" i="33"/>
  <c r="AJ1308" i="33" s="1"/>
  <c r="E1307" i="33"/>
  <c r="AE1306" i="33"/>
  <c r="E1306" i="33"/>
  <c r="E1305" i="33"/>
  <c r="W1304" i="33"/>
  <c r="E1304" i="33"/>
  <c r="E1303" i="33"/>
  <c r="AJ1303" i="33" s="1"/>
  <c r="W1302" i="33"/>
  <c r="E1302" i="33"/>
  <c r="AJ1302" i="33" s="1"/>
  <c r="W1301" i="33"/>
  <c r="E1301" i="33"/>
  <c r="W1300" i="33"/>
  <c r="E1300" i="33"/>
  <c r="AJ1300" i="33" s="1"/>
  <c r="E1299" i="33"/>
  <c r="E1298" i="33"/>
  <c r="AJ1298" i="33" s="1"/>
  <c r="W1297" i="33"/>
  <c r="E1297" i="33"/>
  <c r="AJ1297" i="33" s="1"/>
  <c r="E1296" i="33"/>
  <c r="AJ1296" i="33" s="1"/>
  <c r="E1295" i="33"/>
  <c r="AJ1295" i="33" s="1"/>
  <c r="E1294" i="33"/>
  <c r="AJ1294" i="33" s="1"/>
  <c r="W1293" i="33"/>
  <c r="E1293" i="33"/>
  <c r="AJ1293" i="33" s="1"/>
  <c r="E1292" i="33"/>
  <c r="AJ1292" i="33" s="1"/>
  <c r="E1291" i="33"/>
  <c r="AJ1291" i="33" s="1"/>
  <c r="E1290" i="33"/>
  <c r="W1289" i="33"/>
  <c r="E1289" i="33"/>
  <c r="AJ1289" i="33" s="1"/>
  <c r="W1288" i="33"/>
  <c r="E1288" i="33"/>
  <c r="AJ1288" i="33" s="1"/>
  <c r="AE1287" i="33"/>
  <c r="E1287" i="33"/>
  <c r="AJ1287" i="33" s="1"/>
  <c r="E1286" i="33"/>
  <c r="AJ1286" i="33" s="1"/>
  <c r="E1285" i="33"/>
  <c r="E1284" i="33"/>
  <c r="W1283" i="33"/>
  <c r="E1283" i="33"/>
  <c r="AJ1283" i="33" s="1"/>
  <c r="W1282" i="33"/>
  <c r="E1282" i="33"/>
  <c r="AJ1282" i="33" s="1"/>
  <c r="W1281" i="33"/>
  <c r="E1281" i="33"/>
  <c r="AE1280" i="33"/>
  <c r="E1280" i="33"/>
  <c r="AJ1280" i="33" s="1"/>
  <c r="E1279" i="33"/>
  <c r="E1278" i="33"/>
  <c r="AJ1278" i="33" s="1"/>
  <c r="W1277" i="33"/>
  <c r="E1277" i="33"/>
  <c r="E1276" i="33"/>
  <c r="AJ1276" i="33" s="1"/>
  <c r="E1275" i="33"/>
  <c r="AJ1275" i="33" s="1"/>
  <c r="AE1274" i="33"/>
  <c r="E1274" i="33"/>
  <c r="AJ1274" i="33" s="1"/>
  <c r="E1273" i="33"/>
  <c r="AJ1273" i="33" s="1"/>
  <c r="W1272" i="33"/>
  <c r="E1272" i="33"/>
  <c r="AJ1272" i="33" s="1"/>
  <c r="E1271" i="33"/>
  <c r="E1270" i="33"/>
  <c r="E1269" i="33"/>
  <c r="AJ1269" i="33" s="1"/>
  <c r="W1268" i="33"/>
  <c r="E1268" i="33"/>
  <c r="AJ1268" i="33" s="1"/>
  <c r="AE1267" i="33"/>
  <c r="E1267" i="33"/>
  <c r="E1266" i="33"/>
  <c r="AJ1266" i="33" s="1"/>
  <c r="E1265" i="33"/>
  <c r="E1264" i="33"/>
  <c r="E1263" i="33"/>
  <c r="E1262" i="33"/>
  <c r="AJ1262" i="33" s="1"/>
  <c r="AO1261" i="33"/>
  <c r="W1261" i="33"/>
  <c r="E1261" i="33"/>
  <c r="AJ1261" i="33" s="1"/>
  <c r="W1260" i="33"/>
  <c r="E1260" i="33"/>
  <c r="AJ1260" i="33" s="1"/>
  <c r="AE1259" i="33"/>
  <c r="E1259" i="33"/>
  <c r="E1258" i="33"/>
  <c r="AJ1258" i="33" s="1"/>
  <c r="E1257" i="33"/>
  <c r="E1256" i="33"/>
  <c r="AJ1256" i="33" s="1"/>
  <c r="E1255" i="33"/>
  <c r="AJ1255" i="33" s="1"/>
  <c r="E1254" i="33"/>
  <c r="E1253" i="33"/>
  <c r="AJ1253" i="33" s="1"/>
  <c r="E1252" i="33"/>
  <c r="E1251" i="33"/>
  <c r="W1250" i="33"/>
  <c r="E1250" i="33"/>
  <c r="AJ1250" i="33" s="1"/>
  <c r="E1249" i="33"/>
  <c r="AJ1249" i="33" s="1"/>
  <c r="E1248" i="33"/>
  <c r="AJ1248" i="33" s="1"/>
  <c r="AO1247" i="33"/>
  <c r="W1247" i="33"/>
  <c r="E1247" i="33"/>
  <c r="AJ1247" i="33" s="1"/>
  <c r="E1246" i="33"/>
  <c r="AJ1246" i="33" s="1"/>
  <c r="E1245" i="33"/>
  <c r="AJ1245" i="33" s="1"/>
  <c r="E1244" i="33"/>
  <c r="AJ1244" i="33" s="1"/>
  <c r="E1243" i="33"/>
  <c r="E1242" i="33"/>
  <c r="AJ1242" i="33" s="1"/>
  <c r="E1241" i="33"/>
  <c r="AJ1241" i="33" s="1"/>
  <c r="E1240" i="33"/>
  <c r="E1239" i="33"/>
  <c r="AJ1239" i="33" s="1"/>
  <c r="AE1238" i="33"/>
  <c r="E1238" i="33"/>
  <c r="AJ1238" i="33" s="1"/>
  <c r="E1237" i="33"/>
  <c r="AJ1237" i="33" s="1"/>
  <c r="E1236" i="33"/>
  <c r="E1235" i="33"/>
  <c r="AJ1235" i="33" s="1"/>
  <c r="W1234" i="33"/>
  <c r="E1234" i="33"/>
  <c r="W1233" i="33"/>
  <c r="E1233" i="33"/>
  <c r="AJ1233" i="33" s="1"/>
  <c r="AE1232" i="33"/>
  <c r="W1232" i="33"/>
  <c r="E1232" i="33"/>
  <c r="AJ1232" i="33" s="1"/>
  <c r="E1231" i="33"/>
  <c r="W1230" i="33"/>
  <c r="E1230" i="33"/>
  <c r="AJ1230" i="33" s="1"/>
  <c r="E1229" i="33"/>
  <c r="AJ1229" i="33" s="1"/>
  <c r="W1228" i="33"/>
  <c r="E1228" i="33"/>
  <c r="W1227" i="33"/>
  <c r="E1227" i="33"/>
  <c r="AJ1227" i="33" s="1"/>
  <c r="AE1226" i="33"/>
  <c r="E1226" i="33"/>
  <c r="E1225" i="33"/>
  <c r="AJ1225" i="33" s="1"/>
  <c r="E1224" i="33"/>
  <c r="AJ1224" i="33" s="1"/>
  <c r="E1223" i="33"/>
  <c r="E1222" i="33"/>
  <c r="AJ1222" i="33" s="1"/>
  <c r="W1221" i="33"/>
  <c r="E1221" i="33"/>
  <c r="AJ1221" i="33" s="1"/>
  <c r="E1220" i="33"/>
  <c r="AJ1220" i="33" s="1"/>
  <c r="W1219" i="33"/>
  <c r="E1219" i="33"/>
  <c r="AJ1219" i="33" s="1"/>
  <c r="E1218" i="33"/>
  <c r="AJ1218" i="33" s="1"/>
  <c r="E1217" i="33"/>
  <c r="AJ1217" i="33" s="1"/>
  <c r="E1216" i="33"/>
  <c r="W1215" i="33"/>
  <c r="E1215" i="33"/>
  <c r="AJ1215" i="33" s="1"/>
  <c r="W1214" i="33"/>
  <c r="E1214" i="33"/>
  <c r="AJ1214" i="33" s="1"/>
  <c r="AE1213" i="33"/>
  <c r="E1213" i="33"/>
  <c r="AJ1213" i="33" s="1"/>
  <c r="E1212" i="33"/>
  <c r="E1211" i="33"/>
  <c r="AJ1211" i="33" s="1"/>
  <c r="E1210" i="33"/>
  <c r="AJ1210" i="33" s="1"/>
  <c r="E1209" i="33"/>
  <c r="E1208" i="33"/>
  <c r="AJ1208" i="33" s="1"/>
  <c r="E1207" i="33"/>
  <c r="AJ1207" i="33" s="1"/>
  <c r="E1206" i="33"/>
  <c r="AJ1206" i="33" s="1"/>
  <c r="W1205" i="33"/>
  <c r="E1205" i="33"/>
  <c r="AJ1205" i="33" s="1"/>
  <c r="W1204" i="33"/>
  <c r="E1204" i="33"/>
  <c r="AJ1204" i="33" s="1"/>
  <c r="E1203" i="33"/>
  <c r="E1202" i="33"/>
  <c r="AJ1202" i="33" s="1"/>
  <c r="E1201" i="33"/>
  <c r="AJ1201" i="33" s="1"/>
  <c r="E1200" i="33"/>
  <c r="E1199" i="33"/>
  <c r="E1198" i="33"/>
  <c r="AJ1198" i="33" s="1"/>
  <c r="W1197" i="33"/>
  <c r="E1197" i="33"/>
  <c r="AJ1197" i="33" s="1"/>
  <c r="W1196" i="33"/>
  <c r="E1196" i="33"/>
  <c r="AE1195" i="33"/>
  <c r="E1195" i="33"/>
  <c r="E1194" i="33"/>
  <c r="E1193" i="33"/>
  <c r="E1192" i="33"/>
  <c r="AJ1192" i="33" s="1"/>
  <c r="E1191" i="33"/>
  <c r="E1190" i="33"/>
  <c r="AJ1190" i="33" s="1"/>
  <c r="E1189" i="33"/>
  <c r="AJ1189" i="33" s="1"/>
  <c r="E1188" i="33"/>
  <c r="AJ1188" i="33" s="1"/>
  <c r="AE1187" i="33"/>
  <c r="E1187" i="33"/>
  <c r="AJ1187" i="33" s="1"/>
  <c r="E1186" i="33"/>
  <c r="E1185" i="33"/>
  <c r="AJ1185" i="33" s="1"/>
  <c r="W1184" i="33"/>
  <c r="E1184" i="33"/>
  <c r="AJ1184" i="33" s="1"/>
  <c r="E1183" i="33"/>
  <c r="AJ1183" i="33" s="1"/>
  <c r="E1182" i="33"/>
  <c r="W1181" i="33"/>
  <c r="E1181" i="33"/>
  <c r="AJ1181" i="33" s="1"/>
  <c r="E1180" i="33"/>
  <c r="W1179" i="33"/>
  <c r="E1179" i="33"/>
  <c r="E1178" i="33"/>
  <c r="E1177" i="33"/>
  <c r="AE1176" i="33"/>
  <c r="E1176" i="33"/>
  <c r="E1175" i="33"/>
  <c r="E1174" i="33"/>
  <c r="E1173" i="33"/>
  <c r="AJ1173" i="33" s="1"/>
  <c r="E1172" i="33"/>
  <c r="AJ1172" i="33" s="1"/>
  <c r="W1171" i="33"/>
  <c r="E1171" i="33"/>
  <c r="E1170" i="33"/>
  <c r="E1169" i="33"/>
  <c r="E1168" i="33"/>
  <c r="W1167" i="33"/>
  <c r="E1167" i="33"/>
  <c r="AJ1167" i="33" s="1"/>
  <c r="E1166" i="33"/>
  <c r="W1165" i="33"/>
  <c r="E1165" i="33"/>
  <c r="AJ1165" i="33" s="1"/>
  <c r="E1164" i="33"/>
  <c r="AJ1164" i="33" s="1"/>
  <c r="AE1163" i="33"/>
  <c r="E1163" i="33"/>
  <c r="E1162" i="33"/>
  <c r="AJ1162" i="33" s="1"/>
  <c r="W1161" i="33"/>
  <c r="E1161" i="33"/>
  <c r="E1160" i="33"/>
  <c r="AJ1160" i="33" s="1"/>
  <c r="E1159" i="33"/>
  <c r="W1158" i="33"/>
  <c r="E1158" i="33"/>
  <c r="AE1157" i="33"/>
  <c r="E1157" i="33"/>
  <c r="E1156" i="33"/>
  <c r="W1155" i="33"/>
  <c r="E1155" i="33"/>
  <c r="E1154" i="33"/>
  <c r="AJ1154" i="33" s="1"/>
  <c r="E1153" i="33"/>
  <c r="E1152" i="33"/>
  <c r="AJ1152" i="33" s="1"/>
  <c r="AE1151" i="33"/>
  <c r="E1151" i="33"/>
  <c r="E1150" i="33"/>
  <c r="AJ1150" i="33" s="1"/>
  <c r="E1149" i="33"/>
  <c r="AJ1149" i="33" s="1"/>
  <c r="W1148" i="33"/>
  <c r="E1148" i="33"/>
  <c r="E1147" i="33"/>
  <c r="E1146" i="33"/>
  <c r="AE1145" i="33"/>
  <c r="E1145" i="33"/>
  <c r="E1144" i="33"/>
  <c r="AJ1144" i="33" s="1"/>
  <c r="E1143" i="33"/>
  <c r="AJ1143" i="33" s="1"/>
  <c r="E1142" i="33"/>
  <c r="E1141" i="33"/>
  <c r="E1140" i="33"/>
  <c r="E1139" i="33"/>
  <c r="E1138" i="33"/>
  <c r="E1137" i="33"/>
  <c r="E1136" i="33"/>
  <c r="W1135" i="33"/>
  <c r="E1135" i="33"/>
  <c r="AO1134" i="33"/>
  <c r="W1134" i="33"/>
  <c r="E1134" i="33"/>
  <c r="AJ1134" i="33" s="1"/>
  <c r="AE1133" i="33"/>
  <c r="E1133" i="33"/>
  <c r="E1132" i="33"/>
  <c r="AJ1132" i="33" s="1"/>
  <c r="E1131" i="33"/>
  <c r="AJ1131" i="33" s="1"/>
  <c r="E1130" i="33"/>
  <c r="E1129" i="33"/>
  <c r="E1128" i="33"/>
  <c r="AJ1128" i="33" s="1"/>
  <c r="E1127" i="33"/>
  <c r="AJ1127" i="33" s="1"/>
  <c r="W1126" i="33"/>
  <c r="E1126" i="33"/>
  <c r="E1125" i="33"/>
  <c r="AJ1125" i="33" s="1"/>
  <c r="E1124" i="33"/>
  <c r="W1123" i="33"/>
  <c r="E1123" i="33"/>
  <c r="AJ1123" i="33" s="1"/>
  <c r="AE1122" i="33"/>
  <c r="E1122" i="33"/>
  <c r="E1121" i="33"/>
  <c r="E1120" i="33"/>
  <c r="AJ1120" i="33" s="1"/>
  <c r="E1119" i="33"/>
  <c r="W1118" i="33"/>
  <c r="E1118" i="33"/>
  <c r="AJ1118" i="33" s="1"/>
  <c r="E1117" i="33"/>
  <c r="E1116" i="33"/>
  <c r="AJ1116" i="33" s="1"/>
  <c r="E1115" i="33"/>
  <c r="E1114" i="33"/>
  <c r="AJ1114" i="33" s="1"/>
  <c r="AE1113" i="33"/>
  <c r="E1113" i="33"/>
  <c r="AJ1113" i="33" s="1"/>
  <c r="E1112" i="33"/>
  <c r="AJ1112" i="33" s="1"/>
  <c r="E1111" i="33"/>
  <c r="AO1110" i="33"/>
  <c r="W1110" i="33"/>
  <c r="E1110" i="33"/>
  <c r="AJ1110" i="33" s="1"/>
  <c r="W1109" i="33"/>
  <c r="E1109" i="33"/>
  <c r="AJ1109" i="33" s="1"/>
  <c r="W1108" i="33"/>
  <c r="E1108" i="33"/>
  <c r="E1107" i="33"/>
  <c r="E1106" i="33"/>
  <c r="E1105" i="33"/>
  <c r="AJ1105" i="33" s="1"/>
  <c r="E1104" i="33"/>
  <c r="E1103" i="33"/>
  <c r="AE1102" i="33"/>
  <c r="E1102" i="33"/>
  <c r="E1101" i="33"/>
  <c r="AJ1101" i="33" s="1"/>
  <c r="E1100" i="33"/>
  <c r="E1099" i="33"/>
  <c r="AJ1099" i="33" s="1"/>
  <c r="W1098" i="33"/>
  <c r="E1098" i="33"/>
  <c r="AJ1098" i="33" s="1"/>
  <c r="E1097" i="33"/>
  <c r="AJ1097" i="33" s="1"/>
  <c r="E1096" i="33"/>
  <c r="AJ1096" i="33" s="1"/>
  <c r="W1095" i="33"/>
  <c r="E1095" i="33"/>
  <c r="AJ1095" i="33" s="1"/>
  <c r="W1094" i="33"/>
  <c r="E1094" i="33"/>
  <c r="E1093" i="33"/>
  <c r="E1092" i="33"/>
  <c r="AJ1092" i="33" s="1"/>
  <c r="E1091" i="33"/>
  <c r="W1090" i="33"/>
  <c r="E1090" i="33"/>
  <c r="AJ1090" i="33" s="1"/>
  <c r="E1089" i="33"/>
  <c r="AJ1089" i="33" s="1"/>
  <c r="E1088" i="33"/>
  <c r="AJ1088" i="33" s="1"/>
  <c r="AE1087" i="33"/>
  <c r="E1087" i="33"/>
  <c r="AJ1087" i="33" s="1"/>
  <c r="E1086" i="33"/>
  <c r="E1085" i="33"/>
  <c r="AJ1085" i="33" s="1"/>
  <c r="E1084" i="33"/>
  <c r="AJ1084" i="33" s="1"/>
  <c r="W1083" i="33"/>
  <c r="E1083" i="33"/>
  <c r="AJ1083" i="33" s="1"/>
  <c r="W1082" i="33"/>
  <c r="E1082" i="33"/>
  <c r="W1081" i="33"/>
  <c r="E1081" i="33"/>
  <c r="W1080" i="33"/>
  <c r="E1080" i="33"/>
  <c r="AJ1080" i="33" s="1"/>
  <c r="E1079" i="33"/>
  <c r="E1078" i="33"/>
  <c r="E1077" i="33"/>
  <c r="E1076" i="33"/>
  <c r="E1075" i="33"/>
  <c r="W1074" i="33"/>
  <c r="E1074" i="33"/>
  <c r="E1073" i="33"/>
  <c r="E1072" i="33"/>
  <c r="AJ1072" i="33" s="1"/>
  <c r="AE1071" i="33"/>
  <c r="E1071" i="33"/>
  <c r="AJ1071" i="33" s="1"/>
  <c r="E1070" i="33"/>
  <c r="E1069" i="33"/>
  <c r="AJ1069" i="33" s="1"/>
  <c r="E1068" i="33"/>
  <c r="E1067" i="33"/>
  <c r="AJ1067" i="33" s="1"/>
  <c r="E1066" i="33"/>
  <c r="W1065" i="33"/>
  <c r="E1065" i="33"/>
  <c r="AO1064" i="33"/>
  <c r="W1064" i="33"/>
  <c r="E1064" i="33"/>
  <c r="E1063" i="33"/>
  <c r="E1062" i="33"/>
  <c r="E1061" i="33"/>
  <c r="E1060" i="33"/>
  <c r="E1059" i="33"/>
  <c r="E1058" i="33"/>
  <c r="E1057" i="33"/>
  <c r="AJ1057" i="33" s="1"/>
  <c r="E1056" i="33"/>
  <c r="E1055" i="33"/>
  <c r="E1054" i="33"/>
  <c r="AJ1054" i="33" s="1"/>
  <c r="E1053" i="33"/>
  <c r="E1052" i="33"/>
  <c r="AJ1052" i="33" s="1"/>
  <c r="E1051" i="33"/>
  <c r="E1050" i="33"/>
  <c r="E1049" i="33"/>
  <c r="AE1048" i="33"/>
  <c r="E1048" i="33"/>
  <c r="E1047" i="33"/>
  <c r="AJ1047" i="33" s="1"/>
  <c r="W1046" i="33"/>
  <c r="E1046" i="33"/>
  <c r="AJ1046" i="33" s="1"/>
  <c r="W1045" i="33"/>
  <c r="E1045" i="33"/>
  <c r="AJ1045" i="33" s="1"/>
  <c r="W1044" i="33"/>
  <c r="E1044" i="33"/>
  <c r="AJ1044" i="33" s="1"/>
  <c r="E1043" i="33"/>
  <c r="E1042" i="33"/>
  <c r="E1041" i="33"/>
  <c r="AJ1041" i="33" s="1"/>
  <c r="E1040" i="33"/>
  <c r="E1039" i="33"/>
  <c r="AJ1039" i="33" s="1"/>
  <c r="E1038" i="33"/>
  <c r="E1037" i="33"/>
  <c r="W1036" i="33"/>
  <c r="E1036" i="33"/>
  <c r="E1035" i="33"/>
  <c r="E1034" i="33"/>
  <c r="E1033" i="33"/>
  <c r="AE1032" i="33"/>
  <c r="W1032" i="33"/>
  <c r="E1032" i="33"/>
  <c r="AJ1032" i="33" s="1"/>
  <c r="E1031" i="33"/>
  <c r="E1030" i="33"/>
  <c r="AJ1030" i="33" s="1"/>
  <c r="E1029" i="33"/>
  <c r="W1028" i="33"/>
  <c r="E1028" i="33"/>
  <c r="E1027" i="33"/>
  <c r="E1026" i="33"/>
  <c r="E1025" i="33"/>
  <c r="W1024" i="33"/>
  <c r="E1024" i="33"/>
  <c r="W1023" i="33"/>
  <c r="E1023" i="33"/>
  <c r="AJ1023" i="33" s="1"/>
  <c r="W1022" i="33"/>
  <c r="E1022" i="33"/>
  <c r="AJ1022" i="33" s="1"/>
  <c r="E1021" i="33"/>
  <c r="AJ1021" i="33" s="1"/>
  <c r="E1020" i="33"/>
  <c r="AJ1020" i="33" s="1"/>
  <c r="W1019" i="33"/>
  <c r="E1019" i="33"/>
  <c r="E1018" i="33"/>
  <c r="AJ1018" i="33" s="1"/>
  <c r="E1017" i="33"/>
  <c r="W1016" i="33"/>
  <c r="E1016" i="33"/>
  <c r="W1015" i="33"/>
  <c r="E1015" i="33"/>
  <c r="E1014" i="33"/>
  <c r="E1013" i="33"/>
  <c r="W1012" i="33"/>
  <c r="E1012" i="33"/>
  <c r="E1011" i="33"/>
  <c r="W1010" i="33"/>
  <c r="E1010" i="33"/>
  <c r="E1009" i="33"/>
  <c r="W1008" i="33"/>
  <c r="E1008" i="33"/>
  <c r="AJ1008" i="33" s="1"/>
  <c r="E1007" i="33"/>
  <c r="AJ1007" i="33" s="1"/>
  <c r="E1006" i="33"/>
  <c r="AJ1006" i="33" s="1"/>
  <c r="AE1005" i="33"/>
  <c r="E1005" i="33"/>
  <c r="E1004" i="33"/>
  <c r="E1003" i="33"/>
  <c r="E1002" i="33"/>
  <c r="W1001" i="33"/>
  <c r="E1001" i="33"/>
  <c r="W1000" i="33"/>
  <c r="E1000" i="33"/>
  <c r="AJ1000" i="33" s="1"/>
  <c r="E999" i="33"/>
  <c r="E998" i="33"/>
  <c r="W997" i="33"/>
  <c r="E997" i="33"/>
  <c r="AJ997" i="33" s="1"/>
  <c r="E996" i="33"/>
  <c r="AJ996" i="33" s="1"/>
  <c r="W995" i="33"/>
  <c r="E995" i="33"/>
  <c r="AJ995" i="33" s="1"/>
  <c r="W994" i="33"/>
  <c r="E994" i="33"/>
  <c r="E993" i="33"/>
  <c r="E992" i="33"/>
  <c r="AE991" i="33"/>
  <c r="E991" i="33"/>
  <c r="AJ991" i="33" s="1"/>
  <c r="E990" i="33"/>
  <c r="AJ990" i="33" s="1"/>
  <c r="E989" i="33"/>
  <c r="E988" i="33"/>
  <c r="AJ988" i="33" s="1"/>
  <c r="W987" i="33"/>
  <c r="E987" i="33"/>
  <c r="AJ987" i="33" s="1"/>
  <c r="AO986" i="33"/>
  <c r="W986" i="33"/>
  <c r="E986" i="33"/>
  <c r="AJ986" i="33" s="1"/>
  <c r="W985" i="33"/>
  <c r="E985" i="33"/>
  <c r="AE984" i="33"/>
  <c r="E984" i="33"/>
  <c r="AJ984" i="33" s="1"/>
  <c r="E983" i="33"/>
  <c r="E982" i="33"/>
  <c r="AJ982" i="33" s="1"/>
  <c r="E981" i="33"/>
  <c r="E980" i="33"/>
  <c r="E979" i="33"/>
  <c r="E978" i="33"/>
  <c r="AJ978" i="33" s="1"/>
  <c r="E977" i="33"/>
  <c r="E976" i="33"/>
  <c r="AJ976" i="33" s="1"/>
  <c r="E975" i="33"/>
  <c r="E974" i="33"/>
  <c r="AJ974" i="33" s="1"/>
  <c r="E973" i="33"/>
  <c r="AE972" i="33"/>
  <c r="W972" i="33"/>
  <c r="E972" i="33"/>
  <c r="E971" i="33"/>
  <c r="AJ971" i="33" s="1"/>
  <c r="E970" i="33"/>
  <c r="E969" i="33"/>
  <c r="AJ969" i="33" s="1"/>
  <c r="W968" i="33"/>
  <c r="E968" i="33"/>
  <c r="AJ968" i="33" s="1"/>
  <c r="W967" i="33"/>
  <c r="E967" i="33"/>
  <c r="AJ967" i="33" s="1"/>
  <c r="E966" i="33"/>
  <c r="AJ966" i="33" s="1"/>
  <c r="E965" i="33"/>
  <c r="E964" i="33"/>
  <c r="AJ964" i="33" s="1"/>
  <c r="E963" i="33"/>
  <c r="E962" i="33"/>
  <c r="E961" i="33"/>
  <c r="AJ961" i="33" s="1"/>
  <c r="W960" i="33"/>
  <c r="E960" i="33"/>
  <c r="AJ960" i="33" s="1"/>
  <c r="E959" i="33"/>
  <c r="AJ959" i="33" s="1"/>
  <c r="E958" i="33"/>
  <c r="W957" i="33"/>
  <c r="E957" i="33"/>
  <c r="E956" i="33"/>
  <c r="AJ956" i="33" s="1"/>
  <c r="E955" i="33"/>
  <c r="AJ955" i="33" s="1"/>
  <c r="E954" i="33"/>
  <c r="E953" i="33"/>
  <c r="AJ953" i="33" s="1"/>
  <c r="E952" i="33"/>
  <c r="E951" i="33"/>
  <c r="E950" i="33"/>
  <c r="AJ950" i="33" s="1"/>
  <c r="E949" i="33"/>
  <c r="AJ949" i="33" s="1"/>
  <c r="E948" i="33"/>
  <c r="E947" i="33"/>
  <c r="AJ947" i="33" s="1"/>
  <c r="E946" i="33"/>
  <c r="E945" i="33"/>
  <c r="AJ945" i="33" s="1"/>
  <c r="AE944" i="33"/>
  <c r="E944" i="33"/>
  <c r="AJ944" i="33" s="1"/>
  <c r="E943" i="33"/>
  <c r="E942" i="33"/>
  <c r="AJ942" i="33" s="1"/>
  <c r="E941" i="33"/>
  <c r="AJ941" i="33" s="1"/>
  <c r="E940" i="33"/>
  <c r="E939" i="33"/>
  <c r="AJ939" i="33" s="1"/>
  <c r="E938" i="33"/>
  <c r="W937" i="33"/>
  <c r="E937" i="33"/>
  <c r="AJ937" i="33" s="1"/>
  <c r="E936" i="33"/>
  <c r="E935" i="33"/>
  <c r="AJ935" i="33" s="1"/>
  <c r="E934" i="33"/>
  <c r="AJ934" i="33" s="1"/>
  <c r="W933" i="33"/>
  <c r="E933" i="33"/>
  <c r="AJ933" i="33" s="1"/>
  <c r="E932" i="33"/>
  <c r="E931" i="33"/>
  <c r="AJ931" i="33" s="1"/>
  <c r="E930" i="33"/>
  <c r="AJ930" i="33" s="1"/>
  <c r="E929" i="33"/>
  <c r="E928" i="33"/>
  <c r="AJ928" i="33" s="1"/>
  <c r="W927" i="33"/>
  <c r="E927" i="33"/>
  <c r="AJ927" i="33" s="1"/>
  <c r="E926" i="33"/>
  <c r="AJ926" i="33" s="1"/>
  <c r="E925" i="33"/>
  <c r="AJ925" i="33" s="1"/>
  <c r="W924" i="33"/>
  <c r="E924" i="33"/>
  <c r="AJ924" i="33" s="1"/>
  <c r="E923" i="33"/>
  <c r="E922" i="33"/>
  <c r="W921" i="33"/>
  <c r="E921" i="33"/>
  <c r="AJ921" i="33" s="1"/>
  <c r="E920" i="33"/>
  <c r="E919" i="33"/>
  <c r="AJ919" i="33" s="1"/>
  <c r="E918" i="33"/>
  <c r="E917" i="33"/>
  <c r="AJ917" i="33" s="1"/>
  <c r="W916" i="33"/>
  <c r="E916" i="33"/>
  <c r="AJ916" i="33" s="1"/>
  <c r="AE915" i="33"/>
  <c r="E915" i="33"/>
  <c r="AJ915" i="33" s="1"/>
  <c r="E800" i="33"/>
  <c r="E799" i="33"/>
  <c r="AJ799" i="33" s="1"/>
  <c r="E798" i="33"/>
  <c r="E797" i="33"/>
  <c r="AJ797" i="33" s="1"/>
  <c r="E796" i="33"/>
  <c r="AJ796" i="33" s="1"/>
  <c r="W795" i="33"/>
  <c r="F795" i="33"/>
  <c r="E795" i="33"/>
  <c r="W794" i="33"/>
  <c r="F794" i="33"/>
  <c r="E794" i="33"/>
  <c r="W793" i="33"/>
  <c r="F793" i="33"/>
  <c r="E793" i="33"/>
  <c r="E792" i="33"/>
  <c r="AJ792" i="33" s="1"/>
  <c r="E791" i="33"/>
  <c r="AJ791" i="33" s="1"/>
  <c r="E790" i="33"/>
  <c r="E789" i="33"/>
  <c r="AJ789" i="33" s="1"/>
  <c r="E788" i="33"/>
  <c r="AJ788" i="33" s="1"/>
  <c r="E787" i="33"/>
  <c r="AJ787" i="33" s="1"/>
  <c r="E786" i="33"/>
  <c r="E785" i="33"/>
  <c r="E784" i="33"/>
  <c r="AJ784" i="33" s="1"/>
  <c r="E783" i="33"/>
  <c r="AJ783" i="33" s="1"/>
  <c r="E782" i="33"/>
  <c r="E781" i="33"/>
  <c r="E780" i="33"/>
  <c r="AJ780" i="33" s="1"/>
  <c r="E779" i="33"/>
  <c r="E778" i="33"/>
  <c r="AJ778" i="33" s="1"/>
  <c r="E777" i="33"/>
  <c r="E776" i="33"/>
  <c r="AJ776" i="33" s="1"/>
  <c r="E775" i="33"/>
  <c r="E774" i="33"/>
  <c r="AJ774" i="33" s="1"/>
  <c r="E773" i="33"/>
  <c r="AJ773" i="33" s="1"/>
  <c r="E772" i="33"/>
  <c r="E771" i="33"/>
  <c r="E770" i="33"/>
  <c r="E769" i="33"/>
  <c r="AJ769" i="33" s="1"/>
  <c r="E768" i="33"/>
  <c r="AJ768" i="33" s="1"/>
  <c r="E767" i="33"/>
  <c r="AJ767" i="33" s="1"/>
  <c r="E766" i="33"/>
  <c r="E765" i="33"/>
  <c r="E764" i="33"/>
  <c r="E763" i="33"/>
  <c r="E761" i="33"/>
  <c r="AJ761" i="33" s="1"/>
  <c r="E760" i="33"/>
  <c r="E759" i="33"/>
  <c r="AJ759" i="33" s="1"/>
  <c r="E758" i="33"/>
  <c r="AJ758" i="33" s="1"/>
  <c r="E757" i="33"/>
  <c r="AJ757" i="33" s="1"/>
  <c r="E756" i="33"/>
  <c r="E755" i="33"/>
  <c r="AJ755" i="33" s="1"/>
  <c r="E753" i="33"/>
  <c r="AJ753" i="33" s="1"/>
  <c r="E750" i="33"/>
  <c r="AJ750" i="33" s="1"/>
  <c r="E749" i="33"/>
  <c r="E748" i="33"/>
  <c r="E747" i="33"/>
  <c r="E746" i="33"/>
  <c r="AJ746" i="33" s="1"/>
  <c r="E745" i="33"/>
  <c r="E744" i="33"/>
  <c r="W743" i="33"/>
  <c r="F743" i="33"/>
  <c r="E743" i="33"/>
  <c r="W742" i="33"/>
  <c r="F742" i="33"/>
  <c r="E742" i="33"/>
  <c r="E741" i="33"/>
  <c r="AJ741" i="33" s="1"/>
  <c r="E740" i="33"/>
  <c r="AJ740" i="33" s="1"/>
  <c r="E739" i="33"/>
  <c r="AJ739" i="33" s="1"/>
  <c r="E738" i="33"/>
  <c r="AJ738" i="33" s="1"/>
  <c r="E737" i="33"/>
  <c r="AJ737" i="33" s="1"/>
  <c r="E720" i="33"/>
  <c r="E721" i="33"/>
  <c r="E719" i="33"/>
  <c r="W715" i="33"/>
  <c r="F715" i="33"/>
  <c r="E715" i="33"/>
  <c r="W714" i="33"/>
  <c r="F714" i="33"/>
  <c r="E714" i="33"/>
  <c r="E713" i="33"/>
  <c r="E712" i="33"/>
  <c r="E711" i="33"/>
  <c r="E710" i="33"/>
  <c r="E709" i="33"/>
  <c r="E708" i="33"/>
  <c r="E707" i="33"/>
  <c r="E706" i="33"/>
  <c r="E705" i="33"/>
  <c r="W704" i="33"/>
  <c r="F704" i="33"/>
  <c r="E704" i="33"/>
  <c r="W703" i="33"/>
  <c r="F703" i="33"/>
  <c r="E703" i="33"/>
  <c r="E702" i="33"/>
  <c r="E701" i="33"/>
  <c r="E700" i="33"/>
  <c r="E699" i="33"/>
  <c r="E697" i="33"/>
  <c r="E696" i="33"/>
  <c r="E695" i="33"/>
  <c r="E694" i="33"/>
  <c r="W693" i="33"/>
  <c r="F693" i="33"/>
  <c r="E693" i="33"/>
  <c r="W691" i="33"/>
  <c r="F691" i="33"/>
  <c r="E691" i="33"/>
  <c r="E690" i="33"/>
  <c r="E689" i="33"/>
  <c r="E688" i="33"/>
  <c r="E687" i="33"/>
  <c r="E686" i="33"/>
  <c r="E685" i="33"/>
  <c r="E684" i="33"/>
  <c r="E683" i="33"/>
  <c r="E682" i="33"/>
  <c r="E681" i="33"/>
  <c r="E680" i="33"/>
  <c r="E679" i="33"/>
  <c r="E678" i="33"/>
  <c r="E676" i="33"/>
  <c r="E677" i="33"/>
  <c r="E675" i="33"/>
  <c r="E674" i="33"/>
  <c r="E673" i="33"/>
  <c r="E672" i="33"/>
  <c r="E671" i="33"/>
  <c r="E670" i="33"/>
  <c r="E669" i="33"/>
  <c r="W668" i="33"/>
  <c r="F668" i="33"/>
  <c r="E668" i="33"/>
  <c r="W667" i="33"/>
  <c r="F667" i="33"/>
  <c r="E667" i="33"/>
  <c r="W666" i="33"/>
  <c r="F666" i="33"/>
  <c r="E666" i="33"/>
  <c r="W665" i="33"/>
  <c r="F665" i="33"/>
  <c r="E665" i="33"/>
  <c r="W664" i="33"/>
  <c r="F664" i="33"/>
  <c r="E664" i="33"/>
  <c r="W663" i="33"/>
  <c r="F663" i="33"/>
  <c r="E663" i="33"/>
  <c r="W662" i="33"/>
  <c r="F662" i="33"/>
  <c r="E662" i="33"/>
  <c r="E661" i="33"/>
  <c r="E660" i="33"/>
  <c r="E659" i="33"/>
  <c r="E658" i="33"/>
  <c r="E657" i="33"/>
  <c r="E656" i="33"/>
  <c r="E655" i="33"/>
  <c r="E654" i="33"/>
  <c r="E653" i="33"/>
  <c r="E652" i="33"/>
  <c r="E651" i="33"/>
  <c r="E650" i="33"/>
  <c r="E649" i="33"/>
  <c r="E648" i="33"/>
  <c r="E647" i="33"/>
  <c r="E646" i="33"/>
  <c r="E645" i="33"/>
  <c r="E644" i="33"/>
  <c r="E643" i="33"/>
  <c r="E642" i="33"/>
  <c r="E641" i="33"/>
  <c r="W640" i="33"/>
  <c r="F640" i="33"/>
  <c r="E640" i="33"/>
  <c r="W639" i="33"/>
  <c r="F639" i="33"/>
  <c r="E639" i="33"/>
  <c r="E637" i="33"/>
  <c r="E636" i="33"/>
  <c r="E635" i="33"/>
  <c r="E634" i="33"/>
  <c r="E633" i="33"/>
  <c r="E632" i="33"/>
  <c r="E631" i="33"/>
  <c r="E630" i="33"/>
  <c r="E629" i="33"/>
  <c r="E628" i="33"/>
  <c r="W627" i="33"/>
  <c r="F627" i="33"/>
  <c r="E627" i="33"/>
  <c r="E625" i="33"/>
  <c r="E624" i="33"/>
  <c r="E623" i="33"/>
  <c r="E622" i="33"/>
  <c r="E621" i="33"/>
  <c r="E620" i="33"/>
  <c r="E619" i="33"/>
  <c r="E618" i="33"/>
  <c r="E617" i="33"/>
  <c r="E616" i="33"/>
  <c r="E615" i="33"/>
  <c r="E614" i="33"/>
  <c r="E613" i="33"/>
  <c r="W612" i="33"/>
  <c r="F612" i="33"/>
  <c r="E612" i="33"/>
  <c r="W611" i="33"/>
  <c r="F611" i="33"/>
  <c r="E611" i="33"/>
  <c r="W610" i="33"/>
  <c r="F610" i="33"/>
  <c r="E610" i="33"/>
  <c r="W609" i="33"/>
  <c r="F609" i="33"/>
  <c r="E609" i="33"/>
  <c r="E607" i="33"/>
  <c r="E606" i="33"/>
  <c r="E605" i="33"/>
  <c r="E604" i="33"/>
  <c r="E603" i="33"/>
  <c r="E602" i="33"/>
  <c r="E601" i="33"/>
  <c r="W600" i="33"/>
  <c r="F600" i="33"/>
  <c r="E600" i="33"/>
  <c r="W599" i="33"/>
  <c r="F599" i="33"/>
  <c r="E599" i="33"/>
  <c r="W598" i="33"/>
  <c r="F598" i="33"/>
  <c r="E598" i="33"/>
  <c r="W597" i="33"/>
  <c r="F597" i="33"/>
  <c r="E597" i="33"/>
  <c r="W596" i="33"/>
  <c r="F596" i="33"/>
  <c r="E596" i="33"/>
  <c r="W595" i="33"/>
  <c r="F595" i="33"/>
  <c r="E595" i="33"/>
  <c r="E594" i="33"/>
  <c r="E593" i="33"/>
  <c r="E592" i="33"/>
  <c r="E591" i="33"/>
  <c r="E590" i="33"/>
  <c r="E589" i="33"/>
  <c r="E588" i="33"/>
  <c r="E587" i="33"/>
  <c r="E586" i="33"/>
  <c r="W585" i="33"/>
  <c r="F585" i="33"/>
  <c r="E585" i="33"/>
  <c r="W584" i="33"/>
  <c r="F584" i="33"/>
  <c r="E584" i="33"/>
  <c r="W583" i="33"/>
  <c r="F583" i="33"/>
  <c r="E583" i="33"/>
  <c r="W582" i="33"/>
  <c r="F582" i="33"/>
  <c r="E582" i="33"/>
  <c r="W581" i="33"/>
  <c r="F581" i="33"/>
  <c r="E581" i="33"/>
  <c r="W580" i="33"/>
  <c r="F580" i="33"/>
  <c r="E580" i="33"/>
  <c r="W579" i="33"/>
  <c r="F579" i="33"/>
  <c r="E579" i="33"/>
  <c r="W578" i="33"/>
  <c r="F578" i="33"/>
  <c r="E578" i="33"/>
  <c r="W577" i="33"/>
  <c r="F577" i="33"/>
  <c r="E577" i="33"/>
  <c r="E576" i="33"/>
  <c r="E575" i="33"/>
  <c r="E574" i="33"/>
  <c r="W573" i="33"/>
  <c r="F573" i="33"/>
  <c r="E573" i="33"/>
  <c r="E572" i="33"/>
  <c r="E571" i="33"/>
  <c r="E570" i="33"/>
  <c r="E569" i="33"/>
  <c r="E568" i="33"/>
  <c r="W567" i="33"/>
  <c r="F567" i="33"/>
  <c r="E567" i="33"/>
  <c r="W566" i="33"/>
  <c r="F566" i="33"/>
  <c r="E566" i="33"/>
  <c r="E565" i="33"/>
  <c r="E564" i="33"/>
  <c r="E563" i="33"/>
  <c r="E562" i="33"/>
  <c r="E561" i="33"/>
  <c r="E560" i="33"/>
  <c r="E559" i="33"/>
  <c r="E558" i="33"/>
  <c r="E556" i="33"/>
  <c r="E557" i="33"/>
  <c r="E555" i="33"/>
  <c r="E554" i="33"/>
  <c r="W553" i="33"/>
  <c r="F553" i="33"/>
  <c r="E553" i="33"/>
  <c r="W552" i="33"/>
  <c r="F552" i="33"/>
  <c r="E552" i="33"/>
  <c r="E551" i="33"/>
  <c r="E550" i="33"/>
  <c r="E549" i="33"/>
  <c r="E548" i="33"/>
  <c r="E547" i="33"/>
  <c r="E546" i="33"/>
  <c r="E545" i="33"/>
  <c r="E544" i="33"/>
  <c r="E543" i="33"/>
  <c r="E542" i="33"/>
  <c r="E541" i="33"/>
  <c r="E540" i="33"/>
  <c r="E539" i="33"/>
  <c r="W538" i="33"/>
  <c r="F538" i="33"/>
  <c r="E538" i="33"/>
  <c r="W537" i="33"/>
  <c r="F537" i="33"/>
  <c r="E537" i="33"/>
  <c r="E536" i="33"/>
  <c r="E535" i="33"/>
  <c r="E534" i="33"/>
  <c r="E533" i="33"/>
  <c r="W532" i="33"/>
  <c r="F532" i="33"/>
  <c r="E532" i="33"/>
  <c r="E531" i="33"/>
  <c r="E530" i="33"/>
  <c r="E529" i="33"/>
  <c r="E528" i="33"/>
  <c r="E527" i="33"/>
  <c r="E526" i="33"/>
  <c r="E525" i="33"/>
  <c r="E524" i="33"/>
  <c r="E523" i="33"/>
  <c r="E522" i="33"/>
  <c r="E521" i="33"/>
  <c r="E520" i="33"/>
  <c r="E519" i="33"/>
  <c r="E518" i="33"/>
  <c r="E517" i="33"/>
  <c r="E516" i="33"/>
  <c r="E515" i="33"/>
  <c r="E514" i="33"/>
  <c r="E513" i="33"/>
  <c r="E512" i="33"/>
  <c r="W511" i="33"/>
  <c r="F511" i="33"/>
  <c r="E511" i="33"/>
  <c r="W510" i="33"/>
  <c r="F510" i="33"/>
  <c r="E510" i="33"/>
  <c r="W509" i="33"/>
  <c r="F509" i="33"/>
  <c r="E509" i="33"/>
  <c r="W508" i="33"/>
  <c r="F508" i="33"/>
  <c r="E508" i="33"/>
  <c r="W507" i="33"/>
  <c r="F507" i="33"/>
  <c r="E507" i="33"/>
  <c r="E506" i="33"/>
  <c r="E505" i="33"/>
  <c r="E504" i="33"/>
  <c r="E503" i="33"/>
  <c r="E502" i="33"/>
  <c r="E501" i="33"/>
  <c r="E500" i="33"/>
  <c r="E499" i="33"/>
  <c r="E498" i="33"/>
  <c r="E497" i="33"/>
  <c r="E496" i="33"/>
  <c r="E495" i="33"/>
  <c r="E494" i="33"/>
  <c r="E493" i="33"/>
  <c r="E492" i="33"/>
  <c r="W491" i="33"/>
  <c r="F491" i="33"/>
  <c r="E491" i="33"/>
  <c r="W490" i="33"/>
  <c r="F490" i="33"/>
  <c r="E490" i="33"/>
  <c r="E489" i="33"/>
  <c r="E488" i="33"/>
  <c r="E487" i="33"/>
  <c r="E486" i="33"/>
  <c r="E485" i="33"/>
  <c r="E484" i="33"/>
  <c r="E483" i="33"/>
  <c r="E482" i="33"/>
  <c r="E481" i="33"/>
  <c r="E480" i="33"/>
  <c r="W479" i="33"/>
  <c r="F479" i="33"/>
  <c r="E479" i="33"/>
  <c r="E478" i="33"/>
  <c r="E477" i="33"/>
  <c r="E476" i="33"/>
  <c r="E475" i="33"/>
  <c r="E474" i="33"/>
  <c r="E473" i="33"/>
  <c r="E472" i="33"/>
  <c r="W471" i="33"/>
  <c r="F471" i="33"/>
  <c r="E471" i="33"/>
  <c r="W470" i="33"/>
  <c r="F470" i="33"/>
  <c r="E470" i="33"/>
  <c r="E469" i="33"/>
  <c r="E468" i="33"/>
  <c r="E467" i="33"/>
  <c r="E466" i="33"/>
  <c r="E465" i="33"/>
  <c r="E464" i="33"/>
  <c r="E463" i="33"/>
  <c r="E462" i="33"/>
  <c r="E461" i="33"/>
  <c r="E460" i="33"/>
  <c r="E459" i="33"/>
  <c r="E458" i="33"/>
  <c r="E457" i="33"/>
  <c r="E456" i="33"/>
  <c r="E455" i="33"/>
  <c r="E454" i="33"/>
  <c r="W453" i="33"/>
  <c r="F453" i="33"/>
  <c r="E453" i="33"/>
  <c r="W452" i="33"/>
  <c r="F452" i="33"/>
  <c r="E452" i="33"/>
  <c r="E451" i="33"/>
  <c r="E450" i="33"/>
  <c r="E449" i="33"/>
  <c r="E448" i="33"/>
  <c r="E447" i="33"/>
  <c r="E446" i="33"/>
  <c r="E445" i="33"/>
  <c r="E444" i="33"/>
  <c r="E443" i="33"/>
  <c r="E442" i="33"/>
  <c r="E441" i="33"/>
  <c r="E440" i="33"/>
  <c r="E439" i="33"/>
  <c r="E438" i="33"/>
  <c r="E437" i="33"/>
  <c r="E436" i="33"/>
  <c r="E435" i="33"/>
  <c r="W434" i="33"/>
  <c r="F434" i="33"/>
  <c r="E434" i="33"/>
  <c r="W433" i="33"/>
  <c r="F433" i="33"/>
  <c r="E433" i="33"/>
  <c r="W432" i="33"/>
  <c r="F432" i="33"/>
  <c r="E432" i="33"/>
  <c r="W431" i="33"/>
  <c r="F431" i="33"/>
  <c r="E431" i="33"/>
  <c r="W430" i="33"/>
  <c r="F430" i="33"/>
  <c r="E430" i="33"/>
  <c r="E429" i="33"/>
  <c r="E428" i="33"/>
  <c r="E427" i="33"/>
  <c r="E426" i="33"/>
  <c r="E425" i="33"/>
  <c r="E424" i="33"/>
  <c r="E423" i="33"/>
  <c r="E422" i="33"/>
  <c r="E421" i="33"/>
  <c r="E420" i="33"/>
  <c r="E419" i="33"/>
  <c r="E418" i="33"/>
  <c r="E417" i="33"/>
  <c r="E416" i="33"/>
  <c r="E415" i="33"/>
  <c r="E414" i="33"/>
  <c r="E413" i="33"/>
  <c r="E412" i="33"/>
  <c r="E411" i="33"/>
  <c r="E410" i="33"/>
  <c r="E409" i="33"/>
  <c r="W408" i="33"/>
  <c r="F408" i="33"/>
  <c r="E408" i="33"/>
  <c r="W407" i="33"/>
  <c r="F407" i="33"/>
  <c r="E407" i="33"/>
  <c r="W406" i="33"/>
  <c r="F406" i="33"/>
  <c r="E406" i="33"/>
  <c r="W405" i="33"/>
  <c r="F405" i="33"/>
  <c r="E405" i="33"/>
  <c r="E404" i="33"/>
  <c r="E403" i="33"/>
  <c r="E402" i="33"/>
  <c r="E401" i="33"/>
  <c r="E400" i="33"/>
  <c r="E399" i="33"/>
  <c r="E398" i="33"/>
  <c r="E397" i="33"/>
  <c r="E396" i="33"/>
  <c r="W395" i="33"/>
  <c r="F395" i="33"/>
  <c r="E395" i="33"/>
  <c r="W394" i="33"/>
  <c r="F394" i="33"/>
  <c r="E394" i="33"/>
  <c r="E393" i="33"/>
  <c r="E392" i="33"/>
  <c r="E391" i="33"/>
  <c r="E390" i="33"/>
  <c r="E389" i="33"/>
  <c r="E388" i="33"/>
  <c r="E387" i="33"/>
  <c r="E386" i="33"/>
  <c r="E385" i="33"/>
  <c r="E384" i="33"/>
  <c r="W383" i="33"/>
  <c r="F383" i="33"/>
  <c r="E383" i="33"/>
  <c r="W382" i="33"/>
  <c r="F382" i="33"/>
  <c r="E382" i="33"/>
  <c r="E381" i="33"/>
  <c r="E380" i="33"/>
  <c r="E379" i="33"/>
  <c r="E378" i="33"/>
  <c r="E377" i="33"/>
  <c r="E376" i="33"/>
  <c r="E375" i="33"/>
  <c r="E374" i="33"/>
  <c r="E373" i="33"/>
  <c r="E372" i="33"/>
  <c r="E371" i="33"/>
  <c r="E370" i="33"/>
  <c r="E369" i="33"/>
  <c r="W368" i="33"/>
  <c r="F368" i="33"/>
  <c r="E368" i="33"/>
  <c r="W367" i="33"/>
  <c r="F367" i="33"/>
  <c r="E367" i="33"/>
  <c r="W366" i="33"/>
  <c r="F366" i="33"/>
  <c r="E366" i="33"/>
  <c r="E365" i="33"/>
  <c r="E364" i="33"/>
  <c r="E363" i="33"/>
  <c r="E362" i="33"/>
  <c r="E359" i="33"/>
  <c r="E358" i="33"/>
  <c r="E357" i="33"/>
  <c r="E356" i="33"/>
  <c r="E355" i="33"/>
  <c r="E354" i="33"/>
  <c r="E353" i="33"/>
  <c r="W352" i="33"/>
  <c r="F352" i="33"/>
  <c r="E352" i="33"/>
  <c r="W351" i="33"/>
  <c r="F351" i="33"/>
  <c r="E351" i="33"/>
  <c r="W350" i="33"/>
  <c r="F350" i="33"/>
  <c r="E350" i="33"/>
  <c r="W349" i="33"/>
  <c r="F349" i="33"/>
  <c r="E349" i="33"/>
  <c r="E348" i="33"/>
  <c r="E347" i="33"/>
  <c r="E346" i="33"/>
  <c r="E345" i="33"/>
  <c r="E344" i="33"/>
  <c r="E343" i="33"/>
  <c r="E342" i="33"/>
  <c r="E341" i="33"/>
  <c r="E340" i="33"/>
  <c r="E338" i="33"/>
  <c r="E339" i="33"/>
  <c r="E337" i="33"/>
  <c r="E336" i="33"/>
  <c r="E335" i="33"/>
  <c r="E334" i="33"/>
  <c r="W333" i="33"/>
  <c r="F333" i="33"/>
  <c r="E333" i="33"/>
  <c r="W332" i="33"/>
  <c r="F332" i="33"/>
  <c r="E332" i="33"/>
  <c r="W330" i="33"/>
  <c r="F330" i="33"/>
  <c r="E330" i="33"/>
  <c r="E329" i="33"/>
  <c r="E328" i="33"/>
  <c r="E327" i="33"/>
  <c r="E319" i="33"/>
  <c r="E317" i="33"/>
  <c r="E318" i="33"/>
  <c r="E321" i="33"/>
  <c r="E316" i="33"/>
  <c r="E325" i="33"/>
  <c r="E324" i="33"/>
  <c r="E323" i="33"/>
  <c r="W331" i="33"/>
  <c r="F331" i="33"/>
  <c r="E331" i="33"/>
  <c r="W315" i="33"/>
  <c r="F315" i="33"/>
  <c r="E315" i="33"/>
  <c r="W314" i="33"/>
  <c r="F314" i="33"/>
  <c r="E314" i="33"/>
  <c r="E313" i="33"/>
  <c r="E312" i="33"/>
  <c r="E311" i="33"/>
  <c r="E310" i="33"/>
  <c r="E309" i="33"/>
  <c r="E308" i="33"/>
  <c r="E307" i="33"/>
  <c r="E306" i="33"/>
  <c r="E305" i="33"/>
  <c r="E304" i="33"/>
  <c r="E303" i="33"/>
  <c r="E302" i="33"/>
  <c r="E301" i="33"/>
  <c r="E300" i="33"/>
  <c r="E299" i="33"/>
  <c r="E298" i="33"/>
  <c r="E297" i="33"/>
  <c r="E296" i="33"/>
  <c r="E295" i="33"/>
  <c r="E294" i="33"/>
  <c r="E293" i="33"/>
  <c r="E292" i="33"/>
  <c r="E291" i="33"/>
  <c r="E290" i="33"/>
  <c r="E289" i="33"/>
  <c r="E287" i="33"/>
  <c r="E288" i="33"/>
  <c r="E286" i="33"/>
  <c r="E285" i="33"/>
  <c r="W284" i="33"/>
  <c r="F284" i="33"/>
  <c r="E284" i="33"/>
  <c r="W283" i="33"/>
  <c r="F283" i="33"/>
  <c r="E283" i="33"/>
  <c r="W282" i="33"/>
  <c r="F282" i="33"/>
  <c r="E282" i="33"/>
  <c r="E281" i="33"/>
  <c r="E280" i="33"/>
  <c r="E279" i="33"/>
  <c r="E278" i="33"/>
  <c r="E277" i="33"/>
  <c r="E276" i="33"/>
  <c r="E275" i="33"/>
  <c r="E274" i="33"/>
  <c r="E273" i="33"/>
  <c r="E272" i="33"/>
  <c r="E271" i="33"/>
  <c r="E270" i="33"/>
  <c r="E269" i="33"/>
  <c r="E268" i="33"/>
  <c r="E267" i="33"/>
  <c r="E265" i="33"/>
  <c r="E264" i="33"/>
  <c r="E263" i="33"/>
  <c r="E261" i="33"/>
  <c r="E262" i="33"/>
  <c r="E260" i="33"/>
  <c r="E259" i="33"/>
  <c r="E258" i="33"/>
  <c r="W257" i="33"/>
  <c r="F257" i="33"/>
  <c r="E257" i="33"/>
  <c r="E255" i="33"/>
  <c r="E254" i="33"/>
  <c r="E253" i="33"/>
  <c r="E252" i="33"/>
  <c r="E251" i="33"/>
  <c r="E250" i="33"/>
  <c r="E249" i="33"/>
  <c r="E248" i="33"/>
  <c r="E247" i="33"/>
  <c r="E246" i="33"/>
  <c r="E245" i="33"/>
  <c r="E244" i="33"/>
  <c r="E243" i="33"/>
  <c r="E242" i="33"/>
  <c r="E241" i="33"/>
  <c r="W240" i="33"/>
  <c r="F240" i="33"/>
  <c r="E240" i="33"/>
  <c r="W239" i="33"/>
  <c r="F239" i="33"/>
  <c r="E239" i="33"/>
  <c r="W238" i="33"/>
  <c r="F238" i="33"/>
  <c r="E238" i="33"/>
  <c r="E237" i="33"/>
  <c r="E236" i="33"/>
  <c r="E235" i="33"/>
  <c r="E234" i="33"/>
  <c r="E233" i="33"/>
  <c r="E232" i="33"/>
  <c r="E231" i="33"/>
  <c r="E230" i="33"/>
  <c r="E229" i="33"/>
  <c r="E228" i="33"/>
  <c r="E227" i="33"/>
  <c r="E226" i="33"/>
  <c r="E225" i="33"/>
  <c r="W224" i="33"/>
  <c r="F224" i="33"/>
  <c r="E224" i="33"/>
  <c r="W223" i="33"/>
  <c r="F223" i="33"/>
  <c r="E223" i="33"/>
  <c r="W222" i="33"/>
  <c r="F222" i="33"/>
  <c r="E222" i="33"/>
  <c r="E221" i="33"/>
  <c r="E220" i="33"/>
  <c r="E219" i="33"/>
  <c r="E218" i="33"/>
  <c r="E217" i="33"/>
  <c r="W216" i="33"/>
  <c r="F216" i="33"/>
  <c r="E216" i="33"/>
  <c r="W215" i="33"/>
  <c r="F215" i="33"/>
  <c r="E215" i="33"/>
  <c r="E214" i="33"/>
  <c r="E213" i="33"/>
  <c r="E212" i="33"/>
  <c r="E211" i="33"/>
  <c r="E208" i="33"/>
  <c r="E207" i="33"/>
  <c r="E206" i="33"/>
  <c r="E205" i="33"/>
  <c r="E204" i="33"/>
  <c r="E203" i="33"/>
  <c r="E202" i="33"/>
  <c r="E200" i="33"/>
  <c r="W197" i="33"/>
  <c r="F197" i="33"/>
  <c r="E197" i="33"/>
  <c r="W196" i="33"/>
  <c r="F196" i="33"/>
  <c r="E196" i="33"/>
  <c r="W195" i="33"/>
  <c r="F195" i="33"/>
  <c r="E195" i="33"/>
  <c r="E194" i="33"/>
  <c r="E193" i="33"/>
  <c r="E192" i="33"/>
  <c r="E191" i="33"/>
  <c r="E190" i="33"/>
  <c r="W189" i="33"/>
  <c r="F189" i="33"/>
  <c r="E189" i="33"/>
  <c r="E188" i="33"/>
  <c r="E187" i="33"/>
  <c r="E186" i="33"/>
  <c r="E185" i="33"/>
  <c r="E184" i="33"/>
  <c r="W183" i="33"/>
  <c r="F183" i="33"/>
  <c r="E183" i="33"/>
  <c r="W182" i="33"/>
  <c r="F182" i="33"/>
  <c r="E182" i="33"/>
  <c r="E181" i="33"/>
  <c r="E180" i="33"/>
  <c r="E179" i="33"/>
  <c r="E178" i="33"/>
  <c r="E175" i="33"/>
  <c r="E174" i="33"/>
  <c r="E171" i="33"/>
  <c r="E170" i="33"/>
  <c r="W169" i="33"/>
  <c r="F169" i="33"/>
  <c r="E169" i="33"/>
  <c r="E168" i="33"/>
  <c r="E167" i="33"/>
  <c r="E166" i="33"/>
  <c r="E165" i="33"/>
  <c r="E164" i="33"/>
  <c r="E163" i="33"/>
  <c r="E162" i="33"/>
  <c r="E161" i="33"/>
  <c r="E160" i="33"/>
  <c r="E159" i="33"/>
  <c r="W158" i="33"/>
  <c r="F158" i="33"/>
  <c r="E158" i="33"/>
  <c r="W157" i="33"/>
  <c r="F157" i="33"/>
  <c r="E157" i="33"/>
  <c r="E156" i="33"/>
  <c r="E155" i="33"/>
  <c r="E154" i="33"/>
  <c r="E153" i="33"/>
  <c r="E152" i="33"/>
  <c r="E151" i="33"/>
  <c r="E150" i="33"/>
  <c r="E149" i="33"/>
  <c r="E148" i="33"/>
  <c r="W147" i="33"/>
  <c r="F147" i="33"/>
  <c r="E147" i="33"/>
  <c r="W146" i="33"/>
  <c r="F146" i="33"/>
  <c r="E146" i="33"/>
  <c r="E145" i="33"/>
  <c r="E144" i="33"/>
  <c r="E143" i="33"/>
  <c r="E142" i="33"/>
  <c r="E141" i="33"/>
  <c r="W139" i="33"/>
  <c r="F139" i="33"/>
  <c r="E139" i="33"/>
  <c r="E138" i="33"/>
  <c r="E137" i="33"/>
  <c r="E136" i="33"/>
  <c r="E135" i="33"/>
  <c r="E133" i="33"/>
  <c r="E131" i="33"/>
  <c r="W129" i="33"/>
  <c r="F129" i="33"/>
  <c r="E129" i="33"/>
  <c r="E128" i="33"/>
  <c r="E127" i="33"/>
  <c r="E126" i="33"/>
  <c r="E123" i="33"/>
  <c r="E122" i="33"/>
  <c r="E121" i="33"/>
  <c r="W120" i="33"/>
  <c r="F120" i="33"/>
  <c r="E120" i="33"/>
  <c r="W119" i="33"/>
  <c r="F119" i="33"/>
  <c r="E119" i="33"/>
  <c r="W117" i="33"/>
  <c r="F117" i="33"/>
  <c r="E117" i="33"/>
  <c r="W116" i="33"/>
  <c r="F116" i="33"/>
  <c r="E116" i="33"/>
  <c r="W115" i="33"/>
  <c r="F115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99" i="33"/>
  <c r="E100" i="33"/>
  <c r="E98" i="33"/>
  <c r="E97" i="33"/>
  <c r="E96" i="33"/>
  <c r="E95" i="33"/>
  <c r="E93" i="33"/>
  <c r="E94" i="33"/>
  <c r="E92" i="33"/>
  <c r="E91" i="33"/>
  <c r="W90" i="33"/>
  <c r="F90" i="33"/>
  <c r="E90" i="33"/>
  <c r="W89" i="33"/>
  <c r="F89" i="33"/>
  <c r="E89" i="33"/>
  <c r="W88" i="33"/>
  <c r="F88" i="33"/>
  <c r="E88" i="33"/>
  <c r="E87" i="33"/>
  <c r="E86" i="33"/>
  <c r="E85" i="33"/>
  <c r="E83" i="33"/>
  <c r="E84" i="33"/>
  <c r="E82" i="33"/>
  <c r="E81" i="33"/>
  <c r="W80" i="33"/>
  <c r="F80" i="33"/>
  <c r="E80" i="33"/>
  <c r="W79" i="33"/>
  <c r="F79" i="33"/>
  <c r="E79" i="33"/>
  <c r="W78" i="33"/>
  <c r="F78" i="33"/>
  <c r="E78" i="33"/>
  <c r="E77" i="33"/>
  <c r="E76" i="33"/>
  <c r="E75" i="33"/>
  <c r="E74" i="33"/>
  <c r="E73" i="33"/>
  <c r="W72" i="33"/>
  <c r="F72" i="33"/>
  <c r="E72" i="33"/>
  <c r="W71" i="33"/>
  <c r="F71" i="33"/>
  <c r="E71" i="33"/>
  <c r="W70" i="33"/>
  <c r="F70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W57" i="33"/>
  <c r="F57" i="33"/>
  <c r="E57" i="33"/>
  <c r="W56" i="33"/>
  <c r="F56" i="33"/>
  <c r="E56" i="33"/>
  <c r="W55" i="33"/>
  <c r="F55" i="33"/>
  <c r="E55" i="33"/>
  <c r="W54" i="33"/>
  <c r="F54" i="33"/>
  <c r="E54" i="33"/>
  <c r="W53" i="33"/>
  <c r="F53" i="33"/>
  <c r="E53" i="33"/>
  <c r="W52" i="33"/>
  <c r="F52" i="33"/>
  <c r="E52" i="33"/>
  <c r="E51" i="33"/>
  <c r="E50" i="33"/>
  <c r="E49" i="33"/>
  <c r="E48" i="33"/>
  <c r="E47" i="33"/>
  <c r="E46" i="33"/>
  <c r="E45" i="33"/>
  <c r="E44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W22" i="33"/>
  <c r="F22" i="33"/>
  <c r="E22" i="33"/>
  <c r="W21" i="33"/>
  <c r="F21" i="33"/>
  <c r="E21" i="33"/>
  <c r="W20" i="33"/>
  <c r="F20" i="33"/>
  <c r="E20" i="33"/>
  <c r="W6" i="33"/>
  <c r="F6" i="33"/>
  <c r="E6" i="33"/>
  <c r="E18" i="33"/>
  <c r="E17" i="33"/>
  <c r="E16" i="33"/>
  <c r="E15" i="33"/>
  <c r="E14" i="33"/>
  <c r="E13" i="33"/>
  <c r="E12" i="33"/>
  <c r="E11" i="33"/>
  <c r="E10" i="33"/>
  <c r="E8" i="33"/>
  <c r="W9" i="33"/>
  <c r="F9" i="33"/>
  <c r="E9" i="33"/>
  <c r="W7" i="33"/>
  <c r="F7" i="33"/>
  <c r="E7" i="33"/>
  <c r="W5" i="33"/>
  <c r="F5" i="33"/>
  <c r="E5" i="33"/>
  <c r="W4" i="33"/>
  <c r="F4" i="33"/>
  <c r="E4" i="33"/>
  <c r="W3" i="33"/>
  <c r="F3" i="33"/>
  <c r="E3" i="33"/>
  <c r="E2" i="33"/>
  <c r="AJ2" i="33" s="1"/>
  <c r="AP794" i="33" l="1"/>
  <c r="AJ794" i="33"/>
  <c r="AP989" i="33"/>
  <c r="AJ989" i="33"/>
  <c r="AP1017" i="33"/>
  <c r="AJ1017" i="33"/>
  <c r="AP1053" i="33"/>
  <c r="AJ1053" i="33"/>
  <c r="AP1133" i="33"/>
  <c r="AJ1133" i="33"/>
  <c r="AP1223" i="33"/>
  <c r="AJ1223" i="33"/>
  <c r="AP1259" i="33"/>
  <c r="AJ1259" i="33"/>
  <c r="AP1281" i="33"/>
  <c r="AJ1281" i="33"/>
  <c r="AP1319" i="33"/>
  <c r="AJ1319" i="33"/>
  <c r="AP1337" i="33"/>
  <c r="AJ1337" i="33"/>
  <c r="AP745" i="33"/>
  <c r="AJ745" i="33"/>
  <c r="AP756" i="33"/>
  <c r="AJ756" i="33"/>
  <c r="AP765" i="33"/>
  <c r="AJ765" i="33"/>
  <c r="AP781" i="33"/>
  <c r="AJ781" i="33"/>
  <c r="AP932" i="33"/>
  <c r="AJ932" i="33"/>
  <c r="AP938" i="33"/>
  <c r="AJ938" i="33"/>
  <c r="AP979" i="33"/>
  <c r="AJ979" i="33"/>
  <c r="AP1001" i="33"/>
  <c r="AJ1001" i="33"/>
  <c r="AP1029" i="33"/>
  <c r="AJ1029" i="33"/>
  <c r="AP1035" i="33"/>
  <c r="AJ1035" i="33"/>
  <c r="AP1042" i="33"/>
  <c r="AJ1042" i="33"/>
  <c r="AP1062" i="33"/>
  <c r="AJ1062" i="33"/>
  <c r="AP1074" i="33"/>
  <c r="AJ1074" i="33"/>
  <c r="AP1091" i="33"/>
  <c r="AJ1091" i="33"/>
  <c r="AP1103" i="33"/>
  <c r="AJ1103" i="33"/>
  <c r="AP1121" i="33"/>
  <c r="AJ1121" i="33"/>
  <c r="AP1138" i="33"/>
  <c r="AJ1138" i="33"/>
  <c r="AP1163" i="33"/>
  <c r="AJ1163" i="33"/>
  <c r="AP1168" i="33"/>
  <c r="AJ1168" i="33"/>
  <c r="AP1175" i="33"/>
  <c r="AJ1175" i="33"/>
  <c r="AP1194" i="33"/>
  <c r="AJ1194" i="33"/>
  <c r="AP1199" i="33"/>
  <c r="AJ1199" i="33"/>
  <c r="AP1252" i="33"/>
  <c r="AJ1252" i="33"/>
  <c r="AP1264" i="33"/>
  <c r="AJ1264" i="33"/>
  <c r="AP1270" i="33"/>
  <c r="AJ1270" i="33"/>
  <c r="AP1331" i="33"/>
  <c r="AJ1331" i="33"/>
  <c r="AP1350" i="33"/>
  <c r="AJ1350" i="33"/>
  <c r="AP772" i="33"/>
  <c r="AJ772" i="33"/>
  <c r="AP798" i="33"/>
  <c r="AJ798" i="33"/>
  <c r="AP1066" i="33"/>
  <c r="AJ1066" i="33"/>
  <c r="AP1145" i="33"/>
  <c r="AJ1145" i="33"/>
  <c r="AP742" i="33"/>
  <c r="AJ742" i="33"/>
  <c r="AP766" i="33"/>
  <c r="AJ766" i="33"/>
  <c r="AP782" i="33"/>
  <c r="AJ782" i="33"/>
  <c r="AP790" i="33"/>
  <c r="AJ790" i="33"/>
  <c r="AP800" i="33"/>
  <c r="AJ800" i="33"/>
  <c r="AP920" i="33"/>
  <c r="AJ920" i="33"/>
  <c r="AP946" i="33"/>
  <c r="AJ946" i="33"/>
  <c r="AP954" i="33"/>
  <c r="AJ954" i="33"/>
  <c r="AP980" i="33"/>
  <c r="AJ980" i="33"/>
  <c r="AP1013" i="33"/>
  <c r="AJ1013" i="33"/>
  <c r="AP1019" i="33"/>
  <c r="AJ1019" i="33"/>
  <c r="AP1024" i="33"/>
  <c r="AJ1024" i="33"/>
  <c r="AP1036" i="33"/>
  <c r="AJ1036" i="33"/>
  <c r="AP1043" i="33"/>
  <c r="AJ1043" i="33"/>
  <c r="AP1048" i="33"/>
  <c r="AJ1048" i="33"/>
  <c r="AP1055" i="33"/>
  <c r="AJ1055" i="33"/>
  <c r="AP1063" i="33"/>
  <c r="AJ1063" i="33"/>
  <c r="AP1068" i="33"/>
  <c r="AJ1068" i="33"/>
  <c r="AP1081" i="33"/>
  <c r="AJ1081" i="33"/>
  <c r="AP1086" i="33"/>
  <c r="AJ1086" i="33"/>
  <c r="AP1104" i="33"/>
  <c r="AJ1104" i="33"/>
  <c r="AP1115" i="33"/>
  <c r="AJ1115" i="33"/>
  <c r="AP1122" i="33"/>
  <c r="AJ1122" i="33"/>
  <c r="AP1139" i="33"/>
  <c r="AJ1139" i="33"/>
  <c r="AP1146" i="33"/>
  <c r="AJ1146" i="33"/>
  <c r="AP1158" i="33"/>
  <c r="AJ1158" i="33"/>
  <c r="AP1169" i="33"/>
  <c r="AJ1169" i="33"/>
  <c r="AP1176" i="33"/>
  <c r="AJ1176" i="33"/>
  <c r="AP1195" i="33"/>
  <c r="AJ1195" i="33"/>
  <c r="AP1200" i="33"/>
  <c r="AJ1200" i="33"/>
  <c r="AP1234" i="33"/>
  <c r="AJ1234" i="33"/>
  <c r="AP1240" i="33"/>
  <c r="AJ1240" i="33"/>
  <c r="AP1265" i="33"/>
  <c r="AJ1265" i="33"/>
  <c r="AP1271" i="33"/>
  <c r="AJ1271" i="33"/>
  <c r="AP1277" i="33"/>
  <c r="AJ1277" i="33"/>
  <c r="AP1299" i="33"/>
  <c r="AJ1299" i="33"/>
  <c r="AP1304" i="33"/>
  <c r="AJ1304" i="33"/>
  <c r="AP1310" i="33"/>
  <c r="AJ1310" i="33"/>
  <c r="AP1321" i="33"/>
  <c r="AJ1321" i="33"/>
  <c r="AP1327" i="33"/>
  <c r="AJ1327" i="33"/>
  <c r="AP1332" i="33"/>
  <c r="AJ1332" i="33"/>
  <c r="AP1345" i="33"/>
  <c r="AJ1345" i="33"/>
  <c r="AP1351" i="33"/>
  <c r="AJ1351" i="33"/>
  <c r="AP764" i="33"/>
  <c r="AJ764" i="33"/>
  <c r="AP1061" i="33"/>
  <c r="AJ1061" i="33"/>
  <c r="AP1151" i="33"/>
  <c r="AJ1151" i="33"/>
  <c r="AP1180" i="33"/>
  <c r="AJ1180" i="33"/>
  <c r="AP747" i="33"/>
  <c r="AJ747" i="33"/>
  <c r="AP775" i="33"/>
  <c r="AJ775" i="33"/>
  <c r="AP795" i="33"/>
  <c r="AJ795" i="33"/>
  <c r="AP940" i="33"/>
  <c r="AJ940" i="33"/>
  <c r="AP973" i="33"/>
  <c r="AJ973" i="33"/>
  <c r="AP981" i="33"/>
  <c r="AJ981" i="33"/>
  <c r="AP1002" i="33"/>
  <c r="AJ1002" i="33"/>
  <c r="AP1014" i="33"/>
  <c r="AJ1014" i="33"/>
  <c r="AP1031" i="33"/>
  <c r="AJ1031" i="33"/>
  <c r="AP1056" i="33"/>
  <c r="AJ1056" i="33"/>
  <c r="AP1064" i="33"/>
  <c r="AJ1064" i="33"/>
  <c r="AP1075" i="33"/>
  <c r="AJ1075" i="33"/>
  <c r="AP1093" i="33"/>
  <c r="AJ1093" i="33"/>
  <c r="AP1140" i="33"/>
  <c r="AJ1140" i="33"/>
  <c r="AP1147" i="33"/>
  <c r="AJ1147" i="33"/>
  <c r="AP1153" i="33"/>
  <c r="AJ1153" i="33"/>
  <c r="AP1170" i="33"/>
  <c r="AJ1170" i="33"/>
  <c r="AP1182" i="33"/>
  <c r="AJ1182" i="33"/>
  <c r="AP1226" i="33"/>
  <c r="AJ1226" i="33"/>
  <c r="AP1254" i="33"/>
  <c r="AJ1254" i="33"/>
  <c r="AP1333" i="33"/>
  <c r="AJ1333" i="33"/>
  <c r="AP1339" i="33"/>
  <c r="AJ1339" i="33"/>
  <c r="AP972" i="33"/>
  <c r="AJ972" i="33"/>
  <c r="AP1137" i="33"/>
  <c r="AJ1137" i="33"/>
  <c r="AP1174" i="33"/>
  <c r="AJ1174" i="33"/>
  <c r="AP748" i="33"/>
  <c r="AJ748" i="33"/>
  <c r="AP948" i="33"/>
  <c r="AJ948" i="33"/>
  <c r="AP962" i="33"/>
  <c r="AJ962" i="33"/>
  <c r="AP992" i="33"/>
  <c r="AJ992" i="33"/>
  <c r="AP1003" i="33"/>
  <c r="AJ1003" i="33"/>
  <c r="AP1009" i="33"/>
  <c r="AJ1009" i="33"/>
  <c r="AP1015" i="33"/>
  <c r="AJ1015" i="33"/>
  <c r="AP1025" i="33"/>
  <c r="AJ1025" i="33"/>
  <c r="AP1037" i="33"/>
  <c r="AJ1037" i="33"/>
  <c r="AP1049" i="33"/>
  <c r="AJ1049" i="33"/>
  <c r="AP1070" i="33"/>
  <c r="AJ1070" i="33"/>
  <c r="AP1076" i="33"/>
  <c r="AJ1076" i="33"/>
  <c r="AP1082" i="33"/>
  <c r="AJ1082" i="33"/>
  <c r="AP1094" i="33"/>
  <c r="AJ1094" i="33"/>
  <c r="AP1106" i="33"/>
  <c r="AJ1106" i="33"/>
  <c r="AP1117" i="33"/>
  <c r="AJ1117" i="33"/>
  <c r="AP1129" i="33"/>
  <c r="AJ1129" i="33"/>
  <c r="AP1141" i="33"/>
  <c r="AJ1141" i="33"/>
  <c r="AP1148" i="33"/>
  <c r="AJ1148" i="33"/>
  <c r="AP1159" i="33"/>
  <c r="AJ1159" i="33"/>
  <c r="AP1171" i="33"/>
  <c r="AJ1171" i="33"/>
  <c r="AP1177" i="33"/>
  <c r="AJ1177" i="33"/>
  <c r="AP1196" i="33"/>
  <c r="AJ1196" i="33"/>
  <c r="AP1231" i="33"/>
  <c r="AJ1231" i="33"/>
  <c r="AP1267" i="33"/>
  <c r="AJ1267" i="33"/>
  <c r="AP1305" i="33"/>
  <c r="AJ1305" i="33"/>
  <c r="AP1311" i="33"/>
  <c r="AJ1311" i="33"/>
  <c r="AP1323" i="33"/>
  <c r="AJ1323" i="33"/>
  <c r="AP1334" i="33"/>
  <c r="AJ1334" i="33"/>
  <c r="AP1340" i="33"/>
  <c r="AJ1340" i="33"/>
  <c r="AP1346" i="33"/>
  <c r="AJ1346" i="33"/>
  <c r="AP1353" i="33"/>
  <c r="AJ1353" i="33"/>
  <c r="AP744" i="33"/>
  <c r="AJ744" i="33"/>
  <c r="AP918" i="33"/>
  <c r="AJ918" i="33"/>
  <c r="AP952" i="33"/>
  <c r="AJ952" i="33"/>
  <c r="AP1034" i="33"/>
  <c r="AJ1034" i="33"/>
  <c r="AP1073" i="33"/>
  <c r="AJ1073" i="33"/>
  <c r="AP1193" i="33"/>
  <c r="AJ1193" i="33"/>
  <c r="AP1251" i="33"/>
  <c r="AJ1251" i="33"/>
  <c r="AP743" i="33"/>
  <c r="AJ743" i="33"/>
  <c r="AP749" i="33"/>
  <c r="AJ749" i="33"/>
  <c r="AP760" i="33"/>
  <c r="AJ760" i="33"/>
  <c r="AP777" i="33"/>
  <c r="AJ777" i="33"/>
  <c r="AP785" i="33"/>
  <c r="AJ785" i="33"/>
  <c r="AP793" i="33"/>
  <c r="AJ793" i="33"/>
  <c r="AP922" i="33"/>
  <c r="AJ922" i="33"/>
  <c r="AP957" i="33"/>
  <c r="AJ957" i="33"/>
  <c r="AP963" i="33"/>
  <c r="AJ963" i="33"/>
  <c r="AP975" i="33"/>
  <c r="AJ975" i="33"/>
  <c r="AP983" i="33"/>
  <c r="AJ983" i="33"/>
  <c r="AP993" i="33"/>
  <c r="AJ993" i="33"/>
  <c r="AP998" i="33"/>
  <c r="AJ998" i="33"/>
  <c r="AP1004" i="33"/>
  <c r="AJ1004" i="33"/>
  <c r="AP1010" i="33"/>
  <c r="AJ1010" i="33"/>
  <c r="AP1026" i="33"/>
  <c r="AJ1026" i="33"/>
  <c r="AP1038" i="33"/>
  <c r="AJ1038" i="33"/>
  <c r="AP1050" i="33"/>
  <c r="AJ1050" i="33"/>
  <c r="AP1058" i="33"/>
  <c r="AJ1058" i="33"/>
  <c r="AP1077" i="33"/>
  <c r="AJ1077" i="33"/>
  <c r="AP1100" i="33"/>
  <c r="AJ1100" i="33"/>
  <c r="AP1107" i="33"/>
  <c r="AJ1107" i="33"/>
  <c r="AP1111" i="33"/>
  <c r="AJ1111" i="33"/>
  <c r="AP1130" i="33"/>
  <c r="AJ1130" i="33"/>
  <c r="AP1135" i="33"/>
  <c r="AJ1135" i="33"/>
  <c r="AP1142" i="33"/>
  <c r="AJ1142" i="33"/>
  <c r="AP1155" i="33"/>
  <c r="AJ1155" i="33"/>
  <c r="AP1178" i="33"/>
  <c r="AJ1178" i="33"/>
  <c r="AP1203" i="33"/>
  <c r="AJ1203" i="33"/>
  <c r="AP1209" i="33"/>
  <c r="AJ1209" i="33"/>
  <c r="AP1236" i="33"/>
  <c r="AJ1236" i="33"/>
  <c r="AP1243" i="33"/>
  <c r="AJ1243" i="33"/>
  <c r="AP1279" i="33"/>
  <c r="AJ1279" i="33"/>
  <c r="AP1301" i="33"/>
  <c r="AJ1301" i="33"/>
  <c r="AP1306" i="33"/>
  <c r="AJ1306" i="33"/>
  <c r="AP1317" i="33"/>
  <c r="AJ1317" i="33"/>
  <c r="AP1341" i="33"/>
  <c r="AJ1341" i="33"/>
  <c r="AP1347" i="33"/>
  <c r="AJ1347" i="33"/>
  <c r="AP1354" i="33"/>
  <c r="AJ1354" i="33"/>
  <c r="AP821" i="33"/>
  <c r="AJ821" i="33"/>
  <c r="AP985" i="33"/>
  <c r="AJ985" i="33"/>
  <c r="AP1012" i="33"/>
  <c r="AJ1012" i="33"/>
  <c r="AP1126" i="33"/>
  <c r="AJ1126" i="33"/>
  <c r="AP1157" i="33"/>
  <c r="AJ1157" i="33"/>
  <c r="AP1186" i="33"/>
  <c r="AJ1186" i="33"/>
  <c r="AP1212" i="33"/>
  <c r="AJ1212" i="33"/>
  <c r="AP1263" i="33"/>
  <c r="AJ1263" i="33"/>
  <c r="AK2" i="33"/>
  <c r="AP770" i="33"/>
  <c r="AJ770" i="33"/>
  <c r="AP786" i="33"/>
  <c r="AJ786" i="33"/>
  <c r="AP923" i="33"/>
  <c r="AJ923" i="33"/>
  <c r="AP929" i="33"/>
  <c r="AJ929" i="33"/>
  <c r="AP936" i="33"/>
  <c r="AJ936" i="33"/>
  <c r="AP943" i="33"/>
  <c r="AJ943" i="33"/>
  <c r="AP970" i="33"/>
  <c r="AJ970" i="33"/>
  <c r="AP994" i="33"/>
  <c r="AJ994" i="33"/>
  <c r="AP999" i="33"/>
  <c r="AJ999" i="33"/>
  <c r="AP1005" i="33"/>
  <c r="AJ1005" i="33"/>
  <c r="AP1016" i="33"/>
  <c r="AJ1016" i="33"/>
  <c r="AP1027" i="33"/>
  <c r="AJ1027" i="33"/>
  <c r="AP1051" i="33"/>
  <c r="AJ1051" i="33"/>
  <c r="AP1059" i="33"/>
  <c r="AJ1059" i="33"/>
  <c r="AP1065" i="33"/>
  <c r="AJ1065" i="33"/>
  <c r="AP1078" i="33"/>
  <c r="AJ1078" i="33"/>
  <c r="AP1108" i="33"/>
  <c r="AJ1108" i="33"/>
  <c r="AP1124" i="33"/>
  <c r="AJ1124" i="33"/>
  <c r="AP1161" i="33"/>
  <c r="AJ1161" i="33"/>
  <c r="AP1166" i="33"/>
  <c r="AJ1166" i="33"/>
  <c r="AP1179" i="33"/>
  <c r="AJ1179" i="33"/>
  <c r="AP1191" i="33"/>
  <c r="AJ1191" i="33"/>
  <c r="AP1257" i="33"/>
  <c r="AJ1257" i="33"/>
  <c r="AP1284" i="33"/>
  <c r="AJ1284" i="33"/>
  <c r="AP1325" i="33"/>
  <c r="AJ1325" i="33"/>
  <c r="AP1335" i="33"/>
  <c r="AJ1335" i="33"/>
  <c r="AP1348" i="33"/>
  <c r="AJ1348" i="33"/>
  <c r="AP839" i="33"/>
  <c r="AJ839" i="33"/>
  <c r="AP763" i="33"/>
  <c r="AJ763" i="33"/>
  <c r="AP771" i="33"/>
  <c r="AJ771" i="33"/>
  <c r="AP779" i="33"/>
  <c r="AJ779" i="33"/>
  <c r="AP951" i="33"/>
  <c r="AJ951" i="33"/>
  <c r="AP958" i="33"/>
  <c r="AJ958" i="33"/>
  <c r="AP965" i="33"/>
  <c r="AJ965" i="33"/>
  <c r="AP977" i="33"/>
  <c r="AJ977" i="33"/>
  <c r="AP1011" i="33"/>
  <c r="AJ1011" i="33"/>
  <c r="AP1028" i="33"/>
  <c r="AJ1028" i="33"/>
  <c r="AP1033" i="33"/>
  <c r="AJ1033" i="33"/>
  <c r="AP1040" i="33"/>
  <c r="AJ1040" i="33"/>
  <c r="AP1060" i="33"/>
  <c r="AJ1060" i="33"/>
  <c r="AP1079" i="33"/>
  <c r="AJ1079" i="33"/>
  <c r="AP1102" i="33"/>
  <c r="AJ1102" i="33"/>
  <c r="AP1119" i="33"/>
  <c r="AJ1119" i="33"/>
  <c r="AP1136" i="33"/>
  <c r="AJ1136" i="33"/>
  <c r="AP1156" i="33"/>
  <c r="AJ1156" i="33"/>
  <c r="AP1216" i="33"/>
  <c r="AJ1216" i="33"/>
  <c r="AP1228" i="33"/>
  <c r="AJ1228" i="33"/>
  <c r="AP1285" i="33"/>
  <c r="AJ1285" i="33"/>
  <c r="AP1290" i="33"/>
  <c r="AJ1290" i="33"/>
  <c r="AP1307" i="33"/>
  <c r="AJ1307" i="33"/>
  <c r="AL739" i="33"/>
  <c r="AP739" i="33"/>
  <c r="AL753" i="33"/>
  <c r="AP753" i="33"/>
  <c r="AL758" i="33"/>
  <c r="AP758" i="33"/>
  <c r="AL768" i="33"/>
  <c r="AP768" i="33"/>
  <c r="AL776" i="33"/>
  <c r="AP776" i="33"/>
  <c r="AL780" i="33"/>
  <c r="AP780" i="33"/>
  <c r="AL784" i="33"/>
  <c r="AP784" i="33"/>
  <c r="AL788" i="33"/>
  <c r="AP788" i="33"/>
  <c r="AL792" i="33"/>
  <c r="AP792" i="33"/>
  <c r="H916" i="33"/>
  <c r="AP916" i="33"/>
  <c r="C919" i="33"/>
  <c r="AP919" i="33"/>
  <c r="C925" i="33"/>
  <c r="AP925" i="33"/>
  <c r="C928" i="33"/>
  <c r="AP928" i="33"/>
  <c r="H935" i="33"/>
  <c r="AP935" i="33"/>
  <c r="C942" i="33"/>
  <c r="AP942" i="33"/>
  <c r="H945" i="33"/>
  <c r="AP945" i="33"/>
  <c r="H949" i="33"/>
  <c r="AP949" i="33"/>
  <c r="C953" i="33"/>
  <c r="AP953" i="33"/>
  <c r="C960" i="33"/>
  <c r="AP960" i="33"/>
  <c r="H967" i="33"/>
  <c r="AP967" i="33"/>
  <c r="H969" i="33"/>
  <c r="AP969" i="33"/>
  <c r="C987" i="33"/>
  <c r="AP987" i="33"/>
  <c r="C990" i="33"/>
  <c r="AP990" i="33"/>
  <c r="C1007" i="33"/>
  <c r="AP1007" i="33"/>
  <c r="H1018" i="33"/>
  <c r="AP1018" i="33"/>
  <c r="H1021" i="33"/>
  <c r="AP1021" i="33"/>
  <c r="H1045" i="33"/>
  <c r="AP1045" i="33"/>
  <c r="H1047" i="33"/>
  <c r="AP1047" i="33"/>
  <c r="H1054" i="33"/>
  <c r="AP1054" i="33"/>
  <c r="C1067" i="33"/>
  <c r="AP1067" i="33"/>
  <c r="C1071" i="33"/>
  <c r="AP1071" i="33"/>
  <c r="H1085" i="33"/>
  <c r="AP1085" i="33"/>
  <c r="H1088" i="33"/>
  <c r="AP1088" i="33"/>
  <c r="H1097" i="33"/>
  <c r="AP1097" i="33"/>
  <c r="C1114" i="33"/>
  <c r="AP1114" i="33"/>
  <c r="C1118" i="33"/>
  <c r="AP1118" i="33"/>
  <c r="C1160" i="33"/>
  <c r="AP1160" i="33"/>
  <c r="H1181" i="33"/>
  <c r="AP1181" i="33"/>
  <c r="H1184" i="33"/>
  <c r="AP1184" i="33"/>
  <c r="H1187" i="33"/>
  <c r="AP1187" i="33"/>
  <c r="H1190" i="33"/>
  <c r="AP1190" i="33"/>
  <c r="H1213" i="33"/>
  <c r="AP1213" i="33"/>
  <c r="C1215" i="33"/>
  <c r="AP1215" i="33"/>
  <c r="C1218" i="33"/>
  <c r="AP1218" i="33"/>
  <c r="H1221" i="33"/>
  <c r="AP1221" i="33"/>
  <c r="H1224" i="33"/>
  <c r="AP1224" i="33"/>
  <c r="C1227" i="33"/>
  <c r="AP1227" i="33"/>
  <c r="H1229" i="33"/>
  <c r="AP1229" i="33"/>
  <c r="H1232" i="33"/>
  <c r="AP1232" i="33"/>
  <c r="H1239" i="33"/>
  <c r="AP1239" i="33"/>
  <c r="H1247" i="33"/>
  <c r="AP1247" i="33"/>
  <c r="C1249" i="33"/>
  <c r="AP1249" i="33"/>
  <c r="C1256" i="33"/>
  <c r="AP1256" i="33"/>
  <c r="C1273" i="33"/>
  <c r="AP1273" i="33"/>
  <c r="C1276" i="33"/>
  <c r="AP1276" i="33"/>
  <c r="H1287" i="33"/>
  <c r="AP1287" i="33"/>
  <c r="C1289" i="33"/>
  <c r="AP1289" i="33"/>
  <c r="C1292" i="33"/>
  <c r="AP1292" i="33"/>
  <c r="C1295" i="33"/>
  <c r="AP1295" i="33"/>
  <c r="C1298" i="33"/>
  <c r="AP1298" i="33"/>
  <c r="H1303" i="33"/>
  <c r="AP1303" i="33"/>
  <c r="H1309" i="33"/>
  <c r="AP1309" i="33"/>
  <c r="C1314" i="33"/>
  <c r="AP1314" i="33"/>
  <c r="H1320" i="33"/>
  <c r="AP1320" i="33"/>
  <c r="H1324" i="33"/>
  <c r="AP1324" i="33"/>
  <c r="H1329" i="33"/>
  <c r="AP1329" i="33"/>
  <c r="H1344" i="33"/>
  <c r="AP1344" i="33"/>
  <c r="AL822" i="33"/>
  <c r="AP822" i="33"/>
  <c r="AL2" i="33"/>
  <c r="AP2" i="33"/>
  <c r="AL740" i="33"/>
  <c r="AP740" i="33"/>
  <c r="AL755" i="33"/>
  <c r="AP755" i="33"/>
  <c r="AL759" i="33"/>
  <c r="AP759" i="33"/>
  <c r="AL769" i="33"/>
  <c r="AP769" i="33"/>
  <c r="AL773" i="33"/>
  <c r="AP773" i="33"/>
  <c r="AL789" i="33"/>
  <c r="AP789" i="33"/>
  <c r="AL799" i="33"/>
  <c r="AP799" i="33"/>
  <c r="C926" i="33"/>
  <c r="AP926" i="33"/>
  <c r="C933" i="33"/>
  <c r="AP933" i="33"/>
  <c r="C939" i="33"/>
  <c r="AP939" i="33"/>
  <c r="C950" i="33"/>
  <c r="AP950" i="33"/>
  <c r="H964" i="33"/>
  <c r="AP964" i="33"/>
  <c r="H976" i="33"/>
  <c r="AP976" i="33"/>
  <c r="C984" i="33"/>
  <c r="AP984" i="33"/>
  <c r="H986" i="33"/>
  <c r="AP986" i="33"/>
  <c r="C991" i="33"/>
  <c r="AP991" i="33"/>
  <c r="C996" i="33"/>
  <c r="AP996" i="33"/>
  <c r="C1008" i="33"/>
  <c r="AP1008" i="33"/>
  <c r="H1022" i="33"/>
  <c r="AP1022" i="33"/>
  <c r="C1030" i="33"/>
  <c r="AP1030" i="33"/>
  <c r="C1039" i="33"/>
  <c r="AP1039" i="33"/>
  <c r="H1083" i="33"/>
  <c r="AP1083" i="33"/>
  <c r="H1089" i="33"/>
  <c r="AP1089" i="33"/>
  <c r="H1092" i="33"/>
  <c r="AP1092" i="33"/>
  <c r="C1095" i="33"/>
  <c r="AP1095" i="33"/>
  <c r="C1098" i="33"/>
  <c r="AP1098" i="33"/>
  <c r="C1101" i="33"/>
  <c r="AP1101" i="33"/>
  <c r="C1110" i="33"/>
  <c r="AP1110" i="33"/>
  <c r="H1112" i="33"/>
  <c r="AP1112" i="33"/>
  <c r="H1127" i="33"/>
  <c r="AP1127" i="33"/>
  <c r="C1131" i="33"/>
  <c r="AP1131" i="33"/>
  <c r="H1134" i="33"/>
  <c r="AP1134" i="33"/>
  <c r="C1143" i="33"/>
  <c r="AP1143" i="33"/>
  <c r="H1149" i="33"/>
  <c r="AP1149" i="33"/>
  <c r="C1152" i="33"/>
  <c r="AP1152" i="33"/>
  <c r="C1172" i="33"/>
  <c r="AP1172" i="33"/>
  <c r="H1197" i="33"/>
  <c r="AP1197" i="33"/>
  <c r="H1204" i="33"/>
  <c r="AP1204" i="33"/>
  <c r="H1206" i="33"/>
  <c r="AP1206" i="33"/>
  <c r="H1210" i="33"/>
  <c r="AP1210" i="33"/>
  <c r="H1219" i="33"/>
  <c r="AP1219" i="33"/>
  <c r="C1225" i="33"/>
  <c r="AP1225" i="33"/>
  <c r="H1230" i="33"/>
  <c r="AP1230" i="33"/>
  <c r="H1237" i="33"/>
  <c r="AP1237" i="33"/>
  <c r="H1244" i="33"/>
  <c r="AP1244" i="33"/>
  <c r="H1250" i="33"/>
  <c r="AP1250" i="33"/>
  <c r="H1253" i="33"/>
  <c r="AP1253" i="33"/>
  <c r="H1260" i="33"/>
  <c r="AP1260" i="33"/>
  <c r="H1268" i="33"/>
  <c r="AP1268" i="33"/>
  <c r="C1274" i="33"/>
  <c r="AP1274" i="33"/>
  <c r="C1280" i="33"/>
  <c r="AP1280" i="33"/>
  <c r="C1282" i="33"/>
  <c r="AP1282" i="33"/>
  <c r="C1293" i="33"/>
  <c r="AP1293" i="33"/>
  <c r="H1296" i="33"/>
  <c r="AP1296" i="33"/>
  <c r="C1312" i="33"/>
  <c r="AP1312" i="33"/>
  <c r="H1338" i="33"/>
  <c r="AP1338" i="33"/>
  <c r="H1342" i="33"/>
  <c r="AP1342" i="33"/>
  <c r="AL824" i="33"/>
  <c r="AP824" i="33"/>
  <c r="AL814" i="33"/>
  <c r="AP814" i="33"/>
  <c r="AL737" i="33"/>
  <c r="AP737" i="33"/>
  <c r="AL741" i="33"/>
  <c r="AP741" i="33"/>
  <c r="AL774" i="33"/>
  <c r="AP774" i="33"/>
  <c r="AL778" i="33"/>
  <c r="AP778" i="33"/>
  <c r="AL796" i="33"/>
  <c r="AP796" i="33"/>
  <c r="H915" i="33"/>
  <c r="AP915" i="33"/>
  <c r="C917" i="33"/>
  <c r="AP917" i="33"/>
  <c r="C921" i="33"/>
  <c r="AP921" i="33"/>
  <c r="C924" i="33"/>
  <c r="AP924" i="33"/>
  <c r="C927" i="33"/>
  <c r="AP927" i="33"/>
  <c r="H930" i="33"/>
  <c r="AP930" i="33"/>
  <c r="C937" i="33"/>
  <c r="AP937" i="33"/>
  <c r="H944" i="33"/>
  <c r="AP944" i="33"/>
  <c r="H947" i="33"/>
  <c r="AP947" i="33"/>
  <c r="H955" i="33"/>
  <c r="AP955" i="33"/>
  <c r="C961" i="33"/>
  <c r="AP961" i="33"/>
  <c r="H968" i="33"/>
  <c r="AP968" i="33"/>
  <c r="H971" i="33"/>
  <c r="AP971" i="33"/>
  <c r="C988" i="33"/>
  <c r="AP988" i="33"/>
  <c r="C997" i="33"/>
  <c r="AP997" i="33"/>
  <c r="C1000" i="33"/>
  <c r="AP1000" i="33"/>
  <c r="H1044" i="33"/>
  <c r="AP1044" i="33"/>
  <c r="H1046" i="33"/>
  <c r="AP1046" i="33"/>
  <c r="C1052" i="33"/>
  <c r="AP1052" i="33"/>
  <c r="H1069" i="33"/>
  <c r="AP1069" i="33"/>
  <c r="C1072" i="33"/>
  <c r="AP1072" i="33"/>
  <c r="H1087" i="33"/>
  <c r="AP1087" i="33"/>
  <c r="H1090" i="33"/>
  <c r="AP1090" i="33"/>
  <c r="C1105" i="33"/>
  <c r="AP1105" i="33"/>
  <c r="C1113" i="33"/>
  <c r="AP1113" i="33"/>
  <c r="H1116" i="33"/>
  <c r="AP1116" i="33"/>
  <c r="C1125" i="33"/>
  <c r="AP1125" i="33"/>
  <c r="H1128" i="33"/>
  <c r="AP1128" i="33"/>
  <c r="C1132" i="33"/>
  <c r="AP1132" i="33"/>
  <c r="H1144" i="33"/>
  <c r="AP1144" i="33"/>
  <c r="C1150" i="33"/>
  <c r="AP1150" i="33"/>
  <c r="H1164" i="33"/>
  <c r="AP1164" i="33"/>
  <c r="C1167" i="33"/>
  <c r="AP1167" i="33"/>
  <c r="C1173" i="33"/>
  <c r="AP1173" i="33"/>
  <c r="C1185" i="33"/>
  <c r="AP1185" i="33"/>
  <c r="H1188" i="33"/>
  <c r="AP1188" i="33"/>
  <c r="H1192" i="33"/>
  <c r="AP1192" i="33"/>
  <c r="C1201" i="33"/>
  <c r="AP1201" i="33"/>
  <c r="H1207" i="33"/>
  <c r="AP1207" i="33"/>
  <c r="C1211" i="33"/>
  <c r="AP1211" i="33"/>
  <c r="H1214" i="33"/>
  <c r="AP1214" i="33"/>
  <c r="H1222" i="33"/>
  <c r="AP1222" i="33"/>
  <c r="H1238" i="33"/>
  <c r="AP1238" i="33"/>
  <c r="H1241" i="33"/>
  <c r="AP1241" i="33"/>
  <c r="H1245" i="33"/>
  <c r="AP1245" i="33"/>
  <c r="H1258" i="33"/>
  <c r="AP1258" i="33"/>
  <c r="H1262" i="33"/>
  <c r="AP1262" i="33"/>
  <c r="H1266" i="33"/>
  <c r="AP1266" i="33"/>
  <c r="H1272" i="33"/>
  <c r="AP1272" i="33"/>
  <c r="H1288" i="33"/>
  <c r="AP1288" i="33"/>
  <c r="H1297" i="33"/>
  <c r="AP1297" i="33"/>
  <c r="C1300" i="33"/>
  <c r="AP1300" i="33"/>
  <c r="C1302" i="33"/>
  <c r="AP1302" i="33"/>
  <c r="H1315" i="33"/>
  <c r="AP1315" i="33"/>
  <c r="H1318" i="33"/>
  <c r="AP1318" i="33"/>
  <c r="H1322" i="33"/>
  <c r="AP1322" i="33"/>
  <c r="H1326" i="33"/>
  <c r="AP1326" i="33"/>
  <c r="H1328" i="33"/>
  <c r="AP1328" i="33"/>
  <c r="C1330" i="33"/>
  <c r="AP1330" i="33"/>
  <c r="H1336" i="33"/>
  <c r="AP1336" i="33"/>
  <c r="H1352" i="33"/>
  <c r="AP1352" i="33"/>
  <c r="AL833" i="33"/>
  <c r="AP833" i="33"/>
  <c r="AL817" i="33"/>
  <c r="AP817" i="33"/>
  <c r="AL820" i="33"/>
  <c r="AP820" i="33"/>
  <c r="AL738" i="33"/>
  <c r="AP738" i="33"/>
  <c r="AL746" i="33"/>
  <c r="AP746" i="33"/>
  <c r="AL750" i="33"/>
  <c r="AP750" i="33"/>
  <c r="AL757" i="33"/>
  <c r="AP757" i="33"/>
  <c r="AL761" i="33"/>
  <c r="AP761" i="33"/>
  <c r="AL767" i="33"/>
  <c r="AP767" i="33"/>
  <c r="AL783" i="33"/>
  <c r="AP783" i="33"/>
  <c r="AL787" i="33"/>
  <c r="AP787" i="33"/>
  <c r="AL791" i="33"/>
  <c r="AP791" i="33"/>
  <c r="AL797" i="33"/>
  <c r="AP797" i="33"/>
  <c r="C931" i="33"/>
  <c r="AP931" i="33"/>
  <c r="C934" i="33"/>
  <c r="AP934" i="33"/>
  <c r="C941" i="33"/>
  <c r="AP941" i="33"/>
  <c r="C956" i="33"/>
  <c r="AP956" i="33"/>
  <c r="C959" i="33"/>
  <c r="AP959" i="33"/>
  <c r="C966" i="33"/>
  <c r="AP966" i="33"/>
  <c r="H974" i="33"/>
  <c r="AP974" i="33"/>
  <c r="H978" i="33"/>
  <c r="AP978" i="33"/>
  <c r="C982" i="33"/>
  <c r="AP982" i="33"/>
  <c r="C995" i="33"/>
  <c r="AP995" i="33"/>
  <c r="C1006" i="33"/>
  <c r="AP1006" i="33"/>
  <c r="C1020" i="33"/>
  <c r="AP1020" i="33"/>
  <c r="H1023" i="33"/>
  <c r="AP1023" i="33"/>
  <c r="C1032" i="33"/>
  <c r="AP1032" i="33"/>
  <c r="H1041" i="33"/>
  <c r="AP1041" i="33"/>
  <c r="H1057" i="33"/>
  <c r="AP1057" i="33"/>
  <c r="C1080" i="33"/>
  <c r="AP1080" i="33"/>
  <c r="H1084" i="33"/>
  <c r="AP1084" i="33"/>
  <c r="C1096" i="33"/>
  <c r="AP1096" i="33"/>
  <c r="C1099" i="33"/>
  <c r="AP1099" i="33"/>
  <c r="C1109" i="33"/>
  <c r="AP1109" i="33"/>
  <c r="H1120" i="33"/>
  <c r="AP1120" i="33"/>
  <c r="H1123" i="33"/>
  <c r="AP1123" i="33"/>
  <c r="C1154" i="33"/>
  <c r="AP1154" i="33"/>
  <c r="C1162" i="33"/>
  <c r="AP1162" i="33"/>
  <c r="H1165" i="33"/>
  <c r="AP1165" i="33"/>
  <c r="H1183" i="33"/>
  <c r="AP1183" i="33"/>
  <c r="H1189" i="33"/>
  <c r="AP1189" i="33"/>
  <c r="H1198" i="33"/>
  <c r="AP1198" i="33"/>
  <c r="C1202" i="33"/>
  <c r="AP1202" i="33"/>
  <c r="H1205" i="33"/>
  <c r="AP1205" i="33"/>
  <c r="C1208" i="33"/>
  <c r="AP1208" i="33"/>
  <c r="C1217" i="33"/>
  <c r="AP1217" i="33"/>
  <c r="C1220" i="33"/>
  <c r="AP1220" i="33"/>
  <c r="C1233" i="33"/>
  <c r="AP1233" i="33"/>
  <c r="H1235" i="33"/>
  <c r="AP1235" i="33"/>
  <c r="H1242" i="33"/>
  <c r="AP1242" i="33"/>
  <c r="C1246" i="33"/>
  <c r="AP1246" i="33"/>
  <c r="H1248" i="33"/>
  <c r="AP1248" i="33"/>
  <c r="H1255" i="33"/>
  <c r="AP1255" i="33"/>
  <c r="C1261" i="33"/>
  <c r="AP1261" i="33"/>
  <c r="H1269" i="33"/>
  <c r="AP1269" i="33"/>
  <c r="C1275" i="33"/>
  <c r="AP1275" i="33"/>
  <c r="C1278" i="33"/>
  <c r="AP1278" i="33"/>
  <c r="H1283" i="33"/>
  <c r="AP1283" i="33"/>
  <c r="H1286" i="33"/>
  <c r="AP1286" i="33"/>
  <c r="C1291" i="33"/>
  <c r="AP1291" i="33"/>
  <c r="C1294" i="33"/>
  <c r="AP1294" i="33"/>
  <c r="H1308" i="33"/>
  <c r="AP1308" i="33"/>
  <c r="C1313" i="33"/>
  <c r="AP1313" i="33"/>
  <c r="H1316" i="33"/>
  <c r="AP1316" i="33"/>
  <c r="H1343" i="33"/>
  <c r="AP1343" i="33"/>
  <c r="H1349" i="33"/>
  <c r="AP1349" i="33"/>
  <c r="H1355" i="33"/>
  <c r="AP1355" i="33"/>
  <c r="AL847" i="33"/>
  <c r="AP847" i="33"/>
  <c r="AL816" i="33"/>
  <c r="AP816" i="33"/>
  <c r="AL793" i="33"/>
  <c r="AL742" i="33"/>
  <c r="AL794" i="33"/>
  <c r="AK832" i="33"/>
  <c r="C11" i="33"/>
  <c r="C45" i="33"/>
  <c r="C69" i="33"/>
  <c r="C113" i="33"/>
  <c r="C162" i="33"/>
  <c r="C180" i="33"/>
  <c r="C298" i="33"/>
  <c r="C310" i="33"/>
  <c r="C325" i="33"/>
  <c r="C359" i="33"/>
  <c r="H416" i="33"/>
  <c r="C469" i="33"/>
  <c r="C483" i="33"/>
  <c r="H498" i="33"/>
  <c r="C590" i="33"/>
  <c r="C623" i="33"/>
  <c r="C757" i="33"/>
  <c r="C790" i="33"/>
  <c r="C15" i="33"/>
  <c r="C37" i="33"/>
  <c r="C61" i="33"/>
  <c r="C75" i="33"/>
  <c r="C105" i="33"/>
  <c r="C166" i="33"/>
  <c r="C193" i="33"/>
  <c r="C204" i="33"/>
  <c r="C270" i="33"/>
  <c r="C302" i="33"/>
  <c r="C317" i="33"/>
  <c r="C343" i="33"/>
  <c r="C397" i="33"/>
  <c r="C424" i="33"/>
  <c r="C442" i="33"/>
  <c r="C461" i="33"/>
  <c r="C473" i="33"/>
  <c r="C615" i="33"/>
  <c r="C651" i="33"/>
  <c r="C700" i="33"/>
  <c r="C707" i="33"/>
  <c r="C750" i="33"/>
  <c r="C763" i="33"/>
  <c r="H816" i="33"/>
  <c r="C144" i="33"/>
  <c r="C151" i="33"/>
  <c r="C167" i="33"/>
  <c r="C181" i="33"/>
  <c r="C185" i="33"/>
  <c r="C191" i="33"/>
  <c r="C233" i="33"/>
  <c r="C254" i="33"/>
  <c r="C275" i="33"/>
  <c r="C287" i="33"/>
  <c r="C462" i="33"/>
  <c r="C480" i="33"/>
  <c r="AE1349" i="33" s="1"/>
  <c r="C492" i="33"/>
  <c r="C616" i="33"/>
  <c r="C624" i="33"/>
  <c r="C635" i="33"/>
  <c r="AE1323" i="33" s="1"/>
  <c r="C648" i="33"/>
  <c r="C680" i="33"/>
  <c r="C688" i="33"/>
  <c r="C690" i="33"/>
  <c r="C696" i="33"/>
  <c r="AE1127" i="33" s="1"/>
  <c r="C701" i="33"/>
  <c r="C712" i="33"/>
  <c r="C772" i="33"/>
  <c r="C776" i="33"/>
  <c r="H822" i="33"/>
  <c r="H821" i="33"/>
  <c r="C33" i="33"/>
  <c r="C65" i="33"/>
  <c r="C81" i="33"/>
  <c r="C94" i="33"/>
  <c r="C200" i="33"/>
  <c r="C232" i="33"/>
  <c r="C278" i="33"/>
  <c r="C290" i="33"/>
  <c r="C347" i="33"/>
  <c r="C379" i="33"/>
  <c r="C386" i="33"/>
  <c r="C465" i="33"/>
  <c r="C534" i="33"/>
  <c r="H542" i="33"/>
  <c r="C562" i="33"/>
  <c r="C594" i="33"/>
  <c r="C630" i="33"/>
  <c r="AE1322" i="33" s="1"/>
  <c r="C659" i="33"/>
  <c r="C738" i="33"/>
  <c r="C746" i="33"/>
  <c r="C761" i="33"/>
  <c r="C12" i="33"/>
  <c r="C16" i="33"/>
  <c r="C23" i="33"/>
  <c r="C27" i="33"/>
  <c r="C30" i="33"/>
  <c r="C38" i="33"/>
  <c r="C42" i="33"/>
  <c r="C46" i="33"/>
  <c r="C58" i="33"/>
  <c r="C62" i="33"/>
  <c r="C66" i="33"/>
  <c r="C76" i="33"/>
  <c r="C82" i="33"/>
  <c r="C96" i="33"/>
  <c r="C102" i="33"/>
  <c r="C106" i="33"/>
  <c r="C110" i="33"/>
  <c r="C114" i="33"/>
  <c r="C121" i="33"/>
  <c r="AE996" i="33" s="1"/>
  <c r="C136" i="33"/>
  <c r="C148" i="33"/>
  <c r="C155" i="33"/>
  <c r="C159" i="33"/>
  <c r="AE1153" i="33" s="1"/>
  <c r="C163" i="33"/>
  <c r="C175" i="33"/>
  <c r="C194" i="33"/>
  <c r="C208" i="33"/>
  <c r="AE956" i="33" s="1"/>
  <c r="C213" i="33"/>
  <c r="C220" i="33"/>
  <c r="C226" i="33"/>
  <c r="C229" i="33"/>
  <c r="C237" i="33"/>
  <c r="C262" i="33"/>
  <c r="C271" i="33"/>
  <c r="C279" i="33"/>
  <c r="C340" i="33"/>
  <c r="C344" i="33"/>
  <c r="C348" i="33"/>
  <c r="C450" i="33"/>
  <c r="C454" i="33"/>
  <c r="C458" i="33"/>
  <c r="C466" i="33"/>
  <c r="C478" i="33"/>
  <c r="C484" i="33"/>
  <c r="C488" i="33"/>
  <c r="H495" i="33"/>
  <c r="C499" i="33"/>
  <c r="C563" i="33"/>
  <c r="C571" i="33"/>
  <c r="C587" i="33"/>
  <c r="C591" i="33"/>
  <c r="C603" i="33"/>
  <c r="C607" i="33"/>
  <c r="C620" i="33"/>
  <c r="C631" i="33"/>
  <c r="AE1318" i="33" s="1"/>
  <c r="C656" i="33"/>
  <c r="C674" i="33"/>
  <c r="C676" i="33"/>
  <c r="C708" i="33"/>
  <c r="C719" i="33"/>
  <c r="C739" i="33"/>
  <c r="C747" i="33"/>
  <c r="C758" i="33"/>
  <c r="C768" i="33"/>
  <c r="C783" i="33"/>
  <c r="C797" i="33"/>
  <c r="C2" i="33"/>
  <c r="C8" i="33"/>
  <c r="C13" i="33"/>
  <c r="C24" i="33"/>
  <c r="C31" i="33"/>
  <c r="C35" i="33"/>
  <c r="C39" i="33"/>
  <c r="C43" i="33"/>
  <c r="C47" i="33"/>
  <c r="C51" i="33"/>
  <c r="C85" i="33"/>
  <c r="C91" i="33"/>
  <c r="AE1311" i="33" s="1"/>
  <c r="C93" i="33"/>
  <c r="AE1315" i="33" s="1"/>
  <c r="C97" i="33"/>
  <c r="C99" i="33"/>
  <c r="AE1307" i="33" s="1"/>
  <c r="C107" i="33"/>
  <c r="C122" i="33"/>
  <c r="C131" i="33"/>
  <c r="AE1269" i="33" s="1"/>
  <c r="C137" i="33"/>
  <c r="C141" i="33"/>
  <c r="AE1276" i="33" s="1"/>
  <c r="C145" i="33"/>
  <c r="C149" i="33"/>
  <c r="C152" i="33"/>
  <c r="C156" i="33"/>
  <c r="C160" i="33"/>
  <c r="C164" i="33"/>
  <c r="C168" i="33"/>
  <c r="C170" i="33"/>
  <c r="AE1117" i="33" s="1"/>
  <c r="C178" i="33"/>
  <c r="C192" i="33"/>
  <c r="C202" i="33"/>
  <c r="AE949" i="33" s="1"/>
  <c r="C211" i="33"/>
  <c r="C214" i="33"/>
  <c r="C218" i="33"/>
  <c r="C221" i="33"/>
  <c r="C227" i="33"/>
  <c r="C244" i="33"/>
  <c r="AE961" i="33" s="1"/>
  <c r="C248" i="33"/>
  <c r="C252" i="33"/>
  <c r="C264" i="33"/>
  <c r="C269" i="33"/>
  <c r="C292" i="33"/>
  <c r="C296" i="33"/>
  <c r="C300" i="33"/>
  <c r="C304" i="33"/>
  <c r="C308" i="33"/>
  <c r="C312" i="33"/>
  <c r="C321" i="33"/>
  <c r="C327" i="33"/>
  <c r="C369" i="33"/>
  <c r="C373" i="33"/>
  <c r="C377" i="33"/>
  <c r="AE1182" i="33" s="1"/>
  <c r="C384" i="33"/>
  <c r="C388" i="33"/>
  <c r="C396" i="33"/>
  <c r="C399" i="33"/>
  <c r="C403" i="33"/>
  <c r="C410" i="33"/>
  <c r="C414" i="33"/>
  <c r="C418" i="33"/>
  <c r="C422" i="33"/>
  <c r="C426" i="33"/>
  <c r="AE1191" i="33" s="1"/>
  <c r="C451" i="33"/>
  <c r="C455" i="33"/>
  <c r="C459" i="33"/>
  <c r="C463" i="33"/>
  <c r="C467" i="33"/>
  <c r="C475" i="33"/>
  <c r="AE1263" i="33" s="1"/>
  <c r="H489" i="33"/>
  <c r="H493" i="33"/>
  <c r="C496" i="33"/>
  <c r="C500" i="33"/>
  <c r="C504" i="33"/>
  <c r="C536" i="33"/>
  <c r="H538" i="33"/>
  <c r="H540" i="33"/>
  <c r="H544" i="33"/>
  <c r="C548" i="33"/>
  <c r="C551" i="33"/>
  <c r="C555" i="33"/>
  <c r="C574" i="33"/>
  <c r="C604" i="33"/>
  <c r="AE1336" i="33" s="1"/>
  <c r="C628" i="33"/>
  <c r="C632" i="33"/>
  <c r="AE1319" i="33" s="1"/>
  <c r="C636" i="33"/>
  <c r="C645" i="33"/>
  <c r="C653" i="33"/>
  <c r="C661" i="33"/>
  <c r="C675" i="33"/>
  <c r="C681" i="33"/>
  <c r="C689" i="33"/>
  <c r="C697" i="33"/>
  <c r="C705" i="33"/>
  <c r="C709" i="33"/>
  <c r="C721" i="33"/>
  <c r="C740" i="33"/>
  <c r="C744" i="33"/>
  <c r="C748" i="33"/>
  <c r="C755" i="33"/>
  <c r="C759" i="33"/>
  <c r="C780" i="33"/>
  <c r="C784" i="33"/>
  <c r="C788" i="33"/>
  <c r="C792" i="33"/>
  <c r="H839" i="33"/>
  <c r="H824" i="33"/>
  <c r="H814" i="33"/>
  <c r="C18" i="33"/>
  <c r="C26" i="33"/>
  <c r="C49" i="33"/>
  <c r="C87" i="33"/>
  <c r="C95" i="33"/>
  <c r="C101" i="33"/>
  <c r="C109" i="33"/>
  <c r="C126" i="33"/>
  <c r="C135" i="33"/>
  <c r="AE1270" i="33" s="1"/>
  <c r="C143" i="33"/>
  <c r="C184" i="33"/>
  <c r="AE1147" i="33" s="1"/>
  <c r="C188" i="33"/>
  <c r="C228" i="33"/>
  <c r="C236" i="33"/>
  <c r="C274" i="33"/>
  <c r="C294" i="33"/>
  <c r="C306" i="33"/>
  <c r="C355" i="33"/>
  <c r="C365" i="33"/>
  <c r="C375" i="33"/>
  <c r="C420" i="33"/>
  <c r="C438" i="33"/>
  <c r="C446" i="33"/>
  <c r="AE1223" i="33" s="1"/>
  <c r="C477" i="33"/>
  <c r="C487" i="33"/>
  <c r="C546" i="33"/>
  <c r="C586" i="33"/>
  <c r="C634" i="33"/>
  <c r="C643" i="33"/>
  <c r="AT669" i="33"/>
  <c r="C683" i="33"/>
  <c r="C711" i="33"/>
  <c r="C771" i="33"/>
  <c r="C775" i="33"/>
  <c r="C10" i="33"/>
  <c r="C14" i="33"/>
  <c r="C25" i="33"/>
  <c r="C28" i="33"/>
  <c r="C32" i="33"/>
  <c r="C36" i="33"/>
  <c r="C40" i="33"/>
  <c r="C44" i="33"/>
  <c r="C48" i="33"/>
  <c r="C60" i="33"/>
  <c r="C68" i="33"/>
  <c r="C74" i="33"/>
  <c r="C86" i="33"/>
  <c r="C98" i="33"/>
  <c r="C104" i="33"/>
  <c r="C108" i="33"/>
  <c r="C128" i="33"/>
  <c r="C133" i="33"/>
  <c r="C138" i="33"/>
  <c r="C142" i="33"/>
  <c r="C165" i="33"/>
  <c r="C171" i="33"/>
  <c r="C179" i="33"/>
  <c r="C187" i="33"/>
  <c r="C203" i="33"/>
  <c r="C241" i="33"/>
  <c r="AE976" i="33" s="1"/>
  <c r="C245" i="33"/>
  <c r="AE979" i="33" s="1"/>
  <c r="C249" i="33"/>
  <c r="C253" i="33"/>
  <c r="C259" i="33"/>
  <c r="C261" i="33"/>
  <c r="C265" i="33"/>
  <c r="C273" i="33"/>
  <c r="C277" i="33"/>
  <c r="C281" i="33"/>
  <c r="C288" i="33"/>
  <c r="C324" i="33"/>
  <c r="C318" i="33"/>
  <c r="C328" i="33"/>
  <c r="C336" i="33"/>
  <c r="C338" i="33"/>
  <c r="AE919" i="33" s="1"/>
  <c r="C342" i="33"/>
  <c r="C346" i="33"/>
  <c r="C370" i="33"/>
  <c r="C374" i="33"/>
  <c r="C385" i="33"/>
  <c r="C393" i="33"/>
  <c r="C400" i="33"/>
  <c r="C404" i="33"/>
  <c r="C411" i="33"/>
  <c r="H415" i="33"/>
  <c r="C423" i="33"/>
  <c r="C427" i="33"/>
  <c r="C472" i="33"/>
  <c r="C482" i="33"/>
  <c r="H490" i="33"/>
  <c r="H494" i="33"/>
  <c r="C497" i="33"/>
  <c r="C501" i="33"/>
  <c r="C505" i="33"/>
  <c r="C565" i="33"/>
  <c r="C589" i="33"/>
  <c r="C593" i="33"/>
  <c r="C601" i="33"/>
  <c r="C605" i="33"/>
  <c r="C646" i="33"/>
  <c r="C654" i="33"/>
  <c r="C672" i="33"/>
  <c r="C678" i="33"/>
  <c r="C686" i="33"/>
  <c r="C720" i="33"/>
  <c r="H737" i="33"/>
  <c r="C777" i="33"/>
  <c r="C781" i="33"/>
  <c r="C789" i="33"/>
  <c r="C799" i="33"/>
  <c r="H833" i="33"/>
  <c r="C817" i="33"/>
  <c r="H820" i="33"/>
  <c r="AS1120" i="33"/>
  <c r="AT1185" i="33"/>
  <c r="AS972" i="33"/>
  <c r="C821" i="33"/>
  <c r="C816" i="33"/>
  <c r="C820" i="33"/>
  <c r="H817" i="33"/>
  <c r="C814" i="33"/>
  <c r="C824" i="33"/>
  <c r="C833" i="33"/>
  <c r="C839" i="33"/>
  <c r="E857" i="33"/>
  <c r="AJ857" i="33" s="1"/>
  <c r="E840" i="33"/>
  <c r="AJ840" i="33" s="1"/>
  <c r="E844" i="33"/>
  <c r="AJ844" i="33" s="1"/>
  <c r="E859" i="33"/>
  <c r="C822" i="33"/>
  <c r="E848" i="33"/>
  <c r="H847" i="33"/>
  <c r="C847" i="33"/>
  <c r="C1326" i="33"/>
  <c r="C1297" i="33"/>
  <c r="C1309" i="33"/>
  <c r="C663" i="33"/>
  <c r="C22" i="33"/>
  <c r="C90" i="33"/>
  <c r="C80" i="33"/>
  <c r="C195" i="33"/>
  <c r="H497" i="33"/>
  <c r="C693" i="33"/>
  <c r="C453" i="33"/>
  <c r="C9" i="33"/>
  <c r="C1181" i="33"/>
  <c r="C1183" i="33"/>
  <c r="C367" i="33"/>
  <c r="H788" i="33"/>
  <c r="C1018" i="33"/>
  <c r="C1116" i="33"/>
  <c r="C511" i="33"/>
  <c r="C579" i="33"/>
  <c r="C1085" i="33"/>
  <c r="C1189" i="33"/>
  <c r="C1207" i="33"/>
  <c r="C1210" i="33"/>
  <c r="C1213" i="33"/>
  <c r="C7" i="33"/>
  <c r="C158" i="33"/>
  <c r="C183" i="33"/>
  <c r="C666" i="33"/>
  <c r="C969" i="33"/>
  <c r="C974" i="33"/>
  <c r="C1322" i="33"/>
  <c r="C1188" i="33"/>
  <c r="C1190" i="33"/>
  <c r="C1198" i="33"/>
  <c r="C1222" i="33"/>
  <c r="C1224" i="33"/>
  <c r="C1266" i="33"/>
  <c r="C1268" i="33"/>
  <c r="C1287" i="33"/>
  <c r="C1352" i="33"/>
  <c r="C395" i="33"/>
  <c r="C408" i="33"/>
  <c r="H534" i="33"/>
  <c r="C580" i="33"/>
  <c r="C584" i="33"/>
  <c r="C600" i="33"/>
  <c r="C691" i="33"/>
  <c r="C703" i="33"/>
  <c r="H917" i="33"/>
  <c r="H996" i="33"/>
  <c r="C1045" i="33"/>
  <c r="C1087" i="33"/>
  <c r="C1089" i="33"/>
  <c r="H1098" i="33"/>
  <c r="C1184" i="33"/>
  <c r="C1205" i="33"/>
  <c r="C1318" i="33"/>
  <c r="C139" i="33"/>
  <c r="C79" i="33"/>
  <c r="C1223" i="33"/>
  <c r="C1253" i="33"/>
  <c r="H492" i="33"/>
  <c r="C609" i="33"/>
  <c r="C949" i="33"/>
  <c r="C976" i="33"/>
  <c r="H1095" i="33"/>
  <c r="H1131" i="33"/>
  <c r="C146" i="33"/>
  <c r="C88" i="33"/>
  <c r="C350" i="33"/>
  <c r="C471" i="33"/>
  <c r="H536" i="33"/>
  <c r="C538" i="33"/>
  <c r="C610" i="33"/>
  <c r="H781" i="33"/>
  <c r="H933" i="33"/>
  <c r="H934" i="33"/>
  <c r="H939" i="33"/>
  <c r="H942" i="33"/>
  <c r="H982" i="33"/>
  <c r="H1007" i="33"/>
  <c r="H1072" i="33"/>
  <c r="AT1217" i="33"/>
  <c r="C71" i="33"/>
  <c r="C78" i="33"/>
  <c r="C157" i="33"/>
  <c r="C332" i="33"/>
  <c r="C368" i="33"/>
  <c r="C540" i="33"/>
  <c r="C542" i="33"/>
  <c r="C544" i="33"/>
  <c r="C566" i="33"/>
  <c r="C583" i="33"/>
  <c r="C596" i="33"/>
  <c r="C639" i="33"/>
  <c r="C714" i="33"/>
  <c r="H959" i="33"/>
  <c r="H961" i="33"/>
  <c r="C968" i="33"/>
  <c r="H1000" i="33"/>
  <c r="C1023" i="33"/>
  <c r="C1047" i="33"/>
  <c r="C1084" i="33"/>
  <c r="C1090" i="33"/>
  <c r="C1092" i="33"/>
  <c r="C1144" i="33"/>
  <c r="C1149" i="33"/>
  <c r="C1165" i="33"/>
  <c r="H1172" i="33"/>
  <c r="C1192" i="33"/>
  <c r="C1197" i="33"/>
  <c r="C1214" i="33"/>
  <c r="C1219" i="33"/>
  <c r="C1221" i="33"/>
  <c r="C1229" i="33"/>
  <c r="C1239" i="33"/>
  <c r="C1250" i="33"/>
  <c r="C1255" i="33"/>
  <c r="C1262" i="33"/>
  <c r="C1269" i="33"/>
  <c r="C1272" i="33"/>
  <c r="C1286" i="33"/>
  <c r="C1303" i="33"/>
  <c r="C1308" i="33"/>
  <c r="C1320" i="33"/>
  <c r="H1330" i="33"/>
  <c r="C1336" i="33"/>
  <c r="C743" i="33"/>
  <c r="C1022" i="33"/>
  <c r="C1046" i="33"/>
  <c r="C1054" i="33"/>
  <c r="C1057" i="33"/>
  <c r="C1069" i="33"/>
  <c r="C1097" i="33"/>
  <c r="C1112" i="33"/>
  <c r="C1123" i="33"/>
  <c r="C383" i="33"/>
  <c r="H418" i="33"/>
  <c r="C578" i="33"/>
  <c r="C1134" i="33"/>
  <c r="C1164" i="33"/>
  <c r="C1187" i="33"/>
  <c r="C1204" i="33"/>
  <c r="C1230" i="33"/>
  <c r="C1232" i="33"/>
  <c r="C1235" i="33"/>
  <c r="C1244" i="33"/>
  <c r="C1247" i="33"/>
  <c r="AS1217" i="33"/>
  <c r="C1258" i="33"/>
  <c r="C1260" i="33"/>
  <c r="H1274" i="33"/>
  <c r="C1288" i="33"/>
  <c r="H1292" i="33"/>
  <c r="H1294" i="33"/>
  <c r="C1324" i="33"/>
  <c r="C965" i="33"/>
  <c r="H965" i="33"/>
  <c r="H980" i="33"/>
  <c r="C980" i="33"/>
  <c r="C989" i="33"/>
  <c r="H989" i="33"/>
  <c r="C1027" i="33"/>
  <c r="H1027" i="33"/>
  <c r="C1079" i="33"/>
  <c r="H1079" i="33"/>
  <c r="C1106" i="33"/>
  <c r="H1106" i="33"/>
  <c r="C1151" i="33"/>
  <c r="H1151" i="33"/>
  <c r="H1175" i="33"/>
  <c r="C1175" i="33"/>
  <c r="H1251" i="33"/>
  <c r="C1251" i="33"/>
  <c r="C1254" i="33"/>
  <c r="H1254" i="33"/>
  <c r="H1264" i="33"/>
  <c r="C1264" i="33"/>
  <c r="C1307" i="33"/>
  <c r="H1307" i="33"/>
  <c r="H1319" i="33"/>
  <c r="C1319" i="33"/>
  <c r="H1337" i="33"/>
  <c r="C1337" i="33"/>
  <c r="C452" i="33"/>
  <c r="C582" i="33"/>
  <c r="H740" i="33"/>
  <c r="H784" i="33"/>
  <c r="H921" i="33"/>
  <c r="H926" i="33"/>
  <c r="C962" i="33"/>
  <c r="H962" i="33"/>
  <c r="C1013" i="33"/>
  <c r="H1013" i="33"/>
  <c r="C1016" i="33"/>
  <c r="H1016" i="33"/>
  <c r="C1031" i="33"/>
  <c r="H1031" i="33"/>
  <c r="C1040" i="33"/>
  <c r="H1040" i="33"/>
  <c r="C1068" i="33"/>
  <c r="H1068" i="33"/>
  <c r="H1082" i="33"/>
  <c r="C1082" i="33"/>
  <c r="H1103" i="33"/>
  <c r="C1103" i="33"/>
  <c r="C1111" i="33"/>
  <c r="H1111" i="33"/>
  <c r="H1133" i="33"/>
  <c r="C1133" i="33"/>
  <c r="H1163" i="33"/>
  <c r="C1163" i="33"/>
  <c r="H1209" i="33"/>
  <c r="C1209" i="33"/>
  <c r="C1212" i="33"/>
  <c r="H1212" i="33"/>
  <c r="H1236" i="33"/>
  <c r="C1236" i="33"/>
  <c r="H1259" i="33"/>
  <c r="C1259" i="33"/>
  <c r="C1341" i="33"/>
  <c r="H1341" i="33"/>
  <c r="H1350" i="33"/>
  <c r="C1350" i="33"/>
  <c r="C333" i="33"/>
  <c r="C352" i="33"/>
  <c r="C405" i="33"/>
  <c r="C415" i="33"/>
  <c r="C627" i="33"/>
  <c r="C737" i="33"/>
  <c r="H739" i="33"/>
  <c r="H790" i="33"/>
  <c r="H919" i="33"/>
  <c r="C958" i="33"/>
  <c r="H958" i="33"/>
  <c r="C967" i="33"/>
  <c r="H1050" i="33"/>
  <c r="C1050" i="33"/>
  <c r="H1108" i="33"/>
  <c r="C1108" i="33"/>
  <c r="H1231" i="33"/>
  <c r="C1231" i="33"/>
  <c r="C1279" i="33"/>
  <c r="H1279" i="33"/>
  <c r="C1299" i="33"/>
  <c r="H1299" i="33"/>
  <c r="C1306" i="33"/>
  <c r="H1306" i="33"/>
  <c r="H1323" i="33"/>
  <c r="C1323" i="33"/>
  <c r="C70" i="33"/>
  <c r="C4" i="33"/>
  <c r="C55" i="33"/>
  <c r="C115" i="33"/>
  <c r="C147" i="33"/>
  <c r="C197" i="33"/>
  <c r="C715" i="33"/>
  <c r="C999" i="33"/>
  <c r="H999" i="33"/>
  <c r="C1015" i="33"/>
  <c r="H1015" i="33"/>
  <c r="C1029" i="33"/>
  <c r="H1029" i="33"/>
  <c r="C1038" i="33"/>
  <c r="H1038" i="33"/>
  <c r="C1042" i="33"/>
  <c r="H1042" i="33"/>
  <c r="C1061" i="33"/>
  <c r="H1061" i="33"/>
  <c r="H1093" i="33"/>
  <c r="C1093" i="33"/>
  <c r="C1121" i="33"/>
  <c r="H1121" i="33"/>
  <c r="H1180" i="33"/>
  <c r="C1180" i="33"/>
  <c r="C1200" i="33"/>
  <c r="H1200" i="33"/>
  <c r="H1228" i="33"/>
  <c r="C1228" i="33"/>
  <c r="H1270" i="33"/>
  <c r="C1270" i="33"/>
  <c r="C1277" i="33"/>
  <c r="AS1239" i="33"/>
  <c r="H1284" i="33"/>
  <c r="C1284" i="33"/>
  <c r="H1304" i="33"/>
  <c r="C1304" i="33"/>
  <c r="C1339" i="33"/>
  <c r="H1339" i="33"/>
  <c r="C1344" i="33"/>
  <c r="C1349" i="33"/>
  <c r="C1355" i="33"/>
  <c r="H1006" i="33"/>
  <c r="H1008" i="33"/>
  <c r="H1020" i="33"/>
  <c r="AS1111" i="33"/>
  <c r="H1162" i="33"/>
  <c r="H927" i="33"/>
  <c r="H941" i="33"/>
  <c r="H984" i="33"/>
  <c r="H1030" i="33"/>
  <c r="H1032" i="33"/>
  <c r="H1039" i="33"/>
  <c r="H1052" i="33"/>
  <c r="H1067" i="33"/>
  <c r="H1080" i="33"/>
  <c r="H1096" i="33"/>
  <c r="H1282" i="33"/>
  <c r="AT1258" i="33"/>
  <c r="H1302" i="33"/>
  <c r="H1312" i="33"/>
  <c r="C224" i="33"/>
  <c r="C239" i="33"/>
  <c r="C258" i="33"/>
  <c r="AE1038" i="33" s="1"/>
  <c r="C428" i="33"/>
  <c r="C433" i="33"/>
  <c r="C923" i="33"/>
  <c r="H923" i="33"/>
  <c r="C948" i="33"/>
  <c r="H948" i="33"/>
  <c r="C954" i="33"/>
  <c r="H954" i="33"/>
  <c r="C973" i="33"/>
  <c r="H973" i="33"/>
  <c r="H975" i="33"/>
  <c r="C975" i="33"/>
  <c r="C977" i="33"/>
  <c r="H977" i="33"/>
  <c r="C994" i="33"/>
  <c r="H994" i="33"/>
  <c r="H998" i="33"/>
  <c r="C998" i="33"/>
  <c r="H1002" i="33"/>
  <c r="C1002" i="33"/>
  <c r="C1011" i="33"/>
  <c r="H1011" i="33"/>
  <c r="C1024" i="33"/>
  <c r="H1024" i="33"/>
  <c r="C1048" i="33"/>
  <c r="H1048" i="33"/>
  <c r="C1053" i="33"/>
  <c r="H1053" i="33"/>
  <c r="C1153" i="33"/>
  <c r="H1153" i="33"/>
  <c r="C1182" i="33"/>
  <c r="H1182" i="33"/>
  <c r="C1186" i="33"/>
  <c r="H1186" i="33"/>
  <c r="H1191" i="33"/>
  <c r="C1191" i="33"/>
  <c r="C1203" i="33"/>
  <c r="H1203" i="33"/>
  <c r="H1267" i="33"/>
  <c r="C1267" i="33"/>
  <c r="C1281" i="33"/>
  <c r="H1281" i="33"/>
  <c r="C1301" i="33"/>
  <c r="H1301" i="33"/>
  <c r="C1311" i="33"/>
  <c r="H1311" i="33"/>
  <c r="C73" i="33"/>
  <c r="C127" i="33"/>
  <c r="C235" i="33"/>
  <c r="C314" i="33"/>
  <c r="C331" i="33"/>
  <c r="C334" i="33"/>
  <c r="C354" i="33"/>
  <c r="C392" i="33"/>
  <c r="C5" i="33"/>
  <c r="C21" i="33"/>
  <c r="C29" i="33"/>
  <c r="C57" i="33"/>
  <c r="C67" i="33"/>
  <c r="C112" i="33"/>
  <c r="C119" i="33"/>
  <c r="C120" i="33"/>
  <c r="C216" i="33"/>
  <c r="C217" i="33"/>
  <c r="C247" i="33"/>
  <c r="C263" i="33"/>
  <c r="C286" i="33"/>
  <c r="C293" i="33"/>
  <c r="C301" i="33"/>
  <c r="C309" i="33"/>
  <c r="C339" i="33"/>
  <c r="C366" i="33"/>
  <c r="C401" i="33"/>
  <c r="C412" i="33"/>
  <c r="C457" i="33"/>
  <c r="C606" i="33"/>
  <c r="C633" i="33"/>
  <c r="C63" i="33"/>
  <c r="C231" i="33"/>
  <c r="C364" i="33"/>
  <c r="C371" i="33"/>
  <c r="C378" i="33"/>
  <c r="C380" i="33"/>
  <c r="H419" i="33"/>
  <c r="C419" i="33"/>
  <c r="C84" i="33"/>
  <c r="C92" i="33"/>
  <c r="C3" i="33"/>
  <c r="C17" i="33"/>
  <c r="C6" i="33"/>
  <c r="C20" i="33"/>
  <c r="C34" i="33"/>
  <c r="C41" i="33"/>
  <c r="C50" i="33"/>
  <c r="C52" i="33"/>
  <c r="C53" i="33"/>
  <c r="C54" i="33"/>
  <c r="C59" i="33"/>
  <c r="C64" i="33"/>
  <c r="C77" i="33"/>
  <c r="C100" i="33"/>
  <c r="C103" i="33"/>
  <c r="C111" i="33"/>
  <c r="C117" i="33"/>
  <c r="C123" i="33"/>
  <c r="C129" i="33"/>
  <c r="C150" i="33"/>
  <c r="C153" i="33"/>
  <c r="C174" i="33"/>
  <c r="C182" i="33"/>
  <c r="C186" i="33"/>
  <c r="C243" i="33"/>
  <c r="C251" i="33"/>
  <c r="C268" i="33"/>
  <c r="C289" i="33"/>
  <c r="C297" i="33"/>
  <c r="C305" i="33"/>
  <c r="C313" i="33"/>
  <c r="C329" i="33"/>
  <c r="C337" i="33"/>
  <c r="C356" i="33"/>
  <c r="C394" i="33"/>
  <c r="C481" i="33"/>
  <c r="C564" i="33"/>
  <c r="C699" i="33"/>
  <c r="AE1131" i="33" s="1"/>
  <c r="C435" i="33"/>
  <c r="C441" i="33"/>
  <c r="C443" i="33"/>
  <c r="C449" i="33"/>
  <c r="C509" i="33"/>
  <c r="C514" i="33"/>
  <c r="C518" i="33"/>
  <c r="C522" i="33"/>
  <c r="C526" i="33"/>
  <c r="C530" i="33"/>
  <c r="H530" i="33"/>
  <c r="C559" i="33"/>
  <c r="C592" i="33"/>
  <c r="C702" i="33"/>
  <c r="C706" i="33"/>
  <c r="C787" i="33"/>
  <c r="H787" i="33"/>
  <c r="C282" i="33"/>
  <c r="C358" i="33"/>
  <c r="C362" i="33"/>
  <c r="C390" i="33"/>
  <c r="C416" i="33"/>
  <c r="C431" i="33"/>
  <c r="C617" i="33"/>
  <c r="C625" i="33"/>
  <c r="C713" i="33"/>
  <c r="C56" i="33"/>
  <c r="C72" i="33"/>
  <c r="C169" i="33"/>
  <c r="C189" i="33"/>
  <c r="C196" i="33"/>
  <c r="C222" i="33"/>
  <c r="C284" i="33"/>
  <c r="C437" i="33"/>
  <c r="C439" i="33"/>
  <c r="C445" i="33"/>
  <c r="C447" i="33"/>
  <c r="C512" i="33"/>
  <c r="C516" i="33"/>
  <c r="C520" i="33"/>
  <c r="C524" i="33"/>
  <c r="C528" i="33"/>
  <c r="H528" i="33"/>
  <c r="H532" i="33"/>
  <c r="C532" i="33"/>
  <c r="C561" i="33"/>
  <c r="C652" i="33"/>
  <c r="C687" i="33"/>
  <c r="C745" i="33"/>
  <c r="C767" i="33"/>
  <c r="C430" i="33"/>
  <c r="C434" i="33"/>
  <c r="C552" i="33"/>
  <c r="C553" i="33"/>
  <c r="C560" i="33"/>
  <c r="C567" i="33"/>
  <c r="C577" i="33"/>
  <c r="C581" i="33"/>
  <c r="C588" i="33"/>
  <c r="C597" i="33"/>
  <c r="C602" i="33"/>
  <c r="C613" i="33"/>
  <c r="C621" i="33"/>
  <c r="C629" i="33"/>
  <c r="C637" i="33"/>
  <c r="C640" i="33"/>
  <c r="C644" i="33"/>
  <c r="C660" i="33"/>
  <c r="C664" i="33"/>
  <c r="C665" i="33"/>
  <c r="C673" i="33"/>
  <c r="C679" i="33"/>
  <c r="C695" i="33"/>
  <c r="C760" i="33"/>
  <c r="C764" i="33"/>
  <c r="C749" i="33"/>
  <c r="C800" i="33"/>
  <c r="C491" i="33"/>
  <c r="C508" i="33"/>
  <c r="C510" i="33"/>
  <c r="C537" i="33"/>
  <c r="C598" i="33"/>
  <c r="C756" i="33"/>
  <c r="C779" i="33"/>
  <c r="H779" i="33"/>
  <c r="C774" i="33"/>
  <c r="C794" i="33"/>
  <c r="C796" i="33"/>
  <c r="C932" i="33"/>
  <c r="H932" i="33"/>
  <c r="C938" i="33"/>
  <c r="H938" i="33"/>
  <c r="H940" i="33"/>
  <c r="C940" i="33"/>
  <c r="C951" i="33"/>
  <c r="H951" i="33"/>
  <c r="H972" i="33"/>
  <c r="C972" i="33"/>
  <c r="C981" i="33"/>
  <c r="H981" i="33"/>
  <c r="H983" i="33"/>
  <c r="C983" i="33"/>
  <c r="C985" i="33"/>
  <c r="H985" i="33"/>
  <c r="AS974" i="33"/>
  <c r="AT974" i="33"/>
  <c r="H1012" i="33"/>
  <c r="C1094" i="33"/>
  <c r="H1094" i="33"/>
  <c r="C1104" i="33"/>
  <c r="H1104" i="33"/>
  <c r="C770" i="33"/>
  <c r="H780" i="33"/>
  <c r="H783" i="33"/>
  <c r="H789" i="33"/>
  <c r="C918" i="33"/>
  <c r="H918" i="33"/>
  <c r="H920" i="33"/>
  <c r="C920" i="33"/>
  <c r="H929" i="33"/>
  <c r="C929" i="33"/>
  <c r="C936" i="33"/>
  <c r="H936" i="33"/>
  <c r="C943" i="33"/>
  <c r="H943" i="33"/>
  <c r="H946" i="33"/>
  <c r="C946" i="33"/>
  <c r="C952" i="33"/>
  <c r="H952" i="33"/>
  <c r="C979" i="33"/>
  <c r="H979" i="33"/>
  <c r="C992" i="33"/>
  <c r="H992" i="33"/>
  <c r="C1001" i="33"/>
  <c r="H1001" i="33"/>
  <c r="C1004" i="33"/>
  <c r="H1004" i="33"/>
  <c r="C1014" i="33"/>
  <c r="H1014" i="33"/>
  <c r="C1028" i="33"/>
  <c r="H1028" i="33"/>
  <c r="H1043" i="33"/>
  <c r="C1043" i="33"/>
  <c r="C1049" i="33"/>
  <c r="H1049" i="33"/>
  <c r="C1074" i="33"/>
  <c r="H1074" i="33"/>
  <c r="H1107" i="33"/>
  <c r="C1107" i="33"/>
  <c r="H1122" i="33"/>
  <c r="C1122" i="33"/>
  <c r="C1130" i="33"/>
  <c r="H1130" i="33"/>
  <c r="C766" i="33"/>
  <c r="C786" i="33"/>
  <c r="H786" i="33"/>
  <c r="C922" i="33"/>
  <c r="H922" i="33"/>
  <c r="C957" i="33"/>
  <c r="H957" i="33"/>
  <c r="H963" i="33"/>
  <c r="C963" i="33"/>
  <c r="C970" i="33"/>
  <c r="H970" i="33"/>
  <c r="C993" i="33"/>
  <c r="H993" i="33"/>
  <c r="C1005" i="33"/>
  <c r="H1005" i="33"/>
  <c r="C1017" i="33"/>
  <c r="H1017" i="33"/>
  <c r="C1019" i="33"/>
  <c r="H1019" i="33"/>
  <c r="C1091" i="33"/>
  <c r="H1091" i="33"/>
  <c r="C1100" i="33"/>
  <c r="H1100" i="33"/>
  <c r="C1021" i="33"/>
  <c r="C1041" i="33"/>
  <c r="C1044" i="33"/>
  <c r="C1056" i="33"/>
  <c r="H1056" i="33"/>
  <c r="H1058" i="33"/>
  <c r="C1058" i="33"/>
  <c r="C1064" i="33"/>
  <c r="H1064" i="33"/>
  <c r="C1083" i="33"/>
  <c r="H1086" i="33"/>
  <c r="C1086" i="33"/>
  <c r="C1088" i="33"/>
  <c r="H1124" i="33"/>
  <c r="C1124" i="33"/>
  <c r="C1142" i="33"/>
  <c r="H1142" i="33"/>
  <c r="C1159" i="33"/>
  <c r="H1159" i="33"/>
  <c r="C1171" i="33"/>
  <c r="H1171" i="33"/>
  <c r="H1243" i="33"/>
  <c r="C1243" i="33"/>
  <c r="H1252" i="33"/>
  <c r="C1252" i="33"/>
  <c r="H1265" i="33"/>
  <c r="C1265" i="33"/>
  <c r="C1271" i="33"/>
  <c r="H1271" i="33"/>
  <c r="C1285" i="33"/>
  <c r="H1285" i="33"/>
  <c r="C1290" i="33"/>
  <c r="H1290" i="33"/>
  <c r="C1327" i="33"/>
  <c r="H1327" i="33"/>
  <c r="C1351" i="33"/>
  <c r="H1351" i="33"/>
  <c r="H1101" i="33"/>
  <c r="H1109" i="33"/>
  <c r="H1119" i="33"/>
  <c r="C1119" i="33"/>
  <c r="C1155" i="33"/>
  <c r="H1155" i="33"/>
  <c r="C1174" i="33"/>
  <c r="H1174" i="33"/>
  <c r="C1199" i="33"/>
  <c r="H1199" i="33"/>
  <c r="H1216" i="33"/>
  <c r="C1216" i="33"/>
  <c r="H1240" i="33"/>
  <c r="C1240" i="33"/>
  <c r="H1263" i="33"/>
  <c r="C1263" i="33"/>
  <c r="C1305" i="33"/>
  <c r="H1305" i="33"/>
  <c r="C1310" i="33"/>
  <c r="H1310" i="33"/>
  <c r="H1317" i="33"/>
  <c r="C1317" i="33"/>
  <c r="C1060" i="33"/>
  <c r="H1060" i="33"/>
  <c r="H1062" i="33"/>
  <c r="C1062" i="33"/>
  <c r="H1071" i="33"/>
  <c r="C1073" i="33"/>
  <c r="H1073" i="33"/>
  <c r="H1099" i="33"/>
  <c r="C1102" i="33"/>
  <c r="H1102" i="33"/>
  <c r="H1105" i="33"/>
  <c r="C1115" i="33"/>
  <c r="H1115" i="33"/>
  <c r="H1117" i="33"/>
  <c r="C1117" i="33"/>
  <c r="C1126" i="33"/>
  <c r="H1126" i="33"/>
  <c r="H1129" i="33"/>
  <c r="C1129" i="33"/>
  <c r="H1143" i="33"/>
  <c r="C1161" i="33"/>
  <c r="H1161" i="33"/>
  <c r="C1166" i="33"/>
  <c r="H1166" i="33"/>
  <c r="C1226" i="33"/>
  <c r="H1226" i="33"/>
  <c r="H1234" i="33"/>
  <c r="C1234" i="33"/>
  <c r="C1257" i="33"/>
  <c r="H1257" i="33"/>
  <c r="C1321" i="33"/>
  <c r="H1321" i="33"/>
  <c r="C1325" i="33"/>
  <c r="H1325" i="33"/>
  <c r="C1335" i="33"/>
  <c r="H1335" i="33"/>
  <c r="H1150" i="33"/>
  <c r="H1173" i="33"/>
  <c r="H1185" i="33"/>
  <c r="H1223" i="33"/>
  <c r="H1261" i="33"/>
  <c r="H1277" i="33"/>
  <c r="H1278" i="33"/>
  <c r="H1280" i="33"/>
  <c r="H1289" i="33"/>
  <c r="H1298" i="33"/>
  <c r="H1300" i="33"/>
  <c r="H1132" i="33"/>
  <c r="H1152" i="33"/>
  <c r="H1154" i="33"/>
  <c r="H1160" i="33"/>
  <c r="H1167" i="33"/>
  <c r="H1218" i="33"/>
  <c r="AS1185" i="33"/>
  <c r="H1225" i="33"/>
  <c r="H1275" i="33"/>
  <c r="C206" i="33"/>
  <c r="C207" i="33"/>
  <c r="C212" i="33"/>
  <c r="C215" i="33"/>
  <c r="C219" i="33"/>
  <c r="C223" i="33"/>
  <c r="C240" i="33"/>
  <c r="C257" i="33"/>
  <c r="C351" i="33"/>
  <c r="C456" i="33"/>
  <c r="C460" i="33"/>
  <c r="C464" i="33"/>
  <c r="C474" i="33"/>
  <c r="C476" i="33"/>
  <c r="C238" i="33"/>
  <c r="C246" i="33"/>
  <c r="C267" i="33"/>
  <c r="C341" i="33"/>
  <c r="C349" i="33"/>
  <c r="C260" i="33"/>
  <c r="C291" i="33"/>
  <c r="C295" i="33"/>
  <c r="C299" i="33"/>
  <c r="C303" i="33"/>
  <c r="C307" i="33"/>
  <c r="C311" i="33"/>
  <c r="C315" i="33"/>
  <c r="C335" i="33"/>
  <c r="C353" i="33"/>
  <c r="C357" i="33"/>
  <c r="C363" i="33"/>
  <c r="C381" i="33"/>
  <c r="C391" i="33"/>
  <c r="C407" i="33"/>
  <c r="C432" i="33"/>
  <c r="C436" i="33"/>
  <c r="C440" i="33"/>
  <c r="C444" i="33"/>
  <c r="C448" i="33"/>
  <c r="C234" i="33"/>
  <c r="C242" i="33"/>
  <c r="C250" i="33"/>
  <c r="C255" i="33"/>
  <c r="C285" i="33"/>
  <c r="C345" i="33"/>
  <c r="C387" i="33"/>
  <c r="C83" i="33"/>
  <c r="C89" i="33"/>
  <c r="C116" i="33"/>
  <c r="C154" i="33"/>
  <c r="C161" i="33"/>
  <c r="C190" i="33"/>
  <c r="C205" i="33"/>
  <c r="C225" i="33"/>
  <c r="C230" i="33"/>
  <c r="C272" i="33"/>
  <c r="C276" i="33"/>
  <c r="C280" i="33"/>
  <c r="C283" i="33"/>
  <c r="C323" i="33"/>
  <c r="C316" i="33"/>
  <c r="C319" i="33"/>
  <c r="C330" i="33"/>
  <c r="C372" i="33"/>
  <c r="C376" i="33"/>
  <c r="C382" i="33"/>
  <c r="C389" i="33"/>
  <c r="C398" i="33"/>
  <c r="C402" i="33"/>
  <c r="C406" i="33"/>
  <c r="C409" i="33"/>
  <c r="C413" i="33"/>
  <c r="C417" i="33"/>
  <c r="H417" i="33"/>
  <c r="C421" i="33"/>
  <c r="C425" i="33"/>
  <c r="C429" i="33"/>
  <c r="C521" i="33"/>
  <c r="C523" i="33"/>
  <c r="C525" i="33"/>
  <c r="C527" i="33"/>
  <c r="H529" i="33"/>
  <c r="C529" i="33"/>
  <c r="C531" i="33"/>
  <c r="H531" i="33"/>
  <c r="C550" i="33"/>
  <c r="C556" i="33"/>
  <c r="C569" i="33"/>
  <c r="C585" i="33"/>
  <c r="C468" i="33"/>
  <c r="C486" i="33"/>
  <c r="C489" i="33"/>
  <c r="C494" i="33"/>
  <c r="C495" i="33"/>
  <c r="H496" i="33"/>
  <c r="C498" i="33"/>
  <c r="H499" i="33"/>
  <c r="C503" i="33"/>
  <c r="C506" i="33"/>
  <c r="C533" i="33"/>
  <c r="H533" i="33"/>
  <c r="H535" i="33"/>
  <c r="C535" i="33"/>
  <c r="C570" i="33"/>
  <c r="C572" i="33"/>
  <c r="C575" i="33"/>
  <c r="C470" i="33"/>
  <c r="C479" i="33"/>
  <c r="H491" i="33"/>
  <c r="H539" i="33"/>
  <c r="C539" i="33"/>
  <c r="C541" i="33"/>
  <c r="H541" i="33"/>
  <c r="H543" i="33"/>
  <c r="C543" i="33"/>
  <c r="C545" i="33"/>
  <c r="H545" i="33"/>
  <c r="C547" i="33"/>
  <c r="C549" i="33"/>
  <c r="C554" i="33"/>
  <c r="C557" i="33"/>
  <c r="C558" i="33"/>
  <c r="C573" i="33"/>
  <c r="C576" i="33"/>
  <c r="C485" i="33"/>
  <c r="C490" i="33"/>
  <c r="C493" i="33"/>
  <c r="H500" i="33"/>
  <c r="C502" i="33"/>
  <c r="C507" i="33"/>
  <c r="C513" i="33"/>
  <c r="C515" i="33"/>
  <c r="C517" i="33"/>
  <c r="C519" i="33"/>
  <c r="H537" i="33"/>
  <c r="C568" i="33"/>
  <c r="C595" i="33"/>
  <c r="C611" i="33"/>
  <c r="C612" i="33"/>
  <c r="C614" i="33"/>
  <c r="C619" i="33"/>
  <c r="C622" i="33"/>
  <c r="C642" i="33"/>
  <c r="C650" i="33"/>
  <c r="C658" i="33"/>
  <c r="C668" i="33"/>
  <c r="C685" i="33"/>
  <c r="C694" i="33"/>
  <c r="C662" i="33"/>
  <c r="C670" i="33"/>
  <c r="C677" i="33"/>
  <c r="C599" i="33"/>
  <c r="C618" i="33"/>
  <c r="AS669" i="33"/>
  <c r="C669" i="33"/>
  <c r="AE1138" i="33" s="1"/>
  <c r="C671" i="33"/>
  <c r="C641" i="33"/>
  <c r="C647" i="33"/>
  <c r="C649" i="33"/>
  <c r="C655" i="33"/>
  <c r="C657" i="33"/>
  <c r="C682" i="33"/>
  <c r="C684" i="33"/>
  <c r="C798" i="33"/>
  <c r="C704" i="33"/>
  <c r="C710" i="33"/>
  <c r="C741" i="33"/>
  <c r="C753" i="33"/>
  <c r="C765" i="33"/>
  <c r="C769" i="33"/>
  <c r="C773" i="33"/>
  <c r="C778" i="33"/>
  <c r="H778" i="33"/>
  <c r="C782" i="33"/>
  <c r="H782" i="33"/>
  <c r="C785" i="33"/>
  <c r="H785" i="33"/>
  <c r="C793" i="33"/>
  <c r="C667" i="33"/>
  <c r="H738" i="33"/>
  <c r="C742" i="33"/>
  <c r="C791" i="33"/>
  <c r="H791" i="33"/>
  <c r="C795" i="33"/>
  <c r="C1003" i="33"/>
  <c r="H1003" i="33"/>
  <c r="C1033" i="33"/>
  <c r="H1033" i="33"/>
  <c r="C1075" i="33"/>
  <c r="H1075" i="33"/>
  <c r="C916" i="33"/>
  <c r="H924" i="33"/>
  <c r="H925" i="33"/>
  <c r="H928" i="33"/>
  <c r="C930" i="33"/>
  <c r="H931" i="33"/>
  <c r="H937" i="33"/>
  <c r="C945" i="33"/>
  <c r="H950" i="33"/>
  <c r="H953" i="33"/>
  <c r="C955" i="33"/>
  <c r="H956" i="33"/>
  <c r="H960" i="33"/>
  <c r="H966" i="33"/>
  <c r="C971" i="33"/>
  <c r="H987" i="33"/>
  <c r="H988" i="33"/>
  <c r="H991" i="33"/>
  <c r="H995" i="33"/>
  <c r="C1009" i="33"/>
  <c r="H1009" i="33"/>
  <c r="C1034" i="33"/>
  <c r="H1034" i="33"/>
  <c r="C1037" i="33"/>
  <c r="H1037" i="33"/>
  <c r="C1066" i="33"/>
  <c r="H1066" i="33"/>
  <c r="C1070" i="33"/>
  <c r="H1070" i="33"/>
  <c r="C1076" i="33"/>
  <c r="H1076" i="33"/>
  <c r="C1081" i="33"/>
  <c r="H1081" i="33"/>
  <c r="C915" i="33"/>
  <c r="C944" i="33"/>
  <c r="H990" i="33"/>
  <c r="H997" i="33"/>
  <c r="C1010" i="33"/>
  <c r="AT972" i="33"/>
  <c r="H1010" i="33"/>
  <c r="C1025" i="33"/>
  <c r="H1025" i="33"/>
  <c r="C1035" i="33"/>
  <c r="H1035" i="33"/>
  <c r="C1051" i="33"/>
  <c r="H1051" i="33"/>
  <c r="C1055" i="33"/>
  <c r="H1055" i="33"/>
  <c r="C1059" i="33"/>
  <c r="H1059" i="33"/>
  <c r="C1063" i="33"/>
  <c r="H1063" i="33"/>
  <c r="C1077" i="33"/>
  <c r="H1077" i="33"/>
  <c r="C935" i="33"/>
  <c r="C947" i="33"/>
  <c r="C964" i="33"/>
  <c r="C978" i="33"/>
  <c r="C986" i="33"/>
  <c r="C1026" i="33"/>
  <c r="H1026" i="33"/>
  <c r="C1036" i="33"/>
  <c r="H1036" i="33"/>
  <c r="C1065" i="33"/>
  <c r="H1065" i="33"/>
  <c r="C1078" i="33"/>
  <c r="H1078" i="33"/>
  <c r="C1136" i="33"/>
  <c r="H1136" i="33"/>
  <c r="C1140" i="33"/>
  <c r="H1140" i="33"/>
  <c r="C1147" i="33"/>
  <c r="H1147" i="33"/>
  <c r="C1156" i="33"/>
  <c r="H1156" i="33"/>
  <c r="C1168" i="33"/>
  <c r="H1168" i="33"/>
  <c r="C1193" i="33"/>
  <c r="H1193" i="33"/>
  <c r="C1196" i="33"/>
  <c r="H1196" i="33"/>
  <c r="C1012" i="33"/>
  <c r="H1110" i="33"/>
  <c r="H1113" i="33"/>
  <c r="H1114" i="33"/>
  <c r="H1118" i="33"/>
  <c r="H1125" i="33"/>
  <c r="C1137" i="33"/>
  <c r="H1137" i="33"/>
  <c r="C1141" i="33"/>
  <c r="H1141" i="33"/>
  <c r="C1145" i="33"/>
  <c r="H1145" i="33"/>
  <c r="C1148" i="33"/>
  <c r="H1148" i="33"/>
  <c r="C1157" i="33"/>
  <c r="H1157" i="33"/>
  <c r="C1169" i="33"/>
  <c r="H1169" i="33"/>
  <c r="C1177" i="33"/>
  <c r="H1177" i="33"/>
  <c r="C1194" i="33"/>
  <c r="H1194" i="33"/>
  <c r="C1128" i="33"/>
  <c r="C1135" i="33"/>
  <c r="H1135" i="33"/>
  <c r="C1138" i="33"/>
  <c r="H1138" i="33"/>
  <c r="C1170" i="33"/>
  <c r="H1170" i="33"/>
  <c r="C1178" i="33"/>
  <c r="H1178" i="33"/>
  <c r="C1195" i="33"/>
  <c r="H1195" i="33"/>
  <c r="C1120" i="33"/>
  <c r="C1127" i="33"/>
  <c r="C1139" i="33"/>
  <c r="H1139" i="33"/>
  <c r="C1146" i="33"/>
  <c r="H1146" i="33"/>
  <c r="C1158" i="33"/>
  <c r="AT1120" i="33"/>
  <c r="H1158" i="33"/>
  <c r="C1176" i="33"/>
  <c r="H1176" i="33"/>
  <c r="C1179" i="33"/>
  <c r="H1179" i="33"/>
  <c r="C1334" i="33"/>
  <c r="H1334" i="33"/>
  <c r="AT1111" i="33"/>
  <c r="H1202" i="33"/>
  <c r="H1208" i="33"/>
  <c r="H1211" i="33"/>
  <c r="H1217" i="33"/>
  <c r="H1246" i="33"/>
  <c r="H1276" i="33"/>
  <c r="H1291" i="33"/>
  <c r="H1293" i="33"/>
  <c r="H1313" i="33"/>
  <c r="C1315" i="33"/>
  <c r="C1331" i="33"/>
  <c r="H1331" i="33"/>
  <c r="C1340" i="33"/>
  <c r="H1340" i="33"/>
  <c r="C1346" i="33"/>
  <c r="H1346" i="33"/>
  <c r="C1353" i="33"/>
  <c r="H1353" i="33"/>
  <c r="H1201" i="33"/>
  <c r="H1215" i="33"/>
  <c r="H1220" i="33"/>
  <c r="H1227" i="33"/>
  <c r="H1233" i="33"/>
  <c r="C1238" i="33"/>
  <c r="C1242" i="33"/>
  <c r="C1245" i="33"/>
  <c r="H1249" i="33"/>
  <c r="H1256" i="33"/>
  <c r="H1273" i="33"/>
  <c r="AT1239" i="33"/>
  <c r="C1283" i="33"/>
  <c r="H1295" i="33"/>
  <c r="C1332" i="33"/>
  <c r="H1332" i="33"/>
  <c r="C1347" i="33"/>
  <c r="H1347" i="33"/>
  <c r="C1354" i="33"/>
  <c r="H1354" i="33"/>
  <c r="C1206" i="33"/>
  <c r="C1237" i="33"/>
  <c r="C1241" i="33"/>
  <c r="C1248" i="33"/>
  <c r="AS1258" i="33"/>
  <c r="C1296" i="33"/>
  <c r="H1314" i="33"/>
  <c r="C1316" i="33"/>
  <c r="C1333" i="33"/>
  <c r="H1333" i="33"/>
  <c r="C1345" i="33"/>
  <c r="H1345" i="33"/>
  <c r="C1348" i="33"/>
  <c r="H1348" i="33"/>
  <c r="C1328" i="33"/>
  <c r="C1329" i="33"/>
  <c r="C1338" i="33"/>
  <c r="C1342" i="33"/>
  <c r="C1343" i="33"/>
  <c r="AI92" i="34"/>
  <c r="AI91" i="34"/>
  <c r="AI90" i="34"/>
  <c r="AI89" i="34"/>
  <c r="AI88" i="34"/>
  <c r="AI86" i="34"/>
  <c r="AI85" i="34"/>
  <c r="AI83" i="34"/>
  <c r="AI82" i="34"/>
  <c r="AI81" i="34"/>
  <c r="AI80" i="34"/>
  <c r="AI79" i="34"/>
  <c r="AI77" i="34"/>
  <c r="AI73" i="34"/>
  <c r="AI72" i="34"/>
  <c r="AI71" i="34"/>
  <c r="AI70" i="34"/>
  <c r="AI69" i="34"/>
  <c r="AI68" i="34"/>
  <c r="AI66" i="34"/>
  <c r="AI65" i="34"/>
  <c r="AI64" i="34"/>
  <c r="AI63" i="34"/>
  <c r="AI62" i="34"/>
  <c r="AI61" i="34"/>
  <c r="AI59" i="34"/>
  <c r="AI58" i="34"/>
  <c r="AI57" i="34"/>
  <c r="AI53" i="34"/>
  <c r="AI49" i="34"/>
  <c r="AI47" i="34"/>
  <c r="AI44" i="34"/>
  <c r="AI43" i="34"/>
  <c r="AI42" i="34"/>
  <c r="AI38" i="34"/>
  <c r="AI37" i="34"/>
  <c r="AI34" i="34"/>
  <c r="AI33" i="34"/>
  <c r="AI32" i="34"/>
  <c r="AI31" i="34"/>
  <c r="AI30" i="34"/>
  <c r="AI29" i="34"/>
  <c r="AI27" i="34"/>
  <c r="AI26" i="34"/>
  <c r="AI25" i="34"/>
  <c r="AI24" i="34"/>
  <c r="AI23" i="34"/>
  <c r="AI21" i="34"/>
  <c r="AI20" i="34"/>
  <c r="AI17" i="34"/>
  <c r="AI14" i="34"/>
  <c r="AI11" i="34"/>
  <c r="AI8" i="34"/>
  <c r="AI7" i="34"/>
  <c r="AI3" i="34"/>
  <c r="AI2" i="34"/>
  <c r="AE1099" i="33" l="1"/>
  <c r="AE1090" i="33"/>
  <c r="AE1097" i="33"/>
  <c r="AE1092" i="33"/>
  <c r="AP859" i="33"/>
  <c r="AJ859" i="33"/>
  <c r="AP848" i="33"/>
  <c r="AJ848" i="33"/>
  <c r="AL857" i="33"/>
  <c r="AP857" i="33"/>
  <c r="AL844" i="33"/>
  <c r="AP844" i="33"/>
  <c r="AL840" i="33"/>
  <c r="AP840" i="33"/>
  <c r="AE1353" i="33"/>
  <c r="AE1316" i="33"/>
  <c r="AE1333" i="33"/>
  <c r="AE1257" i="33"/>
  <c r="AE1149" i="33"/>
  <c r="AE1199" i="33"/>
  <c r="AE1121" i="33"/>
  <c r="AE1112" i="33"/>
  <c r="AE1237" i="33"/>
  <c r="AE1101" i="33"/>
  <c r="AK785" i="33"/>
  <c r="AE1172" i="33"/>
  <c r="AE1200" i="33"/>
  <c r="AK749" i="33"/>
  <c r="AE1288" i="33"/>
  <c r="AE1001" i="33"/>
  <c r="AE1034" i="33"/>
  <c r="AE1282" i="33"/>
  <c r="AE1326" i="33"/>
  <c r="AE917" i="33"/>
  <c r="AK839" i="33"/>
  <c r="AK781" i="33"/>
  <c r="AE1264" i="33"/>
  <c r="AE1088" i="33"/>
  <c r="AE1115" i="33"/>
  <c r="AE1308" i="33"/>
  <c r="AE1025" i="33"/>
  <c r="AE1107" i="33"/>
  <c r="AE1188" i="33"/>
  <c r="AE1007" i="33"/>
  <c r="AE1292" i="33"/>
  <c r="AK746" i="33"/>
  <c r="AE1296" i="33"/>
  <c r="AE1298" i="33"/>
  <c r="AK753" i="33"/>
  <c r="AE1189" i="33"/>
  <c r="AE1093" i="33"/>
  <c r="AE1312" i="33"/>
  <c r="AE1262" i="33"/>
  <c r="AE1230" i="33"/>
  <c r="AE1314" i="33"/>
  <c r="AE1228" i="33"/>
  <c r="AE1126" i="33"/>
  <c r="AE1146" i="33"/>
  <c r="AE1290" i="33"/>
  <c r="AE1243" i="33"/>
  <c r="AK795" i="33"/>
  <c r="AK773" i="33"/>
  <c r="AE1103" i="33"/>
  <c r="AE1111" i="33"/>
  <c r="AE1235" i="33"/>
  <c r="AE1346" i="33"/>
  <c r="AE1193" i="33"/>
  <c r="AE1198" i="33"/>
  <c r="AE924" i="33"/>
  <c r="AE988" i="33"/>
  <c r="AE923" i="33"/>
  <c r="AE1047" i="33"/>
  <c r="AK774" i="33"/>
  <c r="AE1165" i="33"/>
  <c r="AK764" i="33"/>
  <c r="AE1140" i="33"/>
  <c r="AE1234" i="33"/>
  <c r="AK767" i="33"/>
  <c r="AE1118" i="33"/>
  <c r="AE1347" i="33"/>
  <c r="AE1303" i="33"/>
  <c r="AE1297" i="33"/>
  <c r="AE1019" i="33"/>
  <c r="AE1313" i="33"/>
  <c r="AE1179" i="33"/>
  <c r="AE969" i="33"/>
  <c r="AE1016" i="33"/>
  <c r="AE918" i="33"/>
  <c r="AE1000" i="33"/>
  <c r="AE1181" i="33"/>
  <c r="AE1283" i="33"/>
  <c r="AE1277" i="33"/>
  <c r="AE1331" i="33"/>
  <c r="AE1152" i="33"/>
  <c r="AE1159" i="33"/>
  <c r="AE1325" i="33"/>
  <c r="AE1186" i="33"/>
  <c r="AK777" i="33"/>
  <c r="AE1011" i="33"/>
  <c r="AK755" i="33"/>
  <c r="AE1239" i="33"/>
  <c r="AE1114" i="33"/>
  <c r="AE1229" i="33"/>
  <c r="AE1295" i="33"/>
  <c r="AE1006" i="33"/>
  <c r="AE1030" i="33"/>
  <c r="AE1180" i="33"/>
  <c r="AE1244" i="33"/>
  <c r="AE1214" i="33"/>
  <c r="AE1079" i="33"/>
  <c r="AK769" i="33"/>
  <c r="AK798" i="33"/>
  <c r="AE1105" i="33"/>
  <c r="AE1158" i="33"/>
  <c r="AK786" i="33"/>
  <c r="AE1289" i="33"/>
  <c r="AE1197" i="33"/>
  <c r="AE1272" i="33"/>
  <c r="AE1233" i="33"/>
  <c r="AE1012" i="33"/>
  <c r="AE1183" i="33"/>
  <c r="AE1004" i="33"/>
  <c r="AE946" i="33"/>
  <c r="AK816" i="33"/>
  <c r="AE1139" i="33"/>
  <c r="AE922" i="33"/>
  <c r="AE1278" i="33"/>
  <c r="AE1284" i="33"/>
  <c r="AK775" i="33"/>
  <c r="AE1073" i="33"/>
  <c r="AE1009" i="33"/>
  <c r="AK748" i="33"/>
  <c r="AE1320" i="33"/>
  <c r="AE1100" i="33"/>
  <c r="AE951" i="33"/>
  <c r="AE1116" i="33"/>
  <c r="AE1154" i="33"/>
  <c r="AE993" i="33"/>
  <c r="AK758" i="33"/>
  <c r="AE1351" i="33"/>
  <c r="AK772" i="33"/>
  <c r="AK763" i="33"/>
  <c r="AE1265" i="33"/>
  <c r="AE1013" i="33"/>
  <c r="AE1110" i="33"/>
  <c r="AE1236" i="33"/>
  <c r="AE1242" i="33"/>
  <c r="AE1348" i="33"/>
  <c r="AE1041" i="33"/>
  <c r="AE1082" i="33"/>
  <c r="AK756" i="33"/>
  <c r="AE1104" i="33"/>
  <c r="AE1160" i="33"/>
  <c r="AE1168" i="33"/>
  <c r="AE920" i="33"/>
  <c r="AE1302" i="33"/>
  <c r="AE1324" i="33"/>
  <c r="AK782" i="33"/>
  <c r="AE1241" i="33"/>
  <c r="AE1091" i="33"/>
  <c r="AE1219" i="33"/>
  <c r="AE1074" i="33"/>
  <c r="AE1330" i="33"/>
  <c r="AK760" i="33"/>
  <c r="AE1106" i="33"/>
  <c r="AE1332" i="33"/>
  <c r="AK745" i="33"/>
  <c r="AE1166" i="33"/>
  <c r="AE1216" i="33"/>
  <c r="AE1275" i="33"/>
  <c r="AE1075" i="33"/>
  <c r="AE1148" i="33"/>
  <c r="AE1268" i="33"/>
  <c r="AE1294" i="33"/>
  <c r="AE1028" i="33"/>
  <c r="AE1177" i="33"/>
  <c r="AE1299" i="33"/>
  <c r="AE1285" i="33"/>
  <c r="AK765" i="33"/>
  <c r="AE1350" i="33"/>
  <c r="AE1240" i="33"/>
  <c r="AE1089" i="33"/>
  <c r="AE950" i="33"/>
  <c r="AE994" i="33"/>
  <c r="AE1077" i="33"/>
  <c r="AE1039" i="33"/>
  <c r="AE948" i="33"/>
  <c r="AK766" i="33"/>
  <c r="AK770" i="33"/>
  <c r="AK779" i="33"/>
  <c r="AK800" i="33"/>
  <c r="AE1321" i="33"/>
  <c r="AE1334" i="33"/>
  <c r="AE1164" i="33"/>
  <c r="AE1281" i="33"/>
  <c r="AE1215" i="33"/>
  <c r="AE1084" i="33"/>
  <c r="AE1169" i="33"/>
  <c r="AE1076" i="33"/>
  <c r="AE974" i="33"/>
  <c r="AE1119" i="33"/>
  <c r="AE992" i="33"/>
  <c r="AE1301" i="33"/>
  <c r="AE1201" i="33"/>
  <c r="AE997" i="33"/>
  <c r="AE1304" i="33"/>
  <c r="AE1024" i="33"/>
  <c r="AE1081" i="33"/>
  <c r="AK743" i="33"/>
  <c r="AE1337" i="33"/>
  <c r="AE1155" i="33"/>
  <c r="AE1080" i="33"/>
  <c r="AE1108" i="33"/>
  <c r="AE1014" i="33"/>
  <c r="AE1134" i="33"/>
  <c r="AE1072" i="33"/>
  <c r="AK821" i="33"/>
  <c r="AE1018" i="33"/>
  <c r="AK771" i="33"/>
  <c r="AK744" i="33"/>
  <c r="AE1021" i="33"/>
  <c r="AK747" i="33"/>
  <c r="AE1291" i="33"/>
  <c r="AE1029" i="33"/>
  <c r="AE1227" i="33"/>
  <c r="AK750" i="33"/>
  <c r="AK790" i="33"/>
  <c r="AE1247" i="33"/>
  <c r="AE1156" i="33"/>
  <c r="AE1225" i="33"/>
  <c r="AE1010" i="33"/>
  <c r="AE1125" i="33"/>
  <c r="AE1329" i="33"/>
  <c r="AE1196" i="33"/>
  <c r="AE1266" i="33"/>
  <c r="AE1094" i="33"/>
  <c r="AE1335" i="33"/>
  <c r="AE1279" i="33"/>
  <c r="AE1309" i="33"/>
  <c r="AE1178" i="33"/>
  <c r="AE925" i="33"/>
  <c r="AE1273" i="33"/>
  <c r="AE1137" i="33"/>
  <c r="AE1222" i="33"/>
  <c r="AE1167" i="33"/>
  <c r="AE985" i="33"/>
  <c r="AE1184" i="33"/>
  <c r="AE1286" i="33"/>
  <c r="AE986" i="33"/>
  <c r="AE987" i="33"/>
  <c r="AE1317" i="33"/>
  <c r="AE1258" i="33"/>
  <c r="AE990" i="33"/>
  <c r="AE1150" i="33"/>
  <c r="AE1124" i="33"/>
  <c r="AE945" i="33"/>
  <c r="AE1231" i="33"/>
  <c r="AE1031" i="33"/>
  <c r="AE1260" i="33"/>
  <c r="AE1086" i="33"/>
  <c r="AE1305" i="33"/>
  <c r="AE916" i="33"/>
  <c r="AE1261" i="33"/>
  <c r="AE1194" i="33"/>
  <c r="AE971" i="33"/>
  <c r="AE1023" i="33"/>
  <c r="AE1008" i="33"/>
  <c r="C859" i="33"/>
  <c r="H859" i="33"/>
  <c r="H848" i="33"/>
  <c r="C848" i="33"/>
  <c r="C844" i="33"/>
  <c r="H844" i="33"/>
  <c r="H840" i="33"/>
  <c r="C840" i="33"/>
  <c r="E861" i="33"/>
  <c r="E845" i="33"/>
  <c r="H857" i="33"/>
  <c r="C857" i="33"/>
  <c r="AE1043" i="33"/>
  <c r="AE958" i="33"/>
  <c r="AE1035" i="33"/>
  <c r="AE975" i="33"/>
  <c r="AE1109" i="33"/>
  <c r="AE1033" i="33"/>
  <c r="AE973" i="33"/>
  <c r="AE1044" i="33"/>
  <c r="AK92" i="34"/>
  <c r="AK91" i="34"/>
  <c r="AK90" i="34"/>
  <c r="AK89" i="34"/>
  <c r="AK88" i="34"/>
  <c r="AK87" i="34"/>
  <c r="AK86" i="34"/>
  <c r="AK85" i="34"/>
  <c r="AK84" i="34"/>
  <c r="AK83" i="34"/>
  <c r="AK82" i="34"/>
  <c r="AK81" i="34"/>
  <c r="AK80" i="34"/>
  <c r="AK79" i="34"/>
  <c r="AK78" i="34"/>
  <c r="AK77" i="34"/>
  <c r="AK76" i="34"/>
  <c r="AK75" i="34"/>
  <c r="AK74" i="34"/>
  <c r="AK73" i="34"/>
  <c r="AK72" i="34"/>
  <c r="AK71" i="34"/>
  <c r="AK70" i="34"/>
  <c r="AK69" i="34"/>
  <c r="AK68" i="34"/>
  <c r="AK67" i="34"/>
  <c r="AK66" i="34"/>
  <c r="AK65" i="34"/>
  <c r="AK64" i="34"/>
  <c r="AK63" i="34"/>
  <c r="AK62" i="34"/>
  <c r="AK61" i="34"/>
  <c r="AK60" i="34"/>
  <c r="AK59" i="34"/>
  <c r="AK58" i="34"/>
  <c r="AK57" i="34"/>
  <c r="AK56" i="34"/>
  <c r="AK55" i="34"/>
  <c r="AK54" i="34"/>
  <c r="AK53" i="34"/>
  <c r="AK52" i="34"/>
  <c r="AK51" i="34"/>
  <c r="AK50" i="34"/>
  <c r="AK49" i="34"/>
  <c r="AK48" i="34"/>
  <c r="AK47" i="34"/>
  <c r="AK46" i="34"/>
  <c r="AK45" i="34"/>
  <c r="AK44" i="34"/>
  <c r="AK43" i="34"/>
  <c r="AK42" i="34"/>
  <c r="AK41" i="34"/>
  <c r="AK40" i="34"/>
  <c r="AK39" i="34"/>
  <c r="AK38" i="34"/>
  <c r="AK37" i="34"/>
  <c r="AK36" i="34"/>
  <c r="AK35" i="34"/>
  <c r="AK34" i="34"/>
  <c r="AK33" i="34"/>
  <c r="AK32" i="34"/>
  <c r="AK31" i="34"/>
  <c r="AK30" i="34"/>
  <c r="AK29" i="34"/>
  <c r="AK28" i="34"/>
  <c r="AK27" i="34"/>
  <c r="AK26" i="34"/>
  <c r="AK25" i="34"/>
  <c r="AK24" i="34"/>
  <c r="AK23" i="34"/>
  <c r="AK22" i="34"/>
  <c r="AK21" i="34"/>
  <c r="AK20" i="34"/>
  <c r="AK19" i="34"/>
  <c r="AK18" i="34"/>
  <c r="AK17" i="34"/>
  <c r="AK16" i="34"/>
  <c r="AK15" i="34"/>
  <c r="AK14" i="34"/>
  <c r="AK11" i="34"/>
  <c r="AK8" i="34"/>
  <c r="AK7" i="34"/>
  <c r="AK6" i="34"/>
  <c r="AK5" i="34"/>
  <c r="AK4" i="34"/>
  <c r="AK3" i="34"/>
  <c r="AK2" i="34"/>
  <c r="AA12" i="34" l="1"/>
  <c r="Z12" i="34"/>
  <c r="AP845" i="33"/>
  <c r="AJ845" i="33"/>
  <c r="AP861" i="33"/>
  <c r="AJ861" i="33"/>
  <c r="Y9" i="34"/>
  <c r="Z9" i="34"/>
  <c r="AA9" i="34"/>
  <c r="AA41" i="74"/>
  <c r="AK848" i="33"/>
  <c r="C845" i="33"/>
  <c r="Z6" i="74" s="1"/>
  <c r="H845" i="33"/>
  <c r="C861" i="33"/>
  <c r="H861" i="33"/>
  <c r="P24" i="34"/>
  <c r="Y12" i="34" l="1"/>
  <c r="AA48" i="74"/>
  <c r="AA36" i="74"/>
  <c r="AA49" i="74"/>
  <c r="Y10" i="34"/>
  <c r="Y5" i="74"/>
  <c r="AA45" i="74"/>
  <c r="Y51" i="74"/>
  <c r="AA38" i="74"/>
  <c r="Y46" i="74"/>
  <c r="Z51" i="74"/>
  <c r="Z42" i="74"/>
  <c r="Z48" i="74"/>
  <c r="Y36" i="74"/>
  <c r="Z44" i="74"/>
  <c r="Z36" i="74"/>
  <c r="AA43" i="74"/>
  <c r="AA50" i="74"/>
  <c r="Z38" i="74"/>
  <c r="AA47" i="74"/>
  <c r="Z52" i="74"/>
  <c r="AA42" i="74"/>
  <c r="Z46" i="74"/>
  <c r="Z5" i="74"/>
  <c r="Z47" i="74"/>
  <c r="AA37" i="74"/>
  <c r="Y43" i="74"/>
  <c r="Y50" i="74"/>
  <c r="Z45" i="74"/>
  <c r="AA51" i="74"/>
  <c r="AA6" i="74"/>
  <c r="AA46" i="74"/>
  <c r="AA52" i="74"/>
  <c r="Z41" i="74"/>
  <c r="Z49" i="74"/>
  <c r="AA5" i="74"/>
  <c r="Z43" i="74"/>
  <c r="Z37" i="74"/>
  <c r="AA44" i="74"/>
  <c r="Z50" i="74"/>
  <c r="Y41" i="74"/>
  <c r="Y52" i="74"/>
  <c r="Y49" i="74"/>
  <c r="Y48" i="74"/>
  <c r="Y12" i="74"/>
  <c r="Y45" i="74"/>
  <c r="Y37" i="74"/>
  <c r="Y42" i="74"/>
  <c r="Y44" i="74"/>
  <c r="Y47" i="74"/>
  <c r="Y38" i="74"/>
  <c r="Y6" i="74"/>
  <c r="AA104" i="34"/>
  <c r="AA105" i="34"/>
  <c r="AA106" i="34"/>
  <c r="Z106" i="34"/>
  <c r="Y106" i="34"/>
  <c r="Y104" i="34"/>
  <c r="Z105" i="34"/>
  <c r="Y105" i="34"/>
  <c r="Z104" i="34"/>
  <c r="Z98" i="34"/>
  <c r="Y103" i="34"/>
  <c r="AA103" i="34"/>
  <c r="Z103" i="34"/>
  <c r="AA98" i="34"/>
  <c r="Y98" i="34"/>
  <c r="AA101" i="34"/>
  <c r="Y13" i="34"/>
  <c r="Y101" i="34"/>
  <c r="Y102" i="34"/>
  <c r="AA102" i="34"/>
  <c r="Z102" i="34"/>
  <c r="Z101" i="34"/>
  <c r="AA96" i="34"/>
  <c r="Y93" i="34"/>
  <c r="AA93" i="34"/>
  <c r="AA94" i="34"/>
  <c r="AA97" i="34"/>
  <c r="Z13" i="34"/>
  <c r="AA95" i="34"/>
  <c r="AA13" i="34"/>
  <c r="Y94" i="34"/>
  <c r="Y95" i="34"/>
  <c r="AA99" i="34"/>
  <c r="Z96" i="34"/>
  <c r="Y96" i="34"/>
  <c r="Y99" i="34"/>
  <c r="Z100" i="34"/>
  <c r="AA100" i="34"/>
  <c r="Z97" i="34"/>
  <c r="Z95" i="34"/>
  <c r="Z94" i="34"/>
  <c r="Y100" i="34"/>
  <c r="Y97" i="34"/>
  <c r="Z93" i="34"/>
  <c r="H274" i="33"/>
  <c r="H273" i="33"/>
  <c r="H271" i="33"/>
  <c r="H272" i="33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E116" i="34"/>
  <c r="E115" i="34"/>
  <c r="E114" i="34"/>
  <c r="E113" i="34"/>
  <c r="E112" i="34"/>
  <c r="E111" i="34"/>
  <c r="E110" i="34"/>
  <c r="E109" i="34"/>
  <c r="E108" i="34"/>
  <c r="E107" i="34"/>
  <c r="P2" i="34"/>
  <c r="H762" i="33" s="1"/>
  <c r="P3" i="34"/>
  <c r="H754" i="33" s="1"/>
  <c r="P6" i="34"/>
  <c r="H718" i="33" s="1"/>
  <c r="P5" i="34"/>
  <c r="P4" i="34"/>
  <c r="H692" i="33" s="1"/>
  <c r="P38" i="34"/>
  <c r="P45" i="34"/>
  <c r="P43" i="34"/>
  <c r="P33" i="34"/>
  <c r="P46" i="34"/>
  <c r="P39" i="34"/>
  <c r="P47" i="34"/>
  <c r="P37" i="34"/>
  <c r="P22" i="34"/>
  <c r="P80" i="34"/>
  <c r="P15" i="34"/>
  <c r="P14" i="34"/>
  <c r="P79" i="34"/>
  <c r="P17" i="34"/>
  <c r="P65" i="34"/>
  <c r="P78" i="34"/>
  <c r="P77" i="34"/>
  <c r="P26" i="34"/>
  <c r="P90" i="34"/>
  <c r="P59" i="34"/>
  <c r="P58" i="34"/>
  <c r="P16" i="34"/>
  <c r="P18" i="34"/>
  <c r="P20" i="34"/>
  <c r="P19" i="34"/>
  <c r="P63" i="34"/>
  <c r="P62" i="34"/>
  <c r="P44" i="34"/>
  <c r="P42" i="34"/>
  <c r="P25" i="34"/>
  <c r="P21" i="34"/>
  <c r="AO44" i="75" s="1"/>
  <c r="P81" i="34"/>
  <c r="P11" i="34"/>
  <c r="P86" i="34"/>
  <c r="P92" i="34"/>
  <c r="P89" i="34"/>
  <c r="P91" i="34"/>
  <c r="P61" i="34"/>
  <c r="P64" i="34"/>
  <c r="P49" i="34"/>
  <c r="P30" i="34"/>
  <c r="P31" i="34"/>
  <c r="P29" i="34"/>
  <c r="P23" i="34"/>
  <c r="P71" i="34"/>
  <c r="P68" i="34"/>
  <c r="P72" i="34"/>
  <c r="P73" i="34"/>
  <c r="P70" i="34"/>
  <c r="P69" i="34"/>
  <c r="P41" i="34"/>
  <c r="P40" i="34"/>
  <c r="P76" i="34"/>
  <c r="P75" i="34"/>
  <c r="P74" i="34"/>
  <c r="P87" i="34"/>
  <c r="P88" i="34"/>
  <c r="P35" i="34"/>
  <c r="P32" i="34"/>
  <c r="P27" i="34"/>
  <c r="P28" i="34"/>
  <c r="P82" i="34"/>
  <c r="P85" i="34"/>
  <c r="P34" i="34"/>
  <c r="P55" i="34"/>
  <c r="P48" i="34"/>
  <c r="P57" i="34"/>
  <c r="P83" i="34"/>
  <c r="P84" i="34"/>
  <c r="H140" i="33" s="1"/>
  <c r="P66" i="34"/>
  <c r="P67" i="34"/>
  <c r="P36" i="34"/>
  <c r="H124" i="33" l="1"/>
  <c r="H125" i="33"/>
  <c r="H118" i="33"/>
  <c r="H177" i="33"/>
  <c r="H176" i="33"/>
  <c r="H320" i="33"/>
  <c r="H322" i="33"/>
  <c r="H326" i="33"/>
  <c r="H361" i="33"/>
  <c r="H360" i="33"/>
  <c r="AO46" i="75"/>
  <c r="AO45" i="75"/>
  <c r="H698" i="33"/>
  <c r="AO39" i="75"/>
  <c r="AO78" i="75"/>
  <c r="AO86" i="75"/>
  <c r="AO428" i="75"/>
  <c r="AO42" i="75"/>
  <c r="AO41" i="75"/>
  <c r="AO40" i="75"/>
  <c r="AO79" i="75"/>
  <c r="AO11" i="75"/>
  <c r="H130" i="33"/>
  <c r="H134" i="33"/>
  <c r="H132" i="33"/>
  <c r="H198" i="33"/>
  <c r="H210" i="33"/>
  <c r="H199" i="33"/>
  <c r="H201" i="33"/>
  <c r="H209" i="33"/>
  <c r="H173" i="33"/>
  <c r="H172" i="33"/>
  <c r="H751" i="33"/>
  <c r="H752" i="33"/>
  <c r="H717" i="33"/>
  <c r="H716" i="33"/>
  <c r="H452" i="33"/>
  <c r="H454" i="33"/>
  <c r="H457" i="33"/>
  <c r="H451" i="33"/>
  <c r="H456" i="33"/>
  <c r="H455" i="33"/>
  <c r="H453" i="33"/>
  <c r="H355" i="33"/>
  <c r="H350" i="33"/>
  <c r="H352" i="33"/>
  <c r="H364" i="33"/>
  <c r="H359" i="33"/>
  <c r="H354" i="33"/>
  <c r="H358" i="33"/>
  <c r="H356" i="33"/>
  <c r="H362" i="33"/>
  <c r="H348" i="33"/>
  <c r="H349" i="33"/>
  <c r="H353" i="33"/>
  <c r="H363" i="33"/>
  <c r="H351" i="33"/>
  <c r="H357" i="33"/>
  <c r="H142" i="33"/>
  <c r="H143" i="33"/>
  <c r="H139" i="33"/>
  <c r="H141" i="33"/>
  <c r="H138" i="33"/>
  <c r="H144" i="33"/>
  <c r="H472" i="33"/>
  <c r="H477" i="33"/>
  <c r="H476" i="33"/>
  <c r="H469" i="33"/>
  <c r="H470" i="33"/>
  <c r="H474" i="33"/>
  <c r="H475" i="33"/>
  <c r="H473" i="33"/>
  <c r="H471" i="33"/>
  <c r="H178" i="33"/>
  <c r="H171" i="33"/>
  <c r="H168" i="33"/>
  <c r="H179" i="33"/>
  <c r="H174" i="33"/>
  <c r="H175" i="33"/>
  <c r="H180" i="33"/>
  <c r="H169" i="33"/>
  <c r="H170" i="33"/>
  <c r="H393" i="33"/>
  <c r="H396" i="33"/>
  <c r="H394" i="33"/>
  <c r="H397" i="33"/>
  <c r="H395" i="33"/>
  <c r="H88" i="33"/>
  <c r="H96" i="33"/>
  <c r="H94" i="33"/>
  <c r="H90" i="33"/>
  <c r="H91" i="33"/>
  <c r="H87" i="33"/>
  <c r="H89" i="33"/>
  <c r="H92" i="33"/>
  <c r="H95" i="33"/>
  <c r="H93" i="33"/>
  <c r="H105" i="33"/>
  <c r="H103" i="33"/>
  <c r="H104" i="33"/>
  <c r="H106" i="33"/>
  <c r="H107" i="33"/>
  <c r="H34" i="33"/>
  <c r="H35" i="33"/>
  <c r="H39" i="33"/>
  <c r="H37" i="33"/>
  <c r="H38" i="33"/>
  <c r="H36" i="33"/>
  <c r="H343" i="33"/>
  <c r="H347" i="33"/>
  <c r="H346" i="33"/>
  <c r="H342" i="33"/>
  <c r="H344" i="33"/>
  <c r="H345" i="33"/>
  <c r="H548" i="33"/>
  <c r="H546" i="33"/>
  <c r="H549" i="33"/>
  <c r="H547" i="33"/>
  <c r="H550" i="33"/>
  <c r="H164" i="33"/>
  <c r="H165" i="33"/>
  <c r="H163" i="33"/>
  <c r="H166" i="33"/>
  <c r="H167" i="33"/>
  <c r="H278" i="33"/>
  <c r="H277" i="33"/>
  <c r="H275" i="33"/>
  <c r="H279" i="33"/>
  <c r="H276" i="33"/>
  <c r="H280" i="33"/>
  <c r="H526" i="33"/>
  <c r="H524" i="33"/>
  <c r="H522" i="33"/>
  <c r="H523" i="33"/>
  <c r="H527" i="33"/>
  <c r="H525" i="33"/>
  <c r="H229" i="33"/>
  <c r="H232" i="33"/>
  <c r="H230" i="33"/>
  <c r="H231" i="33"/>
  <c r="H505" i="33"/>
  <c r="H501" i="33"/>
  <c r="H502" i="33"/>
  <c r="H503" i="33"/>
  <c r="H504" i="33"/>
  <c r="H6" i="33"/>
  <c r="H21" i="33"/>
  <c r="H25" i="33"/>
  <c r="H23" i="33"/>
  <c r="H24" i="33"/>
  <c r="H27" i="33"/>
  <c r="H26" i="33"/>
  <c r="H20" i="33"/>
  <c r="H22" i="33"/>
  <c r="H28" i="33"/>
  <c r="H18" i="33"/>
  <c r="H193" i="33"/>
  <c r="H189" i="33"/>
  <c r="H191" i="33"/>
  <c r="H190" i="33"/>
  <c r="H188" i="33"/>
  <c r="H192" i="33"/>
  <c r="H610" i="33"/>
  <c r="H613" i="33"/>
  <c r="H614" i="33"/>
  <c r="H607" i="33"/>
  <c r="H622" i="33"/>
  <c r="H612" i="33"/>
  <c r="H611" i="33"/>
  <c r="H617" i="33"/>
  <c r="H618" i="33"/>
  <c r="H619" i="33"/>
  <c r="H621" i="33"/>
  <c r="H609" i="33"/>
  <c r="H620" i="33"/>
  <c r="H616" i="33"/>
  <c r="H615" i="33"/>
  <c r="H623" i="33"/>
  <c r="H624" i="33"/>
  <c r="H566" i="33"/>
  <c r="H565" i="33"/>
  <c r="H568" i="33"/>
  <c r="H567" i="33"/>
  <c r="H569" i="33"/>
  <c r="H719" i="33"/>
  <c r="H721" i="33"/>
  <c r="H714" i="33"/>
  <c r="H715" i="33"/>
  <c r="H713" i="33"/>
  <c r="H720" i="33"/>
  <c r="H131" i="33"/>
  <c r="H136" i="33"/>
  <c r="H128" i="33"/>
  <c r="H135" i="33"/>
  <c r="H137" i="33"/>
  <c r="H129" i="33"/>
  <c r="H133" i="33"/>
  <c r="H336" i="33"/>
  <c r="H332" i="33"/>
  <c r="H333" i="33"/>
  <c r="H339" i="33"/>
  <c r="H329" i="33"/>
  <c r="H340" i="33"/>
  <c r="H341" i="33"/>
  <c r="H334" i="33"/>
  <c r="H338" i="33"/>
  <c r="H337" i="33"/>
  <c r="H330" i="33"/>
  <c r="H335" i="33"/>
  <c r="H672" i="33"/>
  <c r="H669" i="33"/>
  <c r="H678" i="33"/>
  <c r="H667" i="33"/>
  <c r="H679" i="33"/>
  <c r="H666" i="33"/>
  <c r="H668" i="33"/>
  <c r="H665" i="33"/>
  <c r="H661" i="33"/>
  <c r="H674" i="33"/>
  <c r="H671" i="33"/>
  <c r="H664" i="33"/>
  <c r="H663" i="33"/>
  <c r="H673" i="33"/>
  <c r="H675" i="33"/>
  <c r="H662" i="33"/>
  <c r="H676" i="33"/>
  <c r="H677" i="33"/>
  <c r="H670" i="33"/>
  <c r="H102" i="33"/>
  <c r="H100" i="33"/>
  <c r="H97" i="33"/>
  <c r="H98" i="33"/>
  <c r="H101" i="33"/>
  <c r="H99" i="33"/>
  <c r="H110" i="33"/>
  <c r="H108" i="33"/>
  <c r="H112" i="33"/>
  <c r="H111" i="33"/>
  <c r="H113" i="33"/>
  <c r="H109" i="33"/>
  <c r="H41" i="33"/>
  <c r="H42" i="33"/>
  <c r="H43" i="33"/>
  <c r="H44" i="33"/>
  <c r="H40" i="33"/>
  <c r="H312" i="33"/>
  <c r="H308" i="33"/>
  <c r="H310" i="33"/>
  <c r="H309" i="33"/>
  <c r="H311" i="33"/>
  <c r="H683" i="33"/>
  <c r="H680" i="33"/>
  <c r="H681" i="33"/>
  <c r="H682" i="33"/>
  <c r="H684" i="33"/>
  <c r="H799" i="33"/>
  <c r="H797" i="33"/>
  <c r="H792" i="33"/>
  <c r="H800" i="33"/>
  <c r="H794" i="33"/>
  <c r="H793" i="33"/>
  <c r="H795" i="33"/>
  <c r="H796" i="33"/>
  <c r="H798" i="33"/>
  <c r="H555" i="33"/>
  <c r="H551" i="33"/>
  <c r="H559" i="33"/>
  <c r="H556" i="33"/>
  <c r="H552" i="33"/>
  <c r="H557" i="33"/>
  <c r="H554" i="33"/>
  <c r="H558" i="33"/>
  <c r="H553" i="33"/>
  <c r="H220" i="33"/>
  <c r="H216" i="33"/>
  <c r="H214" i="33"/>
  <c r="H217" i="33"/>
  <c r="H218" i="33"/>
  <c r="H219" i="33"/>
  <c r="H215" i="33"/>
  <c r="H659" i="33"/>
  <c r="H656" i="33"/>
  <c r="H658" i="33"/>
  <c r="H660" i="33"/>
  <c r="H657" i="33"/>
  <c r="H117" i="33"/>
  <c r="H119" i="33"/>
  <c r="H126" i="33"/>
  <c r="H115" i="33"/>
  <c r="H120" i="33"/>
  <c r="H127" i="33"/>
  <c r="H114" i="33"/>
  <c r="H116" i="33"/>
  <c r="H123" i="33"/>
  <c r="H121" i="33"/>
  <c r="H122" i="33"/>
  <c r="H254" i="33"/>
  <c r="H253" i="33"/>
  <c r="H249" i="33"/>
  <c r="H245" i="33"/>
  <c r="H241" i="33"/>
  <c r="H237" i="33"/>
  <c r="H248" i="33"/>
  <c r="H252" i="33"/>
  <c r="H244" i="33"/>
  <c r="H239" i="33"/>
  <c r="H251" i="33"/>
  <c r="H246" i="33"/>
  <c r="H247" i="33"/>
  <c r="H243" i="33"/>
  <c r="H250" i="33"/>
  <c r="H238" i="33"/>
  <c r="H242" i="33"/>
  <c r="H240" i="33"/>
  <c r="H287" i="33"/>
  <c r="H288" i="33"/>
  <c r="H282" i="33"/>
  <c r="H284" i="33"/>
  <c r="H281" i="33"/>
  <c r="H286" i="33"/>
  <c r="H290" i="33"/>
  <c r="H289" i="33"/>
  <c r="H285" i="33"/>
  <c r="H283" i="33"/>
  <c r="H584" i="33"/>
  <c r="H583" i="33"/>
  <c r="H581" i="33"/>
  <c r="H580" i="33"/>
  <c r="H591" i="33"/>
  <c r="H586" i="33"/>
  <c r="H574" i="33"/>
  <c r="H571" i="33"/>
  <c r="H590" i="33"/>
  <c r="H587" i="33"/>
  <c r="H582" i="33"/>
  <c r="H578" i="33"/>
  <c r="H593" i="33"/>
  <c r="H592" i="33"/>
  <c r="H588" i="33"/>
  <c r="H579" i="33"/>
  <c r="H589" i="33"/>
  <c r="H570" i="33"/>
  <c r="H573" i="33"/>
  <c r="H585" i="33"/>
  <c r="H572" i="33"/>
  <c r="H577" i="33"/>
  <c r="H575" i="33"/>
  <c r="H576" i="33"/>
  <c r="H597" i="33"/>
  <c r="H605" i="33"/>
  <c r="H594" i="33"/>
  <c r="H598" i="33"/>
  <c r="H604" i="33"/>
  <c r="H601" i="33"/>
  <c r="H606" i="33"/>
  <c r="H600" i="33"/>
  <c r="H603" i="33"/>
  <c r="H602" i="33"/>
  <c r="H595" i="33"/>
  <c r="H596" i="33"/>
  <c r="H599" i="33"/>
  <c r="H385" i="33"/>
  <c r="H383" i="33"/>
  <c r="H384" i="33"/>
  <c r="H388" i="33"/>
  <c r="H386" i="33"/>
  <c r="H390" i="33"/>
  <c r="H392" i="33"/>
  <c r="H391" i="33"/>
  <c r="H389" i="33"/>
  <c r="H382" i="33"/>
  <c r="H381" i="33"/>
  <c r="H387" i="33"/>
  <c r="H72" i="33"/>
  <c r="H75" i="33"/>
  <c r="H70" i="33"/>
  <c r="H76" i="33"/>
  <c r="H71" i="33"/>
  <c r="H73" i="33"/>
  <c r="H69" i="33"/>
  <c r="H74" i="33"/>
  <c r="H422" i="33"/>
  <c r="H426" i="33"/>
  <c r="H428" i="33"/>
  <c r="H420" i="33"/>
  <c r="H423" i="33"/>
  <c r="H424" i="33"/>
  <c r="H427" i="33"/>
  <c r="H421" i="33"/>
  <c r="H425" i="33"/>
  <c r="H484" i="33"/>
  <c r="H480" i="33"/>
  <c r="H488" i="33"/>
  <c r="H479" i="33"/>
  <c r="H481" i="33"/>
  <c r="H482" i="33"/>
  <c r="H478" i="33"/>
  <c r="H483" i="33"/>
  <c r="H486" i="33"/>
  <c r="H485" i="33"/>
  <c r="H487" i="33"/>
  <c r="H328" i="33"/>
  <c r="H318" i="33"/>
  <c r="H324" i="33"/>
  <c r="H321" i="33"/>
  <c r="H327" i="33"/>
  <c r="H331" i="33"/>
  <c r="H314" i="33"/>
  <c r="H325" i="33"/>
  <c r="H317" i="33"/>
  <c r="H313" i="33"/>
  <c r="H315" i="33"/>
  <c r="H316" i="33"/>
  <c r="H323" i="33"/>
  <c r="H319" i="33"/>
  <c r="H181" i="33"/>
  <c r="H186" i="33"/>
  <c r="H184" i="33"/>
  <c r="H183" i="33"/>
  <c r="H187" i="33"/>
  <c r="H182" i="33"/>
  <c r="H185" i="33"/>
  <c r="H635" i="33"/>
  <c r="H632" i="33"/>
  <c r="H636" i="33"/>
  <c r="H631" i="33"/>
  <c r="H627" i="33"/>
  <c r="H628" i="33"/>
  <c r="H633" i="33"/>
  <c r="H629" i="33"/>
  <c r="H625" i="33"/>
  <c r="H630" i="33"/>
  <c r="H634" i="33"/>
  <c r="H49" i="33"/>
  <c r="H45" i="33"/>
  <c r="H50" i="33"/>
  <c r="H46" i="33"/>
  <c r="H47" i="33"/>
  <c r="H48" i="33"/>
  <c r="H296" i="33"/>
  <c r="H292" i="33"/>
  <c r="H293" i="33"/>
  <c r="H294" i="33"/>
  <c r="H291" i="33"/>
  <c r="H295" i="33"/>
  <c r="H458" i="33"/>
  <c r="H461" i="33"/>
  <c r="H459" i="33"/>
  <c r="H462" i="33"/>
  <c r="H463" i="33"/>
  <c r="H460" i="33"/>
  <c r="H651" i="33"/>
  <c r="H652" i="33"/>
  <c r="H653" i="33"/>
  <c r="H654" i="33"/>
  <c r="H655" i="33"/>
  <c r="H153" i="33"/>
  <c r="H154" i="33"/>
  <c r="H155" i="33"/>
  <c r="H151" i="33"/>
  <c r="H152" i="33"/>
  <c r="H562" i="33"/>
  <c r="H563" i="33"/>
  <c r="H560" i="33"/>
  <c r="H564" i="33"/>
  <c r="H561" i="33"/>
  <c r="H270" i="33"/>
  <c r="H265" i="33"/>
  <c r="H269" i="33"/>
  <c r="H268" i="33"/>
  <c r="H267" i="33"/>
  <c r="H300" i="33"/>
  <c r="H298" i="33"/>
  <c r="H297" i="33"/>
  <c r="H301" i="33"/>
  <c r="H299" i="33"/>
  <c r="H211" i="33"/>
  <c r="H204" i="33"/>
  <c r="H200" i="33"/>
  <c r="H196" i="33"/>
  <c r="H194" i="33"/>
  <c r="H195" i="33"/>
  <c r="H205" i="33"/>
  <c r="H208" i="33"/>
  <c r="H212" i="33"/>
  <c r="H206" i="33"/>
  <c r="H207" i="33"/>
  <c r="H202" i="33"/>
  <c r="H213" i="33"/>
  <c r="H197" i="33"/>
  <c r="H203" i="33"/>
  <c r="H261" i="33"/>
  <c r="H264" i="33"/>
  <c r="H259" i="33"/>
  <c r="H262" i="33"/>
  <c r="H263" i="33"/>
  <c r="H258" i="33"/>
  <c r="H260" i="33"/>
  <c r="H255" i="33"/>
  <c r="H257" i="33"/>
  <c r="H414" i="33"/>
  <c r="H410" i="33"/>
  <c r="H404" i="33"/>
  <c r="H405" i="33"/>
  <c r="H412" i="33"/>
  <c r="H408" i="33"/>
  <c r="H411" i="33"/>
  <c r="H413" i="33"/>
  <c r="H407" i="33"/>
  <c r="H409" i="33"/>
  <c r="H406" i="33"/>
  <c r="H373" i="33"/>
  <c r="H365" i="33"/>
  <c r="H377" i="33"/>
  <c r="H369" i="33"/>
  <c r="H368" i="33"/>
  <c r="H366" i="33"/>
  <c r="H378" i="33"/>
  <c r="H370" i="33"/>
  <c r="H371" i="33"/>
  <c r="H379" i="33"/>
  <c r="H380" i="33"/>
  <c r="H374" i="33"/>
  <c r="H375" i="33"/>
  <c r="H367" i="33"/>
  <c r="H376" i="33"/>
  <c r="H372" i="33"/>
  <c r="H691" i="33"/>
  <c r="H697" i="33"/>
  <c r="H693" i="33"/>
  <c r="H690" i="33"/>
  <c r="H699" i="33"/>
  <c r="H695" i="33"/>
  <c r="H696" i="33"/>
  <c r="H701" i="33"/>
  <c r="H694" i="33"/>
  <c r="H700" i="33"/>
  <c r="H755" i="33"/>
  <c r="H746" i="33"/>
  <c r="H757" i="33"/>
  <c r="H743" i="33"/>
  <c r="H750" i="33"/>
  <c r="AO794" i="33"/>
  <c r="AO793" i="33"/>
  <c r="H758" i="33"/>
  <c r="H760" i="33"/>
  <c r="H756" i="33"/>
  <c r="H745" i="33"/>
  <c r="H749" i="33"/>
  <c r="H753" i="33"/>
  <c r="H741" i="33"/>
  <c r="H744" i="33"/>
  <c r="H747" i="33"/>
  <c r="H742" i="33"/>
  <c r="H759" i="33"/>
  <c r="H748" i="33"/>
  <c r="H58" i="33"/>
  <c r="H66" i="33"/>
  <c r="H53" i="33"/>
  <c r="H57" i="33"/>
  <c r="H67" i="33"/>
  <c r="H51" i="33"/>
  <c r="H56" i="33"/>
  <c r="H64" i="33"/>
  <c r="H54" i="33"/>
  <c r="H68" i="33"/>
  <c r="H60" i="33"/>
  <c r="H63" i="33"/>
  <c r="H59" i="33"/>
  <c r="H61" i="33"/>
  <c r="H62" i="33"/>
  <c r="H65" i="33"/>
  <c r="H55" i="33"/>
  <c r="H52" i="33"/>
  <c r="H160" i="33"/>
  <c r="H162" i="33"/>
  <c r="H157" i="33"/>
  <c r="H161" i="33"/>
  <c r="H158" i="33"/>
  <c r="H156" i="33"/>
  <c r="H159" i="33"/>
  <c r="H81" i="33"/>
  <c r="H79" i="33"/>
  <c r="H84" i="33"/>
  <c r="H85" i="33"/>
  <c r="H82" i="33"/>
  <c r="H83" i="33"/>
  <c r="H77" i="33"/>
  <c r="H86" i="33"/>
  <c r="H80" i="33"/>
  <c r="H78" i="33"/>
  <c r="H643" i="33"/>
  <c r="H644" i="33"/>
  <c r="H639" i="33"/>
  <c r="H637" i="33"/>
  <c r="H642" i="33"/>
  <c r="H640" i="33"/>
  <c r="H641" i="33"/>
  <c r="H33" i="33"/>
  <c r="H30" i="33"/>
  <c r="H29" i="33"/>
  <c r="H31" i="33"/>
  <c r="H32" i="33"/>
  <c r="H304" i="33"/>
  <c r="H306" i="33"/>
  <c r="H305" i="33"/>
  <c r="H302" i="33"/>
  <c r="H307" i="33"/>
  <c r="H303" i="33"/>
  <c r="H403" i="33"/>
  <c r="H399" i="33"/>
  <c r="H400" i="33"/>
  <c r="H401" i="33"/>
  <c r="H402" i="33"/>
  <c r="H398" i="33"/>
  <c r="H686" i="33"/>
  <c r="H685" i="33"/>
  <c r="H687" i="33"/>
  <c r="H688" i="33"/>
  <c r="H689" i="33"/>
  <c r="H233" i="33"/>
  <c r="H236" i="33"/>
  <c r="H235" i="33"/>
  <c r="H234" i="33"/>
  <c r="H648" i="33"/>
  <c r="H645" i="33"/>
  <c r="H650" i="33"/>
  <c r="H647" i="33"/>
  <c r="H646" i="33"/>
  <c r="H649" i="33"/>
  <c r="H226" i="33"/>
  <c r="H222" i="33"/>
  <c r="H228" i="33"/>
  <c r="H223" i="33"/>
  <c r="H227" i="33"/>
  <c r="H224" i="33"/>
  <c r="H225" i="33"/>
  <c r="H221" i="33"/>
  <c r="H467" i="33"/>
  <c r="H465" i="33"/>
  <c r="H464" i="33"/>
  <c r="H468" i="33"/>
  <c r="H466" i="33"/>
  <c r="H7" i="33"/>
  <c r="H3" i="33"/>
  <c r="H16" i="33"/>
  <c r="H11" i="33"/>
  <c r="H13" i="33"/>
  <c r="H10" i="33"/>
  <c r="H15" i="33"/>
  <c r="H12" i="33"/>
  <c r="H4" i="33"/>
  <c r="H17" i="33"/>
  <c r="H14" i="33"/>
  <c r="H9" i="33"/>
  <c r="H8" i="33"/>
  <c r="H5" i="33"/>
  <c r="H2" i="33"/>
  <c r="H147" i="33"/>
  <c r="H146" i="33"/>
  <c r="H150" i="33"/>
  <c r="H148" i="33"/>
  <c r="H149" i="33"/>
  <c r="H145" i="33"/>
  <c r="H431" i="33"/>
  <c r="H442" i="33"/>
  <c r="H450" i="33"/>
  <c r="H438" i="33"/>
  <c r="H435" i="33"/>
  <c r="H443" i="33"/>
  <c r="H439" i="33"/>
  <c r="H447" i="33"/>
  <c r="H433" i="33"/>
  <c r="H446" i="33"/>
  <c r="H441" i="33"/>
  <c r="H449" i="33"/>
  <c r="H437" i="33"/>
  <c r="H445" i="33"/>
  <c r="H430" i="33"/>
  <c r="H436" i="33"/>
  <c r="H444" i="33"/>
  <c r="H429" i="33"/>
  <c r="H432" i="33"/>
  <c r="H434" i="33"/>
  <c r="H440" i="33"/>
  <c r="H448" i="33"/>
  <c r="H518" i="33"/>
  <c r="H508" i="33"/>
  <c r="H516" i="33"/>
  <c r="H507" i="33"/>
  <c r="H514" i="33"/>
  <c r="H506" i="33"/>
  <c r="H509" i="33"/>
  <c r="H512" i="33"/>
  <c r="H520" i="33"/>
  <c r="H511" i="33"/>
  <c r="H510" i="33"/>
  <c r="H515" i="33"/>
  <c r="H519" i="33"/>
  <c r="H521" i="33"/>
  <c r="H513" i="33"/>
  <c r="H517" i="33"/>
  <c r="H708" i="33"/>
  <c r="H712" i="33"/>
  <c r="H711" i="33"/>
  <c r="H703" i="33"/>
  <c r="H706" i="33"/>
  <c r="H704" i="33"/>
  <c r="H705" i="33"/>
  <c r="H702" i="33"/>
  <c r="H707" i="33"/>
  <c r="H709" i="33"/>
  <c r="H710" i="33"/>
  <c r="H775" i="33"/>
  <c r="H772" i="33"/>
  <c r="H777" i="33"/>
  <c r="H776" i="33"/>
  <c r="AO743" i="33"/>
  <c r="H771" i="33"/>
  <c r="H768" i="33"/>
  <c r="H761" i="33"/>
  <c r="AO742" i="33"/>
  <c r="AO795" i="33"/>
  <c r="H767" i="33"/>
  <c r="H774" i="33"/>
  <c r="H763" i="33"/>
  <c r="H766" i="33"/>
  <c r="H765" i="33"/>
  <c r="H773" i="33"/>
  <c r="H769" i="33"/>
  <c r="H764" i="33"/>
  <c r="H770" i="33"/>
  <c r="Z99" i="34"/>
  <c r="Y76" i="34"/>
  <c r="Y75" i="34"/>
  <c r="Y74" i="34"/>
  <c r="AE62" i="34" l="1"/>
  <c r="AD62" i="34"/>
  <c r="AE90" i="34"/>
  <c r="AD90" i="34"/>
  <c r="AB90" i="34"/>
  <c r="AE14" i="34"/>
  <c r="AD14" i="34"/>
  <c r="AE26" i="34"/>
  <c r="AD26" i="34"/>
  <c r="AB26" i="34"/>
  <c r="AE59" i="34"/>
  <c r="AD59" i="34"/>
  <c r="AB59" i="34"/>
  <c r="AE58" i="34"/>
  <c r="AD58" i="34"/>
  <c r="AB58" i="34"/>
  <c r="Y28" i="34" l="1"/>
  <c r="Y15" i="34"/>
  <c r="Y22" i="34"/>
  <c r="Y62" i="34"/>
  <c r="Y88" i="34"/>
  <c r="AE55" i="34" l="1"/>
  <c r="AE40" i="34"/>
  <c r="AE84" i="34"/>
  <c r="AE48" i="34"/>
  <c r="AD75" i="34"/>
  <c r="AB34" i="34"/>
  <c r="AD35" i="34"/>
  <c r="AE36" i="34"/>
  <c r="AD55" i="34"/>
  <c r="AB40" i="34"/>
  <c r="AE35" i="34"/>
  <c r="AD36" i="34"/>
  <c r="AD66" i="34"/>
  <c r="AD27" i="34"/>
  <c r="AD40" i="34"/>
  <c r="AD85" i="34"/>
  <c r="AE76" i="34"/>
  <c r="AD28" i="34"/>
  <c r="AD87" i="34"/>
  <c r="AE28" i="34"/>
  <c r="AE66" i="34"/>
  <c r="AE87" i="34"/>
  <c r="AE27" i="34"/>
  <c r="AE83" i="34"/>
  <c r="AD82" i="34"/>
  <c r="AE67" i="34"/>
  <c r="AD76" i="34"/>
  <c r="AD57" i="34"/>
  <c r="AB57" i="34"/>
  <c r="AE34" i="34"/>
  <c r="AD34" i="34"/>
  <c r="AE32" i="34"/>
  <c r="AB32" i="34"/>
  <c r="AE88" i="34"/>
  <c r="AE57" i="34"/>
  <c r="AD32" i="34"/>
  <c r="AD84" i="34"/>
  <c r="AE74" i="34"/>
  <c r="AE41" i="34"/>
  <c r="AB41" i="34"/>
  <c r="AD88" i="34"/>
  <c r="AD74" i="34"/>
  <c r="AD41" i="34"/>
  <c r="AE85" i="34"/>
  <c r="AE82" i="34"/>
  <c r="AE75" i="34"/>
  <c r="AD67" i="34"/>
  <c r="AD83" i="34"/>
  <c r="AD48" i="34"/>
  <c r="AB82" i="34"/>
  <c r="Y79" i="34" l="1"/>
  <c r="Y65" i="34"/>
  <c r="Y66" i="34"/>
  <c r="Y77" i="34"/>
  <c r="Y84" i="34"/>
  <c r="Y6" i="34"/>
  <c r="Y42" i="34"/>
  <c r="Y3" i="34"/>
  <c r="Y49" i="34"/>
  <c r="Y30" i="34"/>
  <c r="Y55" i="34"/>
  <c r="Y25" i="34"/>
  <c r="Y91" i="34"/>
  <c r="Y89" i="34"/>
  <c r="Y41" i="34"/>
  <c r="Y73" i="34"/>
  <c r="Y70" i="34"/>
  <c r="Y83" i="34"/>
  <c r="Y85" i="34"/>
  <c r="Y80" i="34"/>
  <c r="Y54" i="34"/>
  <c r="Y34" i="34"/>
  <c r="Y59" i="34"/>
  <c r="Y56" i="34"/>
  <c r="Y35" i="34"/>
  <c r="Y23" i="34"/>
  <c r="Y18" i="34"/>
  <c r="Y21" i="34"/>
  <c r="Y57" i="34"/>
  <c r="Y32" i="34"/>
  <c r="Y48" i="34"/>
  <c r="Y58" i="34"/>
  <c r="Y27" i="34"/>
  <c r="Y19" i="34"/>
  <c r="Y14" i="34"/>
  <c r="Y68" i="34"/>
  <c r="Y67" i="34"/>
  <c r="Y71" i="34"/>
  <c r="Y69" i="34"/>
  <c r="Y16" i="34"/>
  <c r="Y92" i="34"/>
  <c r="Y11" i="34"/>
  <c r="Y26" i="34"/>
  <c r="Y53" i="34"/>
  <c r="Y64" i="34"/>
  <c r="Y31" i="34"/>
  <c r="Y29" i="34"/>
  <c r="Y20" i="34"/>
  <c r="Y24" i="34"/>
  <c r="Y63" i="34"/>
  <c r="Y61" i="34"/>
  <c r="Y4" i="34"/>
  <c r="Y60" i="34"/>
  <c r="Y44" i="34"/>
  <c r="Y78" i="34"/>
  <c r="Y81" i="34"/>
  <c r="Y72" i="34"/>
  <c r="Y86" i="34"/>
  <c r="Y47" i="34"/>
  <c r="Y17" i="34"/>
  <c r="Y46" i="34"/>
  <c r="Y87" i="34"/>
  <c r="Y82" i="34"/>
  <c r="Y33" i="34"/>
  <c r="Y90" i="34"/>
  <c r="Y146" i="34"/>
  <c r="Y113" i="34"/>
  <c r="Y120" i="34"/>
  <c r="Y140" i="34"/>
  <c r="Y37" i="34"/>
  <c r="Y52" i="34"/>
  <c r="Y122" i="34"/>
  <c r="Y141" i="34"/>
  <c r="Y138" i="34"/>
  <c r="Y38" i="34"/>
  <c r="Y134" i="34"/>
  <c r="Y125" i="34"/>
  <c r="Y144" i="34"/>
  <c r="Y124" i="34"/>
  <c r="Y139" i="34"/>
  <c r="Y108" i="34"/>
  <c r="Y109" i="34"/>
  <c r="Y40" i="34"/>
  <c r="Y111" i="34"/>
  <c r="Y114" i="34"/>
  <c r="Y119" i="34"/>
  <c r="Y39" i="34"/>
  <c r="Y131" i="34"/>
  <c r="Y132" i="34"/>
  <c r="Y36" i="34"/>
  <c r="Y127" i="34"/>
  <c r="Y128" i="34"/>
  <c r="Y107" i="34"/>
  <c r="Y112" i="34"/>
  <c r="Y137" i="34"/>
  <c r="Y8" i="34"/>
  <c r="Y126" i="34"/>
  <c r="Y121" i="34"/>
  <c r="Y50" i="34"/>
  <c r="Y117" i="34"/>
  <c r="Y118" i="34"/>
  <c r="Y115" i="34"/>
  <c r="Y123" i="34"/>
  <c r="Y7" i="34"/>
  <c r="Y136" i="34"/>
  <c r="Y133" i="34"/>
  <c r="Y143" i="34"/>
  <c r="Y135" i="34"/>
  <c r="Y45" i="34"/>
  <c r="Y51" i="34"/>
  <c r="Y129" i="34"/>
  <c r="Y110" i="34"/>
  <c r="Y130" i="34"/>
  <c r="Y116" i="34"/>
  <c r="Y142" i="34"/>
  <c r="Y43" i="34"/>
  <c r="Y145" i="34"/>
  <c r="Y5" i="34"/>
  <c r="Z24" i="34"/>
  <c r="AA24" i="34"/>
  <c r="AB108" i="34"/>
  <c r="AD109" i="34"/>
  <c r="AD111" i="34"/>
  <c r="AD139" i="34"/>
  <c r="AD146" i="34"/>
  <c r="AD141" i="34"/>
  <c r="AD126" i="34"/>
  <c r="AD143" i="34"/>
  <c r="AD129" i="34"/>
  <c r="AD130" i="34"/>
  <c r="AD115" i="34"/>
  <c r="AD118" i="34"/>
  <c r="AD119" i="34"/>
  <c r="AD124" i="34"/>
  <c r="AD132" i="34"/>
  <c r="AD144" i="34"/>
  <c r="AD134" i="34"/>
  <c r="AD114" i="34"/>
  <c r="AD142" i="34"/>
  <c r="AD112" i="34"/>
  <c r="AD136" i="34"/>
  <c r="AE110" i="34"/>
  <c r="AE138" i="34"/>
  <c r="AE140" i="34"/>
  <c r="AE121" i="34"/>
  <c r="AE122" i="34"/>
  <c r="AE135" i="34"/>
  <c r="AE127" i="34"/>
  <c r="AE107" i="34"/>
  <c r="AE116" i="34"/>
  <c r="AE117" i="34"/>
  <c r="AE123" i="34"/>
  <c r="AE131" i="34"/>
  <c r="AE133" i="34"/>
  <c r="AE145" i="34"/>
  <c r="AE137" i="34"/>
  <c r="AB114" i="34"/>
  <c r="AB142" i="34"/>
  <c r="AE109" i="34"/>
  <c r="AB110" i="34"/>
  <c r="AE111" i="34"/>
  <c r="AB138" i="34"/>
  <c r="AE139" i="34"/>
  <c r="AB140" i="34"/>
  <c r="AE146" i="34"/>
  <c r="AB121" i="34"/>
  <c r="AE141" i="34"/>
  <c r="AB122" i="34"/>
  <c r="AE126" i="34"/>
  <c r="AB135" i="34"/>
  <c r="AE143" i="34"/>
  <c r="AB127" i="34"/>
  <c r="AE129" i="34"/>
  <c r="AB128" i="34"/>
  <c r="AE130" i="34"/>
  <c r="AB107" i="34"/>
  <c r="AE115" i="34"/>
  <c r="AB116" i="34"/>
  <c r="AE118" i="34"/>
  <c r="AB117" i="34"/>
  <c r="AE119" i="34"/>
  <c r="AB123" i="34"/>
  <c r="AE124" i="34"/>
  <c r="AB131" i="34"/>
  <c r="AE132" i="34"/>
  <c r="AB133" i="34"/>
  <c r="AE144" i="34"/>
  <c r="AB145" i="34"/>
  <c r="AE134" i="34"/>
  <c r="AB137" i="34"/>
  <c r="AE114" i="34"/>
  <c r="AB120" i="34"/>
  <c r="AE142" i="34"/>
  <c r="AB113" i="34"/>
  <c r="AE112" i="34"/>
  <c r="AB125" i="34"/>
  <c r="AE136" i="34"/>
  <c r="AB139" i="34"/>
  <c r="AB146" i="34"/>
  <c r="AE128" i="34"/>
  <c r="AE120" i="34"/>
  <c r="AE113" i="34"/>
  <c r="AD110" i="34"/>
  <c r="AD138" i="34"/>
  <c r="AD140" i="34"/>
  <c r="AD121" i="34"/>
  <c r="AD122" i="34"/>
  <c r="AD135" i="34"/>
  <c r="AD127" i="34"/>
  <c r="AD128" i="34"/>
  <c r="AD107" i="34"/>
  <c r="AD116" i="34"/>
  <c r="AD117" i="34"/>
  <c r="AD123" i="34"/>
  <c r="AD131" i="34"/>
  <c r="AD133" i="34"/>
  <c r="AD145" i="34"/>
  <c r="AD137" i="34"/>
  <c r="AD120" i="34"/>
  <c r="AD113" i="34"/>
  <c r="AD125" i="34"/>
  <c r="AE108" i="34"/>
  <c r="AB109" i="34"/>
  <c r="AB111" i="34"/>
  <c r="AB141" i="34"/>
  <c r="AB126" i="34"/>
  <c r="AB143" i="34"/>
  <c r="AB129" i="34"/>
  <c r="AB130" i="34"/>
  <c r="AB115" i="34"/>
  <c r="AB118" i="34"/>
  <c r="AB119" i="34"/>
  <c r="AB124" i="34"/>
  <c r="AB132" i="34"/>
  <c r="AB144" i="34"/>
  <c r="AB134" i="34"/>
  <c r="AB112" i="34"/>
  <c r="AD108" i="34"/>
  <c r="AE125" i="34"/>
  <c r="AB136" i="34"/>
  <c r="AA125" i="34" l="1"/>
  <c r="AA77" i="34"/>
  <c r="AA128" i="34"/>
  <c r="AA118" i="34"/>
  <c r="AA134" i="34"/>
  <c r="AA117" i="34"/>
  <c r="AA140" i="34"/>
  <c r="AA121" i="34"/>
  <c r="AA144" i="34"/>
  <c r="AA114" i="34"/>
  <c r="AA143" i="34"/>
  <c r="AA124" i="34"/>
  <c r="AA123" i="34"/>
  <c r="AA130" i="34"/>
  <c r="AA122" i="34"/>
  <c r="AA141" i="34"/>
  <c r="AA112" i="34"/>
  <c r="AA109" i="34"/>
  <c r="AA131" i="34"/>
  <c r="AA110" i="34"/>
  <c r="AA133" i="34"/>
  <c r="AA127" i="34"/>
  <c r="AA137" i="34"/>
  <c r="AA146" i="34"/>
  <c r="AA107" i="34"/>
  <c r="AA136" i="34"/>
  <c r="AA113" i="34"/>
  <c r="AA139" i="34"/>
  <c r="AA116" i="34"/>
  <c r="AA115" i="34"/>
  <c r="AA142" i="34"/>
  <c r="AA119" i="34"/>
  <c r="AA108" i="34"/>
  <c r="AA129" i="34"/>
  <c r="AA111" i="34"/>
  <c r="AA138" i="34"/>
  <c r="AA120" i="34"/>
  <c r="Z123" i="34"/>
  <c r="AA55" i="34"/>
  <c r="Z144" i="34"/>
  <c r="Z39" i="34"/>
  <c r="Z33" i="34"/>
  <c r="AA66" i="34"/>
  <c r="Z130" i="34"/>
  <c r="AA28" i="34"/>
  <c r="AA126" i="34"/>
  <c r="Z66" i="34"/>
  <c r="Z125" i="34"/>
  <c r="Z108" i="34"/>
  <c r="AA78" i="34"/>
  <c r="AA27" i="34"/>
  <c r="Z31" i="34"/>
  <c r="AA42" i="34"/>
  <c r="AA83" i="34"/>
  <c r="Z18" i="34"/>
  <c r="AA71" i="34"/>
  <c r="Z118" i="34"/>
  <c r="AA81" i="34"/>
  <c r="Z116" i="34"/>
  <c r="Z68" i="34"/>
  <c r="Z92" i="34"/>
  <c r="Z128" i="34"/>
  <c r="AA58" i="34"/>
  <c r="AA61" i="34"/>
  <c r="AA64" i="34"/>
  <c r="Y2" i="34"/>
  <c r="Z16" i="34"/>
  <c r="Z126" i="34"/>
  <c r="Z75" i="34"/>
  <c r="Z124" i="34"/>
  <c r="AA15" i="34"/>
  <c r="Z6" i="34"/>
  <c r="Z34" i="34"/>
  <c r="Z41" i="34"/>
  <c r="AA79" i="34"/>
  <c r="Z85" i="34"/>
  <c r="AA25" i="34"/>
  <c r="Z87" i="34"/>
  <c r="AA45" i="34"/>
  <c r="Z58" i="34"/>
  <c r="AA92" i="34"/>
  <c r="AA38" i="34"/>
  <c r="AA34" i="34"/>
  <c r="AA57" i="34"/>
  <c r="AA6" i="34"/>
  <c r="Z69" i="34"/>
  <c r="Z17" i="34"/>
  <c r="AA48" i="34"/>
  <c r="Z30" i="34"/>
  <c r="Z4" i="34"/>
  <c r="Z84" i="34"/>
  <c r="AA63" i="34"/>
  <c r="Z137" i="34"/>
  <c r="AA80" i="34"/>
  <c r="Z135" i="34"/>
  <c r="Z43" i="34"/>
  <c r="Z121" i="34"/>
  <c r="Z40" i="34"/>
  <c r="AA75" i="34"/>
  <c r="AA33" i="34"/>
  <c r="AA23" i="34"/>
  <c r="AA65" i="34"/>
  <c r="Z91" i="34"/>
  <c r="Z83" i="34"/>
  <c r="Z111" i="34"/>
  <c r="Z37" i="34"/>
  <c r="AA86" i="34"/>
  <c r="Z28" i="34"/>
  <c r="AA85" i="34"/>
  <c r="Z55" i="34"/>
  <c r="AA76" i="34"/>
  <c r="AA84" i="34"/>
  <c r="Z122" i="34"/>
  <c r="Z80" i="34"/>
  <c r="Z119" i="34"/>
  <c r="AA87" i="34"/>
  <c r="AA3" i="34"/>
  <c r="Z3" i="34"/>
  <c r="Z76" i="34"/>
  <c r="Z49" i="34"/>
  <c r="Z26" i="34"/>
  <c r="Z19" i="34"/>
  <c r="AA73" i="34"/>
  <c r="Z38" i="34"/>
  <c r="Z142" i="34"/>
  <c r="AA41" i="34"/>
  <c r="Z77" i="34"/>
  <c r="Z133" i="34"/>
  <c r="AA19" i="34"/>
  <c r="AA31" i="34"/>
  <c r="AA43" i="34"/>
  <c r="Z129" i="34"/>
  <c r="Z35" i="34"/>
  <c r="AA89" i="34"/>
  <c r="AA14" i="34"/>
  <c r="Z45" i="34"/>
  <c r="Z112" i="34"/>
  <c r="Z15" i="34"/>
  <c r="AA68" i="34"/>
  <c r="Z11" i="34"/>
  <c r="Z140" i="34"/>
  <c r="Z86" i="34"/>
  <c r="AA59" i="34"/>
  <c r="Z138" i="34"/>
  <c r="Z120" i="34"/>
  <c r="Z110" i="34"/>
  <c r="Z109" i="34"/>
  <c r="AA132" i="34"/>
  <c r="Z36" i="34"/>
  <c r="AA32" i="34"/>
  <c r="AA62" i="34"/>
  <c r="Z107" i="34"/>
  <c r="Z71" i="34"/>
  <c r="Z5" i="34"/>
  <c r="AA4" i="34"/>
  <c r="Z67" i="34"/>
  <c r="Z132" i="34"/>
  <c r="Z117" i="34"/>
  <c r="AA5" i="34"/>
  <c r="Z145" i="34"/>
  <c r="AA26" i="34"/>
  <c r="AA135" i="34"/>
  <c r="Z89" i="34"/>
  <c r="AA82" i="34"/>
  <c r="AA46" i="34"/>
  <c r="AA70" i="34"/>
  <c r="AA22" i="34"/>
  <c r="Z25" i="34"/>
  <c r="Z47" i="34"/>
  <c r="AA21" i="34"/>
  <c r="Z21" i="34"/>
  <c r="AA90" i="34"/>
  <c r="Z146" i="34"/>
  <c r="Z70" i="34"/>
  <c r="AA67" i="34"/>
  <c r="Z82" i="34"/>
  <c r="Z63" i="34"/>
  <c r="AA18" i="34"/>
  <c r="Z88" i="34"/>
  <c r="Z115" i="34"/>
  <c r="Z73" i="34"/>
  <c r="Z27" i="34"/>
  <c r="Z113" i="34"/>
  <c r="Z23" i="34"/>
  <c r="AA49" i="34"/>
  <c r="AA11" i="34"/>
  <c r="AA2" i="34"/>
  <c r="Z57" i="34"/>
  <c r="Z2" i="34"/>
  <c r="AA30" i="34"/>
  <c r="Z90" i="34"/>
  <c r="Z22" i="34"/>
  <c r="Z29" i="34"/>
  <c r="Z61" i="34"/>
  <c r="AA44" i="34"/>
  <c r="AA16" i="34"/>
  <c r="AA36" i="34"/>
  <c r="Z46" i="34"/>
  <c r="AA88" i="34"/>
  <c r="Z65" i="34"/>
  <c r="Z139" i="34"/>
  <c r="AA145" i="34"/>
  <c r="Z42" i="34"/>
  <c r="Z48" i="34"/>
  <c r="Z62" i="34"/>
  <c r="Z72" i="34"/>
  <c r="Z44" i="34"/>
  <c r="AA29" i="34"/>
  <c r="Z74" i="34"/>
  <c r="AA39" i="34"/>
  <c r="Z20" i="34"/>
  <c r="AA40" i="34"/>
  <c r="Z59" i="34"/>
  <c r="Z81" i="34"/>
  <c r="Z64" i="34"/>
  <c r="AA37" i="34"/>
  <c r="Z136" i="34"/>
  <c r="AA35" i="34"/>
  <c r="AA91" i="34"/>
  <c r="Z141" i="34"/>
  <c r="Z143" i="34"/>
  <c r="Z131" i="34"/>
  <c r="AA17" i="34"/>
  <c r="AA72" i="34"/>
  <c r="Z14" i="34"/>
  <c r="AA69" i="34"/>
  <c r="AA47" i="34"/>
  <c r="Z78" i="34"/>
  <c r="AA74" i="34"/>
  <c r="Z79" i="34"/>
  <c r="Z32" i="34"/>
  <c r="Z114" i="34"/>
  <c r="Z134" i="34"/>
  <c r="Z127" i="34"/>
  <c r="AA20" i="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<sst xmlns="http://schemas.openxmlformats.org/spreadsheetml/2006/main" count="37065" uniqueCount="7248">
  <si>
    <t>ID</t>
  </si>
  <si>
    <t>Address1</t>
  </si>
  <si>
    <t>Address2</t>
  </si>
  <si>
    <t>Province</t>
  </si>
  <si>
    <t>RecordStatus</t>
  </si>
  <si>
    <t>RefStatusID</t>
  </si>
  <si>
    <t>Batch</t>
  </si>
  <si>
    <t>ApprovalDate</t>
  </si>
  <si>
    <t>ApprovalYear</t>
  </si>
  <si>
    <t>BatchError</t>
  </si>
  <si>
    <t>BatchTypeID</t>
  </si>
  <si>
    <t>CreateDate</t>
  </si>
  <si>
    <t>Description</t>
  </si>
  <si>
    <t>BatchType</t>
  </si>
  <si>
    <t>Comments</t>
  </si>
  <si>
    <t>IncrementDate</t>
  </si>
  <si>
    <t>ShortCode</t>
  </si>
  <si>
    <t>StartDate</t>
  </si>
  <si>
    <t>BC</t>
  </si>
  <si>
    <t>BillingAccount</t>
  </si>
  <si>
    <t>GstExempt</t>
  </si>
  <si>
    <t>Ledger</t>
  </si>
  <si>
    <t>Name</t>
  </si>
  <si>
    <t>RecType</t>
  </si>
  <si>
    <t>City</t>
  </si>
  <si>
    <t>EmployeeID</t>
  </si>
  <si>
    <t>Classify</t>
  </si>
  <si>
    <t>ParentID</t>
  </si>
  <si>
    <t>ReferenceNumber</t>
  </si>
  <si>
    <t>Contact</t>
  </si>
  <si>
    <t>MailingAddress1</t>
  </si>
  <si>
    <t>MailingAddress2</t>
  </si>
  <si>
    <t>MailingCity</t>
  </si>
  <si>
    <t>Phone1</t>
  </si>
  <si>
    <t>Phone2</t>
  </si>
  <si>
    <t>Command</t>
  </si>
  <si>
    <t>CommandID</t>
  </si>
  <si>
    <t>LogDate</t>
  </si>
  <si>
    <t>LogTime</t>
  </si>
  <si>
    <t>CrossReference</t>
  </si>
  <si>
    <t>Type</t>
  </si>
  <si>
    <t>Employee</t>
  </si>
  <si>
    <t>BirthDate</t>
  </si>
  <si>
    <t>Extension</t>
  </si>
  <si>
    <t>FirstName</t>
  </si>
  <si>
    <t>MiddleName</t>
  </si>
  <si>
    <t>Sex</t>
  </si>
  <si>
    <t>BillingAccountID</t>
  </si>
  <si>
    <t>ExpiryDate</t>
  </si>
  <si>
    <t>Amount</t>
  </si>
  <si>
    <t>Rate</t>
  </si>
  <si>
    <t>EffectiveDate</t>
  </si>
  <si>
    <t>UpdateDate</t>
  </si>
  <si>
    <t>Location</t>
  </si>
  <si>
    <t>DBID</t>
  </si>
  <si>
    <t>Status</t>
  </si>
  <si>
    <t>PersonalComment</t>
  </si>
  <si>
    <t>PostingDate</t>
  </si>
  <si>
    <t>ReconciliationDate</t>
  </si>
  <si>
    <t>RollupAmount</t>
  </si>
  <si>
    <t>Relationship</t>
  </si>
  <si>
    <t>ChequeNumber</t>
  </si>
  <si>
    <t>GstRate</t>
  </si>
  <si>
    <t>Length</t>
  </si>
  <si>
    <t>DBCODEID</t>
  </si>
  <si>
    <t>Transactions</t>
  </si>
  <si>
    <t>BatchID</t>
  </si>
  <si>
    <t>Decimals</t>
  </si>
  <si>
    <t>TransactionID</t>
  </si>
  <si>
    <t>Activities</t>
  </si>
  <si>
    <t>ActivityTypeID</t>
  </si>
  <si>
    <t>ActivityTypes</t>
  </si>
  <si>
    <t>TableName</t>
  </si>
  <si>
    <t>ContactID</t>
  </si>
  <si>
    <t>GLAccountID</t>
  </si>
  <si>
    <t>AuditLogs</t>
  </si>
  <si>
    <t>Batches</t>
  </si>
  <si>
    <t>BillingAccounts</t>
  </si>
  <si>
    <t>Commands</t>
  </si>
  <si>
    <t>Contacts</t>
  </si>
  <si>
    <t>LastName</t>
  </si>
  <si>
    <t>Date</t>
  </si>
  <si>
    <t>Employees</t>
  </si>
  <si>
    <t>Source</t>
  </si>
  <si>
    <t>GLAccounts</t>
  </si>
  <si>
    <t>GLEntries</t>
  </si>
  <si>
    <t>CR</t>
  </si>
  <si>
    <t>Details</t>
  </si>
  <si>
    <t>ReferenceFields</t>
  </si>
  <si>
    <t>Shortcode</t>
  </si>
  <si>
    <t>ContactID1</t>
  </si>
  <si>
    <t>ContactID2</t>
  </si>
  <si>
    <t>Y</t>
  </si>
  <si>
    <t>Data</t>
  </si>
  <si>
    <t>System</t>
  </si>
  <si>
    <t>Primary key</t>
  </si>
  <si>
    <t>Foreign key</t>
  </si>
  <si>
    <t>Reftable</t>
  </si>
  <si>
    <t>Activity</t>
  </si>
  <si>
    <t>Last Name</t>
  </si>
  <si>
    <t>Expiry Date</t>
  </si>
  <si>
    <t>Billing Account</t>
  </si>
  <si>
    <t>Reference Number</t>
  </si>
  <si>
    <t>Batch Type</t>
  </si>
  <si>
    <t>Reference Table</t>
  </si>
  <si>
    <t>IsNullable</t>
  </si>
  <si>
    <t>Label</t>
  </si>
  <si>
    <t>Contact ID</t>
  </si>
  <si>
    <t>Start Date</t>
  </si>
  <si>
    <t>Transaction ID</t>
  </si>
  <si>
    <t>Log Time</t>
  </si>
  <si>
    <t>Create Date</t>
  </si>
  <si>
    <t>Batch Error</t>
  </si>
  <si>
    <t>Address 1</t>
  </si>
  <si>
    <t>Address 2</t>
  </si>
  <si>
    <t>First Name</t>
  </si>
  <si>
    <t>Middle Name</t>
  </si>
  <si>
    <t>Short Code</t>
  </si>
  <si>
    <t>Cheque Number</t>
  </si>
  <si>
    <t>Activity Type</t>
  </si>
  <si>
    <t>Transaction</t>
  </si>
  <si>
    <t>Contact1</t>
  </si>
  <si>
    <t>Contact2</t>
  </si>
  <si>
    <t>GL Account</t>
  </si>
  <si>
    <t>Relationship ID</t>
  </si>
  <si>
    <t>ColumnName</t>
  </si>
  <si>
    <t>ValidationRule</t>
  </si>
  <si>
    <t>ReferenceTable</t>
  </si>
  <si>
    <t>GLEntry</t>
  </si>
  <si>
    <t>GLAccount</t>
  </si>
  <si>
    <t>ReferenceField</t>
  </si>
  <si>
    <t>AuditLog</t>
  </si>
  <si>
    <t>Active</t>
  </si>
  <si>
    <t>Increment Date</t>
  </si>
  <si>
    <t>GL Entry</t>
  </si>
  <si>
    <t>FL</t>
  </si>
  <si>
    <t>SI</t>
  </si>
  <si>
    <t>SD</t>
  </si>
  <si>
    <t>CL</t>
  </si>
  <si>
    <t>PE</t>
  </si>
  <si>
    <t>RL</t>
  </si>
  <si>
    <t>FM</t>
  </si>
  <si>
    <t>AC</t>
  </si>
  <si>
    <t>IR</t>
  </si>
  <si>
    <t>CM</t>
  </si>
  <si>
    <t>TF</t>
  </si>
  <si>
    <t>FA</t>
  </si>
  <si>
    <t>OP</t>
  </si>
  <si>
    <t>CH</t>
  </si>
  <si>
    <t>PH</t>
  </si>
  <si>
    <t>PC</t>
  </si>
  <si>
    <t>PS</t>
  </si>
  <si>
    <t>CA</t>
  </si>
  <si>
    <t>BT</t>
  </si>
  <si>
    <t>BA</t>
  </si>
  <si>
    <t>AS</t>
  </si>
  <si>
    <t>BL</t>
  </si>
  <si>
    <t>RT</t>
  </si>
  <si>
    <t>T8</t>
  </si>
  <si>
    <t>FS</t>
  </si>
  <si>
    <t>BU</t>
  </si>
  <si>
    <t>AB</t>
  </si>
  <si>
    <t>Attributes</t>
  </si>
  <si>
    <t>AL</t>
  </si>
  <si>
    <t>AA</t>
  </si>
  <si>
    <t>AP</t>
  </si>
  <si>
    <t>RY</t>
  </si>
  <si>
    <t>RX</t>
  </si>
  <si>
    <t>T4</t>
  </si>
  <si>
    <t>TX</t>
  </si>
  <si>
    <t>CC</t>
  </si>
  <si>
    <t>CB</t>
  </si>
  <si>
    <t>ActivityAllocations</t>
  </si>
  <si>
    <t>Attributelinkstoclient</t>
  </si>
  <si>
    <t>ActivityProjects</t>
  </si>
  <si>
    <t>FixedAssets</t>
  </si>
  <si>
    <t>FixedAssetLocationHistory</t>
  </si>
  <si>
    <t>OrganizationalPositions</t>
  </si>
  <si>
    <t>PersonalComments</t>
  </si>
  <si>
    <t>PeopleDatabase</t>
  </si>
  <si>
    <t>PositionHistory</t>
  </si>
  <si>
    <t>FixedAssetType</t>
  </si>
  <si>
    <t>AccountBalances</t>
  </si>
  <si>
    <t>BillingAccountBalances</t>
  </si>
  <si>
    <t>BatchTypes</t>
  </si>
  <si>
    <t>Budgets</t>
  </si>
  <si>
    <t>GLAccountsCostCentres</t>
  </si>
  <si>
    <t>CostCentres</t>
  </si>
  <si>
    <t>ContactSetup</t>
  </si>
  <si>
    <t>Relationships</t>
  </si>
  <si>
    <t>RatesBilling</t>
  </si>
  <si>
    <t>RatesExpense</t>
  </si>
  <si>
    <t>RatesFactor</t>
  </si>
  <si>
    <t>TransactionsInvoices</t>
  </si>
  <si>
    <t>TransactionsCheques</t>
  </si>
  <si>
    <t>Integer</t>
  </si>
  <si>
    <t>Varchar</t>
  </si>
  <si>
    <t>Decimal</t>
  </si>
  <si>
    <t>ReferenceTables</t>
  </si>
  <si>
    <t>AccountBalance</t>
  </si>
  <si>
    <t>BillingAccountBalance</t>
  </si>
  <si>
    <t>GLAccountsCostCentre</t>
  </si>
  <si>
    <t>CostCentre</t>
  </si>
  <si>
    <t>ActivityType</t>
  </si>
  <si>
    <t>TransactionsCheque</t>
  </si>
  <si>
    <t>TransactionsInvoice</t>
  </si>
  <si>
    <t>ActivityAllocation</t>
  </si>
  <si>
    <t>OrganizationalPosition</t>
  </si>
  <si>
    <t>ActivityProject</t>
  </si>
  <si>
    <t>Budget</t>
  </si>
  <si>
    <t>FixedAsset</t>
  </si>
  <si>
    <t>Attribute</t>
  </si>
  <si>
    <t>CostCentreID</t>
  </si>
  <si>
    <t>ActivityProjectID</t>
  </si>
  <si>
    <t>AttributeID</t>
  </si>
  <si>
    <t>FixedAssetID</t>
  </si>
  <si>
    <t>FixedAssetTypeID</t>
  </si>
  <si>
    <t>OrganizationalPositionID</t>
  </si>
  <si>
    <t>ReferenceFieldID</t>
  </si>
  <si>
    <t>RelationshipID</t>
  </si>
  <si>
    <t>ContactIDPerformedBY</t>
  </si>
  <si>
    <t>ContactIDInvoiceThrough</t>
  </si>
  <si>
    <t>GLAccountIDDefault</t>
  </si>
  <si>
    <t>GLAccountIDAccumDepr</t>
  </si>
  <si>
    <t>GLAccountIDDepreciationExpense</t>
  </si>
  <si>
    <t>ContactIDBY</t>
  </si>
  <si>
    <t>GLEntryIDMain</t>
  </si>
  <si>
    <t>Serial</t>
  </si>
  <si>
    <t>Loc_id</t>
  </si>
  <si>
    <t>Confirm</t>
  </si>
  <si>
    <t>CostCentreLabel</t>
  </si>
  <si>
    <t>CommitBal</t>
  </si>
  <si>
    <t>DeprInc</t>
  </si>
  <si>
    <t>DeprLife</t>
  </si>
  <si>
    <t>DisplayId</t>
  </si>
  <si>
    <t>EMail</t>
  </si>
  <si>
    <t>ExtraData</t>
  </si>
  <si>
    <t>GenBlk</t>
  </si>
  <si>
    <t>GstOver</t>
  </si>
  <si>
    <t>HelpText</t>
  </si>
  <si>
    <t>LogDb</t>
  </si>
  <si>
    <t>LogNote</t>
  </si>
  <si>
    <t>LogType</t>
  </si>
  <si>
    <t>MenuMsg</t>
  </si>
  <si>
    <t>MenuPrmpt</t>
  </si>
  <si>
    <t>MenuType</t>
  </si>
  <si>
    <t>ModelNum</t>
  </si>
  <si>
    <t>PayTerms</t>
  </si>
  <si>
    <t>PrintCnt</t>
  </si>
  <si>
    <t>SignOn</t>
  </si>
  <si>
    <t>SinNum</t>
  </si>
  <si>
    <t>SubCnt</t>
  </si>
  <si>
    <t>SubType</t>
  </si>
  <si>
    <t>T0Refer</t>
  </si>
  <si>
    <t>T2Refer</t>
  </si>
  <si>
    <t>TransType</t>
  </si>
  <si>
    <t>UseCc</t>
  </si>
  <si>
    <t>WTitle</t>
  </si>
  <si>
    <t>Acronym</t>
  </si>
  <si>
    <t>Adjustment</t>
  </si>
  <si>
    <t>Balance</t>
  </si>
  <si>
    <t>Dollars</t>
  </si>
  <si>
    <t>Download</t>
  </si>
  <si>
    <t>Grade</t>
  </si>
  <si>
    <t>Gstnum</t>
  </si>
  <si>
    <t>Hours</t>
  </si>
  <si>
    <t>Kms</t>
  </si>
  <si>
    <t>Narrative</t>
  </si>
  <si>
    <t>Notes</t>
  </si>
  <si>
    <t>Override</t>
  </si>
  <si>
    <t>Postal</t>
  </si>
  <si>
    <t>Salary</t>
  </si>
  <si>
    <t>Salutation</t>
  </si>
  <si>
    <t>Template</t>
  </si>
  <si>
    <t>Val2</t>
  </si>
  <si>
    <t>Xlog</t>
  </si>
  <si>
    <t>PurDate</t>
  </si>
  <si>
    <t>RefTypeID</t>
  </si>
  <si>
    <t>OrganizationPositionID</t>
  </si>
  <si>
    <t>Number</t>
  </si>
  <si>
    <t>DeprDate</t>
  </si>
  <si>
    <t>TermDate</t>
  </si>
  <si>
    <t>CompletionDate</t>
  </si>
  <si>
    <t>BaseAmount</t>
  </si>
  <si>
    <t>BilledAmount</t>
  </si>
  <si>
    <t>HistStatus</t>
  </si>
  <si>
    <t>BillingMethod</t>
  </si>
  <si>
    <t>RefBillingMethodID</t>
  </si>
  <si>
    <t>RefBillingStatusID</t>
  </si>
  <si>
    <t>RefContracteeID</t>
  </si>
  <si>
    <t>RefCostUnitID</t>
  </si>
  <si>
    <t>RefEmplStatusID</t>
  </si>
  <si>
    <t>RefSubClassifyByID</t>
  </si>
  <si>
    <t>RefOwnerID</t>
  </si>
  <si>
    <t>RefClassificationID</t>
  </si>
  <si>
    <t>RefPriortyID</t>
  </si>
  <si>
    <t>RefSourceID</t>
  </si>
  <si>
    <t>RefUserPathID</t>
  </si>
  <si>
    <t>BudgetBalance</t>
  </si>
  <si>
    <t>BudgetRollup</t>
  </si>
  <si>
    <t>GLAccountIDAsset</t>
  </si>
  <si>
    <t>CommencementDate</t>
  </si>
  <si>
    <t>DepreciationPercent</t>
  </si>
  <si>
    <t>DepriationSalvageValue</t>
  </si>
  <si>
    <t>RefDepreciationTypeID</t>
  </si>
  <si>
    <t>ExpenseAmount</t>
  </si>
  <si>
    <t>FixedAssetNumberUsed</t>
  </si>
  <si>
    <t>FiscalYearEnd</t>
  </si>
  <si>
    <t>FiscalYearIncrement</t>
  </si>
  <si>
    <t>FiscalYearStart</t>
  </si>
  <si>
    <t>ForceBalancing</t>
  </si>
  <si>
    <t>GivenName</t>
  </si>
  <si>
    <t>HoursPerDay</t>
  </si>
  <si>
    <t>OverrideHours</t>
  </si>
  <si>
    <t>LogCommand</t>
  </si>
  <si>
    <t>LogCondition</t>
  </si>
  <si>
    <t>LogExpression</t>
  </si>
  <si>
    <t>MaillingProvince</t>
  </si>
  <si>
    <t>OrganizationUnit</t>
  </si>
  <si>
    <t>ProcedureName</t>
  </si>
  <si>
    <t>ReplacementAmount</t>
  </si>
  <si>
    <t>RevenueAmount</t>
  </si>
  <si>
    <t>WIPBilling</t>
  </si>
  <si>
    <t>TotalActual</t>
  </si>
  <si>
    <t>AccountLabel</t>
  </si>
  <si>
    <t>CJ</t>
  </si>
  <si>
    <t>Fixed Asset Type</t>
  </si>
  <si>
    <t>Fixed Asset Location Database</t>
  </si>
  <si>
    <t>Cost Centre</t>
  </si>
  <si>
    <t>DateTime</t>
  </si>
  <si>
    <t>Val1Label</t>
  </si>
  <si>
    <t>Val2Label</t>
  </si>
  <si>
    <t>ReferenceTableID</t>
  </si>
  <si>
    <t>SingularName</t>
  </si>
  <si>
    <t>DataType</t>
  </si>
  <si>
    <t>DataLength</t>
  </si>
  <si>
    <t>ForeignTableID</t>
  </si>
  <si>
    <t>Purpose</t>
  </si>
  <si>
    <t>Translation</t>
  </si>
  <si>
    <t>Performedfor</t>
  </si>
  <si>
    <t>SourceRecord</t>
  </si>
  <si>
    <t>Chargedto</t>
  </si>
  <si>
    <t>CommandJoins</t>
  </si>
  <si>
    <t>CommandIDParent</t>
  </si>
  <si>
    <t>CommandIDChild</t>
  </si>
  <si>
    <t>Condition</t>
  </si>
  <si>
    <t>CommandJoin</t>
  </si>
  <si>
    <t>CheckJoin</t>
  </si>
  <si>
    <t>Budget Balance</t>
  </si>
  <si>
    <t>Rollup Amount</t>
  </si>
  <si>
    <t>Budget Rollup</t>
  </si>
  <si>
    <t>Completion Date</t>
  </si>
  <si>
    <t>Revenue Amount</t>
  </si>
  <si>
    <t>Total Actual</t>
  </si>
  <si>
    <t>Override Hours</t>
  </si>
  <si>
    <t>Sub Cnt</t>
  </si>
  <si>
    <t>Update Date</t>
  </si>
  <si>
    <t>Billed Amount</t>
  </si>
  <si>
    <t>Base Amount</t>
  </si>
  <si>
    <t>Expense Amount</t>
  </si>
  <si>
    <t>Seq No</t>
  </si>
  <si>
    <t>Extra Data</t>
  </si>
  <si>
    <t>Log Date</t>
  </si>
  <si>
    <t>Log Note</t>
  </si>
  <si>
    <t>Approval Date</t>
  </si>
  <si>
    <t>Approval Year</t>
  </si>
  <si>
    <t>Gen Blk</t>
  </si>
  <si>
    <t>Rec Type</t>
  </si>
  <si>
    <t>Gst Exempt</t>
  </si>
  <si>
    <t>Pay Terms</t>
  </si>
  <si>
    <t>Check Join</t>
  </si>
  <si>
    <t>Procedure Name</t>
  </si>
  <si>
    <t>Menu Prmpt</t>
  </si>
  <si>
    <t>Menu Msg</t>
  </si>
  <si>
    <t>Menu Type</t>
  </si>
  <si>
    <t>Log Expression</t>
  </si>
  <si>
    <t>Help Text</t>
  </si>
  <si>
    <t>Log Command</t>
  </si>
  <si>
    <t>Display Id</t>
  </si>
  <si>
    <t>Log Db</t>
  </si>
  <si>
    <t>Log Condition</t>
  </si>
  <si>
    <t>Log Type</t>
  </si>
  <si>
    <t>Phone 1</t>
  </si>
  <si>
    <t>Phone 2</t>
  </si>
  <si>
    <t>Mailing Address 1</t>
  </si>
  <si>
    <t>Mailing Address 2</t>
  </si>
  <si>
    <t>Mailing City</t>
  </si>
  <si>
    <t>Mailling Province</t>
  </si>
  <si>
    <t>Hours Per Day</t>
  </si>
  <si>
    <t>Billing Method</t>
  </si>
  <si>
    <t>E Mail</t>
  </si>
  <si>
    <t>Account Label</t>
  </si>
  <si>
    <t>Cost Centre Label</t>
  </si>
  <si>
    <t>Fiscal Year Start</t>
  </si>
  <si>
    <t>Fiscal Year Increment</t>
  </si>
  <si>
    <t>Fiscal Year End</t>
  </si>
  <si>
    <t>Gst Rate</t>
  </si>
  <si>
    <t>Force Balancing</t>
  </si>
  <si>
    <t>Depr Date</t>
  </si>
  <si>
    <t>Depr Inc</t>
  </si>
  <si>
    <t>T 0 Refer</t>
  </si>
  <si>
    <t>T 2 Refer</t>
  </si>
  <si>
    <t>W I P Billing</t>
  </si>
  <si>
    <t>Use Cc</t>
  </si>
  <si>
    <t>Singular Name</t>
  </si>
  <si>
    <t>Birth Date</t>
  </si>
  <si>
    <t>Sign On</t>
  </si>
  <si>
    <t>Term Date</t>
  </si>
  <si>
    <t>Val 2</t>
  </si>
  <si>
    <t>Loc _id</t>
  </si>
  <si>
    <t>Effective Date</t>
  </si>
  <si>
    <t>Model Num</t>
  </si>
  <si>
    <t>Depr Life</t>
  </si>
  <si>
    <t>Depriation Salvage Value</t>
  </si>
  <si>
    <t>Pur Date</t>
  </si>
  <si>
    <t>Fixed Asset Number Used</t>
  </si>
  <si>
    <t>Depreciation Percent</t>
  </si>
  <si>
    <t>Sub Type</t>
  </si>
  <si>
    <t>Replacement Amount</t>
  </si>
  <si>
    <t>Posting Date</t>
  </si>
  <si>
    <t>Reconciliation Date</t>
  </si>
  <si>
    <t>Organization Unit</t>
  </si>
  <si>
    <t>Sin Num</t>
  </si>
  <si>
    <t>Given Name</t>
  </si>
  <si>
    <t>Commencement Date</t>
  </si>
  <si>
    <t>Hist Status</t>
  </si>
  <si>
    <t>Trans Type</t>
  </si>
  <si>
    <t>Val 1 Label</t>
  </si>
  <si>
    <t>Val 2 Label</t>
  </si>
  <si>
    <t>Print Cnt</t>
  </si>
  <si>
    <t>Gst Over</t>
  </si>
  <si>
    <t>Ref Type ID</t>
  </si>
  <si>
    <t>Parent ID</t>
  </si>
  <si>
    <t>Activity Project</t>
  </si>
  <si>
    <t>GL AccountDefault</t>
  </si>
  <si>
    <t>CommandParent</t>
  </si>
  <si>
    <t>CommandChild</t>
  </si>
  <si>
    <t>Fixed Asset</t>
  </si>
  <si>
    <t>Organizational Position</t>
  </si>
  <si>
    <t>Organization Position</t>
  </si>
  <si>
    <t>ContactB Y</t>
  </si>
  <si>
    <t>Reference Field</t>
  </si>
  <si>
    <t>GL EntryMain</t>
  </si>
  <si>
    <t>Billing Status</t>
  </si>
  <si>
    <t>Sub Classify By</t>
  </si>
  <si>
    <t>Contractee</t>
  </si>
  <si>
    <t>Cost Unit</t>
  </si>
  <si>
    <t>Industry</t>
  </si>
  <si>
    <t>Depreciation Type</t>
  </si>
  <si>
    <t>Empl Status</t>
  </si>
  <si>
    <t>User Path</t>
  </si>
  <si>
    <t>Owner</t>
  </si>
  <si>
    <t>Classification</t>
  </si>
  <si>
    <t>Priority</t>
  </si>
  <si>
    <t>Commit Balance</t>
  </si>
  <si>
    <t>Contact Performed By</t>
  </si>
  <si>
    <t>Contact Invoice Through</t>
  </si>
  <si>
    <t>GL Account Accum Depr</t>
  </si>
  <si>
    <t>GL Account Depreciation Expense</t>
  </si>
  <si>
    <t>GL Account Asset</t>
  </si>
  <si>
    <t>TreeString</t>
  </si>
  <si>
    <t>TreeSeq</t>
  </si>
  <si>
    <t>FixedAssetLocation</t>
  </si>
  <si>
    <t>PluralName</t>
  </si>
  <si>
    <t>BMS</t>
  </si>
  <si>
    <t>CombinedName</t>
  </si>
  <si>
    <t>ForeignTable</t>
  </si>
  <si>
    <t>IsIndexed</t>
  </si>
  <si>
    <t>ChangeHistoryLevel</t>
  </si>
  <si>
    <t>LongName</t>
  </si>
  <si>
    <t>Old Picture</t>
  </si>
  <si>
    <t>IsUsed</t>
  </si>
  <si>
    <t>FL.FL_CODE</t>
  </si>
  <si>
    <t>FL.FL_FA</t>
  </si>
  <si>
    <t>FL.FL_DB_ID</t>
  </si>
  <si>
    <t>FL.FL_DB_CODE</t>
  </si>
  <si>
    <t>FL.FL_EFF_DT</t>
  </si>
  <si>
    <t>FL.FL_CONFIRM</t>
  </si>
  <si>
    <t>FL.FL_CM</t>
  </si>
  <si>
    <t>FL.FL_ACTIVE</t>
  </si>
  <si>
    <t>FL.DETAILS</t>
  </si>
  <si>
    <t>FL.FL_CL</t>
  </si>
  <si>
    <t>SI.SI_CODE</t>
  </si>
  <si>
    <t>SI.SI_SD</t>
  </si>
  <si>
    <t>SI.SI_SQ_NO</t>
  </si>
  <si>
    <t>SI.SHORT_CODE</t>
  </si>
  <si>
    <t>SI.VAL1</t>
  </si>
  <si>
    <t>SI.VAL2</t>
  </si>
  <si>
    <t>SI.COMMENTS</t>
  </si>
  <si>
    <t>SI.SI_SI</t>
  </si>
  <si>
    <t>SI.CLASSIFY</t>
  </si>
  <si>
    <t>SD.SD_CODE</t>
  </si>
  <si>
    <t>SD.TYPE</t>
  </si>
  <si>
    <t>SD.SD_ID</t>
  </si>
  <si>
    <t>SD.VAL1_LBL</t>
  </si>
  <si>
    <t>SD.VAL2_LBL</t>
  </si>
  <si>
    <t>SD.LENGTH</t>
  </si>
  <si>
    <t>SD.DESC</t>
  </si>
  <si>
    <t>CL.CL_CODE</t>
  </si>
  <si>
    <t>CL.CL_NAME</t>
  </si>
  <si>
    <t>CL.PHONE1</t>
  </si>
  <si>
    <t>CL.PHONE2</t>
  </si>
  <si>
    <t>CL.ADDRESS1</t>
  </si>
  <si>
    <t>CL.ADDRESS2</t>
  </si>
  <si>
    <t>CL.CITY</t>
  </si>
  <si>
    <t>CL.PROVINCE</t>
  </si>
  <si>
    <t>CL.M_ADDRESS1</t>
  </si>
  <si>
    <t>CL.M_ADDRESS2</t>
  </si>
  <si>
    <t>CL.M_CITY</t>
  </si>
  <si>
    <t>CL.M_PROVINCE</t>
  </si>
  <si>
    <t>CL.POSTAL</t>
  </si>
  <si>
    <t>CL.CL_TYPE</t>
  </si>
  <si>
    <t>CL.COMMENTS</t>
  </si>
  <si>
    <t>CL.REC_TYPE</t>
  </si>
  <si>
    <t>CL.CL_CL</t>
  </si>
  <si>
    <t>CL.CONTACT</t>
  </si>
  <si>
    <t>CL.CREATE_DT</t>
  </si>
  <si>
    <t>CL.CL_DATE</t>
  </si>
  <si>
    <t>CL.CL_NUM</t>
  </si>
  <si>
    <t>CL.HRSPERDAY</t>
  </si>
  <si>
    <t>CL.BILLMETHOD</t>
  </si>
  <si>
    <t>CL.INDUSTRY</t>
  </si>
  <si>
    <t>CL.LOCATION</t>
  </si>
  <si>
    <t>CL.E_MAIL</t>
  </si>
  <si>
    <t>CL.KMS</t>
  </si>
  <si>
    <t>PE.PE_CL</t>
  </si>
  <si>
    <t>PE.FNAME</t>
  </si>
  <si>
    <t>PE.MNAME</t>
  </si>
  <si>
    <t>PE.PE_LNAME</t>
  </si>
  <si>
    <t>PE.BIRTH_DATE</t>
  </si>
  <si>
    <t>PE.SEX</t>
  </si>
  <si>
    <t>PE.SIN_NUM</t>
  </si>
  <si>
    <t>PE.G_NAME</t>
  </si>
  <si>
    <t>PE.W_TITLE</t>
  </si>
  <si>
    <t>PE.EXTENSION</t>
  </si>
  <si>
    <t>PE.SALUTATION</t>
  </si>
  <si>
    <t>RL.RL_CODE</t>
  </si>
  <si>
    <t>RL.RL_CL_P</t>
  </si>
  <si>
    <t>RL.RL_CL_S</t>
  </si>
  <si>
    <t>RL.RL_TYPE</t>
  </si>
  <si>
    <t>RL.COMMENTS</t>
  </si>
  <si>
    <t>RL.RL_RL</t>
  </si>
  <si>
    <t>FM.FM_CODE</t>
  </si>
  <si>
    <t>FM.FM_SQ_NO</t>
  </si>
  <si>
    <t>FM.FM_DESC</t>
  </si>
  <si>
    <t>FM.FM_FM</t>
  </si>
  <si>
    <t>FM.FM_SD</t>
  </si>
  <si>
    <t>FM.NARRATIVE</t>
  </si>
  <si>
    <t>FM.SI_FRALIAS</t>
  </si>
  <si>
    <t>FM.TEMPLATE</t>
  </si>
  <si>
    <t>FM.SUB_CNT</t>
  </si>
  <si>
    <t>FM.SI_CUNIT</t>
  </si>
  <si>
    <t>FM.FM_CA</t>
  </si>
  <si>
    <t>FM.LEVELSTR</t>
  </si>
  <si>
    <t>FM.FM_IQ_NO</t>
  </si>
  <si>
    <t>AC.AC_CODE</t>
  </si>
  <si>
    <t>AC.CMPLETE_DT</t>
  </si>
  <si>
    <t>AC.AC_DESC</t>
  </si>
  <si>
    <t>AC.AC_CL_BY</t>
  </si>
  <si>
    <t>AC.REV_AMT</t>
  </si>
  <si>
    <t>AC.AC_FM</t>
  </si>
  <si>
    <t>AC.AC_DB_CODE</t>
  </si>
  <si>
    <t>AC.BILL_STAT</t>
  </si>
  <si>
    <t>AC.TOTAL_ACT</t>
  </si>
  <si>
    <t>AC.AC_DB_ID</t>
  </si>
  <si>
    <t>AC.AC_IR</t>
  </si>
  <si>
    <t>AC.AC_T8</t>
  </si>
  <si>
    <t>AC.CREATE_DT</t>
  </si>
  <si>
    <t>AC.INV_HRS</t>
  </si>
  <si>
    <t>AC.INV_THRU</t>
  </si>
  <si>
    <t>AC.KMS</t>
  </si>
  <si>
    <t>AC.OVERRIDE</t>
  </si>
  <si>
    <t>AC.SI_FN_SUB</t>
  </si>
  <si>
    <t>AC.SI_PRIORTY</t>
  </si>
  <si>
    <t>AC.SI_STATUS</t>
  </si>
  <si>
    <t>AC.START_DT</t>
  </si>
  <si>
    <t>AC.SUB_CNT</t>
  </si>
  <si>
    <t>AC.UPDATE_DT</t>
  </si>
  <si>
    <t>AC.AC_AP</t>
  </si>
  <si>
    <t>AC.BILLED_AMT</t>
  </si>
  <si>
    <t>AC.NOTES</t>
  </si>
  <si>
    <t>IR.IR_CL</t>
  </si>
  <si>
    <t>IR.FNAME</t>
  </si>
  <si>
    <t>IR.MNAME</t>
  </si>
  <si>
    <t>IR.IR_LNAME</t>
  </si>
  <si>
    <t>IR.TYPE</t>
  </si>
  <si>
    <t>IR.EXTENSION</t>
  </si>
  <si>
    <t>IR.START_DT</t>
  </si>
  <si>
    <t>IR.BIRTH_DT</t>
  </si>
  <si>
    <t>IR.SEX</t>
  </si>
  <si>
    <t>IR.SIGN_ON</t>
  </si>
  <si>
    <t>IR.DOWNLOAD</t>
  </si>
  <si>
    <t>IR.COMMENTS</t>
  </si>
  <si>
    <t>IR.EMPL_STAT</t>
  </si>
  <si>
    <t>IR.USER_PATH</t>
  </si>
  <si>
    <t>IR.IR_CC</t>
  </si>
  <si>
    <t>IR.TERM_DT</t>
  </si>
  <si>
    <t>CM.CM_CODE</t>
  </si>
  <si>
    <t>CM.CM_DESC</t>
  </si>
  <si>
    <t>CM.PRC_NAME</t>
  </si>
  <si>
    <t>CM.MENU_PRMPT</t>
  </si>
  <si>
    <t>CM.MENU_MSG</t>
  </si>
  <si>
    <t>CM.MENU_TYPE</t>
  </si>
  <si>
    <t>CM.LOG_EXPR</t>
  </si>
  <si>
    <t>CM.HELP_TEXT</t>
  </si>
  <si>
    <t>CM.LOG_CM</t>
  </si>
  <si>
    <t>CM.DISPLAY_ID</t>
  </si>
  <si>
    <t>CM.LOG_DB</t>
  </si>
  <si>
    <t>CM.LOG_COND</t>
  </si>
  <si>
    <t>CM.LOG_TYPE</t>
  </si>
  <si>
    <t>CJ.CJ_CODE</t>
  </si>
  <si>
    <t>CJ.CJ_CM_PR</t>
  </si>
  <si>
    <t>CJ.CJ_CM_CD</t>
  </si>
  <si>
    <t>CJ.CJ_SQ</t>
  </si>
  <si>
    <t>CJ.CONDITION</t>
  </si>
  <si>
    <t>CJ.CHECK</t>
  </si>
  <si>
    <t>CJ.LEVELSTR</t>
  </si>
  <si>
    <t>TF.TF_CODE</t>
  </si>
  <si>
    <t>TF.TF_SQ_NO</t>
  </si>
  <si>
    <t>TF.TF_DESC</t>
  </si>
  <si>
    <t>TF.TF_TF</t>
  </si>
  <si>
    <t>TF.TEMPLATE</t>
  </si>
  <si>
    <t>TF.FANUM_USED</t>
  </si>
  <si>
    <t>TF.FACLASSIFY</t>
  </si>
  <si>
    <t>TF.DEPR_LIFE</t>
  </si>
  <si>
    <t>TF.DEPR_PRCNT</t>
  </si>
  <si>
    <t>TF.TF_CA_ACUM</t>
  </si>
  <si>
    <t>TF.TF_CA_EXP</t>
  </si>
  <si>
    <t>TF.TF_CA_ASS</t>
  </si>
  <si>
    <t>TF.SUB_TYPE</t>
  </si>
  <si>
    <t>TF.REPLAC_AMT</t>
  </si>
  <si>
    <t>TF.LEVELSTR</t>
  </si>
  <si>
    <t>FA.FA_CODE</t>
  </si>
  <si>
    <t>FA.FA_NUM</t>
  </si>
  <si>
    <t>FA.FA_DESC</t>
  </si>
  <si>
    <t>FA.FA_TF</t>
  </si>
  <si>
    <t>FA.FA_SERIAL</t>
  </si>
  <si>
    <t>FA.MODEL_NUM</t>
  </si>
  <si>
    <t>FA.NOTES</t>
  </si>
  <si>
    <t>FA.FA_STATUS</t>
  </si>
  <si>
    <t>FA.FA_OWNER</t>
  </si>
  <si>
    <t>FA.DEPR_LIFE</t>
  </si>
  <si>
    <t>FA.DEPR_SALVG</t>
  </si>
  <si>
    <t>FA.FA_CC</t>
  </si>
  <si>
    <t>FA.FA_PUR_DT</t>
  </si>
  <si>
    <t>FA.FA_CL</t>
  </si>
  <si>
    <t>OP.OP_CODE</t>
  </si>
  <si>
    <t>OP.OP_NUM</t>
  </si>
  <si>
    <t>OP.OP_SQ_NO</t>
  </si>
  <si>
    <t>OP.LOCATION</t>
  </si>
  <si>
    <t>OP.ORG_UNIT</t>
  </si>
  <si>
    <t>OP.W_TITLE</t>
  </si>
  <si>
    <t>OP.P_CLASS</t>
  </si>
  <si>
    <t>OP.P_TYPE</t>
  </si>
  <si>
    <t>OP.OP_OP</t>
  </si>
  <si>
    <t>OP.NARRATIVE</t>
  </si>
  <si>
    <t>LO.LO_CODE</t>
  </si>
  <si>
    <t>LO.LO_SQ_NO</t>
  </si>
  <si>
    <t>LO.LO_DESC</t>
  </si>
  <si>
    <t>LO.VAL2</t>
  </si>
  <si>
    <t>LO.COMMENTS</t>
  </si>
  <si>
    <t>LO.LO_LO</t>
  </si>
  <si>
    <t>LO.CLASSIFY</t>
  </si>
  <si>
    <t>LO.LO_LOC_ID</t>
  </si>
  <si>
    <t>CH.CH_CODE</t>
  </si>
  <si>
    <t>CH.CH_CM</t>
  </si>
  <si>
    <t>CH.CH_DB_ID</t>
  </si>
  <si>
    <t>CH.CH_DB_CODE</t>
  </si>
  <si>
    <t>CH.CH_IR</t>
  </si>
  <si>
    <t>CH.LOG_DT</t>
  </si>
  <si>
    <t>CH.LOG_TIME</t>
  </si>
  <si>
    <t>CH.LOG_NOTE</t>
  </si>
  <si>
    <t>CH.COMMENTS</t>
  </si>
  <si>
    <t>CH.XLOG</t>
  </si>
  <si>
    <t>PH.PH_CODE</t>
  </si>
  <si>
    <t>PH.PH_IR</t>
  </si>
  <si>
    <t>PH.PH_OP</t>
  </si>
  <si>
    <t>PH.COMMENC_DT</t>
  </si>
  <si>
    <t>PH.EXPIRY_DT</t>
  </si>
  <si>
    <t>PH.EFFECT_DT</t>
  </si>
  <si>
    <t>PH.SALARY</t>
  </si>
  <si>
    <t>PH.GRADE</t>
  </si>
  <si>
    <t>PH.HIST_STAT</t>
  </si>
  <si>
    <t>PH.TRANS_TYPE</t>
  </si>
  <si>
    <t>PH.COMMENTS</t>
  </si>
  <si>
    <t>PC.PC_CODE</t>
  </si>
  <si>
    <t>PC.PC_DB_ID</t>
  </si>
  <si>
    <t>PC.PC_XX</t>
  </si>
  <si>
    <t>PC.PC_IR</t>
  </si>
  <si>
    <t>PC.COMMENTS</t>
  </si>
  <si>
    <t>CR.CR_CODE</t>
  </si>
  <si>
    <t>CR.CR_DB_ID</t>
  </si>
  <si>
    <t>CR.CR_XX</t>
  </si>
  <si>
    <t>CR.CR_KEY</t>
  </si>
  <si>
    <t>CR.CR_TYPE</t>
  </si>
  <si>
    <t>PS.PS_CODE</t>
  </si>
  <si>
    <t>PS.PS_CA</t>
  </si>
  <si>
    <t>PS.PS_DB_ID</t>
  </si>
  <si>
    <t>PS.PS_DB_CODE</t>
  </si>
  <si>
    <t>PS.PS_STATUS</t>
  </si>
  <si>
    <t>PS.POSTING_DT</t>
  </si>
  <si>
    <t>PS.AMOUNT</t>
  </si>
  <si>
    <t>PS.PS_DESC</t>
  </si>
  <si>
    <t>PS.PS_CC</t>
  </si>
  <si>
    <t>PS.ROLLUP_AMT</t>
  </si>
  <si>
    <t>PS.PS_TX</t>
  </si>
  <si>
    <t>PS.PS_RECON_D</t>
  </si>
  <si>
    <t>PS.PS_REFER</t>
  </si>
  <si>
    <t>PS.PS_SQ_NO</t>
  </si>
  <si>
    <t>PS.PS_PS</t>
  </si>
  <si>
    <t>PS.COMMENTS</t>
  </si>
  <si>
    <t>PS.TYPE</t>
  </si>
  <si>
    <t>PS.SOURCE</t>
  </si>
  <si>
    <t>CA.CA_CODE</t>
  </si>
  <si>
    <t>CA.CA_SQ_NO</t>
  </si>
  <si>
    <t>CA.CA_DESC</t>
  </si>
  <si>
    <t>CA.CA_CA</t>
  </si>
  <si>
    <t>CA.NARRATIVE</t>
  </si>
  <si>
    <t>CA.SI_FRALIAS</t>
  </si>
  <si>
    <t>CA.CA_REF_NUM</t>
  </si>
  <si>
    <t>CA.CLASSIFY</t>
  </si>
  <si>
    <t>CA.CA_TYPE</t>
  </si>
  <si>
    <t>CA.LEVELSTR</t>
  </si>
  <si>
    <t>BT.BT_CODE</t>
  </si>
  <si>
    <t>BT.BT_DESC</t>
  </si>
  <si>
    <t>BT.BT_SHORTCD</t>
  </si>
  <si>
    <t>BT.GEN_BLK</t>
  </si>
  <si>
    <t>BT.START_DT</t>
  </si>
  <si>
    <t>BT.INCRMNT_DT</t>
  </si>
  <si>
    <t>BT.COMMENTS</t>
  </si>
  <si>
    <t>BA.BA_CODE</t>
  </si>
  <si>
    <t>BA.BA_BT</t>
  </si>
  <si>
    <t>BA.BA_CA</t>
  </si>
  <si>
    <t>BA.BA_APP_DT</t>
  </si>
  <si>
    <t>BA.CREATE_DT</t>
  </si>
  <si>
    <t>BA.BATCH_ERR</t>
  </si>
  <si>
    <t>BA.BA_APP_YR</t>
  </si>
  <si>
    <t>AS.AS_CODE</t>
  </si>
  <si>
    <t>AS.AS_CA</t>
  </si>
  <si>
    <t>AS.AS_CC</t>
  </si>
  <si>
    <t>AS.AS_DATE</t>
  </si>
  <si>
    <t>AS.ACT_BAL</t>
  </si>
  <si>
    <t>AS.BUDGET_BAL</t>
  </si>
  <si>
    <t>AS.COMMIT_BAL</t>
  </si>
  <si>
    <t>AS.ACT_ROLLUP</t>
  </si>
  <si>
    <t>AS.BUD_ROLLUP</t>
  </si>
  <si>
    <t>BL.BL_CODE</t>
  </si>
  <si>
    <t>BL.BL_CL</t>
  </si>
  <si>
    <t>BL.BL_CA</t>
  </si>
  <si>
    <t>BL.BL_NAME</t>
  </si>
  <si>
    <t>BL.BL_DB_ID</t>
  </si>
  <si>
    <t>BL.BL_DB_CODE</t>
  </si>
  <si>
    <t>BL.SI_STATUS</t>
  </si>
  <si>
    <t>BL.REC_TYPE</t>
  </si>
  <si>
    <t>BL.DEFAULT_CA</t>
  </si>
  <si>
    <t>BL.GST_EXEMPT</t>
  </si>
  <si>
    <t>BL.PAY_TERMS</t>
  </si>
  <si>
    <t>BL.BL_LEDGER</t>
  </si>
  <si>
    <t>RT.RT_CODE</t>
  </si>
  <si>
    <t>RT.RT_CL_BY</t>
  </si>
  <si>
    <t>RT.RT_FM</t>
  </si>
  <si>
    <t>RT.RATE</t>
  </si>
  <si>
    <t>RT.RT_AP</t>
  </si>
  <si>
    <t>T8.T8_TX</t>
  </si>
  <si>
    <t>T8.T8_AP</t>
  </si>
  <si>
    <t>T8.T8_BL</t>
  </si>
  <si>
    <t>T8.TYPE</t>
  </si>
  <si>
    <t>T8.GST_OVER</t>
  </si>
  <si>
    <t>FS.FS_CODE</t>
  </si>
  <si>
    <t>FS.CA_LABEL</t>
  </si>
  <si>
    <t>FS.CC_LABEL</t>
  </si>
  <si>
    <t>FS.FISC_START</t>
  </si>
  <si>
    <t>FS.FISC_INC</t>
  </si>
  <si>
    <t>FS.FISC_END</t>
  </si>
  <si>
    <t>FS.GST_RATE</t>
  </si>
  <si>
    <t>FS.FORCE_BAL</t>
  </si>
  <si>
    <t>FS.CHQ_NUM</t>
  </si>
  <si>
    <t>FS.FS_CL</t>
  </si>
  <si>
    <t>FS.DEPR_DT</t>
  </si>
  <si>
    <t>FS.DEPR_INC</t>
  </si>
  <si>
    <t>FS.DEPR_TYPE</t>
  </si>
  <si>
    <t>FS.T0_REFER</t>
  </si>
  <si>
    <t>FS.T2_REFER</t>
  </si>
  <si>
    <t>FS.T8_REFER</t>
  </si>
  <si>
    <t>FS.WIP_BILLIN</t>
  </si>
  <si>
    <t>FS.USE_CC</t>
  </si>
  <si>
    <t>FS.HRSPERDAY</t>
  </si>
  <si>
    <t>FS.GSTNUM</t>
  </si>
  <si>
    <t>BU.BU_CODE</t>
  </si>
  <si>
    <t>BU.BU_CA</t>
  </si>
  <si>
    <t>BU.BU_CC</t>
  </si>
  <si>
    <t>BU.BU_DT</t>
  </si>
  <si>
    <t>BU.ROLLUP_AMT</t>
  </si>
  <si>
    <t>BU.AMOUNT</t>
  </si>
  <si>
    <t>BU.NOTES</t>
  </si>
  <si>
    <t>AB.AB_CODE</t>
  </si>
  <si>
    <t>AB.AB_AB</t>
  </si>
  <si>
    <t>AB.AB_DESC</t>
  </si>
  <si>
    <t>AB.AB_SQ_NO</t>
  </si>
  <si>
    <t>AB.EXTRA_DATA</t>
  </si>
  <si>
    <t>AB.AB_SI</t>
  </si>
  <si>
    <t>AL.AL_CODE</t>
  </si>
  <si>
    <t>AL.AL_DB_ID</t>
  </si>
  <si>
    <t>AL.AL_DB_CODE</t>
  </si>
  <si>
    <t>AL.AL_AB</t>
  </si>
  <si>
    <t>AL.NOTES</t>
  </si>
  <si>
    <t>AA.AA_CODE</t>
  </si>
  <si>
    <t>AA.AA_CL</t>
  </si>
  <si>
    <t>AA.AA_AP</t>
  </si>
  <si>
    <t>AA.AA_FM</t>
  </si>
  <si>
    <t>AA.HOURS</t>
  </si>
  <si>
    <t>AA.DOLLARS</t>
  </si>
  <si>
    <t>AP.AP_CODE</t>
  </si>
  <si>
    <t>AP.AP_CL</t>
  </si>
  <si>
    <t>AP.SI_STATUS</t>
  </si>
  <si>
    <t>AP.CMPLETE_DT</t>
  </si>
  <si>
    <t>AP.START_DT</t>
  </si>
  <si>
    <t>AP.AP_DESC</t>
  </si>
  <si>
    <t>AP.AP_IR</t>
  </si>
  <si>
    <t>AP.NOTES</t>
  </si>
  <si>
    <t>AP.BASE_AMT</t>
  </si>
  <si>
    <t>AP.ACRONYM</t>
  </si>
  <si>
    <t>AP.BILL_MTHD</t>
  </si>
  <si>
    <t>AP.CONTACT</t>
  </si>
  <si>
    <t>AP.EXP_AMT</t>
  </si>
  <si>
    <t>AP.CONTRACTEE</t>
  </si>
  <si>
    <t>AP.SOURCE</t>
  </si>
  <si>
    <t>AP.AP_AP</t>
  </si>
  <si>
    <t>AP.REFER_NO</t>
  </si>
  <si>
    <t>AP.AP_CC</t>
  </si>
  <si>
    <t>RY.RY_CODE</t>
  </si>
  <si>
    <t>RY.RY_DATE</t>
  </si>
  <si>
    <t>RY.ADJUSTMENT</t>
  </si>
  <si>
    <t>RX.RX_CODE</t>
  </si>
  <si>
    <t>RX.RX_CL_BY</t>
  </si>
  <si>
    <t>RX.RX_FM</t>
  </si>
  <si>
    <t>RX.RATE</t>
  </si>
  <si>
    <t>RX.RX_AP</t>
  </si>
  <si>
    <t>RX.RX_DATE</t>
  </si>
  <si>
    <t>T4.T4_TX</t>
  </si>
  <si>
    <t>T4.TYPE</t>
  </si>
  <si>
    <t>T4.NAME</t>
  </si>
  <si>
    <t>T4.ADDRESS1</t>
  </si>
  <si>
    <t>T4.ADDRESS2</t>
  </si>
  <si>
    <t>T4.CITY</t>
  </si>
  <si>
    <t>T4.PROVINCE</t>
  </si>
  <si>
    <t>T4.POSTAL</t>
  </si>
  <si>
    <t>T4.PRINT_CNT</t>
  </si>
  <si>
    <t>T4.T4_BL</t>
  </si>
  <si>
    <t>TX.TX_CODE</t>
  </si>
  <si>
    <t>TX.TX_BA</t>
  </si>
  <si>
    <t>TX.TX_TX</t>
  </si>
  <si>
    <t>TX.REC_TYPE</t>
  </si>
  <si>
    <t>TX.DESC</t>
  </si>
  <si>
    <t>TX.TX_DT</t>
  </si>
  <si>
    <t>TX.STATUS</t>
  </si>
  <si>
    <t>TX.CREATE_DT</t>
  </si>
  <si>
    <t>TX.TX_REFER</t>
  </si>
  <si>
    <t>TX.TX_PSMAIN</t>
  </si>
  <si>
    <t>BC.BC_CODE</t>
  </si>
  <si>
    <t>BC.BC_DB_ID</t>
  </si>
  <si>
    <t>BC.BC_DB_CODE</t>
  </si>
  <si>
    <t>BC.BC_CA</t>
  </si>
  <si>
    <t>BC.BALANCE</t>
  </si>
  <si>
    <t>CC.CC_CODE</t>
  </si>
  <si>
    <t>CC.CC_SQ_NO</t>
  </si>
  <si>
    <t>CC.CC_DESC</t>
  </si>
  <si>
    <t>CC.CC_CC</t>
  </si>
  <si>
    <t>CC.NARRATIVE</t>
  </si>
  <si>
    <t>CC.CC_REF_NUM</t>
  </si>
  <si>
    <t>CC.CLASSIFY</t>
  </si>
  <si>
    <t>CC.LEVELSTR</t>
  </si>
  <si>
    <t>CB.CB_CA</t>
  </si>
  <si>
    <t>CB.CB_CC</t>
  </si>
  <si>
    <t>ConversionComments</t>
  </si>
  <si>
    <t>TableType</t>
  </si>
  <si>
    <t>RecordCount</t>
  </si>
  <si>
    <t>PrimaryKey</t>
  </si>
  <si>
    <t>RegCodeTranslation</t>
  </si>
  <si>
    <t>WhereClause</t>
  </si>
  <si>
    <t>AdditionalIndexKeys</t>
  </si>
  <si>
    <t>Category</t>
  </si>
  <si>
    <t>NewDictionaryTableID</t>
  </si>
  <si>
    <t>ChangeHistoryScope</t>
  </si>
  <si>
    <t>DefaultValue</t>
  </si>
  <si>
    <t>NewDictionaryColumnID</t>
  </si>
  <si>
    <t>TableNormalizedName</t>
  </si>
  <si>
    <t>NormalizedName</t>
  </si>
  <si>
    <t>NewDictionaryColumn</t>
  </si>
  <si>
    <t>S-Used?</t>
  </si>
  <si>
    <t>S-Distinct values</t>
  </si>
  <si>
    <t>S_Unique</t>
  </si>
  <si>
    <t>FK_Check</t>
  </si>
  <si>
    <t>atemp</t>
  </si>
  <si>
    <t>btemp</t>
  </si>
  <si>
    <t>ctemp</t>
  </si>
  <si>
    <t>isTemporal</t>
  </si>
  <si>
    <t>S- View</t>
  </si>
  <si>
    <t>S-OrigFile</t>
  </si>
  <si>
    <t>s-SPGetDataParm</t>
  </si>
  <si>
    <t>FieldType As String, FieldName As String, FileLocation As String, Temporal As String, RecordStatus As String, AdditionalKey As String, IsIndex As String</t>
  </si>
  <si>
    <t>Temp</t>
  </si>
  <si>
    <t>DictionaryTable</t>
  </si>
  <si>
    <t>Activity source</t>
  </si>
  <si>
    <t>Terms describing the status of activities</t>
  </si>
  <si>
    <t>Where a request for an activity originated</t>
  </si>
  <si>
    <t>Billing Methods</t>
  </si>
  <si>
    <t>Cost unit for associated activities</t>
  </si>
  <si>
    <t>Possible relationships in the organization</t>
  </si>
  <si>
    <t>Fixed asset depreciation methods</t>
  </si>
  <si>
    <t>Status' of a Fixed Asset</t>
  </si>
  <si>
    <t>Fixed Asset Disposal Code</t>
  </si>
  <si>
    <t>Billing Account Status</t>
  </si>
  <si>
    <t>Type of Account</t>
  </si>
  <si>
    <t>Status of postings</t>
  </si>
  <si>
    <t>Position Classification</t>
  </si>
  <si>
    <t>Position Type</t>
  </si>
  <si>
    <t>Cross reference types</t>
  </si>
  <si>
    <t>Internal Resources</t>
  </si>
  <si>
    <t>N</t>
  </si>
  <si>
    <t>Organizational Positions</t>
  </si>
  <si>
    <t>Position History</t>
  </si>
  <si>
    <t>Personal Comments</t>
  </si>
  <si>
    <t>Fixed Assets</t>
  </si>
  <si>
    <t>Fixed Asset Location History</t>
  </si>
  <si>
    <t>Account Summary - Balances</t>
  </si>
  <si>
    <t>Billing Accounts</t>
  </si>
  <si>
    <t>Financial Postings</t>
  </si>
  <si>
    <t>Chart of Accounts</t>
  </si>
  <si>
    <t>Balance DBF</t>
  </si>
  <si>
    <t>Cash Disbursements</t>
  </si>
  <si>
    <t>CC/CA Edit rules (Junction DB)</t>
  </si>
  <si>
    <t>Cross Reference</t>
  </si>
  <si>
    <t>Attribute links to client</t>
  </si>
  <si>
    <t>Activity Allocations</t>
  </si>
  <si>
    <t>Activity Projects</t>
  </si>
  <si>
    <t>Functions</t>
  </si>
  <si>
    <t>Billing database for activities</t>
  </si>
  <si>
    <t>Expense Rates variance - Activities</t>
  </si>
  <si>
    <t>Batch Table</t>
  </si>
  <si>
    <t>Budget Table</t>
  </si>
  <si>
    <t>Command Table</t>
  </si>
  <si>
    <t>Client Table</t>
  </si>
  <si>
    <t>Finance Setup Parameter Table</t>
  </si>
  <si>
    <t>People Table</t>
  </si>
  <si>
    <t>Rates Table - Activities/Client</t>
  </si>
  <si>
    <t>Expense Rates Table - Activities</t>
  </si>
  <si>
    <t>Small Table Items</t>
  </si>
  <si>
    <t>Relationship Table</t>
  </si>
  <si>
    <t>Audit Logs</t>
  </si>
  <si>
    <t>Command Joins</t>
  </si>
  <si>
    <t>Fixed Asset Location</t>
  </si>
  <si>
    <t>Reference Tables</t>
  </si>
  <si>
    <t>SI-ACTIVITY SOURCE</t>
  </si>
  <si>
    <t>SI-ACTIVITY STATUS</t>
  </si>
  <si>
    <t>SI-ACTIVTY PRIORTY</t>
  </si>
  <si>
    <t>SI-BILLING METHOD</t>
  </si>
  <si>
    <t>SI-BILLING STATUS</t>
  </si>
  <si>
    <t>SI-FM COST UNIT</t>
  </si>
  <si>
    <t>SI-RELATIONSHIPS</t>
  </si>
  <si>
    <t>SI-FA_DEPR_TYPE</t>
  </si>
  <si>
    <t>SI-ASSET STATUS</t>
  </si>
  <si>
    <t>SI-DISPOSE_CD</t>
  </si>
  <si>
    <t>SI-BILLACCT STATUS</t>
  </si>
  <si>
    <t>SI-POS_CLASS</t>
  </si>
  <si>
    <t>SI-POS_STAT</t>
  </si>
  <si>
    <t>SI-POS_TYPE</t>
  </si>
  <si>
    <t>SI-CR_TYPES</t>
  </si>
  <si>
    <t>CrossReferenceType</t>
  </si>
  <si>
    <t>Activity Source</t>
  </si>
  <si>
    <t>Primary</t>
  </si>
  <si>
    <t>Account Type</t>
  </si>
  <si>
    <t>Secondary</t>
  </si>
  <si>
    <t>Val1</t>
  </si>
  <si>
    <t>Table Name</t>
  </si>
  <si>
    <t>SequenceNumber</t>
  </si>
  <si>
    <t>Char</t>
  </si>
  <si>
    <t>Activity Priority</t>
  </si>
  <si>
    <t>Activity Status</t>
  </si>
  <si>
    <t>Asset Status</t>
  </si>
  <si>
    <t>Fixed Asset Depreciation Method</t>
  </si>
  <si>
    <t>Employment Status Code</t>
  </si>
  <si>
    <t>Cross Reference Type</t>
  </si>
  <si>
    <t>Sequence Number</t>
  </si>
  <si>
    <t>x reconnect foreign keys from referencetables to the separated table</t>
  </si>
  <si>
    <t>act.Activity</t>
  </si>
  <si>
    <t>act.ActivityAllocation</t>
  </si>
  <si>
    <t>act.ActivityProject</t>
  </si>
  <si>
    <t>act.ActivityType</t>
  </si>
  <si>
    <t>act.RatesBilling</t>
  </si>
  <si>
    <t>act.RatesExpense</t>
  </si>
  <si>
    <t>act.RatesFactor</t>
  </si>
  <si>
    <t>act.TransactionsInvoice</t>
  </si>
  <si>
    <t>crm.Contact</t>
  </si>
  <si>
    <t>crm.Employee</t>
  </si>
  <si>
    <t>crm.PeopleDatabase</t>
  </si>
  <si>
    <t>crm.Relationship</t>
  </si>
  <si>
    <t>com.FixedAssetLocation</t>
  </si>
  <si>
    <t>ass.FixedAsset</t>
  </si>
  <si>
    <t>ass.FixedAssetLocationHistory</t>
  </si>
  <si>
    <t>ass.FixedAssetType</t>
  </si>
  <si>
    <t>gl.AccountBalance</t>
  </si>
  <si>
    <t>gl.Batch</t>
  </si>
  <si>
    <t>gl.BatchType</t>
  </si>
  <si>
    <t>gl.BillingAccount</t>
  </si>
  <si>
    <t>gl.BillingAccountBalance</t>
  </si>
  <si>
    <t>gl.Budget</t>
  </si>
  <si>
    <t>gl.ContactSetup</t>
  </si>
  <si>
    <t>gl.CostCentre</t>
  </si>
  <si>
    <t>gl.Account</t>
  </si>
  <si>
    <t>gl.AccountsCostCentre</t>
  </si>
  <si>
    <t>gl.Entry</t>
  </si>
  <si>
    <t>gl.Transaction</t>
  </si>
  <si>
    <t>gl.TransactionsCheque</t>
  </si>
  <si>
    <t>hr.OrganizationalPosition</t>
  </si>
  <si>
    <t>hr.PositionHistory</t>
  </si>
  <si>
    <t>com.Attribute</t>
  </si>
  <si>
    <t>com.Attributelinkstoclient</t>
  </si>
  <si>
    <t>com.CrossReference</t>
  </si>
  <si>
    <t>com.PersonalComment</t>
  </si>
  <si>
    <t>o lower module name</t>
  </si>
  <si>
    <t>o Mixed case table name</t>
  </si>
  <si>
    <t>o Singular</t>
  </si>
  <si>
    <t>Column Name</t>
  </si>
  <si>
    <t>o Date at end</t>
  </si>
  <si>
    <t>StatusID</t>
  </si>
  <si>
    <t>TypeID</t>
  </si>
  <si>
    <t>Contains activities performed by contacts for contacts</t>
  </si>
  <si>
    <t>Identifies the types of activites that are performed</t>
  </si>
  <si>
    <t>Address</t>
  </si>
  <si>
    <t>Contains the addresses of contacts</t>
  </si>
  <si>
    <t>Addresses</t>
  </si>
  <si>
    <t>Identifies the province and area code for cities</t>
  </si>
  <si>
    <t>ContactMailOptions</t>
  </si>
  <si>
    <t>Identifies the mailing options for a contact</t>
  </si>
  <si>
    <t>ContactMailOption</t>
  </si>
  <si>
    <t/>
  </si>
  <si>
    <t>Contains all contacts for the organization</t>
  </si>
  <si>
    <t>x.Name</t>
  </si>
  <si>
    <t>Department</t>
  </si>
  <si>
    <t>Contains Mail Merge Configuration Parameters</t>
  </si>
  <si>
    <t>Contains the provinces for the address</t>
  </si>
  <si>
    <t>Contains information about the relationship two contacts share</t>
  </si>
  <si>
    <t>Contains a record for each financial batch</t>
  </si>
  <si>
    <t>Contains billing accounts for clients</t>
  </si>
  <si>
    <t>Contains cash receipts for clients</t>
  </si>
  <si>
    <t>Contains parameters for a set of books for contact</t>
  </si>
  <si>
    <t>Contains the Chart of Accounts</t>
  </si>
  <si>
    <t>Contains financial postings</t>
  </si>
  <si>
    <t>GLAccountID, Amount, TransactionID, ContactGLAccountID</t>
  </si>
  <si>
    <t>Reconciliations</t>
  </si>
  <si>
    <t>Contains the postings that are reconciled together for a cash receipt</t>
  </si>
  <si>
    <t>Reconciliation</t>
  </si>
  <si>
    <t>SetUp</t>
  </si>
  <si>
    <t>Contains the financial transactions</t>
  </si>
  <si>
    <t>PostingStatusID, TransactionDate</t>
  </si>
  <si>
    <t>ChangeHistory</t>
  </si>
  <si>
    <t>Contains the header record for any change history event</t>
  </si>
  <si>
    <t>ChangeHistoryTable</t>
  </si>
  <si>
    <t>ChangeHistoryValue</t>
  </si>
  <si>
    <t>Contains the commands that are available to users</t>
  </si>
  <si>
    <t>SecurityGroup</t>
  </si>
  <si>
    <t>Defines security groups</t>
  </si>
  <si>
    <t>SecurityGroups</t>
  </si>
  <si>
    <t>SecurityGroupCommands</t>
  </si>
  <si>
    <t>Defines which commands are in which groups</t>
  </si>
  <si>
    <t>SecurityGroupCommand</t>
  </si>
  <si>
    <t>SecurityGroupContacts</t>
  </si>
  <si>
    <t>Defines which contacts use which groups</t>
  </si>
  <si>
    <t>SecurityGroupContact</t>
  </si>
  <si>
    <t>Activity ID</t>
  </si>
  <si>
    <t>Child</t>
  </si>
  <si>
    <t>Multilink</t>
  </si>
  <si>
    <t>varchar</t>
  </si>
  <si>
    <t>datetime</t>
  </si>
  <si>
    <t>DueDate</t>
  </si>
  <si>
    <t>Due Date</t>
  </si>
  <si>
    <t>ActivityType ID</t>
  </si>
  <si>
    <t>Group</t>
  </si>
  <si>
    <t>Record</t>
  </si>
  <si>
    <t>Temporal</t>
  </si>
  <si>
    <t>Address Type</t>
  </si>
  <si>
    <t>Country</t>
  </si>
  <si>
    <t>Careof functions in the same way that a attention: John Smith caption would on an envelopes mailing address</t>
  </si>
  <si>
    <t>Care Of</t>
  </si>
  <si>
    <t>Address3</t>
  </si>
  <si>
    <t>Email</t>
  </si>
  <si>
    <t>Postal Code</t>
  </si>
  <si>
    <t>Primary Address</t>
  </si>
  <si>
    <t>bit</t>
  </si>
  <si>
    <t>Website</t>
  </si>
  <si>
    <t>End Date</t>
  </si>
  <si>
    <t>Batch ID</t>
  </si>
  <si>
    <t>Approve Date</t>
  </si>
  <si>
    <t>BillingAccount ID</t>
  </si>
  <si>
    <t>CurrentBalance</t>
  </si>
  <si>
    <t>Current Balance</t>
  </si>
  <si>
    <t>GST Exempt</t>
  </si>
  <si>
    <t>HST Exempt</t>
  </si>
  <si>
    <t>Premium Tax Exempt</t>
  </si>
  <si>
    <t>PST Exempt</t>
  </si>
  <si>
    <t>AccountNumber</t>
  </si>
  <si>
    <t>This is a legal address</t>
  </si>
  <si>
    <t>Account Number</t>
  </si>
  <si>
    <t>When a billing account is due</t>
  </si>
  <si>
    <t>ManualAmount</t>
  </si>
  <si>
    <t>Also known as Annual amount, this is when a scheduled payment exists on an account</t>
  </si>
  <si>
    <t>Manual Amount</t>
  </si>
  <si>
    <t>PaymentTerms</t>
  </si>
  <si>
    <t>Payment Terms</t>
  </si>
  <si>
    <t>Paid By</t>
  </si>
  <si>
    <t>Entered By</t>
  </si>
  <si>
    <t>Print Receipt</t>
  </si>
  <si>
    <t>Address 1 (po box, or street address)</t>
  </si>
  <si>
    <t>CareOf</t>
  </si>
  <si>
    <t>When another entity is managing a reciept on behalf of this entity</t>
  </si>
  <si>
    <t>ExtendedLog</t>
  </si>
  <si>
    <t>ChangeHistoryIDUndo</t>
  </si>
  <si>
    <t>ActionType</t>
  </si>
  <si>
    <t>DataBaseActionType</t>
  </si>
  <si>
    <t>InsertedData</t>
  </si>
  <si>
    <t>DeletedData</t>
  </si>
  <si>
    <t>IsProcessed</t>
  </si>
  <si>
    <t>BeforeValue</t>
  </si>
  <si>
    <t>AfterValue</t>
  </si>
  <si>
    <t>BeforeSource</t>
  </si>
  <si>
    <t>AfterSource</t>
  </si>
  <si>
    <t>CityDefault ID</t>
  </si>
  <si>
    <t>Command ID</t>
  </si>
  <si>
    <t>Caption</t>
  </si>
  <si>
    <t>Command Type</t>
  </si>
  <si>
    <t>FrenchCaption</t>
  </si>
  <si>
    <t>French Caption</t>
  </si>
  <si>
    <t>Track Change History</t>
  </si>
  <si>
    <t>Contact Mail Option ID</t>
  </si>
  <si>
    <t>Contact Record</t>
  </si>
  <si>
    <t>Suppress</t>
  </si>
  <si>
    <t>Language</t>
  </si>
  <si>
    <t>Title</t>
  </si>
  <si>
    <t>ContactPerson</t>
  </si>
  <si>
    <t>Contact Person</t>
  </si>
  <si>
    <t>Contact No</t>
  </si>
  <si>
    <t>EFTType</t>
  </si>
  <si>
    <t>Login</t>
  </si>
  <si>
    <t>User Name</t>
  </si>
  <si>
    <t>Maiden Name</t>
  </si>
  <si>
    <t>Password</t>
  </si>
  <si>
    <t>Transit No</t>
  </si>
  <si>
    <t>AccountsPayable</t>
  </si>
  <si>
    <t>Accounts Payable</t>
  </si>
  <si>
    <t>AccountsReceivable</t>
  </si>
  <si>
    <t>Accounts Receivable</t>
  </si>
  <si>
    <t>ActualCashAccount</t>
  </si>
  <si>
    <t>DisbursementAccount</t>
  </si>
  <si>
    <t>Disbursement Account</t>
  </si>
  <si>
    <t>ReportingStartDate</t>
  </si>
  <si>
    <t>ReportingEndDate</t>
  </si>
  <si>
    <t>FiscalEndYear</t>
  </si>
  <si>
    <t>Used to check transaction dates</t>
  </si>
  <si>
    <t>FiscalStartYear</t>
  </si>
  <si>
    <t>GLCashAccount</t>
  </si>
  <si>
    <t>GLGSTAccount</t>
  </si>
  <si>
    <t>GST Account</t>
  </si>
  <si>
    <t>GLHSTAccount</t>
  </si>
  <si>
    <t>HST Account</t>
  </si>
  <si>
    <t>GLPremTaxAccount</t>
  </si>
  <si>
    <t>GLPSTAccount</t>
  </si>
  <si>
    <t>PST Account</t>
  </si>
  <si>
    <t>GST Rate</t>
  </si>
  <si>
    <t>PenaltyRate</t>
  </si>
  <si>
    <t>ObjectID</t>
  </si>
  <si>
    <t>Module</t>
  </si>
  <si>
    <t>GL Account ID</t>
  </si>
  <si>
    <t>CheckbookID</t>
  </si>
  <si>
    <t>Bank Account No</t>
  </si>
  <si>
    <t>QuickCode</t>
  </si>
  <si>
    <t>Quick Code</t>
  </si>
  <si>
    <t>GL Entry ID</t>
  </si>
  <si>
    <t>ReconciliationBalance</t>
  </si>
  <si>
    <t>Reconciliation Balance</t>
  </si>
  <si>
    <t>Exported</t>
  </si>
  <si>
    <t>MailMergeConfig ID</t>
  </si>
  <si>
    <t>CSVFileLocation</t>
  </si>
  <si>
    <t>CSVFile Location</t>
  </si>
  <si>
    <t>FaxServer</t>
  </si>
  <si>
    <t>Fax Server</t>
  </si>
  <si>
    <t>MailPrinterName</t>
  </si>
  <si>
    <t>Mail Printer Name</t>
  </si>
  <si>
    <t>MergeFileLocation</t>
  </si>
  <si>
    <t>Merge File Location</t>
  </si>
  <si>
    <t>MergeFileTemplateLocation</t>
  </si>
  <si>
    <t>Merge File Template Location</t>
  </si>
  <si>
    <t>Province ID</t>
  </si>
  <si>
    <t>To GL Entry</t>
  </si>
  <si>
    <t>SecurityGroup ID</t>
  </si>
  <si>
    <t>SecurityGroupCommand ID</t>
  </si>
  <si>
    <t>SecurityGroupContact ID</t>
  </si>
  <si>
    <t>Security Group</t>
  </si>
  <si>
    <t>SecurityGroupReport ID</t>
  </si>
  <si>
    <t>TransactionDate</t>
  </si>
  <si>
    <t>Date the Transaction was created</t>
  </si>
  <si>
    <t>Transaction Date</t>
  </si>
  <si>
    <t>x get rid of duplicates.  Need to decide whether I am going to keep the SAMS one or the new one.  Leaning toward SAMS because then I can know the columns are linked</t>
  </si>
  <si>
    <t>x add in audit logging</t>
  </si>
  <si>
    <t>x convert to finance structures</t>
  </si>
  <si>
    <t>x set table names based on new standards</t>
  </si>
  <si>
    <t>Countries</t>
  </si>
  <si>
    <t>Languages</t>
  </si>
  <si>
    <t>x setup tables for reference tables that are coming from SAMS</t>
  </si>
  <si>
    <t>x get rid of activity assigned</t>
  </si>
  <si>
    <t>Last Change History ID</t>
  </si>
  <si>
    <t>x add in audit log id</t>
  </si>
  <si>
    <t>ForeignKeyNameOkay</t>
  </si>
  <si>
    <t>InvoiceThrough</t>
  </si>
  <si>
    <t>To</t>
  </si>
  <si>
    <t>1</t>
  </si>
  <si>
    <t>2</t>
  </si>
  <si>
    <t>Asset</t>
  </si>
  <si>
    <t>DepreciationExpense</t>
  </si>
  <si>
    <t>Main</t>
  </si>
  <si>
    <t>Parent</t>
  </si>
  <si>
    <t>AccummulatedDepreciation</t>
  </si>
  <si>
    <t>EnteredBy</t>
  </si>
  <si>
    <t>Reversed</t>
  </si>
  <si>
    <t>PerformedBy</t>
  </si>
  <si>
    <t>Fixed Asset Disposal Reason</t>
  </si>
  <si>
    <t xml:space="preserve">Employment Status </t>
  </si>
  <si>
    <t>Cities</t>
  </si>
  <si>
    <t>User</t>
  </si>
  <si>
    <t>x set foreignkey names based on standards</t>
  </si>
  <si>
    <t>TerminationDate</t>
  </si>
  <si>
    <t>PurchaseDate</t>
  </si>
  <si>
    <t>DepreciationDate</t>
  </si>
  <si>
    <t>BankReconciliationDate</t>
  </si>
  <si>
    <t>Bank Reconciliation Date</t>
  </si>
  <si>
    <t>GLEntryTypes</t>
  </si>
  <si>
    <t>Activity sub-type for billing activities</t>
  </si>
  <si>
    <t>x separate activity  into activity/activitybilling</t>
  </si>
  <si>
    <t>x remove all x--- columns</t>
  </si>
  <si>
    <t>x There is a department table.  What is it used for</t>
  </si>
  <si>
    <t>TableNamePerformedFor</t>
  </si>
  <si>
    <t>TableNamePerformedBy</t>
  </si>
  <si>
    <t>Performed By</t>
  </si>
  <si>
    <t>Performed For</t>
  </si>
  <si>
    <t>Performed by</t>
  </si>
  <si>
    <t>MailSuppress</t>
  </si>
  <si>
    <t>x add in ability to link activities to assets for performed for</t>
  </si>
  <si>
    <t>x change dbcodeid, dbid</t>
  </si>
  <si>
    <t>Describes types of rates</t>
  </si>
  <si>
    <t>TemporalEndDate</t>
  </si>
  <si>
    <t>TemporalStartDate</t>
  </si>
  <si>
    <t>x province is temporal with rates.  Rates should really be in another table</t>
  </si>
  <si>
    <t>TableRowID</t>
  </si>
  <si>
    <t>o foreigntable+'ID'+descriptor</t>
  </si>
  <si>
    <t>o TableName</t>
  </si>
  <si>
    <t>o TableRowID</t>
  </si>
  <si>
    <t>o I ended up with having the TemporalID be called ID and the RowID called RowID.  I wanted the TemporalID to be ID for consistency in naming conventions for foreign keys</t>
  </si>
  <si>
    <t>o Startdate and Enddate will be TemporalStartDate and TemporalEndDate</t>
  </si>
  <si>
    <t xml:space="preserve">Sub type tables </t>
  </si>
  <si>
    <t>x Maybe I should have an ID on the subtype records.  Just concerned that people will use it to link to stuff.  But it does simplify audit logging hmmmm</t>
  </si>
  <si>
    <t>Emails</t>
  </si>
  <si>
    <t>MailMethods</t>
  </si>
  <si>
    <t>Mail Method</t>
  </si>
  <si>
    <t>PhoneNumber</t>
  </si>
  <si>
    <t>InheritedFrom</t>
  </si>
  <si>
    <t>AdditionalInformation</t>
  </si>
  <si>
    <t>Additional Information</t>
  </si>
  <si>
    <t>IsPrimaryAddress</t>
  </si>
  <si>
    <t>Picture</t>
  </si>
  <si>
    <t>Picture or Logo for contact</t>
  </si>
  <si>
    <t>x cleanup address fields.  I should be able to link it to a location</t>
  </si>
  <si>
    <t>Gender</t>
  </si>
  <si>
    <t>x fix subtypes for contacts. We have People now</t>
  </si>
  <si>
    <t>x separate into contact into contact, address, phonenumber, email</t>
  </si>
  <si>
    <t>Lookup</t>
  </si>
  <si>
    <t>DepreciationLife</t>
  </si>
  <si>
    <t>ModelNumber</t>
  </si>
  <si>
    <t>SerialNumber</t>
  </si>
  <si>
    <t>Recursive link for glAccount to create a hierarchy</t>
  </si>
  <si>
    <t>ContactNumber</t>
  </si>
  <si>
    <t>BankAccountNumber</t>
  </si>
  <si>
    <t>InvoiceNumber</t>
  </si>
  <si>
    <t>TransitNumber</t>
  </si>
  <si>
    <t>GSTNumber</t>
  </si>
  <si>
    <t>NextInvoiceNumber</t>
  </si>
  <si>
    <t>id</t>
  </si>
  <si>
    <t>IsActive</t>
  </si>
  <si>
    <t>IsConfirmed</t>
  </si>
  <si>
    <t>IsUsedToClassifyRecords</t>
  </si>
  <si>
    <t>HasExtraData</t>
  </si>
  <si>
    <t>IsFixedAssetNumberUsed</t>
  </si>
  <si>
    <t>IsCostCentreUsed</t>
  </si>
  <si>
    <t>x change fixed asset to temporal</t>
  </si>
  <si>
    <t>Position</t>
  </si>
  <si>
    <t>WorkingTitle</t>
  </si>
  <si>
    <t>PositionNumber</t>
  </si>
  <si>
    <t>Row ID</t>
  </si>
  <si>
    <t>Termination Date</t>
  </si>
  <si>
    <t>Recursive link for Position to create a hierarchy</t>
  </si>
  <si>
    <t>x Change Position to temporal</t>
  </si>
  <si>
    <t>x double check naming conventions for bit fields</t>
  </si>
  <si>
    <t>MenuMessage</t>
  </si>
  <si>
    <t>IsChangeHistoryUsed</t>
  </si>
  <si>
    <t>SourceCode</t>
  </si>
  <si>
    <t>x cleanup command fields</t>
  </si>
  <si>
    <t>x fix translation field</t>
  </si>
  <si>
    <t>x right now I am using the description to create the foreign key names.  Need to change that</t>
  </si>
  <si>
    <t>PerformedFor</t>
  </si>
  <si>
    <t>Recursive link to create the hieararchy</t>
  </si>
  <si>
    <t>AttributeDetail</t>
  </si>
  <si>
    <t>o Table defining allowable links will be called "LinkTo"</t>
  </si>
  <si>
    <t>PostalZip</t>
  </si>
  <si>
    <t>DepreciationIncrement</t>
  </si>
  <si>
    <t>Year-end the approval applies to</t>
  </si>
  <si>
    <t>OverrideBilledAmount</t>
  </si>
  <si>
    <t>Override Billed Amount</t>
  </si>
  <si>
    <t>Depreciation Life</t>
  </si>
  <si>
    <t>Postal / Zip</t>
  </si>
  <si>
    <t>Model Number</t>
  </si>
  <si>
    <t>Serial Number</t>
  </si>
  <si>
    <t>Used to indicate whether an invoice is Manual</t>
  </si>
  <si>
    <t>Used to indicate whether a cheque is generated or manual</t>
  </si>
  <si>
    <t>Indicates whether the client is billed based on daily or hourly</t>
  </si>
  <si>
    <t>Date Types</t>
  </si>
  <si>
    <t>o use char for fixed length characters</t>
  </si>
  <si>
    <t>o use date rather thann datetime where applicable</t>
  </si>
  <si>
    <t>Format</t>
  </si>
  <si>
    <t>x fix the SAB table ids</t>
  </si>
  <si>
    <t>IsManual</t>
  </si>
  <si>
    <t>Grades</t>
  </si>
  <si>
    <t>Salutations</t>
  </si>
  <si>
    <t>x confirm data types/lengths are consistent</t>
  </si>
  <si>
    <t>x Make gender, salutation a drop down</t>
  </si>
  <si>
    <t>ProvinceState</t>
  </si>
  <si>
    <t>Province/State</t>
  </si>
  <si>
    <t>x setup conversions for datatypes that changed</t>
  </si>
  <si>
    <t>IsForceBalanceUsed</t>
  </si>
  <si>
    <t>IsExported</t>
  </si>
  <si>
    <t>IsPrintReceipt</t>
  </si>
  <si>
    <t>IsGSTExempt</t>
  </si>
  <si>
    <t>IsHSTExempt</t>
  </si>
  <si>
    <t>IsPremiumTaxExempt</t>
  </si>
  <si>
    <t>IsPSTExempt</t>
  </si>
  <si>
    <t>HasBatchError</t>
  </si>
  <si>
    <t>IsCollapseonExportRequired</t>
  </si>
  <si>
    <t>o Bit fields are formulated as a question with prefixes like Is, Has</t>
  </si>
  <si>
    <t>IsTableTemporal</t>
  </si>
  <si>
    <t>ColumnSequence</t>
  </si>
  <si>
    <t>Foreign</t>
  </si>
  <si>
    <t>DictionaryColumn</t>
  </si>
  <si>
    <t>Project</t>
  </si>
  <si>
    <t>Entry</t>
  </si>
  <si>
    <t>ChangeHistoryDump</t>
  </si>
  <si>
    <t>ForeignKeySuffix</t>
  </si>
  <si>
    <t>x cleanup dictionary field/column</t>
  </si>
  <si>
    <t>x add in objectid and check change history scope</t>
  </si>
  <si>
    <t>o Create table names that cause like tables to be sorted close together (e.g. ratesbilling, ratesexpense rather than billingrates, expenserates)</t>
  </si>
  <si>
    <t>x Billing Rates should be temporal</t>
  </si>
  <si>
    <t>PrimaryName</t>
  </si>
  <si>
    <t>SecondaryName</t>
  </si>
  <si>
    <t>SeqNo</t>
  </si>
  <si>
    <t>GLEntryID</t>
  </si>
  <si>
    <t>RefIndustryID</t>
  </si>
  <si>
    <t>RefLocationID</t>
  </si>
  <si>
    <t>FixedAssetLocationID</t>
  </si>
  <si>
    <t>Phone</t>
  </si>
  <si>
    <t>sams</t>
  </si>
  <si>
    <t>Mail Merge Status</t>
  </si>
  <si>
    <t>Distribution Type</t>
  </si>
  <si>
    <t>Mail Merge Distribution Type</t>
  </si>
  <si>
    <t>Delivery Method</t>
  </si>
  <si>
    <t>Mail Merge Delivery Method</t>
  </si>
  <si>
    <t>SubjectText</t>
  </si>
  <si>
    <t>Subject Text</t>
  </si>
  <si>
    <t>MessageText</t>
  </si>
  <si>
    <t>Message Text</t>
  </si>
  <si>
    <t>DocumentName</t>
  </si>
  <si>
    <t>Document Name</t>
  </si>
  <si>
    <t>Label Required</t>
  </si>
  <si>
    <t>DateQueued</t>
  </si>
  <si>
    <t>Date Queued</t>
  </si>
  <si>
    <t>DateSent</t>
  </si>
  <si>
    <t>Date Sent</t>
  </si>
  <si>
    <t>Contact Number</t>
  </si>
  <si>
    <t>Designation</t>
  </si>
  <si>
    <t>Contact Name</t>
  </si>
  <si>
    <t>MailingName</t>
  </si>
  <si>
    <t>Mailing Name</t>
  </si>
  <si>
    <t>RegisteredName</t>
  </si>
  <si>
    <t>Registered Name</t>
  </si>
  <si>
    <t>PostalCode</t>
  </si>
  <si>
    <t>ProvinceShortCode</t>
  </si>
  <si>
    <t>Province Short Code</t>
  </si>
  <si>
    <t>Fax</t>
  </si>
  <si>
    <t>OfficeName</t>
  </si>
  <si>
    <t>Office Name</t>
  </si>
  <si>
    <t>XMLData</t>
  </si>
  <si>
    <t>isRequired</t>
  </si>
  <si>
    <t>is Required</t>
  </si>
  <si>
    <t>Suppressable</t>
  </si>
  <si>
    <t>Suppress Reason</t>
  </si>
  <si>
    <t>Mail Merge Suppress Reason</t>
  </si>
  <si>
    <t>KeyCode</t>
  </si>
  <si>
    <t>DefaultSubject</t>
  </si>
  <si>
    <t>DefaultMessage</t>
  </si>
  <si>
    <t>text</t>
  </si>
  <si>
    <t>QueryDate</t>
  </si>
  <si>
    <t>date</t>
  </si>
  <si>
    <t>mail</t>
  </si>
  <si>
    <t>DistributionRule</t>
  </si>
  <si>
    <t>DistributionRules</t>
  </si>
  <si>
    <t>Statuses</t>
  </si>
  <si>
    <t>DistributionRuleDeliveryMethod</t>
  </si>
  <si>
    <t>Option</t>
  </si>
  <si>
    <t>Options</t>
  </si>
  <si>
    <t>OptionDefault</t>
  </si>
  <si>
    <t>OptionDefaults</t>
  </si>
  <si>
    <t>Templates</t>
  </si>
  <si>
    <t>Merge</t>
  </si>
  <si>
    <t>Merges</t>
  </si>
  <si>
    <t>DeliveryMethod</t>
  </si>
  <si>
    <t>DeliveryMethods</t>
  </si>
  <si>
    <t>DistributionType</t>
  </si>
  <si>
    <t>SupressReason</t>
  </si>
  <si>
    <t>DistributionTypes</t>
  </si>
  <si>
    <t>QueuedBy</t>
  </si>
  <si>
    <t>SendBy</t>
  </si>
  <si>
    <t>Config</t>
  </si>
  <si>
    <t>Configs</t>
  </si>
  <si>
    <t>Audit</t>
  </si>
  <si>
    <t>decimal</t>
  </si>
  <si>
    <t>MultilinkTableRule</t>
  </si>
  <si>
    <t>Used to specify which tables a given column can link to</t>
  </si>
  <si>
    <t>Subclassified</t>
  </si>
  <si>
    <t>Identifies an allowable table that the object can be connected to</t>
  </si>
  <si>
    <t>Identifies a where clause for filtering records</t>
  </si>
  <si>
    <t>ScreenColumn</t>
  </si>
  <si>
    <t>x assign city and province ids</t>
  </si>
  <si>
    <t>x cleanup rollup amount columns</t>
  </si>
  <si>
    <t>x convert contact type into relationship</t>
  </si>
  <si>
    <t>x convert data into lookup tables that came from SAMS</t>
  </si>
  <si>
    <t>x do I keep the report security group table</t>
  </si>
  <si>
    <t>x add startdate, duedate back in</t>
  </si>
  <si>
    <t>x fix all table names from two character names to full names</t>
  </si>
  <si>
    <t>x should I change TemporalID to ID</t>
  </si>
  <si>
    <t>RowStatus</t>
  </si>
  <si>
    <t>SourceRowStatus</t>
  </si>
  <si>
    <t>TableRowIDPerformedBy</t>
  </si>
  <si>
    <t>TableRowIDPerformedFor</t>
  </si>
  <si>
    <t>TableNameLinkedTo</t>
  </si>
  <si>
    <t>TableRowIDLinkedTo</t>
  </si>
  <si>
    <t>TableNameLocation</t>
  </si>
  <si>
    <t>TableRowIDLocation</t>
  </si>
  <si>
    <t>AppliesTo</t>
  </si>
  <si>
    <t>ChargedTo</t>
  </si>
  <si>
    <t>ChargedBy</t>
  </si>
  <si>
    <t>TableNameAppliesTo</t>
  </si>
  <si>
    <t>TableNameChargedBy</t>
  </si>
  <si>
    <t>TableNameChargedTo</t>
  </si>
  <si>
    <t>TableRowIDAppliesTo</t>
  </si>
  <si>
    <t>TableRowIDChargedBy</t>
  </si>
  <si>
    <t>TableRowIDChargedTo</t>
  </si>
  <si>
    <t>PerformedBY</t>
  </si>
  <si>
    <t>Default</t>
  </si>
  <si>
    <t>AccumDepr</t>
  </si>
  <si>
    <t>BY</t>
  </si>
  <si>
    <t>PreferredFirstName</t>
  </si>
  <si>
    <t>PreviousLastName</t>
  </si>
  <si>
    <t>PreviousFirstName</t>
  </si>
  <si>
    <t>Address4</t>
  </si>
  <si>
    <t>Address 4</t>
  </si>
  <si>
    <t>nvarchar(50)</t>
  </si>
  <si>
    <t>IsPrimary</t>
  </si>
  <si>
    <t>Is Primary</t>
  </si>
  <si>
    <t>x I am street and mailing address.  Doesn’t make sense</t>
  </si>
  <si>
    <t>NEWBMS</t>
  </si>
  <si>
    <t>MergeKey</t>
  </si>
  <si>
    <t>ContactEmployee</t>
  </si>
  <si>
    <t>ContactUser</t>
  </si>
  <si>
    <t>ActivityBilling</t>
  </si>
  <si>
    <t>ContactAddress</t>
  </si>
  <si>
    <t>ContactAddressType</t>
  </si>
  <si>
    <t>ContactLanguage</t>
  </si>
  <si>
    <t>ContactRelationship</t>
  </si>
  <si>
    <t>ContactRelationshipType</t>
  </si>
  <si>
    <t>ContactSalutation</t>
  </si>
  <si>
    <t>ActivityBillingMethod</t>
  </si>
  <si>
    <t>ActivityBillingStatus</t>
  </si>
  <si>
    <t>ActivityCostUnit</t>
  </si>
  <si>
    <t>ActivityPriority</t>
  </si>
  <si>
    <t>ActivityProjectResourceAllocation</t>
  </si>
  <si>
    <t>ActivitySource</t>
  </si>
  <si>
    <t>ActivityStatus</t>
  </si>
  <si>
    <t>FixedAssetDepreciationMethod</t>
  </si>
  <si>
    <t>FixedAssetDisposalReason</t>
  </si>
  <si>
    <t>FixedAssetStatus</t>
  </si>
  <si>
    <t>GLAccountBalance</t>
  </si>
  <si>
    <t>GLAccountType</t>
  </si>
  <si>
    <t>GLBatch</t>
  </si>
  <si>
    <t>GLBatchType</t>
  </si>
  <si>
    <t>GLBillingAccount</t>
  </si>
  <si>
    <t>GLBillingAccountBalance</t>
  </si>
  <si>
    <t>GLBillingAccountStatus</t>
  </si>
  <si>
    <t>GLBillingMethod</t>
  </si>
  <si>
    <t>GLBudget</t>
  </si>
  <si>
    <t>GLCostCentre</t>
  </si>
  <si>
    <t>GLEFTType</t>
  </si>
  <si>
    <t>GLEntryType</t>
  </si>
  <si>
    <t>GLPostingStatus</t>
  </si>
  <si>
    <t>GLRate</t>
  </si>
  <si>
    <t>GLRateType</t>
  </si>
  <si>
    <t>GLReconciliation</t>
  </si>
  <si>
    <t>GLSetUp</t>
  </si>
  <si>
    <t>GLTransaction</t>
  </si>
  <si>
    <t>GLTransactionCashReceipt</t>
  </si>
  <si>
    <t>GLTransactionCheque</t>
  </si>
  <si>
    <t>GLTransactionInvoice</t>
  </si>
  <si>
    <t>GLTransactionType</t>
  </si>
  <si>
    <t>HREmploymentStatus</t>
  </si>
  <si>
    <t>HRGrade</t>
  </si>
  <si>
    <t>MailConfig</t>
  </si>
  <si>
    <t>MailContactMailOption</t>
  </si>
  <si>
    <t>MailDeliveryMethod</t>
  </si>
  <si>
    <t>MailDistributionRule</t>
  </si>
  <si>
    <t>MailDistributionRuleDeliveryMethod</t>
  </si>
  <si>
    <t>MailDistributionType</t>
  </si>
  <si>
    <t>MailMerge</t>
  </si>
  <si>
    <t>MailOption</t>
  </si>
  <si>
    <t>MailOptionDefault</t>
  </si>
  <si>
    <t>MailStatus</t>
  </si>
  <si>
    <t>MailSupressReason</t>
  </si>
  <si>
    <t>MailTemplate</t>
  </si>
  <si>
    <t>HRPosition</t>
  </si>
  <si>
    <t>HRPositionClassification</t>
  </si>
  <si>
    <t>HRPositionType</t>
  </si>
  <si>
    <t>ConversionSequence</t>
  </si>
  <si>
    <t>ChangeDate</t>
  </si>
  <si>
    <t>TemporalEndDate1</t>
  </si>
  <si>
    <t>TemporalEndDate2</t>
  </si>
  <si>
    <t>Id</t>
  </si>
  <si>
    <t>TableRowId</t>
  </si>
  <si>
    <t>TableTemporalStartDate</t>
  </si>
  <si>
    <t>TableRowStatus</t>
  </si>
  <si>
    <t>ActivityRateBilling</t>
  </si>
  <si>
    <t>ActivityRateExpense</t>
  </si>
  <si>
    <t>ActivityRateFactor</t>
  </si>
  <si>
    <t>ContactName2</t>
  </si>
  <si>
    <t>CXCODE</t>
  </si>
  <si>
    <t>SCREEN</t>
  </si>
  <si>
    <t>TYPE</t>
  </si>
  <si>
    <t>ROW</t>
  </si>
  <si>
    <t>COL</t>
  </si>
  <si>
    <t>LABEL</t>
  </si>
  <si>
    <t>FLDCNT</t>
  </si>
  <si>
    <t>INITIAL</t>
  </si>
  <si>
    <t>SKIP</t>
  </si>
  <si>
    <t>TABLE</t>
  </si>
  <si>
    <t>TABLEKEY</t>
  </si>
  <si>
    <t>TABLEDESC</t>
  </si>
  <si>
    <t>TABLEORDER</t>
  </si>
  <si>
    <t>MAXROWS</t>
  </si>
  <si>
    <t>FIELDLST</t>
  </si>
  <si>
    <t>SCOPE</t>
  </si>
  <si>
    <t>SCRNCLAUS</t>
  </si>
  <si>
    <t>SDID</t>
  </si>
  <si>
    <t>WIDTH</t>
  </si>
  <si>
    <t>PICTURE</t>
  </si>
  <si>
    <t>SIKEY</t>
  </si>
  <si>
    <t>ScreenCode</t>
  </si>
  <si>
    <t>ValidationCode</t>
  </si>
  <si>
    <t>FLIST</t>
  </si>
  <si>
    <t xml:space="preserve">     Assigned to:</t>
  </si>
  <si>
    <t>cl</t>
  </si>
  <si>
    <t>cl-&gt;cl_code</t>
  </si>
  <si>
    <t>REC_TYPE+UPPER(CL_NAME)</t>
  </si>
  <si>
    <t>Project/Contract:</t>
  </si>
  <si>
    <t>ap</t>
  </si>
  <si>
    <t>ap-&gt;ap_code</t>
  </si>
  <si>
    <t>AP_CODE</t>
  </si>
  <si>
    <t xml:space="preserve">   Performed for:</t>
  </si>
  <si>
    <t>M_NDXNAME(CL_NAME)</t>
  </si>
  <si>
    <t xml:space="preserve">   Activity Type:</t>
  </si>
  <si>
    <t>fm</t>
  </si>
  <si>
    <t>fm-&gt;fm_code</t>
  </si>
  <si>
    <t>FM_IQ_NO+CHR(FM_SQ_NO)</t>
  </si>
  <si>
    <t>r_si</t>
  </si>
  <si>
    <t>r_si-&gt;si_code</t>
  </si>
  <si>
    <t>SI_SD+SI_IQ_NO</t>
  </si>
  <si>
    <t>FLD</t>
  </si>
  <si>
    <t xml:space="preserve">     Description:</t>
  </si>
  <si>
    <t>ALIST</t>
  </si>
  <si>
    <t xml:space="preserve">          Status:</t>
  </si>
  <si>
    <t>ACTIVITY STATUS</t>
  </si>
  <si>
    <t>AC_DB_ID+AC_DB_CODE+AC_SORTKEY</t>
  </si>
  <si>
    <t>ACTIVTY PRIORTY</t>
  </si>
  <si>
    <t xml:space="preserve">     Billing status:</t>
  </si>
  <si>
    <t>BILLING STATUS</t>
  </si>
  <si>
    <t>trim(r_si-&gt;val2)$'BI-NB'</t>
  </si>
  <si>
    <t>MEMO</t>
  </si>
  <si>
    <t xml:space="preserve">        Tenant:</t>
  </si>
  <si>
    <t>Account status:</t>
  </si>
  <si>
    <t>BILLACCT STATUS</t>
  </si>
  <si>
    <t xml:space="preserve">  Account name:</t>
  </si>
  <si>
    <t xml:space="preserve">       Account:</t>
  </si>
  <si>
    <t>ca</t>
  </si>
  <si>
    <t>ca-&gt;ca_code</t>
  </si>
  <si>
    <t>CA_IQ_NO</t>
  </si>
  <si>
    <t xml:space="preserve"> Organization:</t>
  </si>
  <si>
    <t>Client Type:</t>
  </si>
  <si>
    <t>CLIENT TYPE</t>
  </si>
  <si>
    <t>BL_CL+M_NDXNAME(BL_NAME)</t>
  </si>
  <si>
    <t>val2!='IR'</t>
  </si>
  <si>
    <t xml:space="preserve">      Address:</t>
  </si>
  <si>
    <t xml:space="preserve">             :</t>
  </si>
  <si>
    <t xml:space="preserve">         City:</t>
  </si>
  <si>
    <t xml:space="preserve">     Province:</t>
  </si>
  <si>
    <t xml:space="preserve">  Postal Code:</t>
  </si>
  <si>
    <t>Business phone:</t>
  </si>
  <si>
    <t xml:space="preserve">    Fax Phone:</t>
  </si>
  <si>
    <t xml:space="preserve"> Account status:</t>
  </si>
  <si>
    <t>Account Type (R/P):</t>
  </si>
  <si>
    <t xml:space="preserve">        Account:</t>
  </si>
  <si>
    <t>CA_TYPE+UPPER(CA_REF_NUM)</t>
  </si>
  <si>
    <t>ca-&gt;classify=.t.</t>
  </si>
  <si>
    <t xml:space="preserve">  Payment terms:</t>
  </si>
  <si>
    <t xml:space="preserve">   GST Exempt:</t>
  </si>
  <si>
    <t xml:space="preserve">             Description:</t>
  </si>
  <si>
    <t xml:space="preserve">              Short Code:</t>
  </si>
  <si>
    <t xml:space="preserve">              Start Date:</t>
  </si>
  <si>
    <t xml:space="preserve">            Account:</t>
  </si>
  <si>
    <t xml:space="preserve">         Department:</t>
  </si>
  <si>
    <t>cc</t>
  </si>
  <si>
    <t>cc-&gt;cc_code</t>
  </si>
  <si>
    <t>CC_IQ_NO</t>
  </si>
  <si>
    <t xml:space="preserve">               Year:</t>
  </si>
  <si>
    <t xml:space="preserve">             Amount:</t>
  </si>
  <si>
    <t>Comments:</t>
  </si>
  <si>
    <t xml:space="preserve">          Parent Account:</t>
  </si>
  <si>
    <t>CA-&gt;CA_CODE</t>
  </si>
  <si>
    <t xml:space="preserve">        Display sequence:</t>
  </si>
  <si>
    <t xml:space="preserve">         Type of Account:</t>
  </si>
  <si>
    <t>ACCOUNT TYPE</t>
  </si>
  <si>
    <t>M_NDXNAME(CA_DESC)</t>
  </si>
  <si>
    <t xml:space="preserve">            Reference No:</t>
  </si>
  <si>
    <t xml:space="preserve">       Can be posted to?:</t>
  </si>
  <si>
    <t xml:space="preserve">       Sub-classified by:</t>
  </si>
  <si>
    <t>ACCOUNT DBFS</t>
  </si>
  <si>
    <t xml:space="preserve">                  Parent:</t>
  </si>
  <si>
    <t>CC-&gt;CC_CODE</t>
  </si>
  <si>
    <t xml:space="preserve">                Password:</t>
  </si>
  <si>
    <t xml:space="preserve">  Organization:</t>
  </si>
  <si>
    <t xml:space="preserve"> Department of:</t>
  </si>
  <si>
    <t xml:space="preserve">   Client Type:</t>
  </si>
  <si>
    <t>M_NDXNAME(PAD(M_REVNAME(CL_NAME)^30))</t>
  </si>
  <si>
    <t>val2 != 'IR'</t>
  </si>
  <si>
    <t xml:space="preserve">       Address:</t>
  </si>
  <si>
    <t xml:space="preserve">              :</t>
  </si>
  <si>
    <t xml:space="preserve">          City:</t>
  </si>
  <si>
    <t xml:space="preserve">      Province:</t>
  </si>
  <si>
    <t xml:space="preserve">   Postal Code:</t>
  </si>
  <si>
    <t xml:space="preserve">        E-Mail:</t>
  </si>
  <si>
    <t xml:space="preserve">    Cell Phone:</t>
  </si>
  <si>
    <t xml:space="preserve">     Fax Phone:</t>
  </si>
  <si>
    <t>Contact person:</t>
  </si>
  <si>
    <t xml:space="preserve"> Creation date:</t>
  </si>
  <si>
    <t xml:space="preserve">      Industry:</t>
  </si>
  <si>
    <t>CLIENT INDUSTRY</t>
  </si>
  <si>
    <t xml:space="preserve">         Location:</t>
  </si>
  <si>
    <t>CLIENT LOCATION</t>
  </si>
  <si>
    <t xml:space="preserve">     Hours/Day:</t>
  </si>
  <si>
    <t>Bill Method (H/D):</t>
  </si>
  <si>
    <t>Type:</t>
  </si>
  <si>
    <t>CR_TYPES</t>
  </si>
  <si>
    <t>CR_DB_ID+CR_KEY+CR_XX</t>
  </si>
  <si>
    <t>Key:</t>
  </si>
  <si>
    <t xml:space="preserve">               Name:</t>
  </si>
  <si>
    <t xml:space="preserve">        Description:</t>
  </si>
  <si>
    <t>Type of Fixed Asset:</t>
  </si>
  <si>
    <t>TF-&gt;TF_CODE</t>
  </si>
  <si>
    <t>TF_IQ_NO</t>
  </si>
  <si>
    <t>Description:</t>
  </si>
  <si>
    <t>Inventory Number:</t>
  </si>
  <si>
    <t>Serial Number:</t>
  </si>
  <si>
    <t>Model Number:</t>
  </si>
  <si>
    <t>Owned By:</t>
  </si>
  <si>
    <t>ASSET OWNERS</t>
  </si>
  <si>
    <t>FA_TF+FA_NUM</t>
  </si>
  <si>
    <t>Received Date:</t>
  </si>
  <si>
    <t>Purchase Amount:</t>
  </si>
  <si>
    <t>Vendor:</t>
  </si>
  <si>
    <t>CL-&gt;CL_CODE</t>
  </si>
  <si>
    <t>CL_TYPE+M_NDXNAME(CL_NAME)</t>
  </si>
  <si>
    <t>Transaction #:</t>
  </si>
  <si>
    <t>Cost Center:</t>
  </si>
  <si>
    <t>Useful Life:</t>
  </si>
  <si>
    <t>Salvage Value:</t>
  </si>
  <si>
    <t>Notes:</t>
  </si>
  <si>
    <t>Status:</t>
  </si>
  <si>
    <t>ASSET STATUS</t>
  </si>
  <si>
    <t xml:space="preserve">         Location -:</t>
  </si>
  <si>
    <t>ASSET DBFS</t>
  </si>
  <si>
    <t>val2!='SI'</t>
  </si>
  <si>
    <t>Assigned To:</t>
  </si>
  <si>
    <t>cl-&gt;rec_type  = 'IR'</t>
  </si>
  <si>
    <t>Details:</t>
  </si>
  <si>
    <t>Effective Date:</t>
  </si>
  <si>
    <t>Narrative:</t>
  </si>
  <si>
    <t>Parent activity type:</t>
  </si>
  <si>
    <t>fm-&gt;fm_code&lt;&gt;t_fm_code</t>
  </si>
  <si>
    <t xml:space="preserve">     Sibling Seq.No.:</t>
  </si>
  <si>
    <t xml:space="preserve">      Classification:</t>
  </si>
  <si>
    <t>r_sd</t>
  </si>
  <si>
    <t>r_sd-&gt;sd_code</t>
  </si>
  <si>
    <t>UPPER(SD_ID)</t>
  </si>
  <si>
    <t xml:space="preserve">                 Dbf:</t>
  </si>
  <si>
    <t>ACTIVITY DBFS</t>
  </si>
  <si>
    <t xml:space="preserve">           Cost Unit:</t>
  </si>
  <si>
    <t>FM COST UNIT</t>
  </si>
  <si>
    <t xml:space="preserve">     Charged Account:</t>
  </si>
  <si>
    <t>-Activity note template:</t>
  </si>
  <si>
    <t xml:space="preserve">             Client:</t>
  </si>
  <si>
    <t xml:space="preserve">      Account label:</t>
  </si>
  <si>
    <t xml:space="preserve">   Department label:</t>
  </si>
  <si>
    <t xml:space="preserve">           Gst rate:</t>
  </si>
  <si>
    <t xml:space="preserve">     Cheque printer:</t>
  </si>
  <si>
    <t>pr</t>
  </si>
  <si>
    <t>pr-&gt;pr_code</t>
  </si>
  <si>
    <t xml:space="preserve">     Report printer:</t>
  </si>
  <si>
    <t>UPPER(DESC)</t>
  </si>
  <si>
    <t xml:space="preserve">    Force balancing:</t>
  </si>
  <si>
    <t xml:space="preserve">       Next cheque#:</t>
  </si>
  <si>
    <t xml:space="preserve">  Fiscal year start:</t>
  </si>
  <si>
    <t xml:space="preserve">   Fiscal increment:</t>
  </si>
  <si>
    <t xml:space="preserve">    Fiscal year end:</t>
  </si>
  <si>
    <t xml:space="preserve">   Next period date:</t>
  </si>
  <si>
    <t xml:space="preserve">   Period increment:</t>
  </si>
  <si>
    <t xml:space="preserve">        Method type:</t>
  </si>
  <si>
    <t>FA_DEPR_TYPE</t>
  </si>
  <si>
    <t xml:space="preserve">        Last Name:</t>
  </si>
  <si>
    <t xml:space="preserve">       First Name:</t>
  </si>
  <si>
    <t xml:space="preserve">      Middle Name:</t>
  </si>
  <si>
    <t xml:space="preserve">    Resource Type:</t>
  </si>
  <si>
    <t>chr(1)</t>
  </si>
  <si>
    <t>alltrim(val2) == 'IR'</t>
  </si>
  <si>
    <t>APLIST</t>
  </si>
  <si>
    <t xml:space="preserve">      Reference #:</t>
  </si>
  <si>
    <t>'CL'$(r_si-&gt;val2)</t>
  </si>
  <si>
    <t xml:space="preserve">       Birth Date:</t>
  </si>
  <si>
    <t xml:space="preserve">              Sex:</t>
  </si>
  <si>
    <t xml:space="preserve">  Sign On Ability:</t>
  </si>
  <si>
    <t xml:space="preserve">     Home Address:</t>
  </si>
  <si>
    <t xml:space="preserve">                 :</t>
  </si>
  <si>
    <t xml:space="preserve">             City:</t>
  </si>
  <si>
    <t xml:space="preserve">         Province:</t>
  </si>
  <si>
    <t xml:space="preserve">      Postal Code:</t>
  </si>
  <si>
    <t xml:space="preserve">       Home Phone:</t>
  </si>
  <si>
    <t xml:space="preserve">       Cell Phone:</t>
  </si>
  <si>
    <t xml:space="preserve">           E-Mail:</t>
  </si>
  <si>
    <t xml:space="preserve">       Start date:</t>
  </si>
  <si>
    <t xml:space="preserve">   Termination dt:</t>
  </si>
  <si>
    <t>Employment Status:</t>
  </si>
  <si>
    <t>POS_STAT</t>
  </si>
  <si>
    <t xml:space="preserve">       Department:</t>
  </si>
  <si>
    <t xml:space="preserve">             Location ID:</t>
  </si>
  <si>
    <t>LO</t>
  </si>
  <si>
    <t>LO-&gt;LO_CODE</t>
  </si>
  <si>
    <t xml:space="preserve">       Used to Classify?:</t>
  </si>
  <si>
    <t>Position Number:</t>
  </si>
  <si>
    <t>Organizational Unit:</t>
  </si>
  <si>
    <t xml:space="preserve">  Working Title:</t>
  </si>
  <si>
    <t xml:space="preserve">       Location:</t>
  </si>
  <si>
    <t xml:space="preserve"> Classification:</t>
  </si>
  <si>
    <t>POS_CLASS</t>
  </si>
  <si>
    <t xml:space="preserve">  Position Type:</t>
  </si>
  <si>
    <t>POS_TYPE</t>
  </si>
  <si>
    <t xml:space="preserve">     Reports to:</t>
  </si>
  <si>
    <t>OP-&gt;OP_CODE</t>
  </si>
  <si>
    <t xml:space="preserve">   Display Seq.:</t>
  </si>
  <si>
    <t>Position Description:</t>
  </si>
  <si>
    <t xml:space="preserve">     Last Name:</t>
  </si>
  <si>
    <t xml:space="preserve">    First Name:</t>
  </si>
  <si>
    <t xml:space="preserve">   Middle Name:</t>
  </si>
  <si>
    <t xml:space="preserve">    Salutation:</t>
  </si>
  <si>
    <t xml:space="preserve">   Reference #:</t>
  </si>
  <si>
    <t xml:space="preserve"> Greeting Name:</t>
  </si>
  <si>
    <t xml:space="preserve">           Sex:</t>
  </si>
  <si>
    <t xml:space="preserve">    Birth Date:</t>
  </si>
  <si>
    <t>VAL2!='IR'</t>
  </si>
  <si>
    <t>KM's</t>
  </si>
  <si>
    <t xml:space="preserve">       Company:</t>
  </si>
  <si>
    <t>CL-&gt;REC_TYPE='CL'</t>
  </si>
  <si>
    <t xml:space="preserve">         Title:</t>
  </si>
  <si>
    <t xml:space="preserve">         Phone:</t>
  </si>
  <si>
    <t xml:space="preserve">          Cell:</t>
  </si>
  <si>
    <t xml:space="preserve">           Fax:</t>
  </si>
  <si>
    <t xml:space="preserve">     E-Mail Id:</t>
  </si>
  <si>
    <t xml:space="preserve"> Position:</t>
  </si>
  <si>
    <t>op</t>
  </si>
  <si>
    <t>op-&gt;op_code</t>
  </si>
  <si>
    <t>Incumbent:</t>
  </si>
  <si>
    <t>ir</t>
  </si>
  <si>
    <t>ir-&gt;ir_cl</t>
  </si>
  <si>
    <t>Commencement Date:</t>
  </si>
  <si>
    <t>Expiry Date:</t>
  </si>
  <si>
    <t>Grade/Period:</t>
  </si>
  <si>
    <t>Salary:</t>
  </si>
  <si>
    <t xml:space="preserve"> Comments:</t>
  </si>
  <si>
    <t xml:space="preserve">        Status:</t>
  </si>
  <si>
    <t>POSTING STATUS</t>
  </si>
  <si>
    <t xml:space="preserve">   Description:</t>
  </si>
  <si>
    <t xml:space="preserve">  Posting date:</t>
  </si>
  <si>
    <t xml:space="preserve">    Department:</t>
  </si>
  <si>
    <t xml:space="preserve"> Source:</t>
  </si>
  <si>
    <t>POSTING SOURCE</t>
  </si>
  <si>
    <t xml:space="preserve">        Amount:</t>
  </si>
  <si>
    <t>PLIST</t>
  </si>
  <si>
    <t xml:space="preserve"> Items Cleared:</t>
  </si>
  <si>
    <t>ps</t>
  </si>
  <si>
    <t>ps-&gt;ps_code</t>
  </si>
  <si>
    <t>(ps-&gt;ps_ps=t_ps_key .or. empty(ps-&gt;ps_ps)).and.ps-&gt;ps_code!=t_ps_key</t>
  </si>
  <si>
    <t>Relationship :</t>
  </si>
  <si>
    <t xml:space="preserve"> -</t>
  </si>
  <si>
    <t>RELATIONSHIPS</t>
  </si>
  <si>
    <t xml:space="preserve">      Details:</t>
  </si>
  <si>
    <t xml:space="preserve"> Activity Type:</t>
  </si>
  <si>
    <t xml:space="preserve">  Performed by:</t>
  </si>
  <si>
    <t xml:space="preserve">  For Contract:</t>
  </si>
  <si>
    <t xml:space="preserve">          Rate:</t>
  </si>
  <si>
    <t xml:space="preserve">          Date:</t>
  </si>
  <si>
    <t xml:space="preserve"> Effective Date:</t>
  </si>
  <si>
    <t xml:space="preserve">     Adjustment:</t>
  </si>
  <si>
    <t xml:space="preserve">              Payee:</t>
  </si>
  <si>
    <t>bl</t>
  </si>
  <si>
    <t>bl-&gt;bl_code</t>
  </si>
  <si>
    <t xml:space="preserve">            Address:</t>
  </si>
  <si>
    <t xml:space="preserve">               City:</t>
  </si>
  <si>
    <t xml:space="preserve">           Province:</t>
  </si>
  <si>
    <t xml:space="preserve">        Postal Code:</t>
  </si>
  <si>
    <t xml:space="preserve">            Cheque#:</t>
  </si>
  <si>
    <t xml:space="preserve">        Cheque date:</t>
  </si>
  <si>
    <t xml:space="preserve">        Print Count:</t>
  </si>
  <si>
    <t xml:space="preserve">           Contract:</t>
  </si>
  <si>
    <t xml:space="preserve">          Invoice #:</t>
  </si>
  <si>
    <t xml:space="preserve">             Status:</t>
  </si>
  <si>
    <t xml:space="preserve">      Creation date:</t>
  </si>
  <si>
    <t xml:space="preserve">       Invoice date:</t>
  </si>
  <si>
    <t xml:space="preserve">       GST Override:</t>
  </si>
  <si>
    <t xml:space="preserve"> Classified by:</t>
  </si>
  <si>
    <t>tf-&gt;tf_code &lt;&gt; t_tf_code</t>
  </si>
  <si>
    <t xml:space="preserve">      Sub type:</t>
  </si>
  <si>
    <t>FA_SUB_TYPE</t>
  </si>
  <si>
    <t>Sibling Seq.No:</t>
  </si>
  <si>
    <t>Unit # needed?:</t>
  </si>
  <si>
    <t>Used to Classify:</t>
  </si>
  <si>
    <t>Replacement Value:</t>
  </si>
  <si>
    <t>Percentage:</t>
  </si>
  <si>
    <t xml:space="preserve">     Asset Account:</t>
  </si>
  <si>
    <t>Accum. Depr. Accnt:</t>
  </si>
  <si>
    <t>Depr. Expense Accnt:</t>
  </si>
  <si>
    <t>-Fixed Asset Description Template:</t>
  </si>
  <si>
    <t>'ab'</t>
  </si>
  <si>
    <t>ab-&gt;ab_code</t>
  </si>
  <si>
    <t>'CL'</t>
  </si>
  <si>
    <t>'AP'</t>
  </si>
  <si>
    <t>'CC'</t>
  </si>
  <si>
    <t>'IR'</t>
  </si>
  <si>
    <t>Column</t>
  </si>
  <si>
    <t>CrossReference.Number</t>
  </si>
  <si>
    <t>FixedAssetLocationHistory.Details</t>
  </si>
  <si>
    <t>FixedAssetType.Description</t>
  </si>
  <si>
    <t>FixedAssetType.Template</t>
  </si>
  <si>
    <t>FixedAssetLocationHistory.ContactID</t>
  </si>
  <si>
    <t>FixedAssetType.FixedAssetTypeID</t>
  </si>
  <si>
    <t>FixedAssetType.GLAccountIDAsset</t>
  </si>
  <si>
    <t>FixedAssetType.GLAccountIDDepreciationExpense</t>
  </si>
  <si>
    <t>FixedAssetType.DepreciationPercent</t>
  </si>
  <si>
    <t>FixedAssetType.ReplacementAmount</t>
  </si>
  <si>
    <t>Chart of Account</t>
  </si>
  <si>
    <t>Financial Setup</t>
  </si>
  <si>
    <t>Person</t>
  </si>
  <si>
    <t>Contact Relationship</t>
  </si>
  <si>
    <t>Activity Expense Rate Factor</t>
  </si>
  <si>
    <t>Disbursement Transaction</t>
  </si>
  <si>
    <t>Invoice Transaction</t>
  </si>
  <si>
    <t>Project Resource Allocation</t>
  </si>
  <si>
    <t>Activity Sub Project</t>
  </si>
  <si>
    <t>Activity Billing Rate</t>
  </si>
  <si>
    <t>Activity Expense Rate</t>
  </si>
  <si>
    <t>GLAccountCostCentre</t>
  </si>
  <si>
    <t>CM.system_ID</t>
  </si>
  <si>
    <t>system.AuditLog</t>
  </si>
  <si>
    <t>system.CommandJoin</t>
  </si>
  <si>
    <t>system.Command</t>
  </si>
  <si>
    <t>system.ReferenceField</t>
  </si>
  <si>
    <t>system.ReferenceTable</t>
  </si>
  <si>
    <t>system</t>
  </si>
  <si>
    <t>DisplayOrder</t>
  </si>
  <si>
    <t>Display Order</t>
  </si>
  <si>
    <t>IsAdditional</t>
  </si>
  <si>
    <t>Is Additional</t>
  </si>
  <si>
    <t>IsAlertOn</t>
  </si>
  <si>
    <t>Is Alert On</t>
  </si>
  <si>
    <t>IsExplainOn</t>
  </si>
  <si>
    <t>Is Explain On</t>
  </si>
  <si>
    <t>IsNewMember</t>
  </si>
  <si>
    <t>Is New Member</t>
  </si>
  <si>
    <t>IsRenewal</t>
  </si>
  <si>
    <t>Is Renewal</t>
  </si>
  <si>
    <t>QuestionText</t>
  </si>
  <si>
    <t>Question Text</t>
  </si>
  <si>
    <t>UpdateCount</t>
  </si>
  <si>
    <t>ShortName</t>
  </si>
  <si>
    <t>FileName</t>
  </si>
  <si>
    <t>File Name</t>
  </si>
  <si>
    <t>RefDepartmentId</t>
  </si>
  <si>
    <t>RefEntityTypeId</t>
  </si>
  <si>
    <t>Entity Type</t>
  </si>
  <si>
    <t>EntityType</t>
  </si>
  <si>
    <t>TeamId</t>
  </si>
  <si>
    <t>Team</t>
  </si>
  <si>
    <t>Process</t>
  </si>
  <si>
    <t>Plural Name</t>
  </si>
  <si>
    <t>RenderName</t>
  </si>
  <si>
    <t>Render Name</t>
  </si>
  <si>
    <t>ReferenceName</t>
  </si>
  <si>
    <t>Reference Name</t>
  </si>
  <si>
    <t>DictTableId</t>
  </si>
  <si>
    <t>IsTemporal</t>
  </si>
  <si>
    <t>Is Temporal</t>
  </si>
  <si>
    <t>IsHierarchical</t>
  </si>
  <si>
    <t>Is Hierarchical</t>
  </si>
  <si>
    <t>Direct</t>
  </si>
  <si>
    <t>Base</t>
  </si>
  <si>
    <t>ModuleId</t>
  </si>
  <si>
    <t>LogicId</t>
  </si>
  <si>
    <t>Logic</t>
  </si>
  <si>
    <t>ComponentId</t>
  </si>
  <si>
    <t>Component</t>
  </si>
  <si>
    <t>ParentId</t>
  </si>
  <si>
    <t>FieldName</t>
  </si>
  <si>
    <t>Field Name</t>
  </si>
  <si>
    <t>Area</t>
  </si>
  <si>
    <t>Direct Embed Children</t>
  </si>
  <si>
    <t>Row</t>
  </si>
  <si>
    <t>SpanLg</t>
  </si>
  <si>
    <t>Span Lg</t>
  </si>
  <si>
    <t>SpanMd</t>
  </si>
  <si>
    <t>Span Md</t>
  </si>
  <si>
    <t>SpanSm</t>
  </si>
  <si>
    <t>Span Sm</t>
  </si>
  <si>
    <t>SpanXs</t>
  </si>
  <si>
    <t>Span Xs</t>
  </si>
  <si>
    <t>OffsetLg</t>
  </si>
  <si>
    <t>Offset Lg</t>
  </si>
  <si>
    <t>OffsetMd</t>
  </si>
  <si>
    <t>Offset Md</t>
  </si>
  <si>
    <t>OffsetSm</t>
  </si>
  <si>
    <t>Offset Sm</t>
  </si>
  <si>
    <t>OffsetXs</t>
  </si>
  <si>
    <t>Offset Xs</t>
  </si>
  <si>
    <t>DataTypeId</t>
  </si>
  <si>
    <t>Data Type</t>
  </si>
  <si>
    <t>DictColumnId</t>
  </si>
  <si>
    <t>Dict Column</t>
  </si>
  <si>
    <t>DisplayName</t>
  </si>
  <si>
    <t>Display Name</t>
  </si>
  <si>
    <t>Ignore Render</t>
  </si>
  <si>
    <t>ModuleComponentId</t>
  </si>
  <si>
    <t>Module Component</t>
  </si>
  <si>
    <t>ComponentPropId</t>
  </si>
  <si>
    <t>Component Prop</t>
  </si>
  <si>
    <t>Value</t>
  </si>
  <si>
    <t>IsRenderProperty</t>
  </si>
  <si>
    <t>Is Render Property</t>
  </si>
  <si>
    <t>Reference</t>
  </si>
  <si>
    <t>Default Value</t>
  </si>
  <si>
    <t>DataColumnField</t>
  </si>
  <si>
    <t>Data Column Field</t>
  </si>
  <si>
    <t>Action Type</t>
  </si>
  <si>
    <t>Code</t>
  </si>
  <si>
    <t>Imports</t>
  </si>
  <si>
    <t>Tests</t>
  </si>
  <si>
    <t>Record Count</t>
  </si>
  <si>
    <t>Checklist</t>
  </si>
  <si>
    <t>ChecklistOptionGroup</t>
  </si>
  <si>
    <t>Checklist Option Group</t>
  </si>
  <si>
    <t>IsRequired</t>
  </si>
  <si>
    <t>Required</t>
  </si>
  <si>
    <t>y</t>
  </si>
  <si>
    <t>Additional Info</t>
  </si>
  <si>
    <t>Generate Notes</t>
  </si>
  <si>
    <t>ActionValue</t>
  </si>
  <si>
    <t>Action Value</t>
  </si>
  <si>
    <t>ReqInfoName</t>
  </si>
  <si>
    <t>Req Info Name</t>
  </si>
  <si>
    <t>PublicNote</t>
  </si>
  <si>
    <t>Public Notes</t>
  </si>
  <si>
    <t>InternalNote</t>
  </si>
  <si>
    <t>Internal Notes</t>
  </si>
  <si>
    <t>ReducerId</t>
  </si>
  <si>
    <t>Reducer</t>
  </si>
  <si>
    <t>StateId</t>
  </si>
  <si>
    <t>State</t>
  </si>
  <si>
    <t>NavigationMenu</t>
  </si>
  <si>
    <t>Navigation Menu</t>
  </si>
  <si>
    <t>RuleId</t>
  </si>
  <si>
    <t>Rule</t>
  </si>
  <si>
    <t>URL</t>
  </si>
  <si>
    <t>IsRouted</t>
  </si>
  <si>
    <t>Is Routed</t>
  </si>
  <si>
    <t>StartRule</t>
  </si>
  <si>
    <t>Start Rule</t>
  </si>
  <si>
    <t>EndRule</t>
  </si>
  <si>
    <t>End Rule</t>
  </si>
  <si>
    <t>RefProcessTypeId</t>
  </si>
  <si>
    <t>Process Type</t>
  </si>
  <si>
    <t>ProcessType</t>
  </si>
  <si>
    <t>RefProcessStatusId</t>
  </si>
  <si>
    <t>Process Status</t>
  </si>
  <si>
    <t>ProcessStatus</t>
  </si>
  <si>
    <t>ProgressonStart</t>
  </si>
  <si>
    <t>Progresson Start</t>
  </si>
  <si>
    <t>Administrative</t>
  </si>
  <si>
    <t>QuestionGroupId</t>
  </si>
  <si>
    <t>Question Group</t>
  </si>
  <si>
    <t>AnswerType</t>
  </si>
  <si>
    <t>Answer Type</t>
  </si>
  <si>
    <t>ReasonText</t>
  </si>
  <si>
    <t>Reason Text</t>
  </si>
  <si>
    <t>Prefix</t>
  </si>
  <si>
    <t>LinkText</t>
  </si>
  <si>
    <t>Link Text</t>
  </si>
  <si>
    <t>SchedulerTypeId</t>
  </si>
  <si>
    <t>Scheduler Type</t>
  </si>
  <si>
    <t>ScheduledMonth</t>
  </si>
  <si>
    <t>Scheduled Month</t>
  </si>
  <si>
    <t>ScheduledDay</t>
  </si>
  <si>
    <t>Scheduled Day</t>
  </si>
  <si>
    <t>ScheduledYear</t>
  </si>
  <si>
    <t>Scheduled Year</t>
  </si>
  <si>
    <t>ScheduledHour</t>
  </si>
  <si>
    <t>Scheduled Hour</t>
  </si>
  <si>
    <t>ScheduledMinute</t>
  </si>
  <si>
    <t>Scheduled Minute</t>
  </si>
  <si>
    <t>ScheduledSecond</t>
  </si>
  <si>
    <t>Scheduled Second</t>
  </si>
  <si>
    <t>Daily</t>
  </si>
  <si>
    <t>Weekly</t>
  </si>
  <si>
    <t>Monthly</t>
  </si>
  <si>
    <t>Days</t>
  </si>
  <si>
    <t>Months</t>
  </si>
  <si>
    <t>Enabled</t>
  </si>
  <si>
    <t>Action</t>
  </si>
  <si>
    <t>Content</t>
  </si>
  <si>
    <t>Cron</t>
  </si>
  <si>
    <t>QuestionGroup</t>
  </si>
  <si>
    <t>ActiveNavigationItem</t>
  </si>
  <si>
    <t>Active Navigation Item</t>
  </si>
  <si>
    <t>CommunicationConfig</t>
  </si>
  <si>
    <t>insert, update, delete</t>
  </si>
  <si>
    <t>ReferralCode</t>
  </si>
  <si>
    <t>TaskType</t>
  </si>
  <si>
    <t>ModuleLogic</t>
  </si>
  <si>
    <t>ModuleComponent</t>
  </si>
  <si>
    <t>ModuleComponentProp</t>
  </si>
  <si>
    <t>ModuleComponentLogic</t>
  </si>
  <si>
    <t>ComponentProp</t>
  </si>
  <si>
    <t>ChecklistItem</t>
  </si>
  <si>
    <t>ComponentLogic</t>
  </si>
  <si>
    <t>ComponentReducer</t>
  </si>
  <si>
    <t>ComponentState</t>
  </si>
  <si>
    <t>DataSource</t>
  </si>
  <si>
    <t>DictRelation</t>
  </si>
  <si>
    <t>InitialState</t>
  </si>
  <si>
    <t>ModuleComponentReducer</t>
  </si>
  <si>
    <t>ModuleComponentState</t>
  </si>
  <si>
    <t>ModuleReducer</t>
  </si>
  <si>
    <t>ModuleRule</t>
  </si>
  <si>
    <t>ModuleState</t>
  </si>
  <si>
    <t>Navigation</t>
  </si>
  <si>
    <t>OrgStructureCommand</t>
  </si>
  <si>
    <t>OrgStructureResource</t>
  </si>
  <si>
    <t>QuestionGroupItem</t>
  </si>
  <si>
    <t>Raci</t>
  </si>
  <si>
    <t>Scheduler</t>
  </si>
  <si>
    <t>SchedulerType</t>
  </si>
  <si>
    <t>SiteAction</t>
  </si>
  <si>
    <t>ProcessTypes</t>
  </si>
  <si>
    <t>SurveyQuestion</t>
  </si>
  <si>
    <t>o Merge security models</t>
  </si>
  <si>
    <t>Changes to framework</t>
  </si>
  <si>
    <t>o call views or procedures to get data rather than it building views</t>
  </si>
  <si>
    <t>o eliminate the use of dictrelation table</t>
  </si>
  <si>
    <t>o should not alter or create columns on its own (like changing data types)</t>
  </si>
  <si>
    <t>o in particular get rid of converting varchar to nvarchar</t>
  </si>
  <si>
    <t>o change group security to standard model</t>
  </si>
  <si>
    <t>x Merge dict table and dict column</t>
  </si>
  <si>
    <t>z add source code to command table</t>
  </si>
  <si>
    <t>z check foreign key references</t>
  </si>
  <si>
    <t>z delete records that are flagged for deletion that have no references</t>
  </si>
  <si>
    <t>z I got rid of ledger.  should have I</t>
  </si>
  <si>
    <t>z I need a nice neat way of selecting all columns, tables, commands, etc related to a function like billing</t>
  </si>
  <si>
    <t>z should I add in default values by user??</t>
  </si>
  <si>
    <t>z should I add in google search</t>
  </si>
  <si>
    <t>z should I add in governance</t>
  </si>
  <si>
    <t>o should I add in table to support data transfer</t>
  </si>
  <si>
    <t>z should I add in multicurrency/bitcoin capabilities</t>
  </si>
  <si>
    <t>z should I add in the abbreviation engine</t>
  </si>
  <si>
    <t>o Use google address for addresses</t>
  </si>
  <si>
    <t>A</t>
  </si>
  <si>
    <t>money</t>
  </si>
  <si>
    <t>char</t>
  </si>
  <si>
    <t xml:space="preserve">Batch Status </t>
  </si>
  <si>
    <t>HasAutomaticApproval</t>
  </si>
  <si>
    <t>Has Automatic Approval</t>
  </si>
  <si>
    <t>IsAutomated</t>
  </si>
  <si>
    <t>Is Automated</t>
  </si>
  <si>
    <t>Finance</t>
  </si>
  <si>
    <t>Stores a value returned from the payment gateway</t>
  </si>
  <si>
    <t>Authorization Number</t>
  </si>
  <si>
    <t>Deposit</t>
  </si>
  <si>
    <t>OrderId</t>
  </si>
  <si>
    <t>OrderID</t>
  </si>
  <si>
    <t>Order</t>
  </si>
  <si>
    <t>Payment Method</t>
  </si>
  <si>
    <t>PaymentMethod</t>
  </si>
  <si>
    <t>TransactionTag</t>
  </si>
  <si>
    <t>Transaction Tag</t>
  </si>
  <si>
    <t>WriteOffAmount</t>
  </si>
  <si>
    <t>Write Off Amount</t>
  </si>
  <si>
    <t>DepositDate</t>
  </si>
  <si>
    <t>Deposit Date</t>
  </si>
  <si>
    <t>Deposit Status</t>
  </si>
  <si>
    <t>DepositStatus</t>
  </si>
  <si>
    <t>Invoice</t>
  </si>
  <si>
    <t>Identifier of the GLEntry</t>
  </si>
  <si>
    <t>From GLEntry</t>
  </si>
  <si>
    <t>From</t>
  </si>
  <si>
    <t>GLDeposit</t>
  </si>
  <si>
    <t>Export Transaction</t>
  </si>
  <si>
    <t>o Review framework table design</t>
  </si>
  <si>
    <t>x cash receipt fields?</t>
  </si>
  <si>
    <t>GLBatchStatus</t>
  </si>
  <si>
    <t>GLDepositStatus</t>
  </si>
  <si>
    <t>GLPaymentMethod</t>
  </si>
  <si>
    <t>System.SurveyQuestion</t>
  </si>
  <si>
    <t>System.Process</t>
  </si>
  <si>
    <t>System.Module</t>
  </si>
  <si>
    <t>System.ModuleLogic</t>
  </si>
  <si>
    <t>System.ModuleComponent</t>
  </si>
  <si>
    <t>System.ModuleComponentProp</t>
  </si>
  <si>
    <t>System.ModuleComponentLogic</t>
  </si>
  <si>
    <t>System.Component</t>
  </si>
  <si>
    <t>System.ComponentProp</t>
  </si>
  <si>
    <t>System.Logic</t>
  </si>
  <si>
    <t>System.Rule</t>
  </si>
  <si>
    <t>System.Checklist</t>
  </si>
  <si>
    <t>System.ChecklistItem</t>
  </si>
  <si>
    <t>System.ChecklistOptionGroup</t>
  </si>
  <si>
    <t>System.ComponentLogic</t>
  </si>
  <si>
    <t>System.ComponentReducer</t>
  </si>
  <si>
    <t>System.ComponentState</t>
  </si>
  <si>
    <t>System.DataSource</t>
  </si>
  <si>
    <t>System.DataType</t>
  </si>
  <si>
    <t>System.InitialState</t>
  </si>
  <si>
    <t>System.ModuleComponentReducer</t>
  </si>
  <si>
    <t>System.ModuleComponentState</t>
  </si>
  <si>
    <t>System.ModuleReducer</t>
  </si>
  <si>
    <t>System.ModuleRule</t>
  </si>
  <si>
    <t>System.ModuleState</t>
  </si>
  <si>
    <t>System.Navigation</t>
  </si>
  <si>
    <t>System.QuestionGroup</t>
  </si>
  <si>
    <t>System.QuestionGroupItem</t>
  </si>
  <si>
    <t>System.Raci</t>
  </si>
  <si>
    <t>System.Reducer</t>
  </si>
  <si>
    <t>System.Scheduler</t>
  </si>
  <si>
    <t>System.SchedulerType</t>
  </si>
  <si>
    <t>System.SiteAction</t>
  </si>
  <si>
    <t>GL.Deposit</t>
  </si>
  <si>
    <t>GL.BatchStatus</t>
  </si>
  <si>
    <t>GL.DepositStatus</t>
  </si>
  <si>
    <t>GL.PaymentMethod</t>
  </si>
  <si>
    <t>System.ProcessType</t>
  </si>
  <si>
    <t>System.ProcessStatus</t>
  </si>
  <si>
    <t>z link dictionary table to commands</t>
  </si>
  <si>
    <t>Activity.TableRowIDPerformedBy</t>
  </si>
  <si>
    <t>ActivityBilling.ActivityProjectID</t>
  </si>
  <si>
    <t>Activity.ActivityTypeID</t>
  </si>
  <si>
    <t>Activity.Description</t>
  </si>
  <si>
    <t>Activity.ActivityStatusID</t>
  </si>
  <si>
    <t>Activity.ActivityPriorityID</t>
  </si>
  <si>
    <t>Activity.CompletionDate</t>
  </si>
  <si>
    <t>Activity.TotalActual</t>
  </si>
  <si>
    <t>Activity.ActivityBillingStatusID</t>
  </si>
  <si>
    <t>Activity.Comments</t>
  </si>
  <si>
    <t>GLBillingAccount.ContactID</t>
  </si>
  <si>
    <t>GLBillingAccount.GLBillingAccountStatusID</t>
  </si>
  <si>
    <t>GLBillingAccount.Name</t>
  </si>
  <si>
    <t>GLBillingAccount.GLAccountID</t>
  </si>
  <si>
    <t>Contact.Name</t>
  </si>
  <si>
    <t>ContactAddress.Address1</t>
  </si>
  <si>
    <t>ContactAddress.Address2</t>
  </si>
  <si>
    <t>ContactAddress.City</t>
  </si>
  <si>
    <t>ContactAddress.ProvinceState</t>
  </si>
  <si>
    <t>ContactAddress.PostalZip</t>
  </si>
  <si>
    <t>ContactAddressPhone.Phone</t>
  </si>
  <si>
    <t>GLBillingAccount.PaymentTerms</t>
  </si>
  <si>
    <t>GLBillingAccount.IsGSTExempt</t>
  </si>
  <si>
    <t>Contact.Comments</t>
  </si>
  <si>
    <t>GLBatchType.Description</t>
  </si>
  <si>
    <t>GLBatchType.Shortcode</t>
  </si>
  <si>
    <t>GLBatchType.StartDate</t>
  </si>
  <si>
    <t>GLBatchType.Comments</t>
  </si>
  <si>
    <t>GLBudget.GLAccountID</t>
  </si>
  <si>
    <t>GLBudget.GLCostCentreID</t>
  </si>
  <si>
    <t>GLBudget.Date</t>
  </si>
  <si>
    <t>GLBudget.Comments</t>
  </si>
  <si>
    <t>GLAccount.GLAccountID</t>
  </si>
  <si>
    <t>GLAccount.Description</t>
  </si>
  <si>
    <t>GLAccount.SequenceNumber</t>
  </si>
  <si>
    <t>GLAccount.GLAccountTypeID</t>
  </si>
  <si>
    <t>GLAccount.ReferenceNumber</t>
  </si>
  <si>
    <t>GLAccount.IsUsedToClassifyRecords</t>
  </si>
  <si>
    <t>GLAccount.MultilinkTableRuleID</t>
  </si>
  <si>
    <t>GLAccount.Comments</t>
  </si>
  <si>
    <t>GLCostCentre.GLCostCentreID</t>
  </si>
  <si>
    <t>GLCostCentre.Description</t>
  </si>
  <si>
    <t>GLCostCentre.SequenceNumber</t>
  </si>
  <si>
    <t>GLCostCentre.ReferenceNumber</t>
  </si>
  <si>
    <t>GLCostCentre.IsUsedToClassifyRecords</t>
  </si>
  <si>
    <t>GLCostCentre.Comments</t>
  </si>
  <si>
    <t>ContactAddressEmail.Email</t>
  </si>
  <si>
    <t>Contact.ContactPerson</t>
  </si>
  <si>
    <t>CrossReference.CrossReferenceTypeID</t>
  </si>
  <si>
    <t>FixedAsset.FixedAssetTypeID</t>
  </si>
  <si>
    <t>FixedAsset.Description</t>
  </si>
  <si>
    <t>FixedAsset.Number</t>
  </si>
  <si>
    <t>FixedAsset.SerialNumber</t>
  </si>
  <si>
    <t>FixedAsset.ModelNumber</t>
  </si>
  <si>
    <t>FixedAsset.GLCostCentreID</t>
  </si>
  <si>
    <t>FixedAsset.DepriationSalvageValue</t>
  </si>
  <si>
    <t>FixedAsset.Comments</t>
  </si>
  <si>
    <t>FixedAsset.FixedAssetStatusID</t>
  </si>
  <si>
    <t>FixedAssetLocationHistory.TemporalStartDate</t>
  </si>
  <si>
    <t>ActivityType.Description</t>
  </si>
  <si>
    <t>ActivityType.Comments</t>
  </si>
  <si>
    <t>ActivityType.ActivityTypeID</t>
  </si>
  <si>
    <t>ActivityType.SequenceNumber</t>
  </si>
  <si>
    <t>ActivityType.MultilinkTableRuleIDPerformedFor</t>
  </si>
  <si>
    <t>ActivityType.ActivityCostUnitID</t>
  </si>
  <si>
    <t>ActivityType.GLAccountID</t>
  </si>
  <si>
    <t>GLSetUp.ContactID</t>
  </si>
  <si>
    <t>GLSetUp.AccountLabel</t>
  </si>
  <si>
    <t>GLSetUp.CostCentreLabel</t>
  </si>
  <si>
    <t>GLSetUp.GstRate</t>
  </si>
  <si>
    <t>GLSetUp.IsForceBalanceUsed</t>
  </si>
  <si>
    <t>GLSetUp.ChequeNumber</t>
  </si>
  <si>
    <t>GLSetUp.FiscalYearStart</t>
  </si>
  <si>
    <t>GLSetUp.FiscalYearIncrement</t>
  </si>
  <si>
    <t>GLSetUp.FiscalYearEnd</t>
  </si>
  <si>
    <t>GLSetUp.DepreciationDate</t>
  </si>
  <si>
    <t>GLSetUp.FixedAssetDepreciationMethodID</t>
  </si>
  <si>
    <t>Contact.LastName</t>
  </si>
  <si>
    <t>Contact.PreferredFirstName</t>
  </si>
  <si>
    <t>Contact.MiddleName</t>
  </si>
  <si>
    <t>Contact.BirthDate</t>
  </si>
  <si>
    <t>Contact.Gender</t>
  </si>
  <si>
    <t>ContactUser.Login</t>
  </si>
  <si>
    <t>ContactEmployee.Comments</t>
  </si>
  <si>
    <t>ContactEmployee.CommencementDate</t>
  </si>
  <si>
    <t>ContactEmployee.TerminationDate</t>
  </si>
  <si>
    <t>ContactEmployee.HREmploymentStatusID</t>
  </si>
  <si>
    <t>Location.Description</t>
  </si>
  <si>
    <t>Location.LocationID</t>
  </si>
  <si>
    <t>Location.SequenceNumber</t>
  </si>
  <si>
    <t>Location.IsUsedToClassifyRecords</t>
  </si>
  <si>
    <t>Location.Comments</t>
  </si>
  <si>
    <t>HRPosition.PositionNumber</t>
  </si>
  <si>
    <t>HRPosition.GLCostCentreIDDepartment</t>
  </si>
  <si>
    <t>HRPosition.WorkingTitle</t>
  </si>
  <si>
    <t>HRPosition.LocationID</t>
  </si>
  <si>
    <t>HRPosition.HRPositionClassificationID</t>
  </si>
  <si>
    <t>HRPosition.HRPositionTypeID</t>
  </si>
  <si>
    <t>HRPosition.HRPositionID</t>
  </si>
  <si>
    <t>HRPosition.SequenceNumber</t>
  </si>
  <si>
    <t>HRPosition.Comments</t>
  </si>
  <si>
    <t>Contact.FirstName</t>
  </si>
  <si>
    <t>HRPosition.ContactIDEmployee</t>
  </si>
  <si>
    <t>HRPosition.TemporalStartDate</t>
  </si>
  <si>
    <t>HRPosition.CommencementDate</t>
  </si>
  <si>
    <t>HRPosition.TemporalEndDate</t>
  </si>
  <si>
    <t>HRPosition.HRGradeID</t>
  </si>
  <si>
    <t>HRPosition.Salary</t>
  </si>
  <si>
    <t>GLTransaction.GLPostingStatusID</t>
  </si>
  <si>
    <t>GLTransaction.ReferenceNumber</t>
  </si>
  <si>
    <t>GLTransaction.Description</t>
  </si>
  <si>
    <t>GLTransaction.CreateDate</t>
  </si>
  <si>
    <t>GLEntry.ReferenceNumber</t>
  </si>
  <si>
    <t>GLEntry.GLAccountID</t>
  </si>
  <si>
    <t>GLEntry.GLCostCentreID</t>
  </si>
  <si>
    <t>GLEntry.Description</t>
  </si>
  <si>
    <t>GLEntry.Amount</t>
  </si>
  <si>
    <t>GLEntry.Comments</t>
  </si>
  <si>
    <t>ContactRelationship.ContactID2</t>
  </si>
  <si>
    <t>ContactRelationship.ContactRelationshipTypeID</t>
  </si>
  <si>
    <t>ContactRelationship.Comments</t>
  </si>
  <si>
    <t>ActivityRateBilling.ActivityTypeID</t>
  </si>
  <si>
    <t>ActivityRateBilling.TableRowIDChargedBy</t>
  </si>
  <si>
    <t>ActivityRateBilling.ActivityProjectID</t>
  </si>
  <si>
    <t>ActivityRateBilling.Rate</t>
  </si>
  <si>
    <t>ActivityRateExpense.ActivityTypeID</t>
  </si>
  <si>
    <t>ActivityRateExpense.TableRowIDChargedBy</t>
  </si>
  <si>
    <t>ActivityRateExpense.ActivityProjectID</t>
  </si>
  <si>
    <t>ActivityRateExpense.TemporalStartDate</t>
  </si>
  <si>
    <t>ActivityRateExpense.Rate</t>
  </si>
  <si>
    <t>ActivityRateFactor.TemporalStartDate</t>
  </si>
  <si>
    <t>ActivityRateFactor.Adjustment</t>
  </si>
  <si>
    <t>GLTransactionCheque.GLBillingAccountID</t>
  </si>
  <si>
    <t>GLTransactionCheque.Name</t>
  </si>
  <si>
    <t>GLTransactionCheque.City</t>
  </si>
  <si>
    <t>GLTransactionCheque.Province</t>
  </si>
  <si>
    <t>GLTransactionCheque.PostalZip</t>
  </si>
  <si>
    <t>GLTransaction.TransactionDate</t>
  </si>
  <si>
    <t>GLTransactionCheque.PrintCnt</t>
  </si>
  <si>
    <t>GLTransactionInvoice.ActivityProjectID</t>
  </si>
  <si>
    <t>GLTransactionInvoice.GstOver</t>
  </si>
  <si>
    <t>FixedAssetType.SequenceNumber</t>
  </si>
  <si>
    <t>FixedAssetType.IsFixedAssetNumberUsed</t>
  </si>
  <si>
    <t>FixedAssetType.IsUsedToClassifyRecords</t>
  </si>
  <si>
    <t>FixedAssetType.GLAccountIDAccummulatedDepreciation</t>
  </si>
  <si>
    <t>Attribute.Description</t>
  </si>
  <si>
    <t>Attribute.AttributeID</t>
  </si>
  <si>
    <t>Attribute.SequenceNumber</t>
  </si>
  <si>
    <t>Attribute.HasExtraData</t>
  </si>
  <si>
    <t>Attribute.MultilinkTableRuleID</t>
  </si>
  <si>
    <t>ActivityProjectResourceAllocation.ContactID</t>
  </si>
  <si>
    <t>ActivityProjectResourceAllocation.ActivityProjectID</t>
  </si>
  <si>
    <t>ActivityProject.ContactID</t>
  </si>
  <si>
    <t>ActivityProject.Description</t>
  </si>
  <si>
    <t>ActivityProject.GLCostCentreID</t>
  </si>
  <si>
    <t>ActivityProject.ShortCode</t>
  </si>
  <si>
    <t>ActivityProject.ReferenceNumber</t>
  </si>
  <si>
    <t>ActivityProject.Contact</t>
  </si>
  <si>
    <t>ActivityProject.ActivitySourceID</t>
  </si>
  <si>
    <t>ActivityProject.ActivityBillingMethodID</t>
  </si>
  <si>
    <t>ActivityProject.ActivityStatusID</t>
  </si>
  <si>
    <t>ActivityProject.StartDate</t>
  </si>
  <si>
    <t>ActivityProject.CompletionDate</t>
  </si>
  <si>
    <t>ActivityProject.BaseAmount</t>
  </si>
  <si>
    <t>ActivityProject.ExpenseAmount</t>
  </si>
  <si>
    <t>ActivityProject.Comments</t>
  </si>
  <si>
    <t>ActivityProject.ActivityProjectID</t>
  </si>
  <si>
    <t>GLBudget.Amount</t>
  </si>
  <si>
    <t>ContactEmail</t>
  </si>
  <si>
    <t>ContactPhone</t>
  </si>
  <si>
    <t>ContactPhoneType</t>
  </si>
  <si>
    <t>PadL('Attribute:',14)</t>
  </si>
  <si>
    <t>PadL('Classified by:',14)</t>
  </si>
  <si>
    <t>PadL('Sequence #:',14)</t>
  </si>
  <si>
    <t>PadL('More Data?:',14)</t>
  </si>
  <si>
    <t>PadL('Applies to:',14)</t>
  </si>
  <si>
    <t>PadL('Resource:',25)</t>
  </si>
  <si>
    <t>PadL('Contract:',25)</t>
  </si>
  <si>
    <t>Padl('Performed for::',17)</t>
  </si>
  <si>
    <t>Padl('Description:',17)</t>
  </si>
  <si>
    <t>Padl(fs_cc_label()+':',17)</t>
  </si>
  <si>
    <t>Padl( Project Manager: ,17)</t>
  </si>
  <si>
    <t>Padl('Acronym:',17)</t>
  </si>
  <si>
    <t>Padl('Reference No:',17)</t>
  </si>
  <si>
    <t>Padl('Contact:',17)</t>
  </si>
  <si>
    <t>Padl('Billing email:',17)</t>
  </si>
  <si>
    <t>Padl('Source:',17)</t>
  </si>
  <si>
    <t>Padl('Billing Method:',17)</t>
  </si>
  <si>
    <t>Padl('Contractee:',17)</t>
  </si>
  <si>
    <t>Padl('Status:',17)</t>
  </si>
  <si>
    <t>Padl('Start date:',17)</t>
  </si>
  <si>
    <t>Padl('Completion date:',17)</t>
  </si>
  <si>
    <t>Padl('Terms:',17)</t>
  </si>
  <si>
    <t>Padl('Interest%:',11)</t>
  </si>
  <si>
    <t>Padl('Base Amount:',17)</t>
  </si>
  <si>
    <t>Padl('Expense Amount:',17)</t>
  </si>
  <si>
    <t>Padl('Performed for:',17)</t>
  </si>
  <si>
    <t>Padl('Project:',17)</t>
  </si>
  <si>
    <t>Multi-link column.  Can be assigned to an asset or a person</t>
  </si>
  <si>
    <t>Multi-link column.  Can be performed by an asset or a person</t>
  </si>
  <si>
    <t>Activity.TableRowIDPerformedFor</t>
  </si>
  <si>
    <t>Hierarchical display of projects</t>
  </si>
  <si>
    <t>Hierarchical display of activity types</t>
  </si>
  <si>
    <t>Business rules</t>
  </si>
  <si>
    <t>HasAdditionalInfo</t>
  </si>
  <si>
    <t>HasGenerateNotes</t>
  </si>
  <si>
    <t>IsSuppressable</t>
  </si>
  <si>
    <t>IsLabelRequired</t>
  </si>
  <si>
    <t>IsDirect</t>
  </si>
  <si>
    <t>IsDirectEmbedChildren</t>
  </si>
  <si>
    <t>IsIgnoreRender</t>
  </si>
  <si>
    <t>IsAdministrative</t>
  </si>
  <si>
    <t>IsCron</t>
  </si>
  <si>
    <t>IsDaily</t>
  </si>
  <si>
    <t>IsEnabled</t>
  </si>
  <si>
    <t>IsMonthly</t>
  </si>
  <si>
    <t>IsWeekly</t>
  </si>
  <si>
    <t>Boolean</t>
  </si>
  <si>
    <t>SystemName</t>
  </si>
  <si>
    <t>GroupName</t>
  </si>
  <si>
    <t>BusinessRule</t>
  </si>
  <si>
    <t>IsColumn</t>
  </si>
  <si>
    <t>Bytea</t>
  </si>
  <si>
    <t>case when coalesce(xx.ExtraData,'F')='T' then TRUE else FALSE END</t>
  </si>
  <si>
    <t>case when coalesce(xx.BatchError,'F')='T' then TRUE else FALSE END</t>
  </si>
  <si>
    <t>case when coalesce(xx.GstExempt,'F')='T' then TRUE else FALSE END</t>
  </si>
  <si>
    <t>case when coalesce(xx.LogCommand,'F')='T' then TRUE else FALSE END</t>
  </si>
  <si>
    <t>case when coalesce(xx.ForceBalancing,'F')='T' then TRUE else FALSE END</t>
  </si>
  <si>
    <t>case when coalesce(xx.UseCc,'F')='T' then TRUE else FALSE END</t>
  </si>
  <si>
    <t>case when coalesce(xx.Classify,'F')='T' then TRUE else FALSE END</t>
  </si>
  <si>
    <t>case when coalesce(xx.Active,'F')='T' then TRUE else FALSE END</t>
  </si>
  <si>
    <t>case when coalesce(xx.Confirm,'F')='T' then TRUE else FALSE END</t>
  </si>
  <si>
    <t>case when coalesce(xx.FixedAssetNumberUsed,'F')='T' then TRUE else FALSE END</t>
  </si>
  <si>
    <t>case when coalesce(xx.Type,'F')='M' then TRUE else FALSE END</t>
  </si>
  <si>
    <t>FiscalYear</t>
  </si>
  <si>
    <t>cast(right(xx.approvalyear,4) as int)-1</t>
  </si>
  <si>
    <t>o eliminate command and associated tables</t>
  </si>
  <si>
    <t>T4.Address1</t>
  </si>
  <si>
    <t>T4.Address2</t>
  </si>
  <si>
    <t>BMS.FixedAssetLocationHistory</t>
  </si>
  <si>
    <t>BMS.OrganizationalPositions</t>
  </si>
  <si>
    <t>BMS.RatesBilling</t>
  </si>
  <si>
    <t>BMS.RatesExpense</t>
  </si>
  <si>
    <t>BMS.RatesFactor</t>
  </si>
  <si>
    <t>BMS.Employees</t>
  </si>
  <si>
    <t>BMS.ContactSetup</t>
  </si>
  <si>
    <t>BMS.Activities</t>
  </si>
  <si>
    <t>BMS.Attributelinkstoclient</t>
  </si>
  <si>
    <t>BMS.CrossReference</t>
  </si>
  <si>
    <t>BMS.Relationships</t>
  </si>
  <si>
    <t>BMS.CommandJoins</t>
  </si>
  <si>
    <t>BMS.ActivityAllocations</t>
  </si>
  <si>
    <t>BMS.Budgets</t>
  </si>
  <si>
    <t>BMS.TransactionsCheques</t>
  </si>
  <si>
    <t>BMS.TransactionsInvoices</t>
  </si>
  <si>
    <t>BMS.PersonalComments</t>
  </si>
  <si>
    <t>BMS.AccountBalances</t>
  </si>
  <si>
    <t>BMS.BillingAccountBalances</t>
  </si>
  <si>
    <t>BMS.GLAccountsCostCentres</t>
  </si>
  <si>
    <t>BMS.FixedAssets</t>
  </si>
  <si>
    <t>BMS.Attributes</t>
  </si>
  <si>
    <t>BMS.FixedAssetLocation</t>
  </si>
  <si>
    <t>BMS.FixedAssetType</t>
  </si>
  <si>
    <t>BMS.DictionaryColumns</t>
  </si>
  <si>
    <t>BMS.Batches</t>
  </si>
  <si>
    <t>BMS.BillingAccounts</t>
  </si>
  <si>
    <t>BMS.DictionaryTables</t>
  </si>
  <si>
    <t>BMS.Transactions</t>
  </si>
  <si>
    <t>BMS.ActivityTypes</t>
  </si>
  <si>
    <t>BMS.Commands</t>
  </si>
  <si>
    <t>BMS.ActivityProjects</t>
  </si>
  <si>
    <t>BMS.CostCentres</t>
  </si>
  <si>
    <t>BMS.GLAccounts</t>
  </si>
  <si>
    <t>BMS.Contacts</t>
  </si>
  <si>
    <t>Contracts</t>
  </si>
  <si>
    <t>Stakeholders</t>
  </si>
  <si>
    <t>Within a Fixed Asset</t>
  </si>
  <si>
    <t>At a location</t>
  </si>
  <si>
    <t>Disposed</t>
  </si>
  <si>
    <t>Anything</t>
  </si>
  <si>
    <t>Vendors</t>
  </si>
  <si>
    <t>Vendor Type Only</t>
  </si>
  <si>
    <t>Staff Members</t>
  </si>
  <si>
    <t>Staff Member Only</t>
  </si>
  <si>
    <t>Change Date</t>
  </si>
  <si>
    <t>ContactID User</t>
  </si>
  <si>
    <t>Row Status</t>
  </si>
  <si>
    <t>Dictionary Table Id</t>
  </si>
  <si>
    <t>After Source</t>
  </si>
  <si>
    <t>After Value</t>
  </si>
  <si>
    <t>Before Source</t>
  </si>
  <si>
    <t>Before Value</t>
  </si>
  <si>
    <t>Column Sequence</t>
  </si>
  <si>
    <t>Data Length</t>
  </si>
  <si>
    <t>Is Change History Used</t>
  </si>
  <si>
    <t>Is Nullable</t>
  </si>
  <si>
    <t>Long Name</t>
  </si>
  <si>
    <t>Change History Level</t>
  </si>
  <si>
    <t>Is Table Temporal</t>
  </si>
  <si>
    <t>Normalized Name</t>
  </si>
  <si>
    <t>Systemtem Module</t>
  </si>
  <si>
    <t>Table Type</t>
  </si>
  <si>
    <t>Query Date</t>
  </si>
  <si>
    <t>Dictionary Table</t>
  </si>
  <si>
    <t>Dictionary Table Foreign</t>
  </si>
  <si>
    <t>Object Affected</t>
  </si>
  <si>
    <t>City Name</t>
  </si>
  <si>
    <t>Phone Type</t>
  </si>
  <si>
    <t>Rate Type</t>
  </si>
  <si>
    <t>CityText</t>
  </si>
  <si>
    <t>ContactIdUser</t>
  </si>
  <si>
    <t>SysCommandTypeId</t>
  </si>
  <si>
    <t>sysChangeHistoryID</t>
  </si>
  <si>
    <t>SysChangeHistoryIdUndo</t>
  </si>
  <si>
    <t>SysCommandID</t>
  </si>
  <si>
    <t>BMS.DBO.AccountBalances</t>
  </si>
  <si>
    <t>BMS.DBO.Activities</t>
  </si>
  <si>
    <t>BMS.DBO.ActivityAllocations</t>
  </si>
  <si>
    <t>BMS.DBO.ActivityProjects</t>
  </si>
  <si>
    <t>BMS.DBO.ActivityTypes</t>
  </si>
  <si>
    <t>BMS.DBO.Attributelinkstoclient</t>
  </si>
  <si>
    <t>BMS.DBO.Attributes</t>
  </si>
  <si>
    <t>BMS.DBO.AuditLogs</t>
  </si>
  <si>
    <t>BMS.DBO.Batches</t>
  </si>
  <si>
    <t>BMS.DBO.BatchTypes</t>
  </si>
  <si>
    <t>BMS.DBO.BillingAccountBalances</t>
  </si>
  <si>
    <t>BMS.DBO.BillingAccounts</t>
  </si>
  <si>
    <t>BMS.DBO.Budgets</t>
  </si>
  <si>
    <t>BMS.DBO.CommandJoins</t>
  </si>
  <si>
    <t>BMS.DBO.Commands</t>
  </si>
  <si>
    <t>SysId</t>
  </si>
  <si>
    <t>BMS.DBO.Contacts</t>
  </si>
  <si>
    <t>BMS.DBO.ContactSetup</t>
  </si>
  <si>
    <t>BMS.DBO.CostCentres</t>
  </si>
  <si>
    <t>BMS.DBO.CrossReference</t>
  </si>
  <si>
    <t>BMS.DBO.Employees</t>
  </si>
  <si>
    <t>BMS.DBO.FixedAssetLocation</t>
  </si>
  <si>
    <t>BMS.DBO.FixedAssetLocationHistory</t>
  </si>
  <si>
    <t>BMS.DBO.FixedAssets</t>
  </si>
  <si>
    <t>BMS.DBO.FixedAssetType</t>
  </si>
  <si>
    <t>BMS.DBO.GLAccounts</t>
  </si>
  <si>
    <t>BMS.DBO.GLEntries</t>
  </si>
  <si>
    <t>BMS.DBO.OrganizationalPositions</t>
  </si>
  <si>
    <t>BMS.DBO.PeopleDatabase</t>
  </si>
  <si>
    <t>BMS.DBO.PersonalComments</t>
  </si>
  <si>
    <t>BMS.DBO.PositionHistory</t>
  </si>
  <si>
    <t>BMS.DBO.RatesBilling</t>
  </si>
  <si>
    <t>BMS.DBO.RatesExpense</t>
  </si>
  <si>
    <t>BMS.DBO.RatesFactor</t>
  </si>
  <si>
    <t>BMS.DBO.ReferenceFields</t>
  </si>
  <si>
    <t>BMS.DBO.ReferenceTables</t>
  </si>
  <si>
    <t>BMS.DBO.Relationships</t>
  </si>
  <si>
    <t>BMS.DBO.Transactions</t>
  </si>
  <si>
    <t>BMS.DBO.TransactionsCheques</t>
  </si>
  <si>
    <t>BMS.DBO.TransactionsInvoices</t>
  </si>
  <si>
    <t>ActivityBillingStatusID</t>
  </si>
  <si>
    <t>ActivityPriorityID</t>
  </si>
  <si>
    <t>ActivityStatusID</t>
  </si>
  <si>
    <t>GLTransactionID</t>
  </si>
  <si>
    <t>ActivityBillingMethodID</t>
  </si>
  <si>
    <t>ActivitySourceID</t>
  </si>
  <si>
    <t>GLCostCentreID</t>
  </si>
  <si>
    <t>ActivityCostUnitID</t>
  </si>
  <si>
    <t>SysMultilinkTableRuleIDPerformedBy</t>
  </si>
  <si>
    <t>SysMultilinkTableRuleIDPerformedFor</t>
  </si>
  <si>
    <t>SysMultilinkTableRuleID</t>
  </si>
  <si>
    <t>CountryID</t>
  </si>
  <si>
    <t>ProvinceStateID</t>
  </si>
  <si>
    <t>CrossReferenceTypeID</t>
  </si>
  <si>
    <t>LocationID</t>
  </si>
  <si>
    <t>ContactIDUser</t>
  </si>
  <si>
    <t>CityID</t>
  </si>
  <si>
    <t>ContactAddressIDInheritedFrom</t>
  </si>
  <si>
    <t>ContactAddressTypeID</t>
  </si>
  <si>
    <t>ContactAddressPhoneTypeID</t>
  </si>
  <si>
    <t>ContactLanguageID</t>
  </si>
  <si>
    <t>ContactSalutationID</t>
  </si>
  <si>
    <t>HREmploymentStatusID</t>
  </si>
  <si>
    <t>ContactRelationshipTypeID</t>
  </si>
  <si>
    <t>FixedAssetStatusID</t>
  </si>
  <si>
    <t>GLAccountIDAccummulatedDepreciation</t>
  </si>
  <si>
    <t>GLAccountTypeID</t>
  </si>
  <si>
    <t>ContactIDApprovedBy</t>
  </si>
  <si>
    <t>ContactIDCreatedBy</t>
  </si>
  <si>
    <t>ContactIDLedger</t>
  </si>
  <si>
    <t>ContactIDLedgerRecID</t>
  </si>
  <si>
    <t>GLBatchTypeID</t>
  </si>
  <si>
    <t>ApprovalYearEnd</t>
  </si>
  <si>
    <t>GLBillingAccountStatusID</t>
  </si>
  <si>
    <t>GLBillingMethodID</t>
  </si>
  <si>
    <t>GLEFTTypeID</t>
  </si>
  <si>
    <t>GLRateTypeID</t>
  </si>
  <si>
    <t>GLEntryIDSource</t>
  </si>
  <si>
    <t>GLEntryIDTo</t>
  </si>
  <si>
    <t>FixedAssetDepreciationMethodID</t>
  </si>
  <si>
    <t>GLBatchID</t>
  </si>
  <si>
    <t>GLPostingStatusID</t>
  </si>
  <si>
    <t>GLTransactionIDReversal</t>
  </si>
  <si>
    <t>GLTransactionIDReversed</t>
  </si>
  <si>
    <t>GLTransactionTypeID</t>
  </si>
  <si>
    <t>ContactIDPaidBy</t>
  </si>
  <si>
    <t>ContactIDEnteredBy</t>
  </si>
  <si>
    <t>AmountCash</t>
  </si>
  <si>
    <t>AmountCheque</t>
  </si>
  <si>
    <t>AmountDebitCard</t>
  </si>
  <si>
    <t>AmountDirect</t>
  </si>
  <si>
    <t>IsPaymentonAccount</t>
  </si>
  <si>
    <t>MonthPaidfor</t>
  </si>
  <si>
    <t>GLBillingAccountID</t>
  </si>
  <si>
    <t>ContactIDEmployee</t>
  </si>
  <si>
    <t>GLCostCentreIDDepartment</t>
  </si>
  <si>
    <t>HRGradeID</t>
  </si>
  <si>
    <t>HRPositionClassificationID</t>
  </si>
  <si>
    <t>HRPositionID</t>
  </si>
  <si>
    <t>HRPositionTypeID</t>
  </si>
  <si>
    <t>MailDeliveryMethodID</t>
  </si>
  <si>
    <t>MailSupressReasonID</t>
  </si>
  <si>
    <t>MailDistributionTypeID</t>
  </si>
  <si>
    <t>MailDistributionRuleID</t>
  </si>
  <si>
    <t>ContactIDQueuedBy</t>
  </si>
  <si>
    <t>ContactIDSendBy</t>
  </si>
  <si>
    <t>MailDistributionRuleDeliveryMethodID</t>
  </si>
  <si>
    <t>MailStatusID</t>
  </si>
  <si>
    <t>MailTemplateID</t>
  </si>
  <si>
    <t>LabelRequired</t>
  </si>
  <si>
    <t>SysDictionaryTableID</t>
  </si>
  <si>
    <t>SysChangeHistoryID</t>
  </si>
  <si>
    <t>SysDictionaryTableId</t>
  </si>
  <si>
    <t>SysChangeHistoryTableId</t>
  </si>
  <si>
    <t>SysDictionaryColumnId</t>
  </si>
  <si>
    <t>SystemModule</t>
  </si>
  <si>
    <t>SysCommandIDChild</t>
  </si>
  <si>
    <t>SysCommandIDParent</t>
  </si>
  <si>
    <t>SysDictionaryTableIDForeign</t>
  </si>
  <si>
    <t>SysDictionaryColumnID</t>
  </si>
  <si>
    <t>SysSecurityGroupID</t>
  </si>
  <si>
    <t>BMS.DBO.GLAccountsCostCentres</t>
  </si>
  <si>
    <t>NEW</t>
  </si>
  <si>
    <t>NEW.DBO.actActivity</t>
  </si>
  <si>
    <t>NEW.DBO.actActivitySubTypeBilling</t>
  </si>
  <si>
    <t>NEW.DBO.actBillingMethod</t>
  </si>
  <si>
    <t>NEW.DBO.actBillingStatus</t>
  </si>
  <si>
    <t>NEW.DBO.actCostUnit</t>
  </si>
  <si>
    <t>NEW.DBO.actPriority</t>
  </si>
  <si>
    <t>NEW.DBO.actProject</t>
  </si>
  <si>
    <t>NEW.DBO.actProjectResourceAllocation</t>
  </si>
  <si>
    <t>NEW.DBO.actRatesBilling</t>
  </si>
  <si>
    <t>NEW.DBO.actRatesExpense</t>
  </si>
  <si>
    <t>NEW.DBO.actRatesFactor</t>
  </si>
  <si>
    <t>NEW.DBO.actSource</t>
  </si>
  <si>
    <t>NEW.DBO.actStatus</t>
  </si>
  <si>
    <t>NEW.DBO.actType</t>
  </si>
  <si>
    <t>NEW.DBO.comAttribute</t>
  </si>
  <si>
    <t>NEW.DBO.comAttributeDetail</t>
  </si>
  <si>
    <t>NEW.DBO.sysMultilinkTableRule</t>
  </si>
  <si>
    <t>NEW.DBO.comCity</t>
  </si>
  <si>
    <t>NEW.DBO.comCountry</t>
  </si>
  <si>
    <t>NEW.DBO.comCrossReference</t>
  </si>
  <si>
    <t>NEW.DBO.comCrossReferenceType</t>
  </si>
  <si>
    <t>NEW.DBO.comLocation</t>
  </si>
  <si>
    <t>NEW.DBO.comPersonalComment</t>
  </si>
  <si>
    <t>NEW.DBO.comProvinceState</t>
  </si>
  <si>
    <t>NEW.DBO.crmAddress</t>
  </si>
  <si>
    <t>NEW.DBO.crmAddressEmail</t>
  </si>
  <si>
    <t>NEW.DBO.crmAddressPhone</t>
  </si>
  <si>
    <t>NEW.DBO.crmAddressPhoneType</t>
  </si>
  <si>
    <t>NEW.DBO.crmAddressType</t>
  </si>
  <si>
    <t>NEW.DBO.crmContact</t>
  </si>
  <si>
    <t>NEW.DBO.crmContactSubTypeEmployee</t>
  </si>
  <si>
    <t>NEW.DBO.crmContactSubTypeUser</t>
  </si>
  <si>
    <t>NEW.DBO.crmLanguage</t>
  </si>
  <si>
    <t>NEW.DBO.crmRelationship</t>
  </si>
  <si>
    <t>NEW.DBO.crmRelationshipType</t>
  </si>
  <si>
    <t>NEW.DBO.crmSalutation</t>
  </si>
  <si>
    <t>NEW.DBO.crmTitle</t>
  </si>
  <si>
    <t>NEW.DBO.faConnectedToTableName</t>
  </si>
  <si>
    <t>NEW.DBO.faDepreciationMethod</t>
  </si>
  <si>
    <t>NEW.DBO.faDisposalReason</t>
  </si>
  <si>
    <t>NEW.DBO.faFixedAsset</t>
  </si>
  <si>
    <t>NEW.DBO.faLocationHistory</t>
  </si>
  <si>
    <t>NEW.DBO.faStatus</t>
  </si>
  <si>
    <t>NEW.DBO.faType</t>
  </si>
  <si>
    <t>NEW.DBO.glAccount</t>
  </si>
  <si>
    <t>NEW.DBO.glAccountBalance</t>
  </si>
  <si>
    <t>NEW.DBO.glAccountsCostCentre</t>
  </si>
  <si>
    <t>NEW.DBO.glAccountType</t>
  </si>
  <si>
    <t>NEW.DBO.glBatch</t>
  </si>
  <si>
    <t>NEW.DBO.glBatchType</t>
  </si>
  <si>
    <t>NEW.DBO.glBillingAccount</t>
  </si>
  <si>
    <t>NEW.DBO.glBillingAccountBalance</t>
  </si>
  <si>
    <t>NEW.DBO.glBillingAccountStatus</t>
  </si>
  <si>
    <t>NEW.DBO.glBillingMethod</t>
  </si>
  <si>
    <t>NEW.DBO.glBudget</t>
  </si>
  <si>
    <t>NEW.DBO.glCostCentre</t>
  </si>
  <si>
    <t>NEW.DBO.glEFTType</t>
  </si>
  <si>
    <t>NEW.DBO.glEntry</t>
  </si>
  <si>
    <t>NEW.DBO.glEntryType</t>
  </si>
  <si>
    <t>NEW.DBO.glPostingStatus</t>
  </si>
  <si>
    <t>NEW.DBO.glRate</t>
  </si>
  <si>
    <t>NEW.DBO.glRateType</t>
  </si>
  <si>
    <t>NEW.DBO.glReconciliation</t>
  </si>
  <si>
    <t>NEW.DBO.glSetUp</t>
  </si>
  <si>
    <t>NEW.DBO.glTransaction</t>
  </si>
  <si>
    <t>NEW.DBO.glTransactionSubTypeCashReceipt</t>
  </si>
  <si>
    <t>NEW.DBO.glTransactionSubTypeCheque</t>
  </si>
  <si>
    <t>NEW.DBO.glTransactionSubTypeInvoice</t>
  </si>
  <si>
    <t>NEW.DBO.glTransactionType</t>
  </si>
  <si>
    <t>NEW.DBO.hrEmploymentStatus</t>
  </si>
  <si>
    <t>NEW.DBO.hrGrade</t>
  </si>
  <si>
    <t>NEW.DBO.hrPosition</t>
  </si>
  <si>
    <t>NEW.DBO.hrPositionClassification</t>
  </si>
  <si>
    <t>NEW.DBO.hrPositionHistory</t>
  </si>
  <si>
    <t>NEW.DBO.hrPositionType</t>
  </si>
  <si>
    <t>NEW.DBO.mailConfig</t>
  </si>
  <si>
    <t>NEW.DBO.mailContactMailOption</t>
  </si>
  <si>
    <t>NEW.DBO.mailDeliveryMethod</t>
  </si>
  <si>
    <t>NEW.DBO.mailDistributionRule</t>
  </si>
  <si>
    <t>NEW.DBO.mailDistributionRuleDeliveryMethod</t>
  </si>
  <si>
    <t>NEW.DBO.mailDistributionType</t>
  </si>
  <si>
    <t>NEW.DBO.mailMerge</t>
  </si>
  <si>
    <t>NEW.DBO.mailOption</t>
  </si>
  <si>
    <t>NEW.DBO.mailOptionDefault</t>
  </si>
  <si>
    <t>NEW.DBO.mailStatus</t>
  </si>
  <si>
    <t>NEW.DBO.mailSupressReason</t>
  </si>
  <si>
    <t>NEW.DBO.mailTemplate</t>
  </si>
  <si>
    <t>NEW.DBO.sysChangeHistory</t>
  </si>
  <si>
    <t>NEW.DBO.sysChangeHistoryDump</t>
  </si>
  <si>
    <t>NEW.DBO.sysChangeHistoryTable</t>
  </si>
  <si>
    <t>NEW.DBO.sysChangeHistoryValue</t>
  </si>
  <si>
    <t>NEW.DBO.sysCommand</t>
  </si>
  <si>
    <t>NEW.DBO.sysCommandJoin</t>
  </si>
  <si>
    <t>NEW.DBO.sysDictionaryColumn</t>
  </si>
  <si>
    <t>NEW.DBO.sysDictionaryTable</t>
  </si>
  <si>
    <t>NEW.DBO.sysSecurityGroup</t>
  </si>
  <si>
    <t>NEW.DBO.sysSecurityGroupCommand</t>
  </si>
  <si>
    <t>NEW.DBO.sysSecurityGroupContact</t>
  </si>
  <si>
    <t>actActivity</t>
  </si>
  <si>
    <t>actActivitySubTypeBilling</t>
  </si>
  <si>
    <t>actBillingMethod</t>
  </si>
  <si>
    <t>actBillingStatus</t>
  </si>
  <si>
    <t>actCostUnit</t>
  </si>
  <si>
    <t>actPriority</t>
  </si>
  <si>
    <t>actProject</t>
  </si>
  <si>
    <t>actProjectResourceAllocation</t>
  </si>
  <si>
    <t>actSource</t>
  </si>
  <si>
    <t>actStatus</t>
  </si>
  <si>
    <t>actType</t>
  </si>
  <si>
    <t>comAttribute</t>
  </si>
  <si>
    <t>comAttributeDetail</t>
  </si>
  <si>
    <t>sysMultilinkTableRule</t>
  </si>
  <si>
    <t>comCity</t>
  </si>
  <si>
    <t>comCountry</t>
  </si>
  <si>
    <t>comCrossReference</t>
  </si>
  <si>
    <t>comCrossReferenceType</t>
  </si>
  <si>
    <t>comLocation</t>
  </si>
  <si>
    <t>comPersonalComment</t>
  </si>
  <si>
    <t>comProvinceState</t>
  </si>
  <si>
    <t>crmAddress</t>
  </si>
  <si>
    <t>crmAddressEmail</t>
  </si>
  <si>
    <t>crmAddressPhone</t>
  </si>
  <si>
    <t>crmAddressPhoneType</t>
  </si>
  <si>
    <t>crmAddressType</t>
  </si>
  <si>
    <t>crmContact</t>
  </si>
  <si>
    <t>crmContactSubTypeEmployee</t>
  </si>
  <si>
    <t>crmContactSubTypeUser</t>
  </si>
  <si>
    <t>crmLanguage</t>
  </si>
  <si>
    <t>crmRelationship</t>
  </si>
  <si>
    <t>crmRelationshipType</t>
  </si>
  <si>
    <t>crmSalutation</t>
  </si>
  <si>
    <t>faDepreciationMethod</t>
  </si>
  <si>
    <t>faDisposalReason</t>
  </si>
  <si>
    <t>faFixedAsset</t>
  </si>
  <si>
    <t>faLocationHistory</t>
  </si>
  <si>
    <t>faStatus</t>
  </si>
  <si>
    <t>faType</t>
  </si>
  <si>
    <t>glAccount</t>
  </si>
  <si>
    <t>glAccountBalance</t>
  </si>
  <si>
    <t>glAccountType</t>
  </si>
  <si>
    <t>glBatch</t>
  </si>
  <si>
    <t>glBatchType</t>
  </si>
  <si>
    <t>glBillingAccount</t>
  </si>
  <si>
    <t>glBillingAccountBalance</t>
  </si>
  <si>
    <t>glBillingAccountStatus</t>
  </si>
  <si>
    <t>glBillingMethod</t>
  </si>
  <si>
    <t>glBudget</t>
  </si>
  <si>
    <t>glCostCentre</t>
  </si>
  <si>
    <t>glEFTType</t>
  </si>
  <si>
    <t>glEntry</t>
  </si>
  <si>
    <t>glEntryType</t>
  </si>
  <si>
    <t>glPostingStatus</t>
  </si>
  <si>
    <t>glRate</t>
  </si>
  <si>
    <t>glRateType</t>
  </si>
  <si>
    <t>glReconciliation</t>
  </si>
  <si>
    <t>glSetUp</t>
  </si>
  <si>
    <t>glTransaction</t>
  </si>
  <si>
    <t>glTransactionSubTypeCashReceipt</t>
  </si>
  <si>
    <t>glTransactionSubTypeCheque</t>
  </si>
  <si>
    <t>glTransactionSubTypeInvoice</t>
  </si>
  <si>
    <t>glTransactionType</t>
  </si>
  <si>
    <t>hrEmploymentStatus</t>
  </si>
  <si>
    <t>hrGrade</t>
  </si>
  <si>
    <t>hrPosition</t>
  </si>
  <si>
    <t>hrPositionClassification</t>
  </si>
  <si>
    <t>hrPositionType</t>
  </si>
  <si>
    <t>mailConfig</t>
  </si>
  <si>
    <t>mailContactMailOption</t>
  </si>
  <si>
    <t>mailDeliveryMethod</t>
  </si>
  <si>
    <t>mailDistributionRule</t>
  </si>
  <si>
    <t>mailDistributionRuleDeliveryMethod</t>
  </si>
  <si>
    <t>mailDistributionType</t>
  </si>
  <si>
    <t>mailMerge</t>
  </si>
  <si>
    <t>mailOption</t>
  </si>
  <si>
    <t>mailOptionDefault</t>
  </si>
  <si>
    <t>mailStatus</t>
  </si>
  <si>
    <t>mailSupressReason</t>
  </si>
  <si>
    <t>mailTemplate</t>
  </si>
  <si>
    <t>sysChangeHistory</t>
  </si>
  <si>
    <t>sysChangeHistoryDump</t>
  </si>
  <si>
    <t>sysChangeHistoryTable</t>
  </si>
  <si>
    <t>sysChangeHistoryValue</t>
  </si>
  <si>
    <t>sysCommand</t>
  </si>
  <si>
    <t>sysCommandJoin</t>
  </si>
  <si>
    <t>sysDictionaryColumn</t>
  </si>
  <si>
    <t>sysDictionaryTable</t>
  </si>
  <si>
    <t>sysSecurityGroup</t>
  </si>
  <si>
    <t>sysSecurityGroupCommand</t>
  </si>
  <si>
    <t>sysSecurityGroupContact</t>
  </si>
  <si>
    <t>sysCommunicationConfig</t>
  </si>
  <si>
    <t>sysReferralCode</t>
  </si>
  <si>
    <t>sysTaskType</t>
  </si>
  <si>
    <t>sysSurveyQuestion</t>
  </si>
  <si>
    <t>sysProcess</t>
  </si>
  <si>
    <t>sysModule</t>
  </si>
  <si>
    <t>sysModuleLogic</t>
  </si>
  <si>
    <t>sysModuleComponent</t>
  </si>
  <si>
    <t>sysModuleComponentProp</t>
  </si>
  <si>
    <t>sysModuleComponentLogic</t>
  </si>
  <si>
    <t>sysComponent</t>
  </si>
  <si>
    <t>sysComponentProp</t>
  </si>
  <si>
    <t>sysLogic</t>
  </si>
  <si>
    <t>sysRule</t>
  </si>
  <si>
    <t>sysChecklist</t>
  </si>
  <si>
    <t>sysChecklistItem</t>
  </si>
  <si>
    <t>sysChecklistOptionGroup</t>
  </si>
  <si>
    <t>sysComponentLogic</t>
  </si>
  <si>
    <t>sysComponentReducer</t>
  </si>
  <si>
    <t>sysComponentState</t>
  </si>
  <si>
    <t>sysDataSource</t>
  </si>
  <si>
    <t>sysDataType</t>
  </si>
  <si>
    <t>sysDictRelation</t>
  </si>
  <si>
    <t>sysInitialState</t>
  </si>
  <si>
    <t>sysModuleComponentReducer</t>
  </si>
  <si>
    <t>sysModuleComponentState</t>
  </si>
  <si>
    <t>sysModuleReducer</t>
  </si>
  <si>
    <t>sysModuleRule</t>
  </si>
  <si>
    <t>sysModuleState</t>
  </si>
  <si>
    <t>sysNavigation</t>
  </si>
  <si>
    <t>sysOrgStructureCommand</t>
  </si>
  <si>
    <t>sysOrgStructureResource</t>
  </si>
  <si>
    <t>sysQuestionGroup</t>
  </si>
  <si>
    <t>sysQuestionGroupItem</t>
  </si>
  <si>
    <t>sysRaci</t>
  </si>
  <si>
    <t>sysReducer</t>
  </si>
  <si>
    <t>sysScheduler</t>
  </si>
  <si>
    <t>sysSchedulerType</t>
  </si>
  <si>
    <t>sysSiteAction</t>
  </si>
  <si>
    <t>sysProcessType</t>
  </si>
  <si>
    <t>sysProcessStatus</t>
  </si>
  <si>
    <t>glBatchStatus</t>
  </si>
  <si>
    <t>glDeposit</t>
  </si>
  <si>
    <t>glDepositStatus</t>
  </si>
  <si>
    <t>glEntryExport</t>
  </si>
  <si>
    <t>glInvoice</t>
  </si>
  <si>
    <t>glPaymentMethod</t>
  </si>
  <si>
    <t>glTransactionExport</t>
  </si>
  <si>
    <t>sysChangeHistoryIdUndo</t>
  </si>
  <si>
    <t>sysChangeHistoryId</t>
  </si>
  <si>
    <t>systemModule</t>
  </si>
  <si>
    <t>systemName</t>
  </si>
  <si>
    <t>Contains employees in the system</t>
  </si>
  <si>
    <t>Contains rates used by the finance system</t>
  </si>
  <si>
    <t>Contains one record for every column in the system</t>
  </si>
  <si>
    <t>Contains one record for every table in the system</t>
  </si>
  <si>
    <t>actRateBilling</t>
  </si>
  <si>
    <t>actRateExpense</t>
  </si>
  <si>
    <t>actRateFactor</t>
  </si>
  <si>
    <t>_staging.TranslateDBID(xx.DBID)</t>
  </si>
  <si>
    <t>o Setup null constraints</t>
  </si>
  <si>
    <t>o Setup validation</t>
  </si>
  <si>
    <t>ActivityTypeId</t>
  </si>
  <si>
    <t>actTypeID</t>
  </si>
  <si>
    <t>adbcodeid</t>
  </si>
  <si>
    <t>ADBId</t>
  </si>
  <si>
    <t>sysDictionaryTableIDChargedTo</t>
  </si>
  <si>
    <t>AdditionalInfo</t>
  </si>
  <si>
    <t>ApproveEmployeeId</t>
  </si>
  <si>
    <t>crmContactIDApprovedBy</t>
  </si>
  <si>
    <t>glBatchID</t>
  </si>
  <si>
    <t>BatchTypeId</t>
  </si>
  <si>
    <t>glBatchTypeID</t>
  </si>
  <si>
    <t>glBillingAccountID</t>
  </si>
  <si>
    <t>ChecklistId</t>
  </si>
  <si>
    <t>sysChecklistID</t>
  </si>
  <si>
    <t>ChkNo</t>
  </si>
  <si>
    <t>glTransactionExportID</t>
  </si>
  <si>
    <t>CityId</t>
  </si>
  <si>
    <t>comCityID</t>
  </si>
  <si>
    <t>ClientId</t>
  </si>
  <si>
    <t>crmContactID</t>
  </si>
  <si>
    <t>crmContactIDPaidBy</t>
  </si>
  <si>
    <t>ClientNumber</t>
  </si>
  <si>
    <t>CollapceonExport</t>
  </si>
  <si>
    <t>CommandId</t>
  </si>
  <si>
    <t>sysCommandID</t>
  </si>
  <si>
    <t>sysComponentID</t>
  </si>
  <si>
    <t>sysComponentPropID</t>
  </si>
  <si>
    <t>CreateEmployeeId</t>
  </si>
  <si>
    <t>crmContactIDCreatedBy</t>
  </si>
  <si>
    <t>sysDataTypeID</t>
  </si>
  <si>
    <t>DirectEmbedChildren</t>
  </si>
  <si>
    <t>EmployeeId</t>
  </si>
  <si>
    <t>crmContactIDEnteredBy</t>
  </si>
  <si>
    <t>FromPostingId</t>
  </si>
  <si>
    <t>glEntryIDFrom</t>
  </si>
  <si>
    <t>GenerateNotes</t>
  </si>
  <si>
    <t>IgnoreRender</t>
  </si>
  <si>
    <t>InvoiceId</t>
  </si>
  <si>
    <t>glInvoiceID</t>
  </si>
  <si>
    <t>InvoiceNo</t>
  </si>
  <si>
    <t>sysLogicID</t>
  </si>
  <si>
    <t>sysModuleComponentID</t>
  </si>
  <si>
    <t>sysModuleID</t>
  </si>
  <si>
    <t>sysModuleComponentIDParent</t>
  </si>
  <si>
    <t>sysNavigationIDParent</t>
  </si>
  <si>
    <t>sysProcessIDParent</t>
  </si>
  <si>
    <t>sysQuestionGroupItemIDParent</t>
  </si>
  <si>
    <t>sysSiteActionIDParent</t>
  </si>
  <si>
    <t>sysSurveyQuestionIDParent</t>
  </si>
  <si>
    <t>PostingId</t>
  </si>
  <si>
    <t>glEntryID</t>
  </si>
  <si>
    <t>PostingIDCurrent</t>
  </si>
  <si>
    <t>sysQuestionGroupID</t>
  </si>
  <si>
    <t>ReceiptAmount</t>
  </si>
  <si>
    <t>RecordType</t>
  </si>
  <si>
    <t>sysReducerID</t>
  </si>
  <si>
    <t>RefAccountTypeId</t>
  </si>
  <si>
    <t>glAccountTypeID</t>
  </si>
  <si>
    <t>RefActiveStatusId</t>
  </si>
  <si>
    <t>glBillingAccountStatusID</t>
  </si>
  <si>
    <t>RefBatchStatusId</t>
  </si>
  <si>
    <t>glBatchStatusID</t>
  </si>
  <si>
    <t>RefCostUnitId</t>
  </si>
  <si>
    <t>actCostUnitID</t>
  </si>
  <si>
    <t>glAccountsCostCentreID</t>
  </si>
  <si>
    <t>RefDepositStatusId</t>
  </si>
  <si>
    <t>glDepositStatusID</t>
  </si>
  <si>
    <t>crmRelationshipTypeID</t>
  </si>
  <si>
    <t>RefPostingStatusId</t>
  </si>
  <si>
    <t>glPostingStatusID</t>
  </si>
  <si>
    <t>sysProcessStatusID</t>
  </si>
  <si>
    <t>sysProcessTypeID</t>
  </si>
  <si>
    <t>RefStatusId</t>
  </si>
  <si>
    <t>actStatusID</t>
  </si>
  <si>
    <t>sysRuleID</t>
  </si>
  <si>
    <t>sysSchedulerTypeID</t>
  </si>
  <si>
    <t>SecurityGroupId</t>
  </si>
  <si>
    <t>sysSecurityGroupID</t>
  </si>
  <si>
    <t>SourceId</t>
  </si>
  <si>
    <t>glEntryIDSource</t>
  </si>
  <si>
    <t>sysInitialStateID</t>
  </si>
  <si>
    <t>SubclassifiedId</t>
  </si>
  <si>
    <t>sysMultilinkTableRuleID</t>
  </si>
  <si>
    <t>ToPostingId</t>
  </si>
  <si>
    <t>glEntryIDTo</t>
  </si>
  <si>
    <t>TransactionId</t>
  </si>
  <si>
    <t>glTransactionID</t>
  </si>
  <si>
    <t>TransactionsId</t>
  </si>
  <si>
    <t>CashReceipt</t>
  </si>
  <si>
    <t>Client</t>
  </si>
  <si>
    <t>DictColumn</t>
  </si>
  <si>
    <t>Dicttable</t>
  </si>
  <si>
    <t>GPPostings</t>
  </si>
  <si>
    <t>GPTransactions</t>
  </si>
  <si>
    <t>Invoices</t>
  </si>
  <si>
    <t>MemberDeclarationQuestion</t>
  </si>
  <si>
    <t>Posting</t>
  </si>
  <si>
    <t>Rules</t>
  </si>
  <si>
    <t>x</t>
  </si>
  <si>
    <t>glEntryIDCurrent</t>
  </si>
  <si>
    <t>ChangeFrom</t>
  </si>
  <si>
    <t>ChangeTO</t>
  </si>
  <si>
    <t>Ignore</t>
  </si>
  <si>
    <t>FiscalEndDate</t>
  </si>
  <si>
    <t>Fiscal End Date</t>
  </si>
  <si>
    <t>Fiscal Start Date</t>
  </si>
  <si>
    <t>FiscalStartDate</t>
  </si>
  <si>
    <t>sysMessage</t>
  </si>
  <si>
    <t>Message</t>
  </si>
  <si>
    <t>System.Message</t>
  </si>
  <si>
    <t>sysError</t>
  </si>
  <si>
    <t>Error</t>
  </si>
  <si>
    <t>System.Error</t>
  </si>
  <si>
    <t>Detail</t>
  </si>
  <si>
    <t>Hint</t>
  </si>
  <si>
    <t>Context</t>
  </si>
  <si>
    <t>TimeStamp</t>
  </si>
  <si>
    <t>Text</t>
  </si>
  <si>
    <t>z Make System Tables temporal</t>
  </si>
  <si>
    <t>IsMessageLogged</t>
  </si>
  <si>
    <t>Is Message Logged</t>
  </si>
  <si>
    <t>o lower case names with _</t>
  </si>
  <si>
    <t>There are no records to apply a penalty to based on the criteria.</t>
  </si>
  <si>
    <t>Based on the parameters, there were no dues to generate.</t>
  </si>
  <si>
    <t>The GST Account needs to be set in Utilities &gt; Application Setup.</t>
  </si>
  <si>
    <t>A GST History record is required based on the date %.</t>
  </si>
  <si>
    <t>No posting type assigned for client number %.</t>
  </si>
  <si>
    <t>The new invoice balance of % does not match the amount provided.</t>
  </si>
  <si>
    <t>No new transactions were required.</t>
  </si>
  <si>
    <t>Unable to locate Transaction No %. Contact the system administrator.</t>
  </si>
  <si>
    <t>Cannot add the transaction to an approved batch (Batch No. %).</t>
  </si>
  <si>
    <t>Cannot reverse Transaction No % because it is already reversed by Transaction No %.</t>
  </si>
  <si>
    <t>Cannot delete a reversed transaction until its reversing transaction has been removed.</t>
  </si>
  <si>
    <t>The batch does not exist. Contact the system administrator.</t>
  </si>
  <si>
    <t>The batch is already approved.</t>
  </si>
  <si>
    <t>The batch does not contain any transactions.</t>
  </si>
  <si>
    <t>The batch is missing its Ledger value.</t>
  </si>
  <si>
    <t>Transaction No. % is outside the current fiscal year.</t>
  </si>
  <si>
    <t>A zero balance was not obtained within Transaction No. %.</t>
  </si>
  <si>
    <t>Transaction No. % has a GL Entry with a different sign than the reconciled amount.</t>
  </si>
  <si>
    <t>Transaction No. % has a GL Entry with reconciled amounts that exceed the GL Entry amount.</t>
  </si>
  <si>
    <t>Transaction No. % has a GL Entry that is missing its GL Account value.</t>
  </si>
  <si>
    <t>Transaction No. % has a GL Entry that should be sub-classified by billing account and is not.</t>
  </si>
  <si>
    <t>The originating GL Entry does not exist. Contact the system administrator.</t>
  </si>
  <si>
    <t>The ID of the new GL Entry that was created is null. Contact the system administrator.</t>
  </si>
  <si>
    <t>Amount should always be zero for the originating prepaid GL Entry. Contact the system administrator.</t>
  </si>
  <si>
    <t>case when xx.rectype='t8' then 200910 when xx.rectype='t4' then 200900 end</t>
  </si>
  <si>
    <t>crmGender</t>
  </si>
  <si>
    <t>ContactGender</t>
  </si>
  <si>
    <t>Genders</t>
  </si>
  <si>
    <t>ATTRIBUTE TYPES</t>
  </si>
  <si>
    <t>RefTable</t>
  </si>
  <si>
    <t>RefValue</t>
  </si>
  <si>
    <t>RefID</t>
  </si>
  <si>
    <t>Key</t>
  </si>
  <si>
    <t>ml.fafixedasset.fa</t>
  </si>
  <si>
    <t>ml.fafixedasset.lo</t>
  </si>
  <si>
    <t>ml.fafixedasset.dr</t>
  </si>
  <si>
    <t>ml.comattribute.*</t>
  </si>
  <si>
    <t>ml.comattribute.fa</t>
  </si>
  <si>
    <t>ml.comattribute.ve</t>
  </si>
  <si>
    <t>ml.comattribute.em</t>
  </si>
  <si>
    <t>ml.actactivity.cl.for</t>
  </si>
  <si>
    <t>ml.actactivity.fa.for</t>
  </si>
  <si>
    <t>ml.actactivity.cl.by</t>
  </si>
  <si>
    <t>ml.actactivity.fa.by</t>
  </si>
  <si>
    <t>ml.glentry.ap</t>
  </si>
  <si>
    <t>ml.glentry.cl</t>
  </si>
  <si>
    <t>ml.glentry.fa</t>
  </si>
  <si>
    <t>ml.glentry.bl</t>
  </si>
  <si>
    <t>sysDictionaryColumnIDSource</t>
  </si>
  <si>
    <t>sysDictionaryColumnIDDest</t>
  </si>
  <si>
    <t>sysDictionaryTableID</t>
  </si>
  <si>
    <t>x convert subtype to sysdictionarytableidsubtype</t>
  </si>
  <si>
    <t>x too many glentry types.  Why does it duplicate?  Also, I have glentry.type of 'M'</t>
  </si>
  <si>
    <t>x lower case strings (like recordstatus)</t>
  </si>
  <si>
    <t>type</t>
  </si>
  <si>
    <t>description</t>
  </si>
  <si>
    <t>sequence</t>
  </si>
  <si>
    <t>recordstatus</t>
  </si>
  <si>
    <t>shortcode</t>
  </si>
  <si>
    <t>Assigned</t>
  </si>
  <si>
    <t>CAMMS</t>
  </si>
  <si>
    <t>Cancelled</t>
  </si>
  <si>
    <t>Completed</t>
  </si>
  <si>
    <t>Open</t>
  </si>
  <si>
    <t>O</t>
  </si>
  <si>
    <t>SAMS</t>
  </si>
  <si>
    <t>Admin Address</t>
  </si>
  <si>
    <t>Billing Address</t>
  </si>
  <si>
    <t>Delivery Address</t>
  </si>
  <si>
    <t>DA</t>
  </si>
  <si>
    <t>D</t>
  </si>
  <si>
    <t>Home</t>
  </si>
  <si>
    <t>H</t>
  </si>
  <si>
    <t>Other</t>
  </si>
  <si>
    <t>Shipping Address</t>
  </si>
  <si>
    <t>S</t>
  </si>
  <si>
    <t>Approved</t>
  </si>
  <si>
    <t>Integrated</t>
  </si>
  <si>
    <t xml:space="preserve">Pending </t>
  </si>
  <si>
    <t>BBT</t>
  </si>
  <si>
    <t>Billings</t>
  </si>
  <si>
    <t>Cash Receipts</t>
  </si>
  <si>
    <t>General</t>
  </si>
  <si>
    <t>Manual</t>
  </si>
  <si>
    <t>MAN</t>
  </si>
  <si>
    <t>MP</t>
  </si>
  <si>
    <t>Member Education</t>
  </si>
  <si>
    <t>MED</t>
  </si>
  <si>
    <t>PR</t>
  </si>
  <si>
    <t>REV</t>
  </si>
  <si>
    <t>TA</t>
  </si>
  <si>
    <t>Deactivated</t>
  </si>
  <si>
    <t>Pending</t>
  </si>
  <si>
    <t>Billing Account Type</t>
  </si>
  <si>
    <t>ASB Equipment rental</t>
  </si>
  <si>
    <t>ASB</t>
  </si>
  <si>
    <t>Cessford Water</t>
  </si>
  <si>
    <t>WBC</t>
  </si>
  <si>
    <t>Community Pastures</t>
  </si>
  <si>
    <t>CP</t>
  </si>
  <si>
    <t>Gravel Permit</t>
  </si>
  <si>
    <t>GP</t>
  </si>
  <si>
    <t>Henry Kroeger Water</t>
  </si>
  <si>
    <t>WBK</t>
  </si>
  <si>
    <t>Jubilee Insurance</t>
  </si>
  <si>
    <t>JI</t>
  </si>
  <si>
    <t>Local Improvement</t>
  </si>
  <si>
    <t>LI</t>
  </si>
  <si>
    <t>Maps or other items</t>
  </si>
  <si>
    <t>MS</t>
  </si>
  <si>
    <t>Miscellaneous Leases</t>
  </si>
  <si>
    <t>ML</t>
  </si>
  <si>
    <t>Oil and Gas</t>
  </si>
  <si>
    <t>B3</t>
  </si>
  <si>
    <t>Oil Well Drilling Tax</t>
  </si>
  <si>
    <t>OWD</t>
  </si>
  <si>
    <t>Rental</t>
  </si>
  <si>
    <t>B2</t>
  </si>
  <si>
    <t>Sheerness/Dead fish Water</t>
  </si>
  <si>
    <t>SWB</t>
  </si>
  <si>
    <t>Sheerness/Dead fish Water for oil Gas Comp</t>
  </si>
  <si>
    <t>SOW</t>
  </si>
  <si>
    <t>Tax Certificates</t>
  </si>
  <si>
    <t>TC</t>
  </si>
  <si>
    <t>Taxation</t>
  </si>
  <si>
    <t>Title/Record Search</t>
  </si>
  <si>
    <t>TS</t>
  </si>
  <si>
    <t>TRLS</t>
  </si>
  <si>
    <t>TR</t>
  </si>
  <si>
    <t>Water Coop Annual Payment</t>
  </si>
  <si>
    <t>WCO</t>
  </si>
  <si>
    <t>Contact Type</t>
  </si>
  <si>
    <t>Candidate</t>
  </si>
  <si>
    <t>CD</t>
  </si>
  <si>
    <t>Committee</t>
  </si>
  <si>
    <t>C</t>
  </si>
  <si>
    <t>Copy To</t>
  </si>
  <si>
    <t>CT</t>
  </si>
  <si>
    <t>E</t>
  </si>
  <si>
    <t>Facility</t>
  </si>
  <si>
    <t>F</t>
  </si>
  <si>
    <t>Institute</t>
  </si>
  <si>
    <t>I</t>
  </si>
  <si>
    <t>Member</t>
  </si>
  <si>
    <t>M</t>
  </si>
  <si>
    <t>NA</t>
  </si>
  <si>
    <t>Non Registered Employer</t>
  </si>
  <si>
    <t>NRE</t>
  </si>
  <si>
    <t>Not Found</t>
  </si>
  <si>
    <t>NF</t>
  </si>
  <si>
    <t>OG</t>
  </si>
  <si>
    <t>Practice Review Eligible Firm</t>
  </si>
  <si>
    <t>PREF</t>
  </si>
  <si>
    <t>Professional Corporation</t>
  </si>
  <si>
    <t>Professional Service Provider</t>
  </si>
  <si>
    <t>PSP</t>
  </si>
  <si>
    <t>Public Accounting Firm</t>
  </si>
  <si>
    <t>PAF</t>
  </si>
  <si>
    <t>Rate Payer</t>
  </si>
  <si>
    <t>RP</t>
  </si>
  <si>
    <t>Representative</t>
  </si>
  <si>
    <t>RE</t>
  </si>
  <si>
    <t>Special Area</t>
  </si>
  <si>
    <t>Staff Member</t>
  </si>
  <si>
    <t>Student</t>
  </si>
  <si>
    <t>University</t>
  </si>
  <si>
    <t>U</t>
  </si>
  <si>
    <t>Africa</t>
  </si>
  <si>
    <t>AFR</t>
  </si>
  <si>
    <t>Albania</t>
  </si>
  <si>
    <t>ALB</t>
  </si>
  <si>
    <t>Algeria</t>
  </si>
  <si>
    <t>ALG</t>
  </si>
  <si>
    <t>Antigua</t>
  </si>
  <si>
    <t>ANT</t>
  </si>
  <si>
    <t>Argentina</t>
  </si>
  <si>
    <t>ARG</t>
  </si>
  <si>
    <t>Australia</t>
  </si>
  <si>
    <t>AUS</t>
  </si>
  <si>
    <t>Austria</t>
  </si>
  <si>
    <t>AST</t>
  </si>
  <si>
    <t>Azerbaijan</t>
  </si>
  <si>
    <t>AZE</t>
  </si>
  <si>
    <t>Bahamas</t>
  </si>
  <si>
    <t>BAH</t>
  </si>
  <si>
    <t>Bahrain</t>
  </si>
  <si>
    <t>BRN</t>
  </si>
  <si>
    <t>Bangladesh</t>
  </si>
  <si>
    <t>BAN</t>
  </si>
  <si>
    <t>Barbados</t>
  </si>
  <si>
    <t>BAR</t>
  </si>
  <si>
    <t>Belgium</t>
  </si>
  <si>
    <t>BEL</t>
  </si>
  <si>
    <t>Bermuda</t>
  </si>
  <si>
    <t>BER</t>
  </si>
  <si>
    <t>Bosnia &amp; Herzegovina</t>
  </si>
  <si>
    <t>BH</t>
  </si>
  <si>
    <t>Botswana</t>
  </si>
  <si>
    <t>BOT</t>
  </si>
  <si>
    <t>Brazil</t>
  </si>
  <si>
    <t>BRA</t>
  </si>
  <si>
    <t>British Virgin Islands</t>
  </si>
  <si>
    <t>BVI</t>
  </si>
  <si>
    <t>British West Indies</t>
  </si>
  <si>
    <t>BWI</t>
  </si>
  <si>
    <t>Brunei</t>
  </si>
  <si>
    <t>BRU</t>
  </si>
  <si>
    <t>Bulgaria</t>
  </si>
  <si>
    <t>BUL</t>
  </si>
  <si>
    <t>Cambodia</t>
  </si>
  <si>
    <t>CAM</t>
  </si>
  <si>
    <t>Cameroon</t>
  </si>
  <si>
    <t>CMR</t>
  </si>
  <si>
    <t>Canad</t>
  </si>
  <si>
    <t>Canada</t>
  </si>
  <si>
    <t>CDN</t>
  </si>
  <si>
    <t>Cape Verde Islands</t>
  </si>
  <si>
    <t>CPV</t>
  </si>
  <si>
    <t>Cayman Islands</t>
  </si>
  <si>
    <t>CI</t>
  </si>
  <si>
    <t>Chad</t>
  </si>
  <si>
    <t>TCD</t>
  </si>
  <si>
    <t>Channel Islands</t>
  </si>
  <si>
    <t>CHA</t>
  </si>
  <si>
    <t>Chile</t>
  </si>
  <si>
    <t>CHL</t>
  </si>
  <si>
    <t>China</t>
  </si>
  <si>
    <t>CHI</t>
  </si>
  <si>
    <t>Columbia</t>
  </si>
  <si>
    <t>Costa Rica</t>
  </si>
  <si>
    <t>Cote Divoire</t>
  </si>
  <si>
    <t>CIV</t>
  </si>
  <si>
    <t>Croatia</t>
  </si>
  <si>
    <t>CRO</t>
  </si>
  <si>
    <t>Cuba</t>
  </si>
  <si>
    <t>CUB</t>
  </si>
  <si>
    <t>Cyprus</t>
  </si>
  <si>
    <t>CYP</t>
  </si>
  <si>
    <t>Cyrus</t>
  </si>
  <si>
    <t>CYR</t>
  </si>
  <si>
    <t>Czech Republic</t>
  </si>
  <si>
    <t>CZK</t>
  </si>
  <si>
    <t>Denmark</t>
  </si>
  <si>
    <t>DEN</t>
  </si>
  <si>
    <t>East Affrica</t>
  </si>
  <si>
    <t>EAF</t>
  </si>
  <si>
    <t>Egypt</t>
  </si>
  <si>
    <t>EGY</t>
  </si>
  <si>
    <t>El Salvador</t>
  </si>
  <si>
    <t>ELS</t>
  </si>
  <si>
    <t>England</t>
  </si>
  <si>
    <t>ENG</t>
  </si>
  <si>
    <t>Equador</t>
  </si>
  <si>
    <t>EQU</t>
  </si>
  <si>
    <t>Ethiopia</t>
  </si>
  <si>
    <t>ETH</t>
  </si>
  <si>
    <t>Fiji Islands</t>
  </si>
  <si>
    <t>FJI</t>
  </si>
  <si>
    <t>Finland</t>
  </si>
  <si>
    <t>FIN</t>
  </si>
  <si>
    <t>France</t>
  </si>
  <si>
    <t>FRA</t>
  </si>
  <si>
    <t>Georgia</t>
  </si>
  <si>
    <t>GEO</t>
  </si>
  <si>
    <t>Germany</t>
  </si>
  <si>
    <t>GRM</t>
  </si>
  <si>
    <t>Ghana</t>
  </si>
  <si>
    <t>GHA</t>
  </si>
  <si>
    <t>Gibraltar</t>
  </si>
  <si>
    <t>GIB</t>
  </si>
  <si>
    <t>Great Britain</t>
  </si>
  <si>
    <t>GRB</t>
  </si>
  <si>
    <t>Greece</t>
  </si>
  <si>
    <t>GRE</t>
  </si>
  <si>
    <t>Guam</t>
  </si>
  <si>
    <t>GUA</t>
  </si>
  <si>
    <t>Guyana</t>
  </si>
  <si>
    <t>GUY</t>
  </si>
  <si>
    <t>Hong Kong</t>
  </si>
  <si>
    <t>HKG</t>
  </si>
  <si>
    <t>Hungary</t>
  </si>
  <si>
    <t>HUN</t>
  </si>
  <si>
    <t>India</t>
  </si>
  <si>
    <t>IND</t>
  </si>
  <si>
    <t>Indonesia</t>
  </si>
  <si>
    <t>IDO</t>
  </si>
  <si>
    <t>Ireland</t>
  </si>
  <si>
    <t>IRE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</si>
  <si>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</si>
  <si>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</si>
  <si>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</si>
  <si>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</si>
  <si>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</si>
  <si>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</si>
  <si>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</si>
  <si>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</si>
  <si>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</si>
  <si>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</si>
  <si>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</si>
  <si>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</si>
  <si>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Kuwait</t>
  </si>
  <si>
    <t>KUW</t>
  </si>
  <si>
    <t>Kyrgyzstan</t>
  </si>
  <si>
    <t>KYR</t>
  </si>
  <si>
    <t>Lao Pdr</t>
  </si>
  <si>
    <t>LAO</t>
  </si>
  <si>
    <t>Latvia</t>
  </si>
  <si>
    <t>LAT</t>
  </si>
  <si>
    <t>Lebanon</t>
  </si>
  <si>
    <t>LBN</t>
  </si>
  <si>
    <t>Lesotho</t>
  </si>
  <si>
    <t>LES</t>
  </si>
  <si>
    <t>Libya</t>
  </si>
  <si>
    <t>LIB</t>
  </si>
  <si>
    <t>Luxembourg</t>
  </si>
  <si>
    <t>LUX</t>
  </si>
  <si>
    <t>Malaysia</t>
  </si>
  <si>
    <t>MAL</t>
  </si>
  <si>
    <t>Malta</t>
  </si>
  <si>
    <t>MLT</t>
  </si>
  <si>
    <t>Mauritius</t>
  </si>
  <si>
    <t>MRI</t>
  </si>
  <si>
    <t>Mexico</t>
  </si>
  <si>
    <t>MEX</t>
  </si>
  <si>
    <t>MONACO</t>
  </si>
  <si>
    <t>MC</t>
  </si>
  <si>
    <t>Mongolia</t>
  </si>
  <si>
    <t>MN</t>
  </si>
  <si>
    <t>MOROCCO</t>
  </si>
  <si>
    <t>MOR</t>
  </si>
  <si>
    <t>Mozambique</t>
  </si>
  <si>
    <t>MOZ</t>
  </si>
  <si>
    <t>NEPAL</t>
  </si>
  <si>
    <t>NPL</t>
  </si>
  <si>
    <t>Netherlands</t>
  </si>
  <si>
    <t>NET</t>
  </si>
  <si>
    <t>New Guinea</t>
  </si>
  <si>
    <t>NGU</t>
  </si>
  <si>
    <t>New Zealand</t>
  </si>
  <si>
    <t>NZL</t>
  </si>
  <si>
    <t>NICARAGUA</t>
  </si>
  <si>
    <t>NI</t>
  </si>
  <si>
    <t>Nigeria</t>
  </si>
  <si>
    <t>NIG</t>
  </si>
  <si>
    <t>North Korea</t>
  </si>
  <si>
    <t>NKOR</t>
  </si>
  <si>
    <t>Northern Ireland</t>
  </si>
  <si>
    <t>NOI</t>
  </si>
  <si>
    <t>Northern Mariana Islands</t>
  </si>
  <si>
    <t>MNP</t>
  </si>
  <si>
    <t>Norway</t>
  </si>
  <si>
    <t>NRY</t>
  </si>
  <si>
    <t>OTH</t>
  </si>
  <si>
    <t>Pakistan</t>
  </si>
  <si>
    <t>PAK</t>
  </si>
  <si>
    <t>Peru</t>
  </si>
  <si>
    <t>PER</t>
  </si>
  <si>
    <t>Philippines</t>
  </si>
  <si>
    <t>PHI</t>
  </si>
  <si>
    <t>Poland</t>
  </si>
  <si>
    <t>POL</t>
  </si>
  <si>
    <t>Portugal</t>
  </si>
  <si>
    <t>POR</t>
  </si>
  <si>
    <t>Qatar</t>
  </si>
  <si>
    <t>QAT</t>
  </si>
  <si>
    <t>Republic of Madagascar</t>
  </si>
  <si>
    <t>MDG</t>
  </si>
  <si>
    <t>Russia</t>
  </si>
  <si>
    <t>RUS</t>
  </si>
  <si>
    <t>Rwanda</t>
  </si>
  <si>
    <t>RWA</t>
  </si>
  <si>
    <t>Saudi Arabia</t>
  </si>
  <si>
    <t>SAR</t>
  </si>
  <si>
    <t>Scotland</t>
  </si>
  <si>
    <t>SCO</t>
  </si>
  <si>
    <t>Senegal</t>
  </si>
  <si>
    <t>SEN</t>
  </si>
  <si>
    <t>Singapore</t>
  </si>
  <si>
    <t>SIN</t>
  </si>
  <si>
    <t>Slovakia</t>
  </si>
  <si>
    <t>SLO</t>
  </si>
  <si>
    <t>South Africa</t>
  </si>
  <si>
    <t>SAF</t>
  </si>
  <si>
    <t>South Korea</t>
  </si>
  <si>
    <t>KOR</t>
  </si>
  <si>
    <t>Spain</t>
  </si>
  <si>
    <t>SPA</t>
  </si>
  <si>
    <t>Sri Lanka</t>
  </si>
  <si>
    <t>SRI</t>
  </si>
  <si>
    <t>St. Vincent</t>
  </si>
  <si>
    <t>VIN</t>
  </si>
  <si>
    <t>Sudan</t>
  </si>
  <si>
    <t>SUD</t>
  </si>
  <si>
    <t>Sultinate of Oman</t>
  </si>
  <si>
    <t>OMN</t>
  </si>
  <si>
    <t>Sweden</t>
  </si>
  <si>
    <t>SWE</t>
  </si>
  <si>
    <t>Switzerland</t>
  </si>
  <si>
    <t>SWI</t>
  </si>
  <si>
    <t>Taiwan</t>
  </si>
  <si>
    <t>TPE</t>
  </si>
  <si>
    <t>Tanzania</t>
  </si>
  <si>
    <t>TAN</t>
  </si>
  <si>
    <t>test</t>
  </si>
  <si>
    <t>Thailand</t>
  </si>
  <si>
    <t>THA</t>
  </si>
  <si>
    <t>Trinidad &amp; Tobago</t>
  </si>
  <si>
    <t>TTO</t>
  </si>
  <si>
    <t>Tunisia</t>
  </si>
  <si>
    <t>TUN</t>
  </si>
  <si>
    <t>Turkey</t>
  </si>
  <si>
    <t>TUR</t>
  </si>
  <si>
    <t>Turks and Caicos Islands</t>
  </si>
  <si>
    <t>TRK</t>
  </si>
  <si>
    <t>Uganda</t>
  </si>
  <si>
    <t>UGA</t>
  </si>
  <si>
    <t>Ukraine</t>
  </si>
  <si>
    <t>UKR</t>
  </si>
  <si>
    <t>United Arab Emirates</t>
  </si>
  <si>
    <t>UAE</t>
  </si>
  <si>
    <t>United Kingdom</t>
  </si>
  <si>
    <t>UKE</t>
  </si>
  <si>
    <t>United States</t>
  </si>
  <si>
    <t>Unknown</t>
  </si>
  <si>
    <t>UNK</t>
  </si>
  <si>
    <t>USA</t>
  </si>
  <si>
    <t>Venezuela</t>
  </si>
  <si>
    <t>VEN</t>
  </si>
  <si>
    <t>Vietnam</t>
  </si>
  <si>
    <t>VTN</t>
  </si>
  <si>
    <t>Wales</t>
  </si>
  <si>
    <t>WAL</t>
  </si>
  <si>
    <t>Yemen</t>
  </si>
  <si>
    <t>YEM</t>
  </si>
  <si>
    <t>Zambia</t>
  </si>
  <si>
    <t>ZAM</t>
  </si>
  <si>
    <t>Zimbabwe</t>
  </si>
  <si>
    <t>ZIM</t>
  </si>
  <si>
    <t>Courier Delivery Method</t>
  </si>
  <si>
    <t>Courier</t>
  </si>
  <si>
    <t>Days Of Week</t>
  </si>
  <si>
    <t>Friday</t>
  </si>
  <si>
    <t>Monday</t>
  </si>
  <si>
    <t>Saturday</t>
  </si>
  <si>
    <t>Sunday</t>
  </si>
  <si>
    <t>Thursday</t>
  </si>
  <si>
    <t>Tuesday</t>
  </si>
  <si>
    <t>Wednesday</t>
  </si>
  <si>
    <t>Deposited</t>
  </si>
  <si>
    <t>Discount Type</t>
  </si>
  <si>
    <t>Flat</t>
  </si>
  <si>
    <t>Percentage</t>
  </si>
  <si>
    <t>Employer Status</t>
  </si>
  <si>
    <t>Inactive</t>
  </si>
  <si>
    <t>P</t>
  </si>
  <si>
    <t>Employment Sector</t>
  </si>
  <si>
    <t>Contract Services</t>
  </si>
  <si>
    <t>CON</t>
  </si>
  <si>
    <t>Education</t>
  </si>
  <si>
    <t>EDU</t>
  </si>
  <si>
    <t>Government</t>
  </si>
  <si>
    <t>GOV</t>
  </si>
  <si>
    <t>Law</t>
  </si>
  <si>
    <t>LAW</t>
  </si>
  <si>
    <t>Out of Prov. Contract Services</t>
  </si>
  <si>
    <t>OCO</t>
  </si>
  <si>
    <t>Out of Prov. Educ.</t>
  </si>
  <si>
    <t>OED</t>
  </si>
  <si>
    <t>Out of Prov. Govt</t>
  </si>
  <si>
    <t>OGV</t>
  </si>
  <si>
    <t>Out of Prov. Industry</t>
  </si>
  <si>
    <t>OIN</t>
  </si>
  <si>
    <t>Out of Prov. Law</t>
  </si>
  <si>
    <t>OLW</t>
  </si>
  <si>
    <t>Out of Prov. Public Accounting</t>
  </si>
  <si>
    <t>OPP</t>
  </si>
  <si>
    <t>Public Accounting</t>
  </si>
  <si>
    <t>PPR</t>
  </si>
  <si>
    <t>Female</t>
  </si>
  <si>
    <t>Male</t>
  </si>
  <si>
    <t>Non-Binary</t>
  </si>
  <si>
    <t>NB</t>
  </si>
  <si>
    <t>GL Account Status</t>
  </si>
  <si>
    <t>GL Account Type</t>
  </si>
  <si>
    <t>Cash</t>
  </si>
  <si>
    <t>CPAEF</t>
  </si>
  <si>
    <t>Expense</t>
  </si>
  <si>
    <t>Liability</t>
  </si>
  <si>
    <t>L</t>
  </si>
  <si>
    <t>Payable</t>
  </si>
  <si>
    <t>Receivable</t>
  </si>
  <si>
    <t>Retained Earnings</t>
  </si>
  <si>
    <t>Revenue</t>
  </si>
  <si>
    <t>GL Entry Type</t>
  </si>
  <si>
    <t>Cash Receipt Main GlEntry</t>
  </si>
  <si>
    <t>CRC</t>
  </si>
  <si>
    <t>NSF Charge</t>
  </si>
  <si>
    <t>NSF</t>
  </si>
  <si>
    <t>Payment On Account</t>
  </si>
  <si>
    <t>POA</t>
  </si>
  <si>
    <t>Payment To Item</t>
  </si>
  <si>
    <t>PTI</t>
  </si>
  <si>
    <t>Write-off</t>
  </si>
  <si>
    <t>W/O</t>
  </si>
  <si>
    <t>Job Titles</t>
  </si>
  <si>
    <t>Accounting Clerk/Technician</t>
  </si>
  <si>
    <t>Assistant Accountant/Junior Accountant</t>
  </si>
  <si>
    <t xml:space="preserve">Assistant Deputy Minister </t>
  </si>
  <si>
    <t xml:space="preserve">Associate </t>
  </si>
  <si>
    <t xml:space="preserve">Auditor/Internal Auditor </t>
  </si>
  <si>
    <t xml:space="preserve">CFO/VP Finance </t>
  </si>
  <si>
    <t xml:space="preserve">Consultant </t>
  </si>
  <si>
    <t>Controller/Comptroller/Chief Accountant</t>
  </si>
  <si>
    <t>COO and other Non-Financial Executive Management</t>
  </si>
  <si>
    <t>Director/Assistant Director</t>
  </si>
  <si>
    <t xml:space="preserve">Financial Advisor </t>
  </si>
  <si>
    <t xml:space="preserve">Manager/Senior Manager </t>
  </si>
  <si>
    <t xml:space="preserve">Other </t>
  </si>
  <si>
    <t xml:space="preserve">Partner </t>
  </si>
  <si>
    <t xml:space="preserve">President/CEO/Owner </t>
  </si>
  <si>
    <t xml:space="preserve">Principal </t>
  </si>
  <si>
    <t>Professor/Instructor</t>
  </si>
  <si>
    <t xml:space="preserve">Sole Practitioner </t>
  </si>
  <si>
    <t xml:space="preserve">Supervisor </t>
  </si>
  <si>
    <t xml:space="preserve">Team Leader </t>
  </si>
  <si>
    <t xml:space="preserve">Treasurer </t>
  </si>
  <si>
    <t>English</t>
  </si>
  <si>
    <t>French</t>
  </si>
  <si>
    <t>Italian</t>
  </si>
  <si>
    <t>Spanish</t>
  </si>
  <si>
    <t>Mail Status</t>
  </si>
  <si>
    <t>Missing Address</t>
  </si>
  <si>
    <t>MA</t>
  </si>
  <si>
    <t>Missing Distribution Type</t>
  </si>
  <si>
    <t>MD</t>
  </si>
  <si>
    <t>Sent</t>
  </si>
  <si>
    <t>SN</t>
  </si>
  <si>
    <t>To be Sent</t>
  </si>
  <si>
    <t>Unexpected Error</t>
  </si>
  <si>
    <t>UN</t>
  </si>
  <si>
    <t>Mail Suppress Reason</t>
  </si>
  <si>
    <t>Canada Anti-Spam Law</t>
  </si>
  <si>
    <t>CASL</t>
  </si>
  <si>
    <t>Requested By Client</t>
  </si>
  <si>
    <t>CLNT</t>
  </si>
  <si>
    <t>Requested By Conversion Process</t>
  </si>
  <si>
    <t>CNVR</t>
  </si>
  <si>
    <t>Requested By ICAA</t>
  </si>
  <si>
    <t>ICAA</t>
  </si>
  <si>
    <t>Mailing Method</t>
  </si>
  <si>
    <t>E-Mail</t>
  </si>
  <si>
    <t>Post</t>
  </si>
  <si>
    <t>Mailing Option Type</t>
  </si>
  <si>
    <t>Catalog</t>
  </si>
  <si>
    <t>Courier/Freight Delivery</t>
  </si>
  <si>
    <t>CF</t>
  </si>
  <si>
    <t>CPD Course Confirmation</t>
  </si>
  <si>
    <t>CPD Passport Confirmation</t>
  </si>
  <si>
    <t>Electronic Communications</t>
  </si>
  <si>
    <t>MM</t>
  </si>
  <si>
    <t>General Correspondence</t>
  </si>
  <si>
    <t>GC</t>
  </si>
  <si>
    <t>IN</t>
  </si>
  <si>
    <t>Invoice Notifications</t>
  </si>
  <si>
    <t>Practice Review Report</t>
  </si>
  <si>
    <t>Publication</t>
  </si>
  <si>
    <t>PB</t>
  </si>
  <si>
    <t>Regulatory Information (Voting Package, Bylaws)</t>
  </si>
  <si>
    <t>RI</t>
  </si>
  <si>
    <t>Tax Receipt</t>
  </si>
  <si>
    <t>Urgent Member Notices</t>
  </si>
  <si>
    <t>Media Classification</t>
  </si>
  <si>
    <t>Audio</t>
  </si>
  <si>
    <t>AU</t>
  </si>
  <si>
    <t>Compressed File</t>
  </si>
  <si>
    <t>TE</t>
  </si>
  <si>
    <t>Video</t>
  </si>
  <si>
    <t>VI</t>
  </si>
  <si>
    <t>Media Extension</t>
  </si>
  <si>
    <t>Doc</t>
  </si>
  <si>
    <t>doc</t>
  </si>
  <si>
    <t>Mp3</t>
  </si>
  <si>
    <t>mp3</t>
  </si>
  <si>
    <t>Mpg</t>
  </si>
  <si>
    <t>mpg</t>
  </si>
  <si>
    <t>Rar</t>
  </si>
  <si>
    <t>rar</t>
  </si>
  <si>
    <t>Txt</t>
  </si>
  <si>
    <t>txt</t>
  </si>
  <si>
    <t>Wav</t>
  </si>
  <si>
    <t>wav</t>
  </si>
  <si>
    <t>Wma</t>
  </si>
  <si>
    <t>wma</t>
  </si>
  <si>
    <t>Wmv</t>
  </si>
  <si>
    <t>wmv</t>
  </si>
  <si>
    <t>Zip</t>
  </si>
  <si>
    <t>zip</t>
  </si>
  <si>
    <t>Media Type</t>
  </si>
  <si>
    <t>Multimedia</t>
  </si>
  <si>
    <t>mm</t>
  </si>
  <si>
    <t>Supplement</t>
  </si>
  <si>
    <t>sp</t>
  </si>
  <si>
    <t>Cheque</t>
  </si>
  <si>
    <t xml:space="preserve">Credit Card - American Express </t>
  </si>
  <si>
    <t>Credit Card - Mastercard</t>
  </si>
  <si>
    <t xml:space="preserve">Credit Card - other </t>
  </si>
  <si>
    <t xml:space="preserve">Credit Card - Visa </t>
  </si>
  <si>
    <t>Debit/Credit Card</t>
  </si>
  <si>
    <t>Electronic Funds Transfer</t>
  </si>
  <si>
    <t>Payment Status</t>
  </si>
  <si>
    <t>Paid</t>
  </si>
  <si>
    <t>Unpaid</t>
  </si>
  <si>
    <t>Posting Status</t>
  </si>
  <si>
    <t>Posted</t>
  </si>
  <si>
    <t>Posting Type</t>
  </si>
  <si>
    <t>Preferred Address Type</t>
  </si>
  <si>
    <t>Billing</t>
  </si>
  <si>
    <t>Mailing</t>
  </si>
  <si>
    <t>Shipping</t>
  </si>
  <si>
    <t>Additional Information Required</t>
  </si>
  <si>
    <t>Awaiting Documents</t>
  </si>
  <si>
    <t>Deferred</t>
  </si>
  <si>
    <t>Denied</t>
  </si>
  <si>
    <t>Draft</t>
  </si>
  <si>
    <t>Endorsed</t>
  </si>
  <si>
    <t>In Progress</t>
  </si>
  <si>
    <t>In Review</t>
  </si>
  <si>
    <t>Incomplete</t>
  </si>
  <si>
    <t>Pending Payment</t>
  </si>
  <si>
    <t>Ready for Additional Review</t>
  </si>
  <si>
    <t>Ready for Approval</t>
  </si>
  <si>
    <t>Ready for Manager Review</t>
  </si>
  <si>
    <t>Ready for Review</t>
  </si>
  <si>
    <t>Rescinded</t>
  </si>
  <si>
    <t>Withdrawn</t>
  </si>
  <si>
    <t>Process Step</t>
  </si>
  <si>
    <t>Reconciliation State</t>
  </si>
  <si>
    <t>Fully Reconciled</t>
  </si>
  <si>
    <t>No Reconciliations</t>
  </si>
  <si>
    <t>Not Applicable</t>
  </si>
  <si>
    <t>Partially Reconciled</t>
  </si>
  <si>
    <t>AB Designated Partner</t>
  </si>
  <si>
    <t>Advisor</t>
  </si>
  <si>
    <t>ADV</t>
  </si>
  <si>
    <t>Chair</t>
  </si>
  <si>
    <t>CHAR</t>
  </si>
  <si>
    <t>Chair Or Active Volunteer</t>
  </si>
  <si>
    <t>CAV</t>
  </si>
  <si>
    <t>Committee Contact</t>
  </si>
  <si>
    <t>CONT</t>
  </si>
  <si>
    <t>Discipline Contact</t>
  </si>
  <si>
    <t>Employment</t>
  </si>
  <si>
    <t>Family</t>
  </si>
  <si>
    <t>First Vice-president (president Elect)</t>
  </si>
  <si>
    <t>1VPR</t>
  </si>
  <si>
    <t>HO Designated Partner</t>
  </si>
  <si>
    <t>Honorary Role</t>
  </si>
  <si>
    <t>HON</t>
  </si>
  <si>
    <t>Member Ab. Arbitration/ Mediation</t>
  </si>
  <si>
    <t>AAMS</t>
  </si>
  <si>
    <t>Monitor</t>
  </si>
  <si>
    <t>MON</t>
  </si>
  <si>
    <t>Observer</t>
  </si>
  <si>
    <t>OBSV</t>
  </si>
  <si>
    <t>Participant</t>
  </si>
  <si>
    <t>Partner</t>
  </si>
  <si>
    <t>PR Contact</t>
  </si>
  <si>
    <t>Preliminary Investigator</t>
  </si>
  <si>
    <t>PI</t>
  </si>
  <si>
    <t>President</t>
  </si>
  <si>
    <t>PRES</t>
  </si>
  <si>
    <t>Prior Candidate For Council</t>
  </si>
  <si>
    <t>PCC</t>
  </si>
  <si>
    <t>Prior Member Of Council</t>
  </si>
  <si>
    <t>PMC</t>
  </si>
  <si>
    <t>Public Representative</t>
  </si>
  <si>
    <t>PREP</t>
  </si>
  <si>
    <t>Relative</t>
  </si>
  <si>
    <t>Same Entity</t>
  </si>
  <si>
    <t>Second Vice-president</t>
  </si>
  <si>
    <t>2VPR</t>
  </si>
  <si>
    <t>Secretary</t>
  </si>
  <si>
    <t>SECR</t>
  </si>
  <si>
    <t>Secretary-treasurer</t>
  </si>
  <si>
    <t>SCTR</t>
  </si>
  <si>
    <t>Shareholder</t>
  </si>
  <si>
    <t>Sibling</t>
  </si>
  <si>
    <t>Spousal</t>
  </si>
  <si>
    <t>Staff Support</t>
  </si>
  <si>
    <t>STAF</t>
  </si>
  <si>
    <t>Student Contact</t>
  </si>
  <si>
    <t>Sub Committee</t>
  </si>
  <si>
    <t>Sub-committee Co-ordinator</t>
  </si>
  <si>
    <t>SBCO</t>
  </si>
  <si>
    <t>Treasurer</t>
  </si>
  <si>
    <t>TRES</t>
  </si>
  <si>
    <t>Vice-chair</t>
  </si>
  <si>
    <t>VCHR</t>
  </si>
  <si>
    <t>Volunteer</t>
  </si>
  <si>
    <t>Reversal State</t>
  </si>
  <si>
    <t>No Reversal</t>
  </si>
  <si>
    <t>NOR</t>
  </si>
  <si>
    <t>Pending Reversal</t>
  </si>
  <si>
    <t>Posted Reversal</t>
  </si>
  <si>
    <t>Transaction Type</t>
  </si>
  <si>
    <t>Cash Receipt</t>
  </si>
  <si>
    <t>Miscellaneous</t>
  </si>
  <si>
    <t>Year Status</t>
  </si>
  <si>
    <t>Latest</t>
  </si>
  <si>
    <t>Prior</t>
  </si>
  <si>
    <t>Account Action Type</t>
  </si>
  <si>
    <t>Account Charges</t>
  </si>
  <si>
    <t>Member Due</t>
  </si>
  <si>
    <t>Payment on Account</t>
  </si>
  <si>
    <t>System Generated Payment on Account</t>
  </si>
  <si>
    <t>Act Breach Outcome</t>
  </si>
  <si>
    <t>Compliance û no UT</t>
  </si>
  <si>
    <t>Injunction Received</t>
  </si>
  <si>
    <t>Undertaking Received</t>
  </si>
  <si>
    <t>Act Breach Status</t>
  </si>
  <si>
    <t>Closed</t>
  </si>
  <si>
    <t>Pending Director Review</t>
  </si>
  <si>
    <t>Pending Monitoring û 12 months</t>
  </si>
  <si>
    <t>Pending Monitoring û 3 months</t>
  </si>
  <si>
    <t>Pending Monitoring û 6 months</t>
  </si>
  <si>
    <t xml:space="preserve">Pending Response from ôAct Breacherö </t>
  </si>
  <si>
    <t>Referred to Legal</t>
  </si>
  <si>
    <t>Activation Status</t>
  </si>
  <si>
    <t>IS</t>
  </si>
  <si>
    <t>Call Centre</t>
  </si>
  <si>
    <t>CS</t>
  </si>
  <si>
    <t>Document Request</t>
  </si>
  <si>
    <t>DR</t>
  </si>
  <si>
    <t>Alberta Memb Means</t>
  </si>
  <si>
    <t>Affil B.C.</t>
  </si>
  <si>
    <t>ABC</t>
  </si>
  <si>
    <t>Affil Bermuda</t>
  </si>
  <si>
    <t>ABE</t>
  </si>
  <si>
    <t>Affil Manitoba</t>
  </si>
  <si>
    <t>AMB</t>
  </si>
  <si>
    <t>Affil N.W.T.</t>
  </si>
  <si>
    <t>Affil New Brunswick</t>
  </si>
  <si>
    <t>ANB</t>
  </si>
  <si>
    <t>Affil Newfoundland</t>
  </si>
  <si>
    <t>ANF</t>
  </si>
  <si>
    <t>Affil Nova Scotia</t>
  </si>
  <si>
    <t>ANS</t>
  </si>
  <si>
    <t>Affil Ontario</t>
  </si>
  <si>
    <t>AON</t>
  </si>
  <si>
    <t>Affil P.E.I.</t>
  </si>
  <si>
    <t>APE</t>
  </si>
  <si>
    <t>Affil Quebec</t>
  </si>
  <si>
    <t>AQC</t>
  </si>
  <si>
    <t>Affil Saskatchewan</t>
  </si>
  <si>
    <t>ASK</t>
  </si>
  <si>
    <t>Affil Yukon</t>
  </si>
  <si>
    <t>AYT</t>
  </si>
  <si>
    <t>Affiliate CGA International</t>
  </si>
  <si>
    <t>AIN</t>
  </si>
  <si>
    <t>CGA Education Program</t>
  </si>
  <si>
    <t>CGA</t>
  </si>
  <si>
    <t>CMA Education Program</t>
  </si>
  <si>
    <t>CMA</t>
  </si>
  <si>
    <t>Competency</t>
  </si>
  <si>
    <t>COM</t>
  </si>
  <si>
    <t>CPA Education Program</t>
  </si>
  <si>
    <t>PEP</t>
  </si>
  <si>
    <t>Evaluation of Experience</t>
  </si>
  <si>
    <t>EvE</t>
  </si>
  <si>
    <t>Foreign Designate</t>
  </si>
  <si>
    <t>FOR</t>
  </si>
  <si>
    <t>Grandfather Clause</t>
  </si>
  <si>
    <t>GRF</t>
  </si>
  <si>
    <t>Mutual Recognition Agreement</t>
  </si>
  <si>
    <t>MRA</t>
  </si>
  <si>
    <t>READMISSION</t>
  </si>
  <si>
    <t>REI</t>
  </si>
  <si>
    <t>Reciprocal Membership Agreement</t>
  </si>
  <si>
    <t>RMA</t>
  </si>
  <si>
    <t>Reregistration</t>
  </si>
  <si>
    <t>RER</t>
  </si>
  <si>
    <t>UFE</t>
  </si>
  <si>
    <t>Alert Display</t>
  </si>
  <si>
    <t>Critical</t>
  </si>
  <si>
    <t>Information Only</t>
  </si>
  <si>
    <t>None</t>
  </si>
  <si>
    <t>Warning</t>
  </si>
  <si>
    <t>Alert Status</t>
  </si>
  <si>
    <t>Addressed</t>
  </si>
  <si>
    <t>Issued</t>
  </si>
  <si>
    <t>Applicant Type</t>
  </si>
  <si>
    <t>Affiliate</t>
  </si>
  <si>
    <t xml:space="preserve">MRA International </t>
  </si>
  <si>
    <t>Application</t>
  </si>
  <si>
    <t>Member Database Application</t>
  </si>
  <si>
    <t>MDB</t>
  </si>
  <si>
    <t>Web Application</t>
  </si>
  <si>
    <t>WEB</t>
  </si>
  <si>
    <t>Application Status</t>
  </si>
  <si>
    <t xml:space="preserve">Incomplete </t>
  </si>
  <si>
    <t xml:space="preserve">Ready for Manager Review </t>
  </si>
  <si>
    <t>Application Submission Method</t>
  </si>
  <si>
    <t>Mail or deliver to</t>
  </si>
  <si>
    <t>Secure Upload</t>
  </si>
  <si>
    <t>Application Type</t>
  </si>
  <si>
    <t>CPARPD</t>
  </si>
  <si>
    <t>CPARPD Certificate Upload</t>
  </si>
  <si>
    <t xml:space="preserve">Limited Liability  Partnership Registration </t>
  </si>
  <si>
    <t>New Member Application</t>
  </si>
  <si>
    <t>PAQ</t>
  </si>
  <si>
    <t>PPRP change Program Leader</t>
  </si>
  <si>
    <t>PPRP Deregistration</t>
  </si>
  <si>
    <t>PPRP Modify Program Application</t>
  </si>
  <si>
    <t>PPRP Renewal</t>
  </si>
  <si>
    <t>Professinal Service Provider Deregistration</t>
  </si>
  <si>
    <t xml:space="preserve">Professinal Service Provider Registration </t>
  </si>
  <si>
    <t>Professional Accounting Firm Assessment</t>
  </si>
  <si>
    <t>Professional Accounting Firm Deregistraion</t>
  </si>
  <si>
    <t xml:space="preserve">Professional Accounting Firm Registration </t>
  </si>
  <si>
    <t>Professional Accounting Firm Renewal</t>
  </si>
  <si>
    <t xml:space="preserve">Professional Corporation Registration </t>
  </si>
  <si>
    <t>Professional Service Provider Renewal</t>
  </si>
  <si>
    <t>Request Readmission</t>
  </si>
  <si>
    <t>APRO Software</t>
  </si>
  <si>
    <t>This record is to set the next identity of reference fields to 10000</t>
  </si>
  <si>
    <t>Areas Of Non- Compliance</t>
  </si>
  <si>
    <t>Financial Statement</t>
  </si>
  <si>
    <t>Quality Control</t>
  </si>
  <si>
    <t>Review</t>
  </si>
  <si>
    <t>Tax</t>
  </si>
  <si>
    <t>Areasof Practice</t>
  </si>
  <si>
    <t>Accounting Services</t>
  </si>
  <si>
    <t>ACS</t>
  </si>
  <si>
    <t>Administration</t>
  </si>
  <si>
    <t>ADM</t>
  </si>
  <si>
    <t>Assurance</t>
  </si>
  <si>
    <t>Audit Engagement</t>
  </si>
  <si>
    <t>AUD</t>
  </si>
  <si>
    <t>Book keeping</t>
  </si>
  <si>
    <t>BK</t>
  </si>
  <si>
    <t>Business Advisory Services</t>
  </si>
  <si>
    <t>BAS</t>
  </si>
  <si>
    <t>Business Valuation</t>
  </si>
  <si>
    <t>BV</t>
  </si>
  <si>
    <t>Compilation Engagement</t>
  </si>
  <si>
    <t>Controllership</t>
  </si>
  <si>
    <t>Financial Analysis &amp; Management</t>
  </si>
  <si>
    <t>FAM</t>
  </si>
  <si>
    <t>Forensic/Litigation</t>
  </si>
  <si>
    <t>General Management</t>
  </si>
  <si>
    <t>GM</t>
  </si>
  <si>
    <t>Human Resources</t>
  </si>
  <si>
    <t>HR</t>
  </si>
  <si>
    <t>Information Systems</t>
  </si>
  <si>
    <t>Insolvency</t>
  </si>
  <si>
    <t>INS</t>
  </si>
  <si>
    <t>Investments</t>
  </si>
  <si>
    <t>INV</t>
  </si>
  <si>
    <t>Marketing &amp; Sales</t>
  </si>
  <si>
    <t>Public Practice</t>
  </si>
  <si>
    <t>PP</t>
  </si>
  <si>
    <t>Review Engagement</t>
  </si>
  <si>
    <t>Specified Audit Procedure Engagement</t>
  </si>
  <si>
    <t>SAP</t>
  </si>
  <si>
    <t>TAX</t>
  </si>
  <si>
    <t>Teaching</t>
  </si>
  <si>
    <t>TEA</t>
  </si>
  <si>
    <t>Treasury</t>
  </si>
  <si>
    <t>Treasury &amp; Finance</t>
  </si>
  <si>
    <t>TRF</t>
  </si>
  <si>
    <t>Assessable Party Code</t>
  </si>
  <si>
    <t>Corporation</t>
  </si>
  <si>
    <t>Federal</t>
  </si>
  <si>
    <t>Individual</t>
  </si>
  <si>
    <t>Municipal</t>
  </si>
  <si>
    <t>Provincial</t>
  </si>
  <si>
    <t>Assessment Result</t>
  </si>
  <si>
    <t>Eligible</t>
  </si>
  <si>
    <t>Not Eligible</t>
  </si>
  <si>
    <t>ATO Status</t>
  </si>
  <si>
    <t>ATO Sub Status</t>
  </si>
  <si>
    <t>No Restriction</t>
  </si>
  <si>
    <t>NR</t>
  </si>
  <si>
    <t>Restriction; Insufficient Assurance</t>
  </si>
  <si>
    <t>Restriction; Insufficient Audit</t>
  </si>
  <si>
    <t>IA</t>
  </si>
  <si>
    <t>Restriction; Insufficient Competencies</t>
  </si>
  <si>
    <t>IC</t>
  </si>
  <si>
    <t>Restriction; Insufficient Overall Hours</t>
  </si>
  <si>
    <t>IH</t>
  </si>
  <si>
    <t>Restriction; Insufficient Tax</t>
  </si>
  <si>
    <t>IT</t>
  </si>
  <si>
    <t>Restriction; Specified Student</t>
  </si>
  <si>
    <t>SS</t>
  </si>
  <si>
    <t>Secondment Arrangement</t>
  </si>
  <si>
    <t>SA</t>
  </si>
  <si>
    <t>Audit Priority</t>
  </si>
  <si>
    <t>High</t>
  </si>
  <si>
    <t>Low</t>
  </si>
  <si>
    <t>Medium</t>
  </si>
  <si>
    <t>Audit Result</t>
  </si>
  <si>
    <t>Fail</t>
  </si>
  <si>
    <t>Pass</t>
  </si>
  <si>
    <t>Audit Source</t>
  </si>
  <si>
    <t>Random</t>
  </si>
  <si>
    <t>R</t>
  </si>
  <si>
    <t>Audit Status</t>
  </si>
  <si>
    <t>Awaiting Submission</t>
  </si>
  <si>
    <t>Not Required</t>
  </si>
  <si>
    <t>Selected</t>
  </si>
  <si>
    <t>Submitted</t>
  </si>
  <si>
    <t>SB</t>
  </si>
  <si>
    <t>Audit Type</t>
  </si>
  <si>
    <t>Activity Tracking</t>
  </si>
  <si>
    <t>Source Documents</t>
  </si>
  <si>
    <t>Billing Adjustment Code</t>
  </si>
  <si>
    <t>70 or more and Under $30K</t>
  </si>
  <si>
    <t>SR</t>
  </si>
  <si>
    <t>Active earnings under $30,000</t>
  </si>
  <si>
    <t>Education Subs.</t>
  </si>
  <si>
    <t>ES</t>
  </si>
  <si>
    <t>Family Status</t>
  </si>
  <si>
    <t>Health Considerations</t>
  </si>
  <si>
    <t>HE</t>
  </si>
  <si>
    <t>Life Membership</t>
  </si>
  <si>
    <t>Not a Real Code</t>
  </si>
  <si>
    <t>Probably Not Real, Either</t>
  </si>
  <si>
    <t>Remission of Dues</t>
  </si>
  <si>
    <t>RM</t>
  </si>
  <si>
    <t>Retired and Meets "Rule of 90"</t>
  </si>
  <si>
    <t>Waiver</t>
  </si>
  <si>
    <t>WA</t>
  </si>
  <si>
    <t>Billing Period</t>
  </si>
  <si>
    <t>1 Month</t>
  </si>
  <si>
    <t>1 Quarter</t>
  </si>
  <si>
    <t>Q</t>
  </si>
  <si>
    <t>1 Year</t>
  </si>
  <si>
    <t>YY</t>
  </si>
  <si>
    <t>Board Voting Option</t>
  </si>
  <si>
    <t>Abstain</t>
  </si>
  <si>
    <t>Voting For</t>
  </si>
  <si>
    <t>T</t>
  </si>
  <si>
    <t>Buy Sell Status</t>
  </si>
  <si>
    <t>Inctive</t>
  </si>
  <si>
    <t>Buy Sell Type</t>
  </si>
  <si>
    <t>Buyer</t>
  </si>
  <si>
    <t>Office space</t>
  </si>
  <si>
    <t>Seller</t>
  </si>
  <si>
    <t>Canada Memb Means</t>
  </si>
  <si>
    <t>Affil CPA</t>
  </si>
  <si>
    <t>CPA</t>
  </si>
  <si>
    <t>CA Education Program</t>
  </si>
  <si>
    <t>CA RECIPROCITY PD</t>
  </si>
  <si>
    <t>CARPD</t>
  </si>
  <si>
    <t>Canadian CPA</t>
  </si>
  <si>
    <t>CCP</t>
  </si>
  <si>
    <t>CPA Reciprocity Exam</t>
  </si>
  <si>
    <t>CPARE</t>
  </si>
  <si>
    <t>CPA Reciprocity PD</t>
  </si>
  <si>
    <t>CPAPD</t>
  </si>
  <si>
    <t>Cancelled Status</t>
  </si>
  <si>
    <t>Postponed</t>
  </si>
  <si>
    <t>Career Advisory Type Of Contact</t>
  </si>
  <si>
    <t>In-Person</t>
  </si>
  <si>
    <t>Career Advisory Type Of Interaction</t>
  </si>
  <si>
    <t>Career Planning</t>
  </si>
  <si>
    <t>LinkedIn Review</t>
  </si>
  <si>
    <t>Resume</t>
  </si>
  <si>
    <t>Awards</t>
  </si>
  <si>
    <t>AW</t>
  </si>
  <si>
    <t>Compliance</t>
  </si>
  <si>
    <t>Consent</t>
  </si>
  <si>
    <t>Mailing List</t>
  </si>
  <si>
    <t>Skill</t>
  </si>
  <si>
    <t>SK</t>
  </si>
  <si>
    <t>CATO Type</t>
  </si>
  <si>
    <t>CPA Firm</t>
  </si>
  <si>
    <t>Government/Public</t>
  </si>
  <si>
    <t>Certificate Date</t>
  </si>
  <si>
    <t>Declaration lost/missing date</t>
  </si>
  <si>
    <t>Issued Date</t>
  </si>
  <si>
    <t>Replaced date</t>
  </si>
  <si>
    <t>Returned date</t>
  </si>
  <si>
    <t>Certificate Status</t>
  </si>
  <si>
    <t>Declaration Lost / Missing</t>
  </si>
  <si>
    <t>Replaced</t>
  </si>
  <si>
    <t>Returned</t>
  </si>
  <si>
    <t>Certificate Type</t>
  </si>
  <si>
    <t>MBR</t>
  </si>
  <si>
    <t>CGAN</t>
  </si>
  <si>
    <t>Fellow CA</t>
  </si>
  <si>
    <t>FCA</t>
  </si>
  <si>
    <t>Fellow CGA</t>
  </si>
  <si>
    <t>FCGA</t>
  </si>
  <si>
    <t>Fellow CMA</t>
  </si>
  <si>
    <t>Fellow CPA</t>
  </si>
  <si>
    <t>FCPA</t>
  </si>
  <si>
    <t>Life</t>
  </si>
  <si>
    <t>LIF</t>
  </si>
  <si>
    <t>Replacement CA</t>
  </si>
  <si>
    <t>REP</t>
  </si>
  <si>
    <t>RIA</t>
  </si>
  <si>
    <t>Second CA</t>
  </si>
  <si>
    <t>SEC</t>
  </si>
  <si>
    <t>Character And Reputation Declaration Status</t>
  </si>
  <si>
    <t>Character And Reputation Response</t>
  </si>
  <si>
    <t>No</t>
  </si>
  <si>
    <t>Yes</t>
  </si>
  <si>
    <t>Citizenship Status</t>
  </si>
  <si>
    <t>Canadian Citizen</t>
  </si>
  <si>
    <t>Lawfully Permitted To Work or Study In Canada</t>
  </si>
  <si>
    <t>Permanent Resident</t>
  </si>
  <si>
    <t>Calgary</t>
  </si>
  <si>
    <t>Edmonton</t>
  </si>
  <si>
    <t>Client Request Status</t>
  </si>
  <si>
    <t>Documents/information required</t>
  </si>
  <si>
    <t>Client Request Type</t>
  </si>
  <si>
    <t>Change Date of Birth</t>
  </si>
  <si>
    <t>Change Employer Address</t>
  </si>
  <si>
    <t>Deregistration</t>
  </si>
  <si>
    <t>Insurance PLI Related</t>
  </si>
  <si>
    <t>Name Change</t>
  </si>
  <si>
    <t>Communication Preferences Distribution Type</t>
  </si>
  <si>
    <t>Email and Print</t>
  </si>
  <si>
    <t>Print</t>
  </si>
  <si>
    <t>Communication Preferences Status</t>
  </si>
  <si>
    <t>Complaint Submission Method</t>
  </si>
  <si>
    <t>Comply Type</t>
  </si>
  <si>
    <t>Exempted</t>
  </si>
  <si>
    <t>In-Progress</t>
  </si>
  <si>
    <t>IP</t>
  </si>
  <si>
    <t>Non-Compliance</t>
  </si>
  <si>
    <t>Condition Type</t>
  </si>
  <si>
    <t>Directed Course/Exam</t>
  </si>
  <si>
    <t>DCE</t>
  </si>
  <si>
    <t>FD</t>
  </si>
  <si>
    <t>RPD</t>
  </si>
  <si>
    <t>Registration Committee</t>
  </si>
  <si>
    <t>RC</t>
  </si>
  <si>
    <t>Conditions</t>
  </si>
  <si>
    <t>Conduct and Discipline</t>
  </si>
  <si>
    <t>Foreign Designate registration</t>
  </si>
  <si>
    <t>Reciprocal Membership Professional Development</t>
  </si>
  <si>
    <t>Registration committee</t>
  </si>
  <si>
    <t>Restriction</t>
  </si>
  <si>
    <t>Conditions Monitoring Source</t>
  </si>
  <si>
    <t>Professional Standards</t>
  </si>
  <si>
    <t>Registrar</t>
  </si>
  <si>
    <t>Conditions Monitoring Status</t>
  </si>
  <si>
    <t>Conditions Source</t>
  </si>
  <si>
    <t>Conditions Status</t>
  </si>
  <si>
    <t>Conduct And Discipline Type</t>
  </si>
  <si>
    <t>Act Breach</t>
  </si>
  <si>
    <t>File</t>
  </si>
  <si>
    <t>Matter</t>
  </si>
  <si>
    <t>Connector Participant Type</t>
  </si>
  <si>
    <t>Connector</t>
  </si>
  <si>
    <t>Connector Program Category</t>
  </si>
  <si>
    <t xml:space="preserve">Improve Networking </t>
  </si>
  <si>
    <t>International</t>
  </si>
  <si>
    <t>Recent Moved to AB</t>
  </si>
  <si>
    <t>Connector Program Mentor Background Choice</t>
  </si>
  <si>
    <t>Canadian Born</t>
  </si>
  <si>
    <t>No Preference</t>
  </si>
  <si>
    <t>Similar</t>
  </si>
  <si>
    <t>Connector Status</t>
  </si>
  <si>
    <t>Connected -1</t>
  </si>
  <si>
    <t>Connected -2</t>
  </si>
  <si>
    <t>Connected -3</t>
  </si>
  <si>
    <t>Connected -4</t>
  </si>
  <si>
    <t>Pairing in Progress</t>
  </si>
  <si>
    <t>Referred to CS</t>
  </si>
  <si>
    <t>Referred to Immigrant Serving Agency</t>
  </si>
  <si>
    <t>Referred to Mentorship</t>
  </si>
  <si>
    <t>Reply required</t>
  </si>
  <si>
    <t>Updated resume required</t>
  </si>
  <si>
    <t>Consent Type</t>
  </si>
  <si>
    <t>Awaiting Consent</t>
  </si>
  <si>
    <t>Explicit Consent</t>
  </si>
  <si>
    <t>EC</t>
  </si>
  <si>
    <t>Implied Consent</t>
  </si>
  <si>
    <t>Course And Exam Ordered By</t>
  </si>
  <si>
    <t>Practice Review</t>
  </si>
  <si>
    <t>Course And Exam Provider</t>
  </si>
  <si>
    <t>Continuing Education</t>
  </si>
  <si>
    <t>CPA Alberta</t>
  </si>
  <si>
    <t>CPA Canada</t>
  </si>
  <si>
    <t>CPAWSB</t>
  </si>
  <si>
    <t>Post Secondary</t>
  </si>
  <si>
    <t>Course And Exam Status</t>
  </si>
  <si>
    <t>Course And Exam Type</t>
  </si>
  <si>
    <t>Credit Course</t>
  </si>
  <si>
    <t>Exam</t>
  </si>
  <si>
    <t>Specialty</t>
  </si>
  <si>
    <t>CPA Department</t>
  </si>
  <si>
    <t>Business Development</t>
  </si>
  <si>
    <t>Communication and Government Relations</t>
  </si>
  <si>
    <t>Corporate Strategy and Risk</t>
  </si>
  <si>
    <t>Event Management</t>
  </si>
  <si>
    <t>Foundation</t>
  </si>
  <si>
    <t>Governance</t>
  </si>
  <si>
    <t>Member Engagement</t>
  </si>
  <si>
    <t>Member Products and Services</t>
  </si>
  <si>
    <t>Practical Experience Requirement</t>
  </si>
  <si>
    <t>Registrations</t>
  </si>
  <si>
    <t>CPA Recognized Body Requirements</t>
  </si>
  <si>
    <t>2 Year Resident Required</t>
  </si>
  <si>
    <t>3 Years Supervised Work</t>
  </si>
  <si>
    <t>5 Years Advanced Course</t>
  </si>
  <si>
    <t>Accounting Conversion Course</t>
  </si>
  <si>
    <t>Active Member Verification</t>
  </si>
  <si>
    <t>Advanced Strategic Management Course</t>
  </si>
  <si>
    <t>Complete Tax and Law PD</t>
  </si>
  <si>
    <t>Degree Accounting</t>
  </si>
  <si>
    <t>Degree Assessment Required</t>
  </si>
  <si>
    <t>Degree NonAccounting</t>
  </si>
  <si>
    <t>Employed and Residing in Canada</t>
  </si>
  <si>
    <t>No Degree 15 Years Work</t>
  </si>
  <si>
    <t>No Discipline in Past 5 Years</t>
  </si>
  <si>
    <t>Originating Membership Exam</t>
  </si>
  <si>
    <t>Originating Membership Maintained</t>
  </si>
  <si>
    <t>Permission to Work in Canada Or Canadian citizen or other</t>
  </si>
  <si>
    <t>Practical Experience Verification</t>
  </si>
  <si>
    <t>Residency requirement</t>
  </si>
  <si>
    <t>Started Program Prior to Immigrating</t>
  </si>
  <si>
    <t>CPA Recognized Body Type</t>
  </si>
  <si>
    <t>IFAC</t>
  </si>
  <si>
    <t>CPD Audit Decision</t>
  </si>
  <si>
    <t>Confirmation of Understanding</t>
  </si>
  <si>
    <t>Double Non-Comply Suspension</t>
  </si>
  <si>
    <t>Multi-Year Non-Comply</t>
  </si>
  <si>
    <t>One-Year Non-Comply</t>
  </si>
  <si>
    <t>Return to Work</t>
  </si>
  <si>
    <t>Zero Reliance</t>
  </si>
  <si>
    <t>CPD Competency Assessed</t>
  </si>
  <si>
    <t>Accounting and Finance</t>
  </si>
  <si>
    <t>Audit and Assurance</t>
  </si>
  <si>
    <t>Communication</t>
  </si>
  <si>
    <t>Ethics</t>
  </si>
  <si>
    <t>Financial Reporting</t>
  </si>
  <si>
    <t>Innovation and Technology</t>
  </si>
  <si>
    <t>Leadership</t>
  </si>
  <si>
    <t>Management accounting</t>
  </si>
  <si>
    <t>Problem solving and decision making</t>
  </si>
  <si>
    <t>Professional and Ethical Behavior</t>
  </si>
  <si>
    <t>Recruiting and employment management</t>
  </si>
  <si>
    <t>Self-Management</t>
  </si>
  <si>
    <t>Strategy and Governance</t>
  </si>
  <si>
    <t>Teamwork</t>
  </si>
  <si>
    <t>CPD Compliant</t>
  </si>
  <si>
    <t>Comply</t>
  </si>
  <si>
    <t>Exemption</t>
  </si>
  <si>
    <t>Non comply</t>
  </si>
  <si>
    <t>CPD Compliant Staff Only</t>
  </si>
  <si>
    <t>Exempt from reporting</t>
  </si>
  <si>
    <t>CPD Course Provider</t>
  </si>
  <si>
    <t>College or University</t>
  </si>
  <si>
    <t>Uni</t>
  </si>
  <si>
    <t>Community Organization</t>
  </si>
  <si>
    <t>CO</t>
  </si>
  <si>
    <t>CPAA</t>
  </si>
  <si>
    <t>CPAC</t>
  </si>
  <si>
    <t>Employer</t>
  </si>
  <si>
    <t>Emp</t>
  </si>
  <si>
    <t>G</t>
  </si>
  <si>
    <t>Local Chapter</t>
  </si>
  <si>
    <t>ch</t>
  </si>
  <si>
    <t>OT</t>
  </si>
  <si>
    <t>CPD Exemption 1 Year</t>
  </si>
  <si>
    <t>Health</t>
  </si>
  <si>
    <t>Maternity and Parental Leave</t>
  </si>
  <si>
    <t>New Member</t>
  </si>
  <si>
    <t>NM</t>
  </si>
  <si>
    <t>Permanently Withdrawn From Workforce</t>
  </si>
  <si>
    <t>PW</t>
  </si>
  <si>
    <t>CPD Exemption 3 Year</t>
  </si>
  <si>
    <t>RW</t>
  </si>
  <si>
    <t>CPD Include In Audit</t>
  </si>
  <si>
    <t>Automated</t>
  </si>
  <si>
    <t>CPD Include In Audit Audit Source</t>
  </si>
  <si>
    <t>CPD Plan Entered</t>
  </si>
  <si>
    <t>CPD Plan Status</t>
  </si>
  <si>
    <t>CPE Reason</t>
  </si>
  <si>
    <t>Changed Declaration</t>
  </si>
  <si>
    <t>Comply within 3yrs.</t>
  </si>
  <si>
    <t>C3</t>
  </si>
  <si>
    <t>Desk Audit</t>
  </si>
  <si>
    <t>Exempt - RegComm</t>
  </si>
  <si>
    <t>ER</t>
  </si>
  <si>
    <t>Health Consideration</t>
  </si>
  <si>
    <t>HC</t>
  </si>
  <si>
    <t>Legacy Exemption</t>
  </si>
  <si>
    <t>LE</t>
  </si>
  <si>
    <t>Must Comply  in BOTH</t>
  </si>
  <si>
    <t>New Grad Member</t>
  </si>
  <si>
    <t>NG</t>
  </si>
  <si>
    <t>Permanently Withdrawn Workforce</t>
  </si>
  <si>
    <t>Retiring w/in 2yrs.</t>
  </si>
  <si>
    <t>R2</t>
  </si>
  <si>
    <t>Submitted/Complied</t>
  </si>
  <si>
    <t>SC</t>
  </si>
  <si>
    <t>Submitted/Non-Comply</t>
  </si>
  <si>
    <t>CPE Result</t>
  </si>
  <si>
    <t>CPE Selection</t>
  </si>
  <si>
    <t>Discipline</t>
  </si>
  <si>
    <t>CR Area</t>
  </si>
  <si>
    <t>Accounting</t>
  </si>
  <si>
    <t>Common</t>
  </si>
  <si>
    <t>Communications</t>
  </si>
  <si>
    <t>Cr Area</t>
  </si>
  <si>
    <t>Data Mode</t>
  </si>
  <si>
    <t>Snapshot</t>
  </si>
  <si>
    <t>Declaration Status</t>
  </si>
  <si>
    <t>Complete</t>
  </si>
  <si>
    <t>Regis. Comm. Review</t>
  </si>
  <si>
    <t>RCR</t>
  </si>
  <si>
    <t>Degree Level</t>
  </si>
  <si>
    <t>Bachelors</t>
  </si>
  <si>
    <t>BAC</t>
  </si>
  <si>
    <t>Masters</t>
  </si>
  <si>
    <t>MAS</t>
  </si>
  <si>
    <t>Ph.D</t>
  </si>
  <si>
    <t>PHD</t>
  </si>
  <si>
    <t xml:space="preserve">Business Development </t>
  </si>
  <si>
    <t xml:space="preserve">Conduct &amp; Discipline </t>
  </si>
  <si>
    <t xml:space="preserve">Corporate Registrations </t>
  </si>
  <si>
    <t>Events</t>
  </si>
  <si>
    <t>Executive Team</t>
  </si>
  <si>
    <t>EX</t>
  </si>
  <si>
    <t xml:space="preserve">Finance </t>
  </si>
  <si>
    <t>Information Technology</t>
  </si>
  <si>
    <t>Member Education &amp; Services</t>
  </si>
  <si>
    <t>ME</t>
  </si>
  <si>
    <t xml:space="preserve">Practical Experience </t>
  </si>
  <si>
    <t>Printing/Mailing</t>
  </si>
  <si>
    <t>PM</t>
  </si>
  <si>
    <t>Professional Development</t>
  </si>
  <si>
    <t>Professional Services</t>
  </si>
  <si>
    <t>PST</t>
  </si>
  <si>
    <t>Public Affairs</t>
  </si>
  <si>
    <t>PA</t>
  </si>
  <si>
    <t>REG</t>
  </si>
  <si>
    <t>Technology Services</t>
  </si>
  <si>
    <t>Tribunals</t>
  </si>
  <si>
    <t>TRI</t>
  </si>
  <si>
    <t>Acredit Appraiser Institute Canada</t>
  </si>
  <si>
    <t>AAC</t>
  </si>
  <si>
    <t>Associate Banker Association</t>
  </si>
  <si>
    <t>ABA</t>
  </si>
  <si>
    <t>Associate Chartered Accountant (Foreign Desi)</t>
  </si>
  <si>
    <t>ACA</t>
  </si>
  <si>
    <t>Associate Chartered Institute of Sec &amp; Admin</t>
  </si>
  <si>
    <t>ACI</t>
  </si>
  <si>
    <t>Canadian Insolvency Association</t>
  </si>
  <si>
    <t>IAC</t>
  </si>
  <si>
    <t>Certified Fraud Examiners</t>
  </si>
  <si>
    <t>CFE</t>
  </si>
  <si>
    <t>Certified General Accountant</t>
  </si>
  <si>
    <t>Certified Information Systems Auditor</t>
  </si>
  <si>
    <t>ISA</t>
  </si>
  <si>
    <t>Certified Internal Auditor</t>
  </si>
  <si>
    <t>CIA</t>
  </si>
  <si>
    <t>Certified Management Accountant</t>
  </si>
  <si>
    <t>Certified Management Consultant</t>
  </si>
  <si>
    <t>CMC</t>
  </si>
  <si>
    <t>Certified Public Accountant</t>
  </si>
  <si>
    <t>Chartered Business Valuator</t>
  </si>
  <si>
    <t>CBV</t>
  </si>
  <si>
    <t>Chartered Financial Analyst</t>
  </si>
  <si>
    <t>CFA</t>
  </si>
  <si>
    <t>Chartered Financial Planner</t>
  </si>
  <si>
    <t>CFP</t>
  </si>
  <si>
    <t>Chartered Insolvency &amp; Restructuring Professi</t>
  </si>
  <si>
    <t>IRP</t>
  </si>
  <si>
    <t>Chartered Insolvency Practitioner</t>
  </si>
  <si>
    <t>CIP</t>
  </si>
  <si>
    <t>FCA of British Columbia</t>
  </si>
  <si>
    <t>FBC</t>
  </si>
  <si>
    <t>FCA of England &amp; Wales</t>
  </si>
  <si>
    <t>FEW</t>
  </si>
  <si>
    <t>FCA of India</t>
  </si>
  <si>
    <t>FCA of Ireland</t>
  </si>
  <si>
    <t>FIR</t>
  </si>
  <si>
    <t>FCA of Manitoba</t>
  </si>
  <si>
    <t>FMB</t>
  </si>
  <si>
    <t>FCA of New Brunswick</t>
  </si>
  <si>
    <t>FNB</t>
  </si>
  <si>
    <t>FCA of North West Territories</t>
  </si>
  <si>
    <t>FNT</t>
  </si>
  <si>
    <t>FCA of Nova Scotia</t>
  </si>
  <si>
    <t>FNS</t>
  </si>
  <si>
    <t>FCA of Ontario</t>
  </si>
  <si>
    <t>FON</t>
  </si>
  <si>
    <t>FCA of Prince Edward Island</t>
  </si>
  <si>
    <t>FPE</t>
  </si>
  <si>
    <t>FCA of Quebec</t>
  </si>
  <si>
    <t>FPQ</t>
  </si>
  <si>
    <t>FCA of Saskatchewan</t>
  </si>
  <si>
    <t>FSK</t>
  </si>
  <si>
    <t>FCA of Scotland</t>
  </si>
  <si>
    <t>FSC</t>
  </si>
  <si>
    <t>Fellow Appraisal Institute of Canada</t>
  </si>
  <si>
    <t>FAC</t>
  </si>
  <si>
    <t>Fellow Certified Management Accountant</t>
  </si>
  <si>
    <t>FCM</t>
  </si>
  <si>
    <t>Fellow Chartered Insolvency Practitioner</t>
  </si>
  <si>
    <t>FCI</t>
  </si>
  <si>
    <t>Fellow of CA'S (NOT ALBERTA)</t>
  </si>
  <si>
    <t>Fellow Real Estate Institute</t>
  </si>
  <si>
    <t>FRI</t>
  </si>
  <si>
    <t>Information Systems Professional</t>
  </si>
  <si>
    <t>ISP</t>
  </si>
  <si>
    <t>Investigative &amp; Forensic Accounting</t>
  </si>
  <si>
    <t>IFA</t>
  </si>
  <si>
    <t>Personnal Financial Planner</t>
  </si>
  <si>
    <t>PFP</t>
  </si>
  <si>
    <t>Registered Financial Planner</t>
  </si>
  <si>
    <t>RFP</t>
  </si>
  <si>
    <t>Registered Organization Dev Professional</t>
  </si>
  <si>
    <t>ROD</t>
  </si>
  <si>
    <t>Trustee In Bankruptcy</t>
  </si>
  <si>
    <t>TIB</t>
  </si>
  <si>
    <t>Dietary Note</t>
  </si>
  <si>
    <t>Celiac</t>
  </si>
  <si>
    <t>CE</t>
  </si>
  <si>
    <t>Lactose Intolerant</t>
  </si>
  <si>
    <t>No Beef</t>
  </si>
  <si>
    <t>No Pork</t>
  </si>
  <si>
    <t>NP</t>
  </si>
  <si>
    <t>Nut Allergy</t>
  </si>
  <si>
    <t>NU</t>
  </si>
  <si>
    <t>Seafood Allergy</t>
  </si>
  <si>
    <t>Vegetarian (not Vegan)</t>
  </si>
  <si>
    <t>VG</t>
  </si>
  <si>
    <t>Disc File Completion Status</t>
  </si>
  <si>
    <t>Outstanding</t>
  </si>
  <si>
    <t>Disc File Inv Priority</t>
  </si>
  <si>
    <t>Disc File Origin</t>
  </si>
  <si>
    <t>Bankruptcy/Insolvency</t>
  </si>
  <si>
    <t>CIC</t>
  </si>
  <si>
    <t>CIC Secretary</t>
  </si>
  <si>
    <t>Complaint</t>
  </si>
  <si>
    <t>Media</t>
  </si>
  <si>
    <t>Other Registrant</t>
  </si>
  <si>
    <t>Other Regulator</t>
  </si>
  <si>
    <t>Practice review appeal</t>
  </si>
  <si>
    <t>Practice Review Committee</t>
  </si>
  <si>
    <t>Public</t>
  </si>
  <si>
    <t>Registration appeal</t>
  </si>
  <si>
    <t>Registration Department</t>
  </si>
  <si>
    <t>Registrations Committee</t>
  </si>
  <si>
    <t>S. 80 appeal</t>
  </si>
  <si>
    <t>Self-Report</t>
  </si>
  <si>
    <t>Disc File Status</t>
  </si>
  <si>
    <t>Appeal Discontinued</t>
  </si>
  <si>
    <t>Appeal Dismissed</t>
  </si>
  <si>
    <t>HA</t>
  </si>
  <si>
    <t>Appeal Withdrawn</t>
  </si>
  <si>
    <t>Appeal-Pending</t>
  </si>
  <si>
    <t>Awaiting Questionnaire</t>
  </si>
  <si>
    <t>Cancel (created in error)</t>
  </si>
  <si>
    <t>Cancel (not pursuing)</t>
  </si>
  <si>
    <t>CIC Chair Dismissed with Guidance</t>
  </si>
  <si>
    <t>CIC Chair Guidance</t>
  </si>
  <si>
    <t>CIC Guidance</t>
  </si>
  <si>
    <t>Complaint Dismissed by CIC</t>
  </si>
  <si>
    <t xml:space="preserve">Complaint Dismissed by CIC Chair </t>
  </si>
  <si>
    <t xml:space="preserve">Complaint Dismissed Expiry Pending </t>
  </si>
  <si>
    <t>File Closed - Deceased</t>
  </si>
  <si>
    <t>File Closed see file for details</t>
  </si>
  <si>
    <t>Financial Status-Dismissed</t>
  </si>
  <si>
    <t>Financial Status-Monitoring</t>
  </si>
  <si>
    <t>Hearing Complete Expiry Pending</t>
  </si>
  <si>
    <t>Hearing Not Guilty</t>
  </si>
  <si>
    <t>EA</t>
  </si>
  <si>
    <t>Hearing Pending</t>
  </si>
  <si>
    <t>Investigation Pending</t>
  </si>
  <si>
    <t>Mediated</t>
  </si>
  <si>
    <t>Mediation Pending</t>
  </si>
  <si>
    <t>No Jurisdiction</t>
  </si>
  <si>
    <t>NJ</t>
  </si>
  <si>
    <t>Offer to Settle pending acceptance</t>
  </si>
  <si>
    <t>Orders Complied</t>
  </si>
  <si>
    <t>Outstanding Orders Monitoring</t>
  </si>
  <si>
    <t>GA</t>
  </si>
  <si>
    <t xml:space="preserve">Pending Chair Decision </t>
  </si>
  <si>
    <t>Pending CIC Decision</t>
  </si>
  <si>
    <t>Pending CIC Secretary Report</t>
  </si>
  <si>
    <t>Pending Registrant's Response</t>
  </si>
  <si>
    <t>Ready for CIC Secretary Review</t>
  </si>
  <si>
    <t>Referred to DTRC</t>
  </si>
  <si>
    <t>Registration Cancelled Orders Pending</t>
  </si>
  <si>
    <t>Registration Cancelled Stayed</t>
  </si>
  <si>
    <t>Registration Cancelled Written Off</t>
  </si>
  <si>
    <t>Resignation accepted Conditions must be met before readmission</t>
  </si>
  <si>
    <t>S.80 Appeal Pending</t>
  </si>
  <si>
    <t>S.81 Appeal</t>
  </si>
  <si>
    <t>Settled Monitoring</t>
  </si>
  <si>
    <t>Settled-Pending Receipt of Sanction Agreement</t>
  </si>
  <si>
    <t xml:space="preserve">Stayed </t>
  </si>
  <si>
    <t>IB</t>
  </si>
  <si>
    <t>J</t>
  </si>
  <si>
    <t>Disc File Type</t>
  </si>
  <si>
    <t>Audit Standards (206)</t>
  </si>
  <si>
    <t>Borrowing from Clients</t>
  </si>
  <si>
    <t>Breach of Order/Undertaking</t>
  </si>
  <si>
    <t>BRC</t>
  </si>
  <si>
    <t xml:space="preserve">Commission  </t>
  </si>
  <si>
    <t>Communication-Acceptance of Engagement</t>
  </si>
  <si>
    <t>Compilation (206)</t>
  </si>
  <si>
    <t>Confidentiality</t>
  </si>
  <si>
    <t>Conflict of Interest</t>
  </si>
  <si>
    <t>Contingent Fees</t>
  </si>
  <si>
    <t>Cooperation with ICAA</t>
  </si>
  <si>
    <t>Cooperation with Successor</t>
  </si>
  <si>
    <t xml:space="preserve">Fee Quotes  </t>
  </si>
  <si>
    <t>Financial Planning</t>
  </si>
  <si>
    <t>FPL</t>
  </si>
  <si>
    <t>GAAP</t>
  </si>
  <si>
    <t>GAP</t>
  </si>
  <si>
    <t>Independence</t>
  </si>
  <si>
    <t>Insolvency or Mental Infirmity</t>
  </si>
  <si>
    <t>Insolvency Practice</t>
  </si>
  <si>
    <t>Integrity &amp; Due Care</t>
  </si>
  <si>
    <t>Misappropriation of Funds or Valuables</t>
  </si>
  <si>
    <t>APP</t>
  </si>
  <si>
    <t>Misrepresentation</t>
  </si>
  <si>
    <t>Office (Registration, Use of Name)</t>
  </si>
  <si>
    <t>OFF</t>
  </si>
  <si>
    <t>Practice Review-Audit</t>
  </si>
  <si>
    <t>PRA</t>
  </si>
  <si>
    <t>Practice Review-Review</t>
  </si>
  <si>
    <t>PRR</t>
  </si>
  <si>
    <t>Practice Review-Standards</t>
  </si>
  <si>
    <t>PRC</t>
  </si>
  <si>
    <t>Professional Liability Insurance</t>
  </si>
  <si>
    <t>PLI</t>
  </si>
  <si>
    <t>Public Company (206)</t>
  </si>
  <si>
    <t>PUB</t>
  </si>
  <si>
    <t>Reputation of Profession</t>
  </si>
  <si>
    <t>Reviews (206)</t>
  </si>
  <si>
    <t>Solicitation/Advertising</t>
  </si>
  <si>
    <t>Sustaining Professional Competence</t>
  </si>
  <si>
    <t>Tax Competency</t>
  </si>
  <si>
    <t>Tax Management</t>
  </si>
  <si>
    <t>TXM</t>
  </si>
  <si>
    <t>Trust Funds &amp; Property of Others</t>
  </si>
  <si>
    <t>Unauthorized Benefits</t>
  </si>
  <si>
    <t>Unlawful Activity</t>
  </si>
  <si>
    <t>Valuation</t>
  </si>
  <si>
    <t>VAL</t>
  </si>
  <si>
    <t>Working/Papers</t>
  </si>
  <si>
    <t>Disposition</t>
  </si>
  <si>
    <t>AGT Transmission</t>
  </si>
  <si>
    <t>TAG</t>
  </si>
  <si>
    <t>Arrears Only Cultivation Lease</t>
  </si>
  <si>
    <t>Arrears Only Grazing Lease</t>
  </si>
  <si>
    <t>LGO</t>
  </si>
  <si>
    <t>Arrears-Industrial</t>
  </si>
  <si>
    <t>TAI</t>
  </si>
  <si>
    <t>Arrears-Pipeline</t>
  </si>
  <si>
    <t>TAP</t>
  </si>
  <si>
    <t>Arrears-Taxes</t>
  </si>
  <si>
    <t>TAT</t>
  </si>
  <si>
    <t>Commercial R of Way</t>
  </si>
  <si>
    <t>TRW</t>
  </si>
  <si>
    <t>Commercial Saw/Rlwy</t>
  </si>
  <si>
    <t>TCR</t>
  </si>
  <si>
    <t>Commercial Spurlines</t>
  </si>
  <si>
    <t>TCS</t>
  </si>
  <si>
    <t>Community Pasture</t>
  </si>
  <si>
    <t>TCM</t>
  </si>
  <si>
    <t>Crown Vacant</t>
  </si>
  <si>
    <t>TCV</t>
  </si>
  <si>
    <t>Cultivation Lease</t>
  </si>
  <si>
    <t>LCL</t>
  </si>
  <si>
    <t>Cultivation Permit</t>
  </si>
  <si>
    <t>LCP</t>
  </si>
  <si>
    <t>DIP</t>
  </si>
  <si>
    <t>Electric Dist</t>
  </si>
  <si>
    <t>TED</t>
  </si>
  <si>
    <t>Exclusion</t>
  </si>
  <si>
    <t>LEX</t>
  </si>
  <si>
    <t>Exempt</t>
  </si>
  <si>
    <t>TEM</t>
  </si>
  <si>
    <t>Grazing Lease</t>
  </si>
  <si>
    <t>LGL</t>
  </si>
  <si>
    <t>Grazing Permit</t>
  </si>
  <si>
    <t>LGP</t>
  </si>
  <si>
    <t>Improvement on Crown Land</t>
  </si>
  <si>
    <t>TIC</t>
  </si>
  <si>
    <t>Ind Land Farm Rate</t>
  </si>
  <si>
    <t>TLF</t>
  </si>
  <si>
    <t>Ind Land Market Rate</t>
  </si>
  <si>
    <t>TLM</t>
  </si>
  <si>
    <t>Industrial Improve</t>
  </si>
  <si>
    <t>TII</t>
  </si>
  <si>
    <t>Irrigation Lease</t>
  </si>
  <si>
    <t>LIL</t>
  </si>
  <si>
    <t>Miscellaneous Lease</t>
  </si>
  <si>
    <t>LMP</t>
  </si>
  <si>
    <t>MSL Taxable</t>
  </si>
  <si>
    <t>TMT</t>
  </si>
  <si>
    <t>Power and Pipe</t>
  </si>
  <si>
    <t>TPP</t>
  </si>
  <si>
    <t>Residential Market</t>
  </si>
  <si>
    <t>TRM</t>
  </si>
  <si>
    <t>River Accured Area</t>
  </si>
  <si>
    <t>RAA</t>
  </si>
  <si>
    <t>Tax Rec Agmt/Sale</t>
  </si>
  <si>
    <t>TTS</t>
  </si>
  <si>
    <t>Tax Recovery Paid</t>
  </si>
  <si>
    <t>TTP</t>
  </si>
  <si>
    <t>Titled</t>
  </si>
  <si>
    <t>TTI</t>
  </si>
  <si>
    <t>Vacant Res Sch Ex</t>
  </si>
  <si>
    <t>TVT</t>
  </si>
  <si>
    <t>Water Body</t>
  </si>
  <si>
    <t>TWB</t>
  </si>
  <si>
    <t>Disposition Class</t>
  </si>
  <si>
    <t>GR</t>
  </si>
  <si>
    <t>EP</t>
  </si>
  <si>
    <t>TIE</t>
  </si>
  <si>
    <t>District Type</t>
  </si>
  <si>
    <t>General Tax Authority</t>
  </si>
  <si>
    <t>Hospital District</t>
  </si>
  <si>
    <t>Land Zone</t>
  </si>
  <si>
    <t>Z</t>
  </si>
  <si>
    <t>Medical Center</t>
  </si>
  <si>
    <t>School District</t>
  </si>
  <si>
    <t>Donation Fund Type</t>
  </si>
  <si>
    <t>Named Fund</t>
  </si>
  <si>
    <t>No Limit</t>
  </si>
  <si>
    <t>Research Fund</t>
  </si>
  <si>
    <t>Student Assistance Program</t>
  </si>
  <si>
    <t>Wherever Needed</t>
  </si>
  <si>
    <t>Donation Made As</t>
  </si>
  <si>
    <t>Company or Firm</t>
  </si>
  <si>
    <t>Guest</t>
  </si>
  <si>
    <t>Person or Member</t>
  </si>
  <si>
    <t>Self</t>
  </si>
  <si>
    <t>Donation Type</t>
  </si>
  <si>
    <t>Maximum Amount</t>
  </si>
  <si>
    <t>MAX</t>
  </si>
  <si>
    <t>Minimum Amount</t>
  </si>
  <si>
    <t>MIN</t>
  </si>
  <si>
    <t>Other Amount</t>
  </si>
  <si>
    <t>Suggested Amount</t>
  </si>
  <si>
    <t>SUG</t>
  </si>
  <si>
    <t>Download Availability</t>
  </si>
  <si>
    <t>15 Days After Start Date</t>
  </si>
  <si>
    <t>15A</t>
  </si>
  <si>
    <t>15 Days Before Start Date</t>
  </si>
  <si>
    <t>15B</t>
  </si>
  <si>
    <t>Immediately</t>
  </si>
  <si>
    <t>IMM</t>
  </si>
  <si>
    <t>Education Type</t>
  </si>
  <si>
    <t>Certificate</t>
  </si>
  <si>
    <t>Degree</t>
  </si>
  <si>
    <t>Diploma</t>
  </si>
  <si>
    <t>No Degree</t>
  </si>
  <si>
    <t>Employer Established Explanation</t>
  </si>
  <si>
    <t>Additional office</t>
  </si>
  <si>
    <t>ADD</t>
  </si>
  <si>
    <t>Combination of factors</t>
  </si>
  <si>
    <t>COMB</t>
  </si>
  <si>
    <t>Dissoultion of prior firm(s)</t>
  </si>
  <si>
    <t>DISS</t>
  </si>
  <si>
    <t>Member(s) new to PP</t>
  </si>
  <si>
    <t>Merger of 2 or more po's</t>
  </si>
  <si>
    <t>MERG</t>
  </si>
  <si>
    <t>Partner(s) left prior firm(s)</t>
  </si>
  <si>
    <t>LEFT</t>
  </si>
  <si>
    <t>Re-registration of office</t>
  </si>
  <si>
    <t>Employer Operating Style</t>
  </si>
  <si>
    <t>Association of practices</t>
  </si>
  <si>
    <t>Partnership</t>
  </si>
  <si>
    <t>Sole Practitioner</t>
  </si>
  <si>
    <t>Employer Practice Locale</t>
  </si>
  <si>
    <t>Local Firm</t>
  </si>
  <si>
    <t>National</t>
  </si>
  <si>
    <t>Regional</t>
  </si>
  <si>
    <t>Employer Practice Type</t>
  </si>
  <si>
    <t>Auditor General</t>
  </si>
  <si>
    <t>AG</t>
  </si>
  <si>
    <t>Extra Provincial</t>
  </si>
  <si>
    <t>XP</t>
  </si>
  <si>
    <t>Non-attest Only</t>
  </si>
  <si>
    <t>Prof. Service Provid</t>
  </si>
  <si>
    <t>Volunteer Audit</t>
  </si>
  <si>
    <t>VA</t>
  </si>
  <si>
    <t>Employer Sub Status</t>
  </si>
  <si>
    <t>Application Withdrawn</t>
  </si>
  <si>
    <t>WD</t>
  </si>
  <si>
    <t>Closed Office</t>
  </si>
  <si>
    <t>Conditional Good Standing</t>
  </si>
  <si>
    <t>CN</t>
  </si>
  <si>
    <t>Custodial</t>
  </si>
  <si>
    <t>CU</t>
  </si>
  <si>
    <t>Default Conv. SubStatus</t>
  </si>
  <si>
    <t>Good Standing</t>
  </si>
  <si>
    <t>GS</t>
  </si>
  <si>
    <t>Insurance Info.</t>
  </si>
  <si>
    <t>Member left PP in Alta</t>
  </si>
  <si>
    <t>LF</t>
  </si>
  <si>
    <t>Member Regis. Cancelled</t>
  </si>
  <si>
    <t>Merger</t>
  </si>
  <si>
    <t>MR</t>
  </si>
  <si>
    <t>Not required to register</t>
  </si>
  <si>
    <t>Online Submission</t>
  </si>
  <si>
    <t>OS</t>
  </si>
  <si>
    <t>Partnership split</t>
  </si>
  <si>
    <t>SP</t>
  </si>
  <si>
    <t>Pending Approval</t>
  </si>
  <si>
    <t>Proprietor Deceased</t>
  </si>
  <si>
    <t>DE</t>
  </si>
  <si>
    <t>Sold to existing practice</t>
  </si>
  <si>
    <t>SO</t>
  </si>
  <si>
    <t>Stale-dated Application</t>
  </si>
  <si>
    <t>Suspended</t>
  </si>
  <si>
    <t>SU</t>
  </si>
  <si>
    <t>Year End</t>
  </si>
  <si>
    <t>YE</t>
  </si>
  <si>
    <t>Employer Sub Status Reason</t>
  </si>
  <si>
    <t>Advanced Application</t>
  </si>
  <si>
    <t>Chargeable Hours</t>
  </si>
  <si>
    <t>Closure information</t>
  </si>
  <si>
    <t>Combination</t>
  </si>
  <si>
    <t>Conduct &amp; Discipline</t>
  </si>
  <si>
    <t>CPD Incomplete</t>
  </si>
  <si>
    <t>CPD</t>
  </si>
  <si>
    <t>Incomplete Application</t>
  </si>
  <si>
    <t>Insurance Information</t>
  </si>
  <si>
    <t>Legacy CGA Mentorship Program</t>
  </si>
  <si>
    <t>Member Cancelled</t>
  </si>
  <si>
    <t>Member left province</t>
  </si>
  <si>
    <t>Member retired</t>
  </si>
  <si>
    <t>Member Suspended (other)</t>
  </si>
  <si>
    <t>Non-payment of dues</t>
  </si>
  <si>
    <t>ND</t>
  </si>
  <si>
    <t>Non-payment PR costs</t>
  </si>
  <si>
    <t>NC</t>
  </si>
  <si>
    <t>Outstanding Fees</t>
  </si>
  <si>
    <t>OF</t>
  </si>
  <si>
    <t>PARC Course</t>
  </si>
  <si>
    <t>Practice wound down</t>
  </si>
  <si>
    <t>Prof. Liability Insurance</t>
  </si>
  <si>
    <t>PL</t>
  </si>
  <si>
    <t>Year-End</t>
  </si>
  <si>
    <t>Employer Sub Type</t>
  </si>
  <si>
    <t>Certified General Accounting Firm</t>
  </si>
  <si>
    <t>CGAF</t>
  </si>
  <si>
    <t>Certified Management Accounting Firm</t>
  </si>
  <si>
    <t>CGA Professional Service Provider</t>
  </si>
  <si>
    <t>CGAPSP</t>
  </si>
  <si>
    <t>Out-of-Province Public Accounting Firm</t>
  </si>
  <si>
    <t>OPAF</t>
  </si>
  <si>
    <t>Pre Approved Program Route Provider</t>
  </si>
  <si>
    <t>PPRP</t>
  </si>
  <si>
    <t>Employment Exp</t>
  </si>
  <si>
    <t>Employment Key Roles</t>
  </si>
  <si>
    <t>Associate</t>
  </si>
  <si>
    <t>Contractor</t>
  </si>
  <si>
    <t>Director</t>
  </si>
  <si>
    <t>Director - Shareholder</t>
  </si>
  <si>
    <t>Principal</t>
  </si>
  <si>
    <t>Engagement Responsibility Function</t>
  </si>
  <si>
    <t>Assurance ONLY (audit, review and other)</t>
  </si>
  <si>
    <t>Business Valuation ONLY</t>
  </si>
  <si>
    <t>General û Combination of Areas</t>
  </si>
  <si>
    <t>Insolvency Only</t>
  </si>
  <si>
    <t>Taxation ONLY</t>
  </si>
  <si>
    <t>Engagement Responsibility Partner Type</t>
  </si>
  <si>
    <t>Equity partner</t>
  </si>
  <si>
    <t>Non-equity partner</t>
  </si>
  <si>
    <t>Signing member</t>
  </si>
  <si>
    <t>Ethics Course Staff Only</t>
  </si>
  <si>
    <t>Acknowledged</t>
  </si>
  <si>
    <t>Exception Type</t>
  </si>
  <si>
    <t>Canal</t>
  </si>
  <si>
    <t>Channel</t>
  </si>
  <si>
    <t>Dugout Exception</t>
  </si>
  <si>
    <t>Gravel Pit</t>
  </si>
  <si>
    <t>Pipeline</t>
  </si>
  <si>
    <t>PUMP SITE &amp; ACCESS ROAD</t>
  </si>
  <si>
    <t>Rail right of way</t>
  </si>
  <si>
    <t>Reservoir</t>
  </si>
  <si>
    <t>Road Plan</t>
  </si>
  <si>
    <t>School site</t>
  </si>
  <si>
    <t>Unregistered</t>
  </si>
  <si>
    <t>Water Exception</t>
  </si>
  <si>
    <t>Water Line</t>
  </si>
  <si>
    <t>WELLSITE</t>
  </si>
  <si>
    <t>Fee Type</t>
  </si>
  <si>
    <t>Dollar</t>
  </si>
  <si>
    <t>Free</t>
  </si>
  <si>
    <t>Ticket</t>
  </si>
  <si>
    <t>Feereductionwaiver</t>
  </si>
  <si>
    <t>100% Full</t>
  </si>
  <si>
    <t>75% Partial</t>
  </si>
  <si>
    <t>No Waiver</t>
  </si>
  <si>
    <t>Field Code</t>
  </si>
  <si>
    <t>ACT</t>
  </si>
  <si>
    <t>Agriculture</t>
  </si>
  <si>
    <t>AGR</t>
  </si>
  <si>
    <t>Applied Business Administration</t>
  </si>
  <si>
    <t>ABAdm</t>
  </si>
  <si>
    <t>Arts</t>
  </si>
  <si>
    <t>ART</t>
  </si>
  <si>
    <t>Bachelor of Management</t>
  </si>
  <si>
    <t>BMgmt</t>
  </si>
  <si>
    <t>Bachelor of Theology</t>
  </si>
  <si>
    <t>Business</t>
  </si>
  <si>
    <t>BUS</t>
  </si>
  <si>
    <t>Business Administration</t>
  </si>
  <si>
    <t>BAdm</t>
  </si>
  <si>
    <t>Commerce</t>
  </si>
  <si>
    <t>Computing Science</t>
  </si>
  <si>
    <t>CSC</t>
  </si>
  <si>
    <t>CO-OP</t>
  </si>
  <si>
    <t>COP</t>
  </si>
  <si>
    <t>Dentistry</t>
  </si>
  <si>
    <t>Economics</t>
  </si>
  <si>
    <t>ECO</t>
  </si>
  <si>
    <t>Engineering</t>
  </si>
  <si>
    <t>Environmental Studie</t>
  </si>
  <si>
    <t>ENV</t>
  </si>
  <si>
    <t>FINANCE</t>
  </si>
  <si>
    <t>FNC</t>
  </si>
  <si>
    <t xml:space="preserve">Financial Risk Management </t>
  </si>
  <si>
    <t>FRM</t>
  </si>
  <si>
    <t>Fine Arts</t>
  </si>
  <si>
    <t>Forestry</t>
  </si>
  <si>
    <t>General Studies</t>
  </si>
  <si>
    <t>Health Services Adm</t>
  </si>
  <si>
    <t>HSA</t>
  </si>
  <si>
    <t>Home Economics</t>
  </si>
  <si>
    <t>HOM</t>
  </si>
  <si>
    <t>Hotel &amp; Resort Management</t>
  </si>
  <si>
    <t>HRM</t>
  </si>
  <si>
    <t>INDUSTRIAL RELATIONS</t>
  </si>
  <si>
    <t>IDR</t>
  </si>
  <si>
    <t>Interior Design</t>
  </si>
  <si>
    <t>JURIS DOCTOR</t>
  </si>
  <si>
    <t>JDR</t>
  </si>
  <si>
    <t>Kinesiology</t>
  </si>
  <si>
    <t>KIN</t>
  </si>
  <si>
    <t>Management Arts</t>
  </si>
  <si>
    <t>Mathematics</t>
  </si>
  <si>
    <t>MAT</t>
  </si>
  <si>
    <t>Medical Science</t>
  </si>
  <si>
    <t>MSC</t>
  </si>
  <si>
    <t>Medicine</t>
  </si>
  <si>
    <t>Music</t>
  </si>
  <si>
    <t>MUS</t>
  </si>
  <si>
    <t>Non-Business</t>
  </si>
  <si>
    <t>NON</t>
  </si>
  <si>
    <t>Nursing</t>
  </si>
  <si>
    <t>NUR</t>
  </si>
  <si>
    <t>Pharmacy</t>
  </si>
  <si>
    <t>PHR</t>
  </si>
  <si>
    <t>Philosophy</t>
  </si>
  <si>
    <t>Physical  Education</t>
  </si>
  <si>
    <t>PHY</t>
  </si>
  <si>
    <t>Political Science</t>
  </si>
  <si>
    <t>PROFESSIONAL ACCOUNTING</t>
  </si>
  <si>
    <t>PAC</t>
  </si>
  <si>
    <t>Public Managemnt</t>
  </si>
  <si>
    <t>PMN</t>
  </si>
  <si>
    <t>Science</t>
  </si>
  <si>
    <t>SCI</t>
  </si>
  <si>
    <t>Social Welfare</t>
  </si>
  <si>
    <t>SOC</t>
  </si>
  <si>
    <t>Fill Status</t>
  </si>
  <si>
    <t>Hold</t>
  </si>
  <si>
    <t>W</t>
  </si>
  <si>
    <t>Final Result</t>
  </si>
  <si>
    <t>Appeal Tribunal Confirm</t>
  </si>
  <si>
    <t>Appeal Tribunal Decision</t>
  </si>
  <si>
    <t>Appeal Tribunal Not Guilty</t>
  </si>
  <si>
    <t>Appeal Tribunal Quash</t>
  </si>
  <si>
    <t>Appeal Tribunal Refer Matter Back</t>
  </si>
  <si>
    <t>Appeal Tribunal Reverse</t>
  </si>
  <si>
    <t>Appeal Tribunal Vary</t>
  </si>
  <si>
    <t>Bankruptcy / Insolvency Discharged</t>
  </si>
  <si>
    <t>CIC Chair Dismissal</t>
  </si>
  <si>
    <t>CIC Dismissal</t>
  </si>
  <si>
    <t>Court of Appeal Decision</t>
  </si>
  <si>
    <t>Court of Appeal Not Guilty</t>
  </si>
  <si>
    <t>Court of Appeal Tribunal Confirm</t>
  </si>
  <si>
    <t>Court of Appeal Tribunal Quash</t>
  </si>
  <si>
    <t>Court of Appeal Tribunal Refer Matter Back</t>
  </si>
  <si>
    <t>Court of Appeal Tribunal Reverse</t>
  </si>
  <si>
    <t>Court of Appeal Tribunal Vary</t>
  </si>
  <si>
    <t>Discipline Tribunal Decision</t>
  </si>
  <si>
    <t>Discipline Tribunal Not Guilty</t>
  </si>
  <si>
    <t>Dismissed With Guidance</t>
  </si>
  <si>
    <t>Sanction Agreement</t>
  </si>
  <si>
    <t>Firm Descriptive Style</t>
  </si>
  <si>
    <t>Chartered Accountant</t>
  </si>
  <si>
    <t>Chartered Accountants</t>
  </si>
  <si>
    <t>CAs</t>
  </si>
  <si>
    <t>Firm Referral Industry</t>
  </si>
  <si>
    <t>Consultant Board</t>
  </si>
  <si>
    <t>Hospitality</t>
  </si>
  <si>
    <t>Muncipal Government</t>
  </si>
  <si>
    <t>Native Band</t>
  </si>
  <si>
    <t>Not For Profit</t>
  </si>
  <si>
    <t>Owner  Manged Business</t>
  </si>
  <si>
    <t>Professional</t>
  </si>
  <si>
    <t>Rate Regulated</t>
  </si>
  <si>
    <t>Firm Referral Services</t>
  </si>
  <si>
    <t>Accounting and Assurance Services-Audit</t>
  </si>
  <si>
    <t>Accounting and Assurance Services-Book Keeping</t>
  </si>
  <si>
    <t>Accounting and Assurance Services-Financial Statement Preparation</t>
  </si>
  <si>
    <t>Accounting and Assurance Services-Greenhouse Gas Emission Reporting</t>
  </si>
  <si>
    <t>Accounting and Assurance Services-Internal Control</t>
  </si>
  <si>
    <t>Accounting and Assurance Services-Review</t>
  </si>
  <si>
    <t>Accounting and Assurance Services-Small Business Startup</t>
  </si>
  <si>
    <t>Accounting and Assurance Services-Trust AccountingReporting</t>
  </si>
  <si>
    <t>Financial Advisory-Business Valuation</t>
  </si>
  <si>
    <t>Financial Advisory-Corporate Finance</t>
  </si>
  <si>
    <t>Financial Advisory-Export and Trade</t>
  </si>
  <si>
    <t>Financial Advisory-Financing Proposal</t>
  </si>
  <si>
    <t>Financial Advisory-Fraud,Forensic and Investigation</t>
  </si>
  <si>
    <t>Financial Advisory-Insolvency,Bankruptcy and Trustee</t>
  </si>
  <si>
    <t>Financial Advisory-Prospectus</t>
  </si>
  <si>
    <t>Financial Planning-Corporate Financial Planning</t>
  </si>
  <si>
    <t>Financial Planning-Insurance</t>
  </si>
  <si>
    <t>Financial Planning-Personal Financial Planning</t>
  </si>
  <si>
    <t>Financial Planning-Retirement Planning</t>
  </si>
  <si>
    <t>Information Technology-Ecommerce and Web Technologies</t>
  </si>
  <si>
    <t>Information Technology-Information System Assurance Service</t>
  </si>
  <si>
    <t>Information Technology-Software and Hardware Issues</t>
  </si>
  <si>
    <t>Information Technology-System Design Implementation</t>
  </si>
  <si>
    <t>Management Consultating-Corporate Governance</t>
  </si>
  <si>
    <t>Management Consultating-Family Law support Services</t>
  </si>
  <si>
    <t>Management Consultating-Greenhouse Gas Emission</t>
  </si>
  <si>
    <t>Management Consultating-Human Resources</t>
  </si>
  <si>
    <t>Management Consultating-Internal Audit</t>
  </si>
  <si>
    <t>Management Consultating-International Accounting Standard Training</t>
  </si>
  <si>
    <t>Management Consultating-Leadership Training</t>
  </si>
  <si>
    <t>Management Consultating-Mediation,Arbitration and Negotiation</t>
  </si>
  <si>
    <t>Management Consultating-Strategy and Operators</t>
  </si>
  <si>
    <t>Tax-Commodity Tax</t>
  </si>
  <si>
    <t>Tax-Coprporate Income Tax</t>
  </si>
  <si>
    <t>Tax-Estate and Filing</t>
  </si>
  <si>
    <t>Tax-International Tax</t>
  </si>
  <si>
    <t>Tax-Mergers and Aquisitions</t>
  </si>
  <si>
    <t>Tax-Personal Income Tax</t>
  </si>
  <si>
    <t>Tax-Small Business Startup</t>
  </si>
  <si>
    <t>Tax-US Tax</t>
  </si>
  <si>
    <t>Firm Signing Type</t>
  </si>
  <si>
    <t>Other CA who will have responsibility for an entire engagement</t>
  </si>
  <si>
    <t>Proprietor</t>
  </si>
  <si>
    <t>Foundational Areas</t>
  </si>
  <si>
    <t>Assurance standards</t>
  </si>
  <si>
    <t>Compilation standards</t>
  </si>
  <si>
    <t>Corporate taxation</t>
  </si>
  <si>
    <t>Generally Accepted Accounting Principles (GAAP)</t>
  </si>
  <si>
    <t>Generally Accepted Auditing Standards (GAAS)</t>
  </si>
  <si>
    <t>Personal taxation</t>
  </si>
  <si>
    <t>Full- Time/ Part- Time</t>
  </si>
  <si>
    <t>Full Time</t>
  </si>
  <si>
    <t>Part Time</t>
  </si>
  <si>
    <t>Function Code</t>
  </si>
  <si>
    <t>Bankruptcy</t>
  </si>
  <si>
    <t>Bookkeeping Services</t>
  </si>
  <si>
    <t>BS</t>
  </si>
  <si>
    <t>Business Consulting</t>
  </si>
  <si>
    <t>Computer Services</t>
  </si>
  <si>
    <t>Corporate Finance</t>
  </si>
  <si>
    <t>Data Processing</t>
  </si>
  <si>
    <t>DP</t>
  </si>
  <si>
    <t>Executive Personnel Recruiting</t>
  </si>
  <si>
    <t>Financial Consulting</t>
  </si>
  <si>
    <t>FC</t>
  </si>
  <si>
    <t>FP</t>
  </si>
  <si>
    <t>Forensic Accounting</t>
  </si>
  <si>
    <t>Franchise Consulting</t>
  </si>
  <si>
    <t>FR</t>
  </si>
  <si>
    <t>Litigation</t>
  </si>
  <si>
    <t>LT</t>
  </si>
  <si>
    <t>Management Consulting</t>
  </si>
  <si>
    <t>Marketing Consulting</t>
  </si>
  <si>
    <t>Mediation</t>
  </si>
  <si>
    <t>Receivership</t>
  </si>
  <si>
    <t>Strategic Planning</t>
  </si>
  <si>
    <t>Systems Consulting</t>
  </si>
  <si>
    <t>Tax Consulting</t>
  </si>
  <si>
    <t>Fund Classification</t>
  </si>
  <si>
    <t>GENERAL</t>
  </si>
  <si>
    <t>Internally Restricted</t>
  </si>
  <si>
    <t>IRESTRICTED</t>
  </si>
  <si>
    <t>Restricted</t>
  </si>
  <si>
    <t>RESTRICTED</t>
  </si>
  <si>
    <t>General Practice Restriction</t>
  </si>
  <si>
    <t>No Restrictions</t>
  </si>
  <si>
    <t>Restricted - Audits</t>
  </si>
  <si>
    <t>RAU</t>
  </si>
  <si>
    <t>Restricted - Audits &amp; Reviews</t>
  </si>
  <si>
    <t>RAR</t>
  </si>
  <si>
    <t>Restricted - F/S</t>
  </si>
  <si>
    <t>RFS</t>
  </si>
  <si>
    <t>Restricted - Reg. Comm.</t>
  </si>
  <si>
    <t>Restricted - See notes</t>
  </si>
  <si>
    <t>RNO</t>
  </si>
  <si>
    <t>Restricted - Tax</t>
  </si>
  <si>
    <t>RTX</t>
  </si>
  <si>
    <t>Restricted-all work supervised</t>
  </si>
  <si>
    <t>RAW</t>
  </si>
  <si>
    <t>Vol. Undertaking -  No Audits</t>
  </si>
  <si>
    <t>VUA</t>
  </si>
  <si>
    <t>GL Account Second Subclass</t>
  </si>
  <si>
    <t>Miscellaneous Sale</t>
  </si>
  <si>
    <t>Oil And Gas</t>
  </si>
  <si>
    <t>Taxroll</t>
  </si>
  <si>
    <t>Hearing Status</t>
  </si>
  <si>
    <t>DT appointment set</t>
  </si>
  <si>
    <t>Hearing - No Findings of Unprofessional Conduct</t>
  </si>
  <si>
    <t>Hearing Adjourned</t>
  </si>
  <si>
    <t>Hearing Complete - Awaiting Appeal</t>
  </si>
  <si>
    <t>Hearing Completed</t>
  </si>
  <si>
    <t>Hearing Date Set</t>
  </si>
  <si>
    <t>Hearing Date Set - Notice Provided</t>
  </si>
  <si>
    <t>Hearing In Progress</t>
  </si>
  <si>
    <t>Judgment Reserved</t>
  </si>
  <si>
    <t>Settled</t>
  </si>
  <si>
    <t>Waiting for Decision</t>
  </si>
  <si>
    <t>Hearing Type</t>
  </si>
  <si>
    <t>Appeal Discipline</t>
  </si>
  <si>
    <t>Appeal of Application</t>
  </si>
  <si>
    <t>Appeal Practice Review</t>
  </si>
  <si>
    <t>Appeal Registration</t>
  </si>
  <si>
    <t>Appeal S.103</t>
  </si>
  <si>
    <t>Appeal S.110</t>
  </si>
  <si>
    <t>Appeal S.80</t>
  </si>
  <si>
    <t>Appeal-Court</t>
  </si>
  <si>
    <t>Interim Application</t>
  </si>
  <si>
    <t>Review-QB</t>
  </si>
  <si>
    <t>Hearing Verdict</t>
  </si>
  <si>
    <t>Confirmed</t>
  </si>
  <si>
    <t>Discontinued</t>
  </si>
  <si>
    <t>Finding of Unprofessional Conduct</t>
  </si>
  <si>
    <t>Guilty</t>
  </si>
  <si>
    <t>No Finding of Unprofessional Conduct</t>
  </si>
  <si>
    <t>Not guilty</t>
  </si>
  <si>
    <t>Quashed</t>
  </si>
  <si>
    <t>Referred to hearing</t>
  </si>
  <si>
    <t>Stayed</t>
  </si>
  <si>
    <t>Varied</t>
  </si>
  <si>
    <t>V</t>
  </si>
  <si>
    <t>Incapacity Result</t>
  </si>
  <si>
    <t>Complaint Dismissed</t>
  </si>
  <si>
    <t>Referred back to Discipline</t>
  </si>
  <si>
    <t>Suspension/Practice RestrictionComplaint Stayed</t>
  </si>
  <si>
    <t>Incapacity Status</t>
  </si>
  <si>
    <t>Pending Assessment Report</t>
  </si>
  <si>
    <t>Pending CIC Chair approval - Assessment</t>
  </si>
  <si>
    <t>Pending CIC Chair approval - Treatment</t>
  </si>
  <si>
    <t>Pending CIC Chair approval-Suspension/Restriction</t>
  </si>
  <si>
    <t>Pending Registrant Response</t>
  </si>
  <si>
    <t>Pending Treatment Report</t>
  </si>
  <si>
    <t>Referred to CIC Secretary as Complaint</t>
  </si>
  <si>
    <t>Interest Holder Status</t>
  </si>
  <si>
    <t>In Trust</t>
  </si>
  <si>
    <t>Land Trustee</t>
  </si>
  <si>
    <t>OW</t>
  </si>
  <si>
    <t>Interest Origin</t>
  </si>
  <si>
    <t>Fee Simple</t>
  </si>
  <si>
    <t>Interest</t>
  </si>
  <si>
    <t>TI</t>
  </si>
  <si>
    <t>Interest Purpose</t>
  </si>
  <si>
    <t>Access Road</t>
  </si>
  <si>
    <t>Campground</t>
  </si>
  <si>
    <t>Other Right of Entry Order</t>
  </si>
  <si>
    <t>Power Line</t>
  </si>
  <si>
    <t>Primary Highway</t>
  </si>
  <si>
    <t>Recreation Area</t>
  </si>
  <si>
    <t>Rural Road</t>
  </si>
  <si>
    <t>Secondary Highway</t>
  </si>
  <si>
    <t>Sewage Lagoon</t>
  </si>
  <si>
    <t>Surface Material Extraction Site</t>
  </si>
  <si>
    <t>Wellsite</t>
  </si>
  <si>
    <t>Wellsite and Access Road</t>
  </si>
  <si>
    <t>Wildlife Ranch</t>
  </si>
  <si>
    <t>Interest Status</t>
  </si>
  <si>
    <t>Abandoned</t>
  </si>
  <si>
    <t>Extended</t>
  </si>
  <si>
    <t>Historical</t>
  </si>
  <si>
    <t>N/A</t>
  </si>
  <si>
    <t>Regrassed</t>
  </si>
  <si>
    <t>Interest Type</t>
  </si>
  <si>
    <t>Caveat</t>
  </si>
  <si>
    <t>Cultivation permit</t>
  </si>
  <si>
    <t>Easements</t>
  </si>
  <si>
    <t>Feed permit</t>
  </si>
  <si>
    <t>Gravel</t>
  </si>
  <si>
    <t>Gravel pit agreement</t>
  </si>
  <si>
    <t>Grazing permit</t>
  </si>
  <si>
    <t>Hay permit</t>
  </si>
  <si>
    <t>Licence of occupation</t>
  </si>
  <si>
    <t>Liens</t>
  </si>
  <si>
    <t>Management plan</t>
  </si>
  <si>
    <t>Mineral surface lease</t>
  </si>
  <si>
    <t>Pipeline agreement</t>
  </si>
  <si>
    <t>Pipeline applications</t>
  </si>
  <si>
    <t>Regrassing permit</t>
  </si>
  <si>
    <t>Restrictive agreements</t>
  </si>
  <si>
    <t>Right of entry</t>
  </si>
  <si>
    <t>Sellback Agreement</t>
  </si>
  <si>
    <t>SBA</t>
  </si>
  <si>
    <t>TN: Current Year</t>
  </si>
  <si>
    <t>TNC</t>
  </si>
  <si>
    <t>TN: Previous Year</t>
  </si>
  <si>
    <t>TNP</t>
  </si>
  <si>
    <t>TN: Redeemee Active</t>
  </si>
  <si>
    <t>TNR</t>
  </si>
  <si>
    <t>TN: Tax Sale</t>
  </si>
  <si>
    <t>TNS</t>
  </si>
  <si>
    <t>Use And Occupancy Agreement</t>
  </si>
  <si>
    <t>Inventory Status</t>
  </si>
  <si>
    <t>Unassigned</t>
  </si>
  <si>
    <t>UA</t>
  </si>
  <si>
    <t>Inventory Time</t>
  </si>
  <si>
    <t>AM</t>
  </si>
  <si>
    <t>Full Day</t>
  </si>
  <si>
    <t>Two-Day</t>
  </si>
  <si>
    <t>TD</t>
  </si>
  <si>
    <t>Inventory Type</t>
  </si>
  <si>
    <t>Lap Top</t>
  </si>
  <si>
    <t>Meeting Room</t>
  </si>
  <si>
    <t>Projector</t>
  </si>
  <si>
    <t>Invoice Notification Attachment</t>
  </si>
  <si>
    <t>Account Statement</t>
  </si>
  <si>
    <t>No Attachment</t>
  </si>
  <si>
    <t>Invoice Notification Batch Type Category</t>
  </si>
  <si>
    <t>Notification</t>
  </si>
  <si>
    <t>Reminder</t>
  </si>
  <si>
    <t>Invoice Type Detail Status</t>
  </si>
  <si>
    <t xml:space="preserve">Active </t>
  </si>
  <si>
    <t xml:space="preserve">Inactive </t>
  </si>
  <si>
    <t>Join Billing Client Type</t>
  </si>
  <si>
    <t>Additional Holder</t>
  </si>
  <si>
    <t>TH</t>
  </si>
  <si>
    <t>Land Use Class</t>
  </si>
  <si>
    <t>1 - Residential</t>
  </si>
  <si>
    <t>2 - Non-Residential</t>
  </si>
  <si>
    <t>3 - Farmland</t>
  </si>
  <si>
    <t>Lease Batch Type</t>
  </si>
  <si>
    <t>Lease Rental Notice Batch</t>
  </si>
  <si>
    <t>Miscellaneous Lease Batch</t>
  </si>
  <si>
    <t>Permit Batch</t>
  </si>
  <si>
    <t>Lease Penalty Type</t>
  </si>
  <si>
    <t>Regular</t>
  </si>
  <si>
    <t>Legacy Organization</t>
  </si>
  <si>
    <t xml:space="preserve">CA </t>
  </si>
  <si>
    <t xml:space="preserve">CMA </t>
  </si>
  <si>
    <t>Level</t>
  </si>
  <si>
    <t>Advanced</t>
  </si>
  <si>
    <t>Intermediate</t>
  </si>
  <si>
    <t>Intermediate/Advanced</t>
  </si>
  <si>
    <t>Introductory</t>
  </si>
  <si>
    <t>Introductory/Intermediate</t>
  </si>
  <si>
    <t>LLP Status</t>
  </si>
  <si>
    <t>LLP Type</t>
  </si>
  <si>
    <t>Alberta</t>
  </si>
  <si>
    <t>Mediation Result</t>
  </si>
  <si>
    <t>Mediation Cancelled</t>
  </si>
  <si>
    <t>Mediation Failed</t>
  </si>
  <si>
    <t>Mediation Successful</t>
  </si>
  <si>
    <t>Mediation Withdrawn</t>
  </si>
  <si>
    <t>Mediation Status</t>
  </si>
  <si>
    <t>Mediation Accepted</t>
  </si>
  <si>
    <t>Mediation Complete</t>
  </si>
  <si>
    <t>Mediation in Progress</t>
  </si>
  <si>
    <t>Mediation Opened</t>
  </si>
  <si>
    <t>Member Application Path</t>
  </si>
  <si>
    <t>Designated Member in Another Province</t>
  </si>
  <si>
    <t>Former Member-Re-admission</t>
  </si>
  <si>
    <t>MRA Applicant</t>
  </si>
  <si>
    <t>PEP Graduate</t>
  </si>
  <si>
    <t>RMA Applicant</t>
  </si>
  <si>
    <t>Member Billing Fee Category</t>
  </si>
  <si>
    <t>100% waiver</t>
  </si>
  <si>
    <t>75% Waiver</t>
  </si>
  <si>
    <t>Grandfathered 100% Waiver</t>
  </si>
  <si>
    <t>Member Billing Type</t>
  </si>
  <si>
    <t>Non-Prime Affil</t>
  </si>
  <si>
    <t>Non-Prime Full</t>
  </si>
  <si>
    <t>Prime Affiliate</t>
  </si>
  <si>
    <t>Prime Full</t>
  </si>
  <si>
    <t>Member Declaration Question Answer Type</t>
  </si>
  <si>
    <t>file</t>
  </si>
  <si>
    <t>subquestion</t>
  </si>
  <si>
    <t>Member Status</t>
  </si>
  <si>
    <t>Member Sub Status</t>
  </si>
  <si>
    <t>Application Denied</t>
  </si>
  <si>
    <t>AD</t>
  </si>
  <si>
    <t>Deceased</t>
  </si>
  <si>
    <t>Resigned</t>
  </si>
  <si>
    <t>Member Sub Status Reason</t>
  </si>
  <si>
    <t>BR</t>
  </si>
  <si>
    <t>Character &amp; Reputation</t>
  </si>
  <si>
    <t>Course/exam</t>
  </si>
  <si>
    <t>Failure to report CPD</t>
  </si>
  <si>
    <t>Non-payment of Dues</t>
  </si>
  <si>
    <t>Non-payment of penalty fee</t>
  </si>
  <si>
    <t>Reciprocity PD Requirement</t>
  </si>
  <si>
    <t>Stat Dec</t>
  </si>
  <si>
    <t>Member Type</t>
  </si>
  <si>
    <t>Membership Means Of Admission</t>
  </si>
  <si>
    <t>Affiliation</t>
  </si>
  <si>
    <t>Membership Status</t>
  </si>
  <si>
    <t>Confirmation Not Needed</t>
  </si>
  <si>
    <t>Membership Confirmed</t>
  </si>
  <si>
    <t>Pending Verification</t>
  </si>
  <si>
    <t>Membership Type</t>
  </si>
  <si>
    <t>CPA US</t>
  </si>
  <si>
    <t>Others</t>
  </si>
  <si>
    <t>Mentee Status</t>
  </si>
  <si>
    <t>Mentorship Agreement Status</t>
  </si>
  <si>
    <t>Not Approved</t>
  </si>
  <si>
    <t>Mentorship Condition</t>
  </si>
  <si>
    <t>Prior to Release</t>
  </si>
  <si>
    <t>Within 30 days</t>
  </si>
  <si>
    <t>Mentorship Designation</t>
  </si>
  <si>
    <t>CPA, CA</t>
  </si>
  <si>
    <t>CPA, CGA</t>
  </si>
  <si>
    <t>CPA, CMA</t>
  </si>
  <si>
    <t>Mentorship Employment Sector</t>
  </si>
  <si>
    <t>No preference</t>
  </si>
  <si>
    <t>Not-for-Profit</t>
  </si>
  <si>
    <t>Mentorship Participant Type</t>
  </si>
  <si>
    <t>Mentee</t>
  </si>
  <si>
    <t>Mentor</t>
  </si>
  <si>
    <t>Mentorship Program Type</t>
  </si>
  <si>
    <t>Career Development Mentoring Program</t>
  </si>
  <si>
    <t>Foreign-Trained Professional Mentoring Program</t>
  </si>
  <si>
    <t>Mentorship Pursuing Designation</t>
  </si>
  <si>
    <t>CPA Candidate(PEP)</t>
  </si>
  <si>
    <t>CPA Student(PREP)</t>
  </si>
  <si>
    <t>Mentorship Reason</t>
  </si>
  <si>
    <t>Change of Services</t>
  </si>
  <si>
    <t>New Applicant</t>
  </si>
  <si>
    <t>PRC Directed</t>
  </si>
  <si>
    <t>Mentorship Reason For Pairing End</t>
  </si>
  <si>
    <t xml:space="preserve"> incompatible û Configurable field</t>
  </si>
  <si>
    <t>Mentor sick</t>
  </si>
  <si>
    <t>Mentorship Report Status</t>
  </si>
  <si>
    <t>Mentorship Status</t>
  </si>
  <si>
    <t>Closed to connection (cancel)</t>
  </si>
  <si>
    <t>Open to connection</t>
  </si>
  <si>
    <t>Referred to Prof Services</t>
  </si>
  <si>
    <t>MR Category</t>
  </si>
  <si>
    <t>Monthly Water Billing</t>
  </si>
  <si>
    <t>No Degree Reason Code</t>
  </si>
  <si>
    <t>Certified General Acct</t>
  </si>
  <si>
    <t>Certified Management Acct</t>
  </si>
  <si>
    <t>Five Year Program</t>
  </si>
  <si>
    <t>5YR</t>
  </si>
  <si>
    <t>ICA &amp; CPA Merger</t>
  </si>
  <si>
    <t>Mature Student</t>
  </si>
  <si>
    <t>Non Foreign Degree</t>
  </si>
  <si>
    <t>NFO</t>
  </si>
  <si>
    <t>Senior Practitioner</t>
  </si>
  <si>
    <t>SPR</t>
  </si>
  <si>
    <t>Undergraduate Student</t>
  </si>
  <si>
    <t>UND</t>
  </si>
  <si>
    <t>Breaking News</t>
  </si>
  <si>
    <t>New</t>
  </si>
  <si>
    <t>New, Breaking News</t>
  </si>
  <si>
    <t>New, Updated</t>
  </si>
  <si>
    <t>Updated</t>
  </si>
  <si>
    <t>Updated, Breaking News</t>
  </si>
  <si>
    <t>Number Of Years In Canada</t>
  </si>
  <si>
    <t>1 to 3</t>
  </si>
  <si>
    <t>Less than 1</t>
  </si>
  <si>
    <t>More than 3</t>
  </si>
  <si>
    <t>Oil Gas Default Account</t>
  </si>
  <si>
    <t>EAS</t>
  </si>
  <si>
    <t>LOC</t>
  </si>
  <si>
    <t>MSL</t>
  </si>
  <si>
    <t>ROE</t>
  </si>
  <si>
    <t>Oil Gas Location</t>
  </si>
  <si>
    <t>Cultivation and Community Pasture</t>
  </si>
  <si>
    <t>Grazing and Community Pasture</t>
  </si>
  <si>
    <t>GCP</t>
  </si>
  <si>
    <t>Grazing and Cultivation Lease</t>
  </si>
  <si>
    <t>GCL</t>
  </si>
  <si>
    <t>GL</t>
  </si>
  <si>
    <t>Special Areas</t>
  </si>
  <si>
    <t>Oil Gas Type</t>
  </si>
  <si>
    <t>Easement</t>
  </si>
  <si>
    <t>License of occupation</t>
  </si>
  <si>
    <t>On CPD Action Plan</t>
  </si>
  <si>
    <t>Operating Status</t>
  </si>
  <si>
    <t>Order Publications</t>
  </si>
  <si>
    <t>Any Other Directions From The Tribunal</t>
  </si>
  <si>
    <t>ICAA Regulatory Departments can view</t>
  </si>
  <si>
    <t>In The Business Section of The Newspaper</t>
  </si>
  <si>
    <t>In The Membership Activity Report</t>
  </si>
  <si>
    <t>On the ICAA public website on a named basis</t>
  </si>
  <si>
    <t>On the ICAA public website on a no name basis</t>
  </si>
  <si>
    <t>7A</t>
  </si>
  <si>
    <t>To all chartered accountants in the Institute monthly mailing</t>
  </si>
  <si>
    <t>To all provincial institutes applied to in the future</t>
  </si>
  <si>
    <t>2B</t>
  </si>
  <si>
    <t>To all provincial institutes, the Institute of Chartered Accountants of ...</t>
  </si>
  <si>
    <t>2A</t>
  </si>
  <si>
    <t>To any member of the public who directs an enquiry</t>
  </si>
  <si>
    <t>To the clients and/or former clients</t>
  </si>
  <si>
    <t>To the registrantÆs employer</t>
  </si>
  <si>
    <t>Order Sanctions</t>
  </si>
  <si>
    <t>Costs</t>
  </si>
  <si>
    <t>Fine</t>
  </si>
  <si>
    <t>Impliment Quality Control</t>
  </si>
  <si>
    <t>Periodic report</t>
  </si>
  <si>
    <t>Practice inspected</t>
  </si>
  <si>
    <t>Practice restricted</t>
  </si>
  <si>
    <t>Practice under supervision</t>
  </si>
  <si>
    <t>Prohibit/Restrict training students</t>
  </si>
  <si>
    <t>Registration cancelled</t>
  </si>
  <si>
    <t>Registration suspended</t>
  </si>
  <si>
    <t>Resignation accepted</t>
  </si>
  <si>
    <t>Take exam</t>
  </si>
  <si>
    <t>Take specified courses</t>
  </si>
  <si>
    <t>Undergo counseling</t>
  </si>
  <si>
    <t>Verbal reprimand</t>
  </si>
  <si>
    <t>Voluntary suspension accepted</t>
  </si>
  <si>
    <t>Written reprimand</t>
  </si>
  <si>
    <t>Order Sources</t>
  </si>
  <si>
    <t>Appeal Tribunal</t>
  </si>
  <si>
    <t>Court of Appeal</t>
  </si>
  <si>
    <t>Discipline Tribunal</t>
  </si>
  <si>
    <t>Order Status</t>
  </si>
  <si>
    <t>Order Outstanding</t>
  </si>
  <si>
    <t>Order Stayed</t>
  </si>
  <si>
    <t>Order Varied</t>
  </si>
  <si>
    <t>Order Withdrawn</t>
  </si>
  <si>
    <t>Order Type</t>
  </si>
  <si>
    <t>Implement Quality Control</t>
  </si>
  <si>
    <t>Not Engage in Sole Practice</t>
  </si>
  <si>
    <t>Other Sanction - See Notes</t>
  </si>
  <si>
    <t>Overcome Disability or Addiction</t>
  </si>
  <si>
    <t>Periodic Report</t>
  </si>
  <si>
    <t>Practice Inspected</t>
  </si>
  <si>
    <t>Practice Restricted/Conditions</t>
  </si>
  <si>
    <t>Practice Suspended</t>
  </si>
  <si>
    <t>Practice Under Supervision</t>
  </si>
  <si>
    <t>Prohibit / Restrict Training Students</t>
  </si>
  <si>
    <t>Registration Cancelled</t>
  </si>
  <si>
    <t>Registration Suspended</t>
  </si>
  <si>
    <t>Reprimand - Verbal</t>
  </si>
  <si>
    <t>Reprimand - Written</t>
  </si>
  <si>
    <t>Resignation Accepted</t>
  </si>
  <si>
    <t>Signed Undertaking</t>
  </si>
  <si>
    <t>Take Exam</t>
  </si>
  <si>
    <t>Take Specified Courses</t>
  </si>
  <si>
    <t>Undergo Counseling</t>
  </si>
  <si>
    <t>Voluntary Suspension Accepted</t>
  </si>
  <si>
    <t>Aaua</t>
  </si>
  <si>
    <t>AAUA</t>
  </si>
  <si>
    <t>Affl</t>
  </si>
  <si>
    <t>AFFL</t>
  </si>
  <si>
    <t>CACM</t>
  </si>
  <si>
    <t>CICA</t>
  </si>
  <si>
    <t>CLUB</t>
  </si>
  <si>
    <t>CMA Alberta</t>
  </si>
  <si>
    <t>Conferences</t>
  </si>
  <si>
    <t>CONF</t>
  </si>
  <si>
    <t>CSPB</t>
  </si>
  <si>
    <t xml:space="preserve">Entrepreneurial Courses </t>
  </si>
  <si>
    <t>ENTR</t>
  </si>
  <si>
    <t>Entrepreneurial Online</t>
  </si>
  <si>
    <t>ENTO</t>
  </si>
  <si>
    <t>ICAB</t>
  </si>
  <si>
    <t>INDP</t>
  </si>
  <si>
    <t>INET</t>
  </si>
  <si>
    <t>Jointly Owned Seminar</t>
  </si>
  <si>
    <t>JOIN</t>
  </si>
  <si>
    <t>MFCA</t>
  </si>
  <si>
    <t>MRC</t>
  </si>
  <si>
    <t>PICA</t>
  </si>
  <si>
    <t>PNET</t>
  </si>
  <si>
    <t>Ownership</t>
  </si>
  <si>
    <t>Crown</t>
  </si>
  <si>
    <t>Dept. of Enviro</t>
  </si>
  <si>
    <t>Dept. of M.A.</t>
  </si>
  <si>
    <t>DMA</t>
  </si>
  <si>
    <t>Industrial</t>
  </si>
  <si>
    <t>Patented</t>
  </si>
  <si>
    <t>PAT</t>
  </si>
  <si>
    <t>Power &amp; Pipe</t>
  </si>
  <si>
    <t>POW</t>
  </si>
  <si>
    <t>Revested</t>
  </si>
  <si>
    <t>Tax Recovery</t>
  </si>
  <si>
    <t>TAR</t>
  </si>
  <si>
    <t>PAF Application Employee Type</t>
  </si>
  <si>
    <t>Lawyer</t>
  </si>
  <si>
    <t>Profesional Corporation</t>
  </si>
  <si>
    <t>Technician</t>
  </si>
  <si>
    <t>PAF Assessment CPA Education</t>
  </si>
  <si>
    <t>CPA PDPA Assurance Module</t>
  </si>
  <si>
    <t>CPA PDPA Course</t>
  </si>
  <si>
    <t>CPA PDPA Taxation Module</t>
  </si>
  <si>
    <t>CPE- Depth of assurance and Financial Reporting</t>
  </si>
  <si>
    <t>Legacy CA AU2- Advanced External Auditing</t>
  </si>
  <si>
    <t>Legacy CA Education Program</t>
  </si>
  <si>
    <t>Legacy CGA TX2-Advanced Taxation</t>
  </si>
  <si>
    <t>Legacy CMA Canada- Audit I and II</t>
  </si>
  <si>
    <t>Legacy CMA canada- Audit I,II and III</t>
  </si>
  <si>
    <t>PAF Assessment Partner Or Proprietor</t>
  </si>
  <si>
    <t>PAF Deregistration Client File Relocate Option</t>
  </si>
  <si>
    <t>Client File relocated ouside Alberta to Firm</t>
  </si>
  <si>
    <t>Client File relocated with in Alberta to Firm's Location</t>
  </si>
  <si>
    <t>PAF Deregistration Reason</t>
  </si>
  <si>
    <t>Operations have ceased.</t>
  </si>
  <si>
    <t>PAF is no longer in operation</t>
  </si>
  <si>
    <t>PAF Deregistration Sub Reason</t>
  </si>
  <si>
    <t>Client files reloacted within Alberta</t>
  </si>
  <si>
    <t>Client files relocated outside Alberta</t>
  </si>
  <si>
    <t>PAF Deregistration Transferee Option</t>
  </si>
  <si>
    <t>A transferee is not Required. No clients to return files to, or files were returned directly to the client(s).</t>
  </si>
  <si>
    <t>A transferee is not Required.Files have been relocated within the firm</t>
  </si>
  <si>
    <t>Professional Accounting firm is no Longer in operation, however a transfer has not been arranged and a list of client records are included.</t>
  </si>
  <si>
    <t>Professional Accounting firm is no Longer in operation.Contact info of the transferee is included.</t>
  </si>
  <si>
    <t>PAQ Current Membership Standing</t>
  </si>
  <si>
    <t>Expired</t>
  </si>
  <si>
    <t>PAQ Status</t>
  </si>
  <si>
    <t>Documents required</t>
  </si>
  <si>
    <t>In Process</t>
  </si>
  <si>
    <t>Not eligible</t>
  </si>
  <si>
    <t>PAQ approved</t>
  </si>
  <si>
    <t>PAQ complete pending approval</t>
  </si>
  <si>
    <t>Prior Employment requirement</t>
  </si>
  <si>
    <t>Ready for officer review</t>
  </si>
  <si>
    <t>Review PAQ</t>
  </si>
  <si>
    <t>Parcel Legal Ext</t>
  </si>
  <si>
    <t>10-LSD</t>
  </si>
  <si>
    <t>10LSD</t>
  </si>
  <si>
    <t>11-LSD</t>
  </si>
  <si>
    <t>11LSD</t>
  </si>
  <si>
    <t>12-LSD</t>
  </si>
  <si>
    <t>12LSD</t>
  </si>
  <si>
    <t>13-LSD</t>
  </si>
  <si>
    <t>13LSD</t>
  </si>
  <si>
    <t>14-LSD</t>
  </si>
  <si>
    <t>14LSD</t>
  </si>
  <si>
    <t>15-LSD</t>
  </si>
  <si>
    <t>15LSD</t>
  </si>
  <si>
    <t>16-LSD</t>
  </si>
  <si>
    <t>16LSD</t>
  </si>
  <si>
    <t>1-LSD</t>
  </si>
  <si>
    <t>1LSD</t>
  </si>
  <si>
    <t>2-LSD</t>
  </si>
  <si>
    <t>2LSD</t>
  </si>
  <si>
    <t>3-LSD</t>
  </si>
  <si>
    <t>3LSD</t>
  </si>
  <si>
    <t>4-LSD</t>
  </si>
  <si>
    <t>4LSD</t>
  </si>
  <si>
    <t>5-LSD</t>
  </si>
  <si>
    <t>5LSD</t>
  </si>
  <si>
    <t>6-LSD</t>
  </si>
  <si>
    <t>6LSD</t>
  </si>
  <si>
    <t>7-LSD</t>
  </si>
  <si>
    <t>7LSD</t>
  </si>
  <si>
    <t>8-LSD</t>
  </si>
  <si>
    <t>8LSD</t>
  </si>
  <si>
    <t>9-LSD</t>
  </si>
  <si>
    <t>9LSD</t>
  </si>
  <si>
    <t>E«</t>
  </si>
  <si>
    <t>East of Railroad</t>
  </si>
  <si>
    <t>ERR</t>
  </si>
  <si>
    <t>East of Right-of-Way</t>
  </si>
  <si>
    <t>ERW</t>
  </si>
  <si>
    <t>East of River</t>
  </si>
  <si>
    <t>ERV</t>
  </si>
  <si>
    <t>East of Road Plan</t>
  </si>
  <si>
    <t>ERD</t>
  </si>
  <si>
    <t>N«</t>
  </si>
  <si>
    <t>N-East of Right-of-Way</t>
  </si>
  <si>
    <t>NERW</t>
  </si>
  <si>
    <t>North Half Quarter</t>
  </si>
  <si>
    <t>NHQ</t>
  </si>
  <si>
    <t>North of Highway</t>
  </si>
  <si>
    <t>NHWY</t>
  </si>
  <si>
    <t>North of Left Bank of River</t>
  </si>
  <si>
    <t>NLBR</t>
  </si>
  <si>
    <t>North of Railroad</t>
  </si>
  <si>
    <t>NRR</t>
  </si>
  <si>
    <t>North of Right Bank of River</t>
  </si>
  <si>
    <t>NRBR</t>
  </si>
  <si>
    <t>North of Right-of-Way</t>
  </si>
  <si>
    <t>NRW</t>
  </si>
  <si>
    <t>North of River</t>
  </si>
  <si>
    <t>NRV</t>
  </si>
  <si>
    <t>North of Road Plan</t>
  </si>
  <si>
    <t>NRD</t>
  </si>
  <si>
    <t>NorthEast of Lake</t>
  </si>
  <si>
    <t>NEL</t>
  </si>
  <si>
    <t>NorthEast of Left Bank of River</t>
  </si>
  <si>
    <t>NELBR</t>
  </si>
  <si>
    <t>NorthEast of Railroad</t>
  </si>
  <si>
    <t>NERR</t>
  </si>
  <si>
    <t>NorthEast of River</t>
  </si>
  <si>
    <t>NERV</t>
  </si>
  <si>
    <t>NorthEast of Road Plan</t>
  </si>
  <si>
    <t>NERD</t>
  </si>
  <si>
    <t>NorthWest of Highway</t>
  </si>
  <si>
    <t>NWHWY</t>
  </si>
  <si>
    <t>NorthWest of Railroad</t>
  </si>
  <si>
    <t>NWRR</t>
  </si>
  <si>
    <t>NorthWest of River</t>
  </si>
  <si>
    <t>NWRV</t>
  </si>
  <si>
    <t>NorthWest of Road Plan</t>
  </si>
  <si>
    <t>NWRD</t>
  </si>
  <si>
    <t>Not Covered By Water</t>
  </si>
  <si>
    <t>Nowater</t>
  </si>
  <si>
    <t>N-West of Right-of-Way</t>
  </si>
  <si>
    <t>NWRW</t>
  </si>
  <si>
    <t>S«</t>
  </si>
  <si>
    <t>S-East of Right-of-Way</t>
  </si>
  <si>
    <t>SERW</t>
  </si>
  <si>
    <t>South Half Quarter</t>
  </si>
  <si>
    <t>SHQ</t>
  </si>
  <si>
    <t>South of Left Bank of River</t>
  </si>
  <si>
    <t>SLBR</t>
  </si>
  <si>
    <t>South of Railroad</t>
  </si>
  <si>
    <t>SRR</t>
  </si>
  <si>
    <t>South of Right Bank of River</t>
  </si>
  <si>
    <t>SRBR</t>
  </si>
  <si>
    <t>South of Right-of-Way</t>
  </si>
  <si>
    <t>SRW</t>
  </si>
  <si>
    <t>South of River</t>
  </si>
  <si>
    <t>SRV</t>
  </si>
  <si>
    <t>South of Road Plan</t>
  </si>
  <si>
    <t>SRD</t>
  </si>
  <si>
    <t>SouthEast of Highway</t>
  </si>
  <si>
    <t>SEHWY</t>
  </si>
  <si>
    <t>SouthEast of Railroad</t>
  </si>
  <si>
    <t>SERR</t>
  </si>
  <si>
    <t>SouthEast of Right Bank of River</t>
  </si>
  <si>
    <t>SERBR</t>
  </si>
  <si>
    <t>SouthEast of River</t>
  </si>
  <si>
    <t>SERV</t>
  </si>
  <si>
    <t>SouthEast of Road Plan</t>
  </si>
  <si>
    <t>SERD</t>
  </si>
  <si>
    <t>SouthWest of Railroad</t>
  </si>
  <si>
    <t>SWRR</t>
  </si>
  <si>
    <t>SouthWest of River</t>
  </si>
  <si>
    <t>SWRV</t>
  </si>
  <si>
    <t>SouthWest of Road Plan</t>
  </si>
  <si>
    <t>SWRD</t>
  </si>
  <si>
    <t>S-West of Right-of-Way</t>
  </si>
  <si>
    <t>SWRW</t>
  </si>
  <si>
    <t>W«</t>
  </si>
  <si>
    <t>West of Left Bank of River</t>
  </si>
  <si>
    <t>WLBR</t>
  </si>
  <si>
    <t>West of Railroad</t>
  </si>
  <si>
    <t>WRR</t>
  </si>
  <si>
    <t>West of Reservoir</t>
  </si>
  <si>
    <t>WRES</t>
  </si>
  <si>
    <t>West of Right-of-Way</t>
  </si>
  <si>
    <t>WRW</t>
  </si>
  <si>
    <t>West of River</t>
  </si>
  <si>
    <t>WRV</t>
  </si>
  <si>
    <t>West of Road Plan</t>
  </si>
  <si>
    <t>WRD</t>
  </si>
  <si>
    <t>Parcel Survey</t>
  </si>
  <si>
    <t>Not Surveyed</t>
  </si>
  <si>
    <t>NS</t>
  </si>
  <si>
    <t>Partly Surveyed</t>
  </si>
  <si>
    <t>Surveyed</t>
  </si>
  <si>
    <t>Water</t>
  </si>
  <si>
    <t>WT</t>
  </si>
  <si>
    <t>Parcel Type</t>
  </si>
  <si>
    <t>Lot</t>
  </si>
  <si>
    <t>OH</t>
  </si>
  <si>
    <t>Partial Quarter</t>
  </si>
  <si>
    <t>PQ</t>
  </si>
  <si>
    <t>Quarter</t>
  </si>
  <si>
    <t>QT</t>
  </si>
  <si>
    <t>Parcel Water</t>
  </si>
  <si>
    <t>Covered</t>
  </si>
  <si>
    <t>CV</t>
  </si>
  <si>
    <t>No Water</t>
  </si>
  <si>
    <t>NW</t>
  </si>
  <si>
    <t>Partly Covered</t>
  </si>
  <si>
    <t>Partner Function</t>
  </si>
  <si>
    <t>Business valuation</t>
  </si>
  <si>
    <t>Party Status</t>
  </si>
  <si>
    <t>Payment Reduction Code</t>
  </si>
  <si>
    <t>CAEF</t>
  </si>
  <si>
    <t>Corporate Pass</t>
  </si>
  <si>
    <t>Council</t>
  </si>
  <si>
    <t>Discount</t>
  </si>
  <si>
    <t>Guests</t>
  </si>
  <si>
    <t>Icaa Staff</t>
  </si>
  <si>
    <t xml:space="preserve">Member Discount </t>
  </si>
  <si>
    <t>Mini Personal Passport</t>
  </si>
  <si>
    <t>MPP</t>
  </si>
  <si>
    <t>Multi-ed Express</t>
  </si>
  <si>
    <t>Online Learning Passport</t>
  </si>
  <si>
    <t>OLP</t>
  </si>
  <si>
    <t>Past President</t>
  </si>
  <si>
    <t>Pd Passport</t>
  </si>
  <si>
    <t>Pers-Corp Passport</t>
  </si>
  <si>
    <t>Recipient</t>
  </si>
  <si>
    <t>Reduced Fee Passport</t>
  </si>
  <si>
    <t>RF</t>
  </si>
  <si>
    <t>Special Guest</t>
  </si>
  <si>
    <t>SG</t>
  </si>
  <si>
    <t>Ss Passport</t>
  </si>
  <si>
    <t>Staff - Working</t>
  </si>
  <si>
    <t>SW</t>
  </si>
  <si>
    <t>Web Passport</t>
  </si>
  <si>
    <t>X</t>
  </si>
  <si>
    <t>PC Application Document Type</t>
  </si>
  <si>
    <t>Article of Amendment</t>
  </si>
  <si>
    <t>Article of Incorporation</t>
  </si>
  <si>
    <t>PC Reason For Application</t>
  </si>
  <si>
    <t>I am currently operating a professional accounting firm as a sole proprietor and I'm changing to operate in a corporate manner</t>
  </si>
  <si>
    <t>I intend to offer professional accounting services or public accounting services as a professinal corporation</t>
  </si>
  <si>
    <t>I intend to offer services to public as a professional corporation that will be a partner of a registered professional accounting firm</t>
  </si>
  <si>
    <t>Other Reason</t>
  </si>
  <si>
    <t>PC Shareholder Relationship</t>
  </si>
  <si>
    <t>Common-law partner</t>
  </si>
  <si>
    <t>ICAA Member</t>
  </si>
  <si>
    <t>Spouse</t>
  </si>
  <si>
    <t>Trust for child</t>
  </si>
  <si>
    <t>Voting Shareholder</t>
  </si>
  <si>
    <t>PC Status</t>
  </si>
  <si>
    <t>PC Sub Status</t>
  </si>
  <si>
    <t>Amalgamated</t>
  </si>
  <si>
    <t xml:space="preserve">Application Withdrawn </t>
  </si>
  <si>
    <t>PC Application</t>
  </si>
  <si>
    <t>Sold</t>
  </si>
  <si>
    <t>Statement of Particulars</t>
  </si>
  <si>
    <t>PC Sub Status Reason</t>
  </si>
  <si>
    <t>Failure to submit CPD</t>
  </si>
  <si>
    <t>Mem. cxld conduct &amp; disc.</t>
  </si>
  <si>
    <t>Permanency</t>
  </si>
  <si>
    <t>Full-Time</t>
  </si>
  <si>
    <t>Part-Time</t>
  </si>
  <si>
    <t>PLI Other</t>
  </si>
  <si>
    <t>Insured</t>
  </si>
  <si>
    <t>Other protection</t>
  </si>
  <si>
    <t>PLI Status</t>
  </si>
  <si>
    <t>Awaiting Confirmation</t>
  </si>
  <si>
    <t>Info Incomplete</t>
  </si>
  <si>
    <t>INC</t>
  </si>
  <si>
    <t>Policy in place</t>
  </si>
  <si>
    <t>PIP</t>
  </si>
  <si>
    <t>Policy not in place</t>
  </si>
  <si>
    <t>PNP</t>
  </si>
  <si>
    <t>Policy pending</t>
  </si>
  <si>
    <t>PPD</t>
  </si>
  <si>
    <t>Waiver in place</t>
  </si>
  <si>
    <t>WIP</t>
  </si>
  <si>
    <t>Waiver pending</t>
  </si>
  <si>
    <t>WPD</t>
  </si>
  <si>
    <t>POA Subclassification</t>
  </si>
  <si>
    <t>Lease Rental</t>
  </si>
  <si>
    <t>TL</t>
  </si>
  <si>
    <t>Miscellaneous Receivable</t>
  </si>
  <si>
    <t>Taxes</t>
  </si>
  <si>
    <t>TT</t>
  </si>
  <si>
    <t>PPRP Path</t>
  </si>
  <si>
    <t>PPRP Program Path</t>
  </si>
  <si>
    <t>Compilation</t>
  </si>
  <si>
    <t>External Audit</t>
  </si>
  <si>
    <t>Practice Review Follow -Up Scope</t>
  </si>
  <si>
    <t>Full</t>
  </si>
  <si>
    <t>Limited</t>
  </si>
  <si>
    <t>Practice Review Stage Status</t>
  </si>
  <si>
    <t>Remove</t>
  </si>
  <si>
    <t>PREF PPRP Status</t>
  </si>
  <si>
    <t>Preferred Mentor Gender</t>
  </si>
  <si>
    <t>Priority Or Risk Ranking</t>
  </si>
  <si>
    <t>Medium High</t>
  </si>
  <si>
    <t>Product Category</t>
  </si>
  <si>
    <t>Fee</t>
  </si>
  <si>
    <t>Penalty</t>
  </si>
  <si>
    <t xml:space="preserve">Product </t>
  </si>
  <si>
    <t xml:space="preserve">Tax </t>
  </si>
  <si>
    <t>Product Service Charge Type</t>
  </si>
  <si>
    <t>Flat Rate</t>
  </si>
  <si>
    <t>Product Status</t>
  </si>
  <si>
    <t>Product Sub Type</t>
  </si>
  <si>
    <t>C Supplementary</t>
  </si>
  <si>
    <t>Corporate Main</t>
  </si>
  <si>
    <t>P Supplementary</t>
  </si>
  <si>
    <t>Personal Main</t>
  </si>
  <si>
    <t>Promotional Code Limiter</t>
  </si>
  <si>
    <t>Offering</t>
  </si>
  <si>
    <t>Product Type</t>
  </si>
  <si>
    <t>PT</t>
  </si>
  <si>
    <t>PSP Deregistration Reason</t>
  </si>
  <si>
    <t>No Longer in Operation</t>
  </si>
  <si>
    <t>PSP Deregistration Transferee Option</t>
  </si>
  <si>
    <t>The Professional Service Provider is no longer in operation and the contact info of the transferee is included.</t>
  </si>
  <si>
    <t>The Professional Service Provider is no longer in operation, howeve a transfer has been arranged and a list of allclient records are included.</t>
  </si>
  <si>
    <t>Publication Type</t>
  </si>
  <si>
    <t>Decision</t>
  </si>
  <si>
    <t>Sanction</t>
  </si>
  <si>
    <t>Summary</t>
  </si>
  <si>
    <t>Query Resolution</t>
  </si>
  <si>
    <t>Advise that CPAA cannot provide assistance</t>
  </si>
  <si>
    <t>Refer to Act Breach process</t>
  </si>
  <si>
    <t>Refer to Complaint Process</t>
  </si>
  <si>
    <t>Refer to Practice Advisor or CIC Secretary</t>
  </si>
  <si>
    <t>Refer to Registration</t>
  </si>
  <si>
    <t xml:space="preserve">Refer to Tribunal Secretary </t>
  </si>
  <si>
    <t>Query Type</t>
  </si>
  <si>
    <t>Anonymous Complaint</t>
  </si>
  <si>
    <t>Anonymous Query</t>
  </si>
  <si>
    <t>Anonymous Tip</t>
  </si>
  <si>
    <t>Query</t>
  </si>
  <si>
    <t>Tip</t>
  </si>
  <si>
    <t>Reason For Application</t>
  </si>
  <si>
    <t>Existing firm -additional location</t>
  </si>
  <si>
    <t>Merger of practices</t>
  </si>
  <si>
    <t>New Practice</t>
  </si>
  <si>
    <t>Reason For Assessment</t>
  </si>
  <si>
    <t>New LLP</t>
  </si>
  <si>
    <t>New Partnership</t>
  </si>
  <si>
    <t>New Sole-Proprietor</t>
  </si>
  <si>
    <t>Regulation</t>
  </si>
  <si>
    <t>CASB</t>
  </si>
  <si>
    <t>CAS</t>
  </si>
  <si>
    <t>Co-op Student</t>
  </si>
  <si>
    <t>CPS</t>
  </si>
  <si>
    <t>Evaluation Of Experience</t>
  </si>
  <si>
    <t>EVE</t>
  </si>
  <si>
    <t>Non Foreign Designate</t>
  </si>
  <si>
    <t>Undergraduate</t>
  </si>
  <si>
    <t>University Graduate</t>
  </si>
  <si>
    <t>DEG</t>
  </si>
  <si>
    <t>Regulatory Vote Option</t>
  </si>
  <si>
    <t>Vote Against</t>
  </si>
  <si>
    <t>Vote For</t>
  </si>
  <si>
    <t>Reinstatement Reason Discipline</t>
  </si>
  <si>
    <t>Remittance Status</t>
  </si>
  <si>
    <t>Reporting Status</t>
  </si>
  <si>
    <t>Req Body Type</t>
  </si>
  <si>
    <t>Health Region</t>
  </si>
  <si>
    <t>School Public</t>
  </si>
  <si>
    <t>School Separate</t>
  </si>
  <si>
    <t>School Undeclared</t>
  </si>
  <si>
    <t>Required Course And Exam</t>
  </si>
  <si>
    <t>Advanced External Audit</t>
  </si>
  <si>
    <t>AU2</t>
  </si>
  <si>
    <t>Advanced Taxation</t>
  </si>
  <si>
    <t>TX2</t>
  </si>
  <si>
    <t>Audit I</t>
  </si>
  <si>
    <t>AUI</t>
  </si>
  <si>
    <t>Audit II</t>
  </si>
  <si>
    <t>AUII</t>
  </si>
  <si>
    <t>Chartered Accountant Reciprocity Exam</t>
  </si>
  <si>
    <t>CARE</t>
  </si>
  <si>
    <t>Chartered Professional Accountant Reciprocity Exam</t>
  </si>
  <si>
    <t>Chartered Professional Reciprocity Development</t>
  </si>
  <si>
    <t>Overview of Public Practice Course</t>
  </si>
  <si>
    <t>Post Designation Public Accounting</t>
  </si>
  <si>
    <t>PDPA</t>
  </si>
  <si>
    <t>Post Designation Public Accounting Taxation</t>
  </si>
  <si>
    <t>PDPA Taxation</t>
  </si>
  <si>
    <t>Professional Education Program Assurance Elective</t>
  </si>
  <si>
    <t>PEP-Assurance Elective</t>
  </si>
  <si>
    <t>Professional Education Program Taxation Elective</t>
  </si>
  <si>
    <t>PEP-Tax</t>
  </si>
  <si>
    <t>Tax I</t>
  </si>
  <si>
    <t>TXI</t>
  </si>
  <si>
    <t>Tax II</t>
  </si>
  <si>
    <t>TXII</t>
  </si>
  <si>
    <t>Tax III</t>
  </si>
  <si>
    <t>TXIII</t>
  </si>
  <si>
    <t>Restrictions Source</t>
  </si>
  <si>
    <t>Restrictions Status</t>
  </si>
  <si>
    <t>RM Carry Over</t>
  </si>
  <si>
    <t>Absent</t>
  </si>
  <si>
    <t>Abundant</t>
  </si>
  <si>
    <t>Present</t>
  </si>
  <si>
    <t>Sparse</t>
  </si>
  <si>
    <t>RM Erosion</t>
  </si>
  <si>
    <t>Enhanced</t>
  </si>
  <si>
    <t>Negligible</t>
  </si>
  <si>
    <t>Slight</t>
  </si>
  <si>
    <t>RM Noxious Weeds</t>
  </si>
  <si>
    <t>RM Precipitation Zone</t>
  </si>
  <si>
    <t>10 to 14</t>
  </si>
  <si>
    <t>14 to 18</t>
  </si>
  <si>
    <t>6 to 10</t>
  </si>
  <si>
    <t>RM Range Health</t>
  </si>
  <si>
    <t>At risk</t>
  </si>
  <si>
    <t>Healthy</t>
  </si>
  <si>
    <t>Unhealthy</t>
  </si>
  <si>
    <t>RM Range Site</t>
  </si>
  <si>
    <t>Badland</t>
  </si>
  <si>
    <t>Blowout</t>
  </si>
  <si>
    <t>Choppy Sand Hills</t>
  </si>
  <si>
    <t>Clay Flat</t>
  </si>
  <si>
    <t>Clayey</t>
  </si>
  <si>
    <t>Loamy</t>
  </si>
  <si>
    <t>Overflow</t>
  </si>
  <si>
    <t>Saline Lowland</t>
  </si>
  <si>
    <t>Saline Upland</t>
  </si>
  <si>
    <t>Sandy</t>
  </si>
  <si>
    <t>Shallow to Gravel</t>
  </si>
  <si>
    <t>Sub-irrigated</t>
  </si>
  <si>
    <t>Thin Breaks</t>
  </si>
  <si>
    <t>Wetland</t>
  </si>
  <si>
    <t>RM Soil Texture</t>
  </si>
  <si>
    <t>Clay</t>
  </si>
  <si>
    <t>Clay Loam</t>
  </si>
  <si>
    <t>Loamy Clay</t>
  </si>
  <si>
    <t>Loamy Sand</t>
  </si>
  <si>
    <t>Sandy Loam</t>
  </si>
  <si>
    <t>Silty Loam</t>
  </si>
  <si>
    <t>RM Vegetation Cover</t>
  </si>
  <si>
    <t>Abandoned Cultivation</t>
  </si>
  <si>
    <t>Cultivated</t>
  </si>
  <si>
    <t>Native</t>
  </si>
  <si>
    <t>Seeded Forage</t>
  </si>
  <si>
    <t>RM Vegetation Status</t>
  </si>
  <si>
    <t>Altered</t>
  </si>
  <si>
    <t>Depleted</t>
  </si>
  <si>
    <t>Devastated</t>
  </si>
  <si>
    <t>Normal</t>
  </si>
  <si>
    <t>RM Vegetation Type</t>
  </si>
  <si>
    <t>Aspen Parkland</t>
  </si>
  <si>
    <t>N&amp;T/Blue Grama/WheatGrass</t>
  </si>
  <si>
    <t>Needle-and-Thred/Blue Grama</t>
  </si>
  <si>
    <t>Rough Fescue</t>
  </si>
  <si>
    <t>Sand Hill</t>
  </si>
  <si>
    <t>Western Wheat Grass</t>
  </si>
  <si>
    <t>WesternPorcupine/WheatGrass</t>
  </si>
  <si>
    <t>RM Water Source</t>
  </si>
  <si>
    <t>Creek</t>
  </si>
  <si>
    <t>Dam</t>
  </si>
  <si>
    <t>Dug out</t>
  </si>
  <si>
    <t>Well</t>
  </si>
  <si>
    <t>Seniority Level</t>
  </si>
  <si>
    <t>Entry Level Management</t>
  </si>
  <si>
    <t>Executive Leadership</t>
  </si>
  <si>
    <t>Middle Management</t>
  </si>
  <si>
    <t>Senior Management</t>
  </si>
  <si>
    <t>Support</t>
  </si>
  <si>
    <t>Technical/Coordinating</t>
  </si>
  <si>
    <t>Service Category Type</t>
  </si>
  <si>
    <t>Career Service</t>
  </si>
  <si>
    <t>Member Services</t>
  </si>
  <si>
    <t>Professional Accounting Firm</t>
  </si>
  <si>
    <t>Technical Advisory</t>
  </si>
  <si>
    <t>Service Request Status</t>
  </si>
  <si>
    <t>Session Tag</t>
  </si>
  <si>
    <t>Breakfast</t>
  </si>
  <si>
    <t>Lunch</t>
  </si>
  <si>
    <t>LU</t>
  </si>
  <si>
    <t>Settlement Status</t>
  </si>
  <si>
    <t>Opened date</t>
  </si>
  <si>
    <t>Pending CIC Chair execution</t>
  </si>
  <si>
    <t>Pending IP execution</t>
  </si>
  <si>
    <t>Pending settlement panel review</t>
  </si>
  <si>
    <t>Pending settlement proposal</t>
  </si>
  <si>
    <t>Referred back to IP</t>
  </si>
  <si>
    <t>Referred to CIC for ratification</t>
  </si>
  <si>
    <t>Settled date</t>
  </si>
  <si>
    <t>NO. 2</t>
  </si>
  <si>
    <t>NO. 3</t>
  </si>
  <si>
    <t>NO. 4</t>
  </si>
  <si>
    <t>YT</t>
  </si>
  <si>
    <t>SRA Auditor</t>
  </si>
  <si>
    <t>SRA Status</t>
  </si>
  <si>
    <t>Active - Established Practice</t>
  </si>
  <si>
    <t>AE</t>
  </si>
  <si>
    <t>Active - Mentor Arrangement</t>
  </si>
  <si>
    <t>Active - Previous SRA Auditor</t>
  </si>
  <si>
    <t>Active - Unconditional</t>
  </si>
  <si>
    <t>Restricted - Followup Review</t>
  </si>
  <si>
    <t>Under Committee Review</t>
  </si>
  <si>
    <t>Stakeholder Role</t>
  </si>
  <si>
    <t>Act Breach Party</t>
  </si>
  <si>
    <t>Appeals Tribunal Roster Member</t>
  </si>
  <si>
    <t>Appellant</t>
  </si>
  <si>
    <t>Appellant Counsel</t>
  </si>
  <si>
    <t>CIC Lawyer</t>
  </si>
  <si>
    <t>CIL</t>
  </si>
  <si>
    <t>Committee Lawyer</t>
  </si>
  <si>
    <t>Complainant</t>
  </si>
  <si>
    <t>Complaint Inquiry Committee</t>
  </si>
  <si>
    <t>Discipline Tribunal Roster Member</t>
  </si>
  <si>
    <t>ICAA Lawyer</t>
  </si>
  <si>
    <t>IL</t>
  </si>
  <si>
    <t>Investigated Party</t>
  </si>
  <si>
    <t>Investigator</t>
  </si>
  <si>
    <t>Mediator</t>
  </si>
  <si>
    <t>Member Lawyer</t>
  </si>
  <si>
    <t>Other Party</t>
  </si>
  <si>
    <t>Public Member Roster Member</t>
  </si>
  <si>
    <t>Respondent</t>
  </si>
  <si>
    <t>Staff</t>
  </si>
  <si>
    <t>Tribunal</t>
  </si>
  <si>
    <t>Tribunal Chair</t>
  </si>
  <si>
    <t>Tribunal Replacement</t>
  </si>
  <si>
    <t>Volunteer Member</t>
  </si>
  <si>
    <t>Witness</t>
  </si>
  <si>
    <t>Survey Config Type</t>
  </si>
  <si>
    <t>Practice Review Completed</t>
  </si>
  <si>
    <t>Survey Question Status</t>
  </si>
  <si>
    <t>Survey Question Type</t>
  </si>
  <si>
    <t>List</t>
  </si>
  <si>
    <t>Multi Line Text</t>
  </si>
  <si>
    <t>Single Line Text</t>
  </si>
  <si>
    <t>Survey Status</t>
  </si>
  <si>
    <t>Suspension And Cancellation Actions</t>
  </si>
  <si>
    <t>Cancellation</t>
  </si>
  <si>
    <t>Re-Admission</t>
  </si>
  <si>
    <t>Suspension</t>
  </si>
  <si>
    <t>Tax Assessment Type</t>
  </si>
  <si>
    <t>Annual General</t>
  </si>
  <si>
    <t>Supplementary</t>
  </si>
  <si>
    <t>Tax Clinic Volunteer Type</t>
  </si>
  <si>
    <t>Clinic reviewer</t>
  </si>
  <si>
    <t>CPA and Candidate Tax Clinic Volunteer</t>
  </si>
  <si>
    <t xml:space="preserve">Last Minute Volunteer </t>
  </si>
  <si>
    <t>Mentors</t>
  </si>
  <si>
    <t>Phone Support (scheduled by week)</t>
  </si>
  <si>
    <t>Student Tax Clinic Volunteer</t>
  </si>
  <si>
    <t>Volunteer (member, candidate, student)</t>
  </si>
  <si>
    <t>Tax Notice Type</t>
  </si>
  <si>
    <t>ARREARS</t>
  </si>
  <si>
    <t>NORMAL</t>
  </si>
  <si>
    <t>POWER &amp; PIPE</t>
  </si>
  <si>
    <t>Tax Print Option</t>
  </si>
  <si>
    <t>After Penalty</t>
  </si>
  <si>
    <t>Before Penalty</t>
  </si>
  <si>
    <t>BP</t>
  </si>
  <si>
    <t>Before Tax Run</t>
  </si>
  <si>
    <t>BN</t>
  </si>
  <si>
    <t>Tax Roll Type</t>
  </si>
  <si>
    <t>Lease</t>
  </si>
  <si>
    <t>Tenancy</t>
  </si>
  <si>
    <t>% Int</t>
  </si>
  <si>
    <t>1/2 Int</t>
  </si>
  <si>
    <t>1/3 Int</t>
  </si>
  <si>
    <t>Inc.</t>
  </si>
  <si>
    <t>Joint</t>
  </si>
  <si>
    <t>Ltd.</t>
  </si>
  <si>
    <t>Proprietorship</t>
  </si>
  <si>
    <t>Dr.</t>
  </si>
  <si>
    <t>doctor</t>
  </si>
  <si>
    <t>Honourable</t>
  </si>
  <si>
    <t>judge</t>
  </si>
  <si>
    <t>Judge</t>
  </si>
  <si>
    <t>Mayor</t>
  </si>
  <si>
    <t>Miss</t>
  </si>
  <si>
    <t>Mr.</t>
  </si>
  <si>
    <t>Mrs.</t>
  </si>
  <si>
    <t>Ms.</t>
  </si>
  <si>
    <t>Rev.</t>
  </si>
  <si>
    <t>Rt. Hon.</t>
  </si>
  <si>
    <t>S. Sgt.</t>
  </si>
  <si>
    <t>Worship</t>
  </si>
  <si>
    <t>Training Program Document Type</t>
  </si>
  <si>
    <t>Competency Map</t>
  </si>
  <si>
    <t>Executive Summary</t>
  </si>
  <si>
    <t>Summary of Chargeable Hours</t>
  </si>
  <si>
    <t>Training Program Path</t>
  </si>
  <si>
    <t>Audit Review</t>
  </si>
  <si>
    <t xml:space="preserve">External </t>
  </si>
  <si>
    <t>Training Program Status</t>
  </si>
  <si>
    <t>Training Program Sub- Status</t>
  </si>
  <si>
    <t>Awaiting Signature</t>
  </si>
  <si>
    <t>Transcript Received</t>
  </si>
  <si>
    <t>Unofficial</t>
  </si>
  <si>
    <t>TRLS Status</t>
  </si>
  <si>
    <t>Type Of Experience</t>
  </si>
  <si>
    <t>Volunteer Activity Status</t>
  </si>
  <si>
    <t>No Show</t>
  </si>
  <si>
    <t>Temporarily Suspended</t>
  </si>
  <si>
    <t>Volunteer Communication Sub Type</t>
  </si>
  <si>
    <t>Confirmation</t>
  </si>
  <si>
    <t>Late Cancellation</t>
  </si>
  <si>
    <t>Thank You</t>
  </si>
  <si>
    <t>Welcome Package</t>
  </si>
  <si>
    <t>Volunteer Communication Type</t>
  </si>
  <si>
    <t>Volunteer Interest Status</t>
  </si>
  <si>
    <t>Volunteer Interest Type</t>
  </si>
  <si>
    <t>Board Governance</t>
  </si>
  <si>
    <t>Coaching</t>
  </si>
  <si>
    <t>Committees</t>
  </si>
  <si>
    <t>Cultural Awareness</t>
  </si>
  <si>
    <t>High School</t>
  </si>
  <si>
    <t>Internationally Trained Professionals</t>
  </si>
  <si>
    <t>Interpersonal Communication</t>
  </si>
  <si>
    <t>Judicial proceedings</t>
  </si>
  <si>
    <t>Networking</t>
  </si>
  <si>
    <t>Post-Secondary</t>
  </si>
  <si>
    <t>Workforce</t>
  </si>
  <si>
    <t>Volunteer Opportunity Interest Status</t>
  </si>
  <si>
    <t>Received</t>
  </si>
  <si>
    <t>Recruited</t>
  </si>
  <si>
    <t>Referred</t>
  </si>
  <si>
    <t>Volunteer Opportunity Type</t>
  </si>
  <si>
    <t>Achievement Awards Nomination Committee Member</t>
  </si>
  <si>
    <t>Appeal Tribunal Roster Chair</t>
  </si>
  <si>
    <t>Appeal Tribunal Roster Chair and Vice Chair</t>
  </si>
  <si>
    <t>Appeal Tribunal Roster Vice Chair</t>
  </si>
  <si>
    <t>Awards Nominations Committee Chair</t>
  </si>
  <si>
    <t>Awards Review Committee Chair</t>
  </si>
  <si>
    <t>Awards Review Committee Member</t>
  </si>
  <si>
    <t>Case Competition Judges</t>
  </si>
  <si>
    <t>Chair, CPA Alberta Board</t>
  </si>
  <si>
    <t>Chair, CPA Education Foundation Board</t>
  </si>
  <si>
    <t>Complaints Inquiry Committee (CIC)</t>
  </si>
  <si>
    <t>Complaints Inquiry Committee Chair (CIC Chair)</t>
  </si>
  <si>
    <t>CPA Alberta Board</t>
  </si>
  <si>
    <t>CPA Alberta Bylaws &amp; Rules Committee</t>
  </si>
  <si>
    <t>CPA Alberta Bylaws &amp; Rules Committee Chair</t>
  </si>
  <si>
    <t>CPA Alberta Event Volunteer</t>
  </si>
  <si>
    <t>CPA Alberta Mentor</t>
  </si>
  <si>
    <t>CPA Education Foundation Board</t>
  </si>
  <si>
    <t>CPA Mentor for Practical Experience Requirements (PER)</t>
  </si>
  <si>
    <t>CPA Networkers</t>
  </si>
  <si>
    <t>Discipline Tribunal Roster Chair</t>
  </si>
  <si>
    <t>Discipline Tribunal Roster Chair and Vice Chair</t>
  </si>
  <si>
    <t>Discipline Tribunal Roster Vice Chair</t>
  </si>
  <si>
    <t>Discipline/ Appeal Tribunal Roster</t>
  </si>
  <si>
    <t>Keynote speakers/ Panelists</t>
  </si>
  <si>
    <t>Practice Review Committee Member</t>
  </si>
  <si>
    <t>Registrations Committee Chair</t>
  </si>
  <si>
    <t>Voting Method</t>
  </si>
  <si>
    <t>Online</t>
  </si>
  <si>
    <t>Voting Month</t>
  </si>
  <si>
    <t>Apr</t>
  </si>
  <si>
    <t>Aug</t>
  </si>
  <si>
    <t>Dec</t>
  </si>
  <si>
    <t>Feb</t>
  </si>
  <si>
    <t>Jan</t>
  </si>
  <si>
    <t>Jul</t>
  </si>
  <si>
    <t>Jun</t>
  </si>
  <si>
    <t>Mar</t>
  </si>
  <si>
    <t>May</t>
  </si>
  <si>
    <t>Nov</t>
  </si>
  <si>
    <t>Oct</t>
  </si>
  <si>
    <t>Sep</t>
  </si>
  <si>
    <t>Work Batch Status</t>
  </si>
  <si>
    <t>Generated With Error</t>
  </si>
  <si>
    <t>Ready for Search</t>
  </si>
  <si>
    <t>Searched</t>
  </si>
  <si>
    <t>Zone</t>
  </si>
  <si>
    <t>Calgary - 65 Km radius</t>
  </si>
  <si>
    <t>Central Alberta</t>
  </si>
  <si>
    <t>Edmonton - 65 Km radius</t>
  </si>
  <si>
    <t>ED</t>
  </si>
  <si>
    <t>Foreign Countries (Not  Usa)</t>
  </si>
  <si>
    <t>Grande Prairie - 65 Km radius</t>
  </si>
  <si>
    <t>Lethbridge - 65 Km radius</t>
  </si>
  <si>
    <t>Lloydminster in AB and SK</t>
  </si>
  <si>
    <t>LL</t>
  </si>
  <si>
    <t>Medicine Hat - 65 Km radius</t>
  </si>
  <si>
    <t>MH</t>
  </si>
  <si>
    <t>Northern Alberta</t>
  </si>
  <si>
    <t>NO</t>
  </si>
  <si>
    <t>Other Canadian Provinces</t>
  </si>
  <si>
    <t>OC</t>
  </si>
  <si>
    <t>Red Deer - 65 Km radius</t>
  </si>
  <si>
    <t>RD</t>
  </si>
  <si>
    <t>Southern Alberta</t>
  </si>
  <si>
    <t>US</t>
  </si>
  <si>
    <t>aareferencefields - Address Type</t>
  </si>
  <si>
    <t>aareferencefields - Language</t>
  </si>
  <si>
    <t>aareferencefields - Mail Method</t>
  </si>
  <si>
    <t>aareferencefields - Mail Merge Suppress Reason</t>
  </si>
  <si>
    <t>aareferencefields - Transaction Type</t>
  </si>
  <si>
    <t>aareferencefields - GL Entry Type</t>
  </si>
  <si>
    <t>aareferencefields - Title</t>
  </si>
  <si>
    <t>aareferencefields - Mail Merge Distribution Type</t>
  </si>
  <si>
    <t>aareferencefields - Mail Merge Status</t>
  </si>
  <si>
    <t>aareferencefields - Batch Status</t>
  </si>
  <si>
    <t>aareferencefields - Gender</t>
  </si>
  <si>
    <t>aareferencefields - Process Type</t>
  </si>
  <si>
    <t>aareferencefields - Process Status</t>
  </si>
  <si>
    <t>Batch Status</t>
  </si>
  <si>
    <t>oldid</t>
  </si>
  <si>
    <t>aareferencefields - Posting Status</t>
  </si>
  <si>
    <t>Batch % is still pending. Export failed.</t>
  </si>
  <si>
    <t>Batch % is already exported. Export failed.</t>
  </si>
  <si>
    <t>Mail Template</t>
  </si>
  <si>
    <t>Reversed Transaction</t>
  </si>
  <si>
    <t>Distribution Rule</t>
  </si>
  <si>
    <t>Sent By Staff Contact</t>
  </si>
  <si>
    <t>Queued By Staff Contact</t>
  </si>
  <si>
    <t>Change History Table</t>
  </si>
  <si>
    <t>Dictionary Column</t>
  </si>
  <si>
    <t>RefDefaultDistributionType</t>
  </si>
  <si>
    <t>Change History</t>
  </si>
  <si>
    <t>ExportDate</t>
  </si>
  <si>
    <t>glExportEntry</t>
  </si>
  <si>
    <t>glExportBatch</t>
  </si>
  <si>
    <t>glExportTransaction</t>
  </si>
  <si>
    <t>gl.ExportBatch</t>
  </si>
  <si>
    <t>gl.ExportEntry</t>
  </si>
  <si>
    <t>gl.ExportTransaction</t>
  </si>
  <si>
    <t>GLExportBatch</t>
  </si>
  <si>
    <t>GLExportEntry</t>
  </si>
  <si>
    <t>GLExportTransaction</t>
  </si>
  <si>
    <t>Export Batch</t>
  </si>
  <si>
    <t>GL Export Batch ID</t>
  </si>
  <si>
    <t>BigInt</t>
  </si>
  <si>
    <t>Table</t>
  </si>
  <si>
    <t>AVOCET</t>
  </si>
  <si>
    <t>HPAS</t>
  </si>
  <si>
    <t>QBYTE</t>
  </si>
  <si>
    <t>QByte</t>
  </si>
  <si>
    <t>Qbyte</t>
  </si>
  <si>
    <t>BMSID</t>
  </si>
  <si>
    <t>Dest</t>
  </si>
  <si>
    <t>glAccountAmount</t>
  </si>
  <si>
    <t>glBudgetAmount</t>
  </si>
  <si>
    <t>SummaryDate</t>
  </si>
  <si>
    <t>BudgetDate</t>
  </si>
  <si>
    <t>TopDownLevel</t>
  </si>
  <si>
    <t>BottomUpLevel</t>
  </si>
  <si>
    <t>Collapse on Export</t>
  </si>
  <si>
    <t>glAccountCostCentre</t>
  </si>
  <si>
    <t>IsCollapseOnExportRequired</t>
  </si>
  <si>
    <t>glAccountAmountYTD</t>
  </si>
  <si>
    <t>glBudgetAmountYTD</t>
  </si>
  <si>
    <t>YTD Balance</t>
  </si>
  <si>
    <t>YTD Budget Balance</t>
  </si>
  <si>
    <t>NormalizationFactor</t>
  </si>
  <si>
    <t>SmallInt</t>
  </si>
  <si>
    <t>Normalization Factor</t>
  </si>
  <si>
    <t>Top Down Level</t>
  </si>
  <si>
    <t>Bottom Up Level</t>
  </si>
  <si>
    <t>Is Balance Sheet Type</t>
  </si>
  <si>
    <t>IsBalanceSheetType</t>
  </si>
  <si>
    <t>ReportingPeriodDate</t>
  </si>
  <si>
    <t>This date is used in rollups for analyzing reporting period.</t>
  </si>
  <si>
    <t>Whenever a new glentry is posted, the rollup amount becomes the amount.  The spGLAccountBalanceUpdate only rolls up the amounts in RollupAmount</t>
  </si>
  <si>
    <t>glReportingPeriodAmount</t>
  </si>
  <si>
    <t>glReportingPeriodAmountYTD</t>
  </si>
  <si>
    <t>Things can be done by people but they can also be done by assets.  Something else in the future?</t>
  </si>
  <si>
    <t>Things can be done for people but could be done for assets, land, wells, etc.</t>
  </si>
  <si>
    <t>IsExceptionRaised</t>
  </si>
  <si>
    <t>One and only one cost centre may have no parent record.</t>
  </si>
  <si>
    <t>Balance Sheet account should not have a parent account.</t>
  </si>
  <si>
    <t>One and only one account may be classified as a net income account.</t>
  </si>
  <si>
    <t>One and only one account may be classified as a Balance Sheet account.</t>
  </si>
  <si>
    <t>Row ID % not allowed.  Row ID must be between 0 and 73,709,551,614.</t>
  </si>
  <si>
    <t>System ID % not allowed. System ID must be between 0 and 233720.</t>
  </si>
  <si>
    <t>Format % not allowed.  Formats must be between 0 and 9.</t>
  </si>
  <si>
    <t>GL Account % does not have a reference number for exporting.</t>
  </si>
  <si>
    <t>No records to export.</t>
  </si>
  <si>
    <t>Recursive loop first detect with GLAccount Structure.</t>
  </si>
  <si>
    <t>Recursive loop first detect with GL Cost Centre Structure.</t>
  </si>
  <si>
    <t>DisplaySequence</t>
  </si>
  <si>
    <t>o convert in pengrowth</t>
  </si>
  <si>
    <t>o setup transfer functionality</t>
  </si>
  <si>
    <t>o spEFTBatchGenerate</t>
  </si>
  <si>
    <t>o spglAccountBalanceHistory</t>
  </si>
  <si>
    <t>o spglAgedReceivable</t>
  </si>
  <si>
    <t>o spglCostCenterBalanceHistory</t>
  </si>
  <si>
    <t>o spglReverseTransaction</t>
  </si>
  <si>
    <t>o spglInvoiceAmountUpdate</t>
  </si>
  <si>
    <t>o spglTransactionDelete</t>
  </si>
  <si>
    <t>o spsysChangeHistoryGenerate</t>
  </si>
  <si>
    <t>o spsysChangeHistoryRefreshTriggers</t>
  </si>
  <si>
    <t>o spsysChangeHistoryUndo</t>
  </si>
  <si>
    <t>o spglCopyTransaction</t>
  </si>
  <si>
    <t>o spglActivityBillingGenerate</t>
  </si>
  <si>
    <t>o year end statement scripts for accountants</t>
  </si>
  <si>
    <t>temp1</t>
  </si>
  <si>
    <t>?</t>
  </si>
  <si>
    <t>aareferencefields - Payment Method</t>
  </si>
  <si>
    <t>CRAE</t>
  </si>
  <si>
    <t>CRMC</t>
  </si>
  <si>
    <t>CROT</t>
  </si>
  <si>
    <t>CRVS</t>
  </si>
  <si>
    <t>CRDB</t>
  </si>
  <si>
    <t>DIR</t>
  </si>
  <si>
    <t>EFT</t>
  </si>
  <si>
    <t>CASH</t>
  </si>
  <si>
    <t>CHEQ</t>
  </si>
  <si>
    <t>spCashReceipt checks the first two characters of the shortcode to see if it is CR for Credit Cards for Moneris processing.</t>
  </si>
  <si>
    <t>Invoice for Barcode % does not exist</t>
  </si>
  <si>
    <t>Transaction % is not Pending</t>
  </si>
  <si>
    <t>Manual glEntry % does not exist</t>
  </si>
  <si>
    <t>Manual glEntry Description must be specified for Manual glEntry</t>
  </si>
  <si>
    <t>Manual glEntry Amount must be specified for Manual glEntry</t>
  </si>
  <si>
    <t>Manual glEntry GLAccountID must be specified for Manual glEntry</t>
  </si>
  <si>
    <t>Refund amount must be a credit</t>
  </si>
  <si>
    <t>Cash receipt does not balance. It is out by %</t>
  </si>
  <si>
    <t>Unexpected error: row count returned from payment procedure did not equal 1</t>
  </si>
  <si>
    <t>spglExport</t>
  </si>
  <si>
    <t>spsysIDCreate</t>
  </si>
  <si>
    <t>spglAccountBalanceUpdate</t>
  </si>
  <si>
    <t>RoutineName</t>
  </si>
  <si>
    <t>spglBatchApprove</t>
  </si>
  <si>
    <t>Payment not completed -  %</t>
  </si>
  <si>
    <t>Address 3</t>
  </si>
  <si>
    <t>At least one invoice or manual item must be specified.</t>
  </si>
  <si>
    <t>GST</t>
  </si>
  <si>
    <t>HST</t>
  </si>
  <si>
    <t>Disbursement</t>
  </si>
  <si>
    <t>Company</t>
  </si>
  <si>
    <t>Routine Name</t>
  </si>
  <si>
    <t>Writeoff</t>
  </si>
  <si>
    <t>GST Number</t>
  </si>
  <si>
    <t>Cash Account</t>
  </si>
  <si>
    <t>Use CostCentre</t>
  </si>
  <si>
    <t>Write off account for cash receipting</t>
  </si>
  <si>
    <t>Write Off Amount Tolerance</t>
  </si>
  <si>
    <t>o change from multidatabase to postgres</t>
  </si>
  <si>
    <t>Batch % must exist and must be in a pending state</t>
  </si>
  <si>
    <t>When p_TransactionState is Edit, the p_TransactionID is required.</t>
  </si>
  <si>
    <t>Transaction % does not have an associated CR glEntry that exists.</t>
  </si>
  <si>
    <t>Transaction % does not exists.</t>
  </si>
  <si>
    <t>Transaction % is not a valid cash receipt.  No cash receipt record.</t>
  </si>
  <si>
    <t xml:space="preserve">Manual </t>
  </si>
  <si>
    <t>PaidFor</t>
  </si>
  <si>
    <t>WriteOffAmount than tolerance set in setup</t>
  </si>
  <si>
    <t>Manual Cash Receipt Item</t>
  </si>
  <si>
    <t>CRM</t>
  </si>
  <si>
    <t>Preferred First Name</t>
  </si>
  <si>
    <t>AuthorizationNumber</t>
  </si>
  <si>
    <t>Invoice Number</t>
  </si>
  <si>
    <t>Write off cost centre for cash receipting</t>
  </si>
  <si>
    <t>Max Amount allowed for write offs</t>
  </si>
  <si>
    <t>x spglCashReceipt</t>
  </si>
  <si>
    <t>OldData</t>
  </si>
  <si>
    <t>NewData</t>
  </si>
  <si>
    <t>Old Data</t>
  </si>
  <si>
    <t>New Data</t>
  </si>
  <si>
    <t>Is Processed</t>
  </si>
  <si>
    <t>jsonb</t>
  </si>
  <si>
    <t>SysJSONDefinitionID</t>
  </si>
  <si>
    <t>NEW.DBO.sysJSONDefinition</t>
  </si>
  <si>
    <t>JSONData</t>
  </si>
  <si>
    <t>GL Rate Type</t>
  </si>
  <si>
    <t>Goods and Services Tax</t>
  </si>
  <si>
    <t>Provincial Sales Tax</t>
  </si>
  <si>
    <t>Harmonized Sales Tax</t>
  </si>
  <si>
    <t>aareferencefields - GL Rate Type</t>
  </si>
  <si>
    <t>Table Temporal End Date</t>
  </si>
  <si>
    <t>If we are capturing data for a temporal record we need to know which record is applied to</t>
  </si>
  <si>
    <t>ID, TemporalEndDate</t>
  </si>
  <si>
    <t>fnsysGetTranslation</t>
  </si>
  <si>
    <t>RowIDPerformedBy</t>
  </si>
  <si>
    <t>RowIDPerformedFor</t>
  </si>
  <si>
    <t>RowIDChargedBy</t>
  </si>
  <si>
    <t>RowIDAppliesTo</t>
  </si>
  <si>
    <t>RowIDLocation</t>
  </si>
  <si>
    <t>RowIDChargedTo</t>
  </si>
  <si>
    <t>RowTemporalEndDate</t>
  </si>
  <si>
    <t>sysChangeHistoryRow</t>
  </si>
  <si>
    <t>sysChangeHistoryColumn</t>
  </si>
  <si>
    <t>Contains the Row that changed</t>
  </si>
  <si>
    <t>ChangeHistoryRow</t>
  </si>
  <si>
    <t>IsMaxRecordsIgnored</t>
  </si>
  <si>
    <t>The maximum records that change history will process is set in fnsysGlobal.  If this is set to TRUE the max will be ignored.  Note: processing large amounts of change history records is resource intenstive and not advised.</t>
  </si>
  <si>
    <t>Is Max Records Ignored</t>
  </si>
  <si>
    <t>Contains the Column that changed</t>
  </si>
  <si>
    <t>ChangeHistoryColumn</t>
  </si>
  <si>
    <t>IsRenderPropertyNeeded</t>
  </si>
  <si>
    <t>IsRenderIgnored</t>
  </si>
  <si>
    <t>spsysTemporalUpdate</t>
  </si>
  <si>
    <t>ID % does not exist</t>
  </si>
  <si>
    <t>Segment % is currently deactivated.  Must be reactivated before it can be updated.</t>
  </si>
  <si>
    <t>No differences were detected</t>
  </si>
  <si>
    <t>JSON parameter not allowed.  No updates permitted.</t>
  </si>
  <si>
    <t>spglCashReceipt</t>
  </si>
  <si>
    <t>An ID % should not be passed for an insert</t>
  </si>
  <si>
    <t>OperationType</t>
  </si>
  <si>
    <t>e.g Edit effective yyyy-mm-dd</t>
  </si>
  <si>
    <t>e.g. Insert, Update, Delete</t>
  </si>
  <si>
    <t>Invalid action.  Must be one of the following - u-Update, d-Deactivate, a-Activate, i-Insert</t>
  </si>
  <si>
    <t>Invalid temporal resolution value %.  Must be one of the following. 1-Year, 2-Month, 3-Day</t>
  </si>
  <si>
    <t>spsysChangeHistoryUndo</t>
  </si>
  <si>
    <t>Record has change on % that must be undone prior to this change being undone</t>
  </si>
  <si>
    <t>Record has already been undone</t>
  </si>
  <si>
    <t>Attempted to delete a record id % that was previously inserted and it does not exist.</t>
  </si>
  <si>
    <t>Attempted to update record id % but it has been updated since the log was taken</t>
  </si>
  <si>
    <t>Attempted to insert a record id % that was previously deleted and it already exists.</t>
  </si>
  <si>
    <t>exSubscriber</t>
  </si>
  <si>
    <t>exSubscription</t>
  </si>
  <si>
    <t>exRecordGroup</t>
  </si>
  <si>
    <t>exHistory</t>
  </si>
  <si>
    <t>DataExchange</t>
  </si>
  <si>
    <t>Subscriber</t>
  </si>
  <si>
    <t>Subscription</t>
  </si>
  <si>
    <t>History</t>
  </si>
  <si>
    <t>Subscribers</t>
  </si>
  <si>
    <t>Subscriptions</t>
  </si>
  <si>
    <t>DataExchangeSubscriber</t>
  </si>
  <si>
    <t>DataExchangeSubscription</t>
  </si>
  <si>
    <t>DataExchangeRecordGroup</t>
  </si>
  <si>
    <t>DataExchangeHistory</t>
  </si>
  <si>
    <t>Contains subscriber and subscriber groups for exporting data</t>
  </si>
  <si>
    <t>Contains subscriptions for exporting data</t>
  </si>
  <si>
    <t>Contains groupings of records (e.g. Contact, Address)</t>
  </si>
  <si>
    <t>exSubscriptionDetail</t>
  </si>
  <si>
    <t>DataExchangeSubscriptionDetail</t>
  </si>
  <si>
    <t>Contains generated details based on subscriptions</t>
  </si>
  <si>
    <t>Contains internal to external system id translation</t>
  </si>
  <si>
    <t>Contains history of exports for each subscriber by row</t>
  </si>
  <si>
    <t>SubscribedTo</t>
  </si>
  <si>
    <t>SystemID</t>
  </si>
  <si>
    <t>exSystem</t>
  </si>
  <si>
    <t>DataExchangeSystem</t>
  </si>
  <si>
    <t>Systems</t>
  </si>
  <si>
    <t>Data Package</t>
  </si>
  <si>
    <t>Record Group Parent</t>
  </si>
  <si>
    <t>Record Group</t>
  </si>
  <si>
    <t>Contains log of errors</t>
  </si>
  <si>
    <t>Contains error messages</t>
  </si>
  <si>
    <t>ID must be specified for Updates, Activates and De-Activates</t>
  </si>
  <si>
    <t>RowIDSubscribedTo</t>
  </si>
  <si>
    <t>Row Subscribed To</t>
  </si>
  <si>
    <t>sysDictionaryTableIDSubscribedTo</t>
  </si>
  <si>
    <t>Dictionary Table Subscribed To</t>
  </si>
  <si>
    <t>sysForeignKeyCache</t>
  </si>
  <si>
    <t>Used to improve performance for looking up foreign key references for multilink, change history and Data Package creation for exporting data</t>
  </si>
  <si>
    <t>RowID</t>
  </si>
  <si>
    <t>Inherited Address</t>
  </si>
  <si>
    <t>Cash Receipt Writeoff Account</t>
  </si>
  <si>
    <t>Cash Receipt Writeoff Cost Centre</t>
  </si>
  <si>
    <t>Dictionary Column Source</t>
  </si>
  <si>
    <t>Dictionary Column Dest</t>
  </si>
  <si>
    <t>name</t>
  </si>
  <si>
    <t>lookup</t>
  </si>
  <si>
    <t>Wtitle</t>
  </si>
  <si>
    <t>SELECT setval('sysChecklist_id_seq', COALESCE((SELECT MAX(id)+1 FROM sysChecklist), 1), false);</t>
  </si>
  <si>
    <t>SELECT setval('sysChecklistItem_id_seq', COALESCE((SELECT MAX(id)+1 FROM sysChecklistItem), 1), false);</t>
  </si>
  <si>
    <t>SELECT setval('sysChecklistOptionGroup_id_seq', COALESCE((SELECT MAX(id)+1 FROM sysChecklistOptionGroup), 1), false);</t>
  </si>
  <si>
    <t>SELECT setval('sysComponent_id_seq', COALESCE((SELECT MAX(id)+1 FROM sysComponent), 1), false);</t>
  </si>
  <si>
    <t>SELECT setval('sysComponentLogic_id_seq', COALESCE((SELECT MAX(id)+1 FROM sysComponentLogic), 1), false);</t>
  </si>
  <si>
    <t>SELECT setval('sysComponentProp_id_seq', COALESCE((SELECT MAX(id)+1 FROM sysComponentProp), 1), false);</t>
  </si>
  <si>
    <t>SELECT setval('sysComponentReducer_id_seq', COALESCE((SELECT MAX(id)+1 FROM sysComponentReducer), 1), false);</t>
  </si>
  <si>
    <t>SELECT setval('sysComponentState_id_seq', COALESCE((SELECT MAX(id)+1 FROM sysComponentState), 1), false);</t>
  </si>
  <si>
    <t>SELECT setval('sysInitialState_id_seq', COALESCE((SELECT MAX(id)+1 FROM sysInitialState), 1), false);</t>
  </si>
  <si>
    <t>SELECT setval('sysLogic_id_seq', COALESCE((SELECT MAX(id)+1 FROM sysLogic), 1), false);</t>
  </si>
  <si>
    <t>SELECT setval('sysModule_id_seq', COALESCE((SELECT MAX(id)+1 FROM sysModule), 1), false);</t>
  </si>
  <si>
    <t>SELECT setval('sysModuleComponent_id_seq', COALESCE((SELECT MAX(id)+1 FROM sysModuleComponent), 1), false);</t>
  </si>
  <si>
    <t>SELECT setval('sysModuleComponentLogic_id_seq', COALESCE((SELECT MAX(id)+1 FROM sysModuleComponentLogic), 1), false);</t>
  </si>
  <si>
    <t>SELECT setval('sysModuleComponentProp_id_seq', COALESCE((SELECT MAX(id)+1 FROM sysModuleComponentProp), 1), false);</t>
  </si>
  <si>
    <t>SELECT setval('sysModuleComponentReducer_id_seq', COALESCE((SELECT MAX(id)+1 FROM sysModuleComponentReducer), 1), false);</t>
  </si>
  <si>
    <t>SELECT setval('sysModuleComponentState_id_seq', COALESCE((SELECT MAX(id)+1 FROM sysModuleComponentState), 1), false);</t>
  </si>
  <si>
    <t>SELECT setval('sysModuleLogic_id_seq', COALESCE((SELECT MAX(id)+1 FROM sysModuleLogic), 1), false);</t>
  </si>
  <si>
    <t>SELECT setval('sysModuleReducer_id_seq', COALESCE((SELECT MAX(id)+1 FROM sysModuleReducer), 1), false);</t>
  </si>
  <si>
    <t>SELECT setval('sysModuleRule_id_seq', COALESCE((SELECT MAX(id)+1 FROM sysModuleRule), 1), false);</t>
  </si>
  <si>
    <t>SELECT setval('sysModuleState_id_seq', COALESCE((SELECT MAX(id)+1 FROM sysModuleState), 1), false);</t>
  </si>
  <si>
    <t>SELECT setval('sysNavigation_id_seq', COALESCE((SELECT MAX(id)+1 FROM sysNavigation), 1), false);</t>
  </si>
  <si>
    <t>SELECT setval('sysProcess_id_seq', COALESCE((SELECT MAX(id)+1 FROM sysProcess), 1), false);</t>
  </si>
  <si>
    <t>SELECT setval('sysProcessStatus_id_seq', COALESCE((SELECT MAX(id)+1 FROM sysProcessStatus), 1), false);</t>
  </si>
  <si>
    <t>SELECT setval('sysProcessType_id_seq', COALESCE((SELECT MAX(id)+1 FROM sysProcessType), 1), false);</t>
  </si>
  <si>
    <t>SELECT setval('sysQuestionGroup_id_seq', COALESCE((SELECT MAX(id)+1 FROM sysQuestionGroup), 1), false);</t>
  </si>
  <si>
    <t>SELECT setval('sysQuestionGroupItem_id_seq', COALESCE((SELECT MAX(id)+1 FROM sysQuestionGroupItem), 1), false);</t>
  </si>
  <si>
    <t>SELECT setval('sysRaci_id_seq', COALESCE((SELECT MAX(id)+1 FROM sysRaci), 1), false);</t>
  </si>
  <si>
    <t>SELECT setval('sysReducer_id_seq', COALESCE((SELECT MAX(id)+1 FROM sysReducer), 1), false);</t>
  </si>
  <si>
    <t>SELECT setval('sysRule_id_seq', COALESCE((SELECT MAX(id)+1 FROM sysRule), 1), false);</t>
  </si>
  <si>
    <t>SELECT setval('sysScheduler_id_seq', COALESCE((SELECT MAX(id)+1 FROM sysScheduler), 1), false);</t>
  </si>
  <si>
    <t>SELECT setval('sysSchedulerType_id_seq', COALESCE((SELECT MAX(id)+1 FROM sysSchedulerType), 1), false);</t>
  </si>
  <si>
    <t>WHEN p_sysDictionaryTableID = 78 THEN (SELECT x.Name FROM sysSiteAction x WHERE x.ID = p_RowID )</t>
  </si>
  <si>
    <t>SELECT setval('sysSiteAction_id_seq', COALESCE((SELECT MAX(id)+1 FROM sysSiteAction), 1), false);</t>
  </si>
  <si>
    <t>SELECT setval('sysSurveyQuestion_id_seq', COALESCE((SELECT MAX(id)+1 FROM sysSurveyQuestion), 1), false);</t>
  </si>
  <si>
    <t>isHeaderColumn</t>
  </si>
  <si>
    <t>Is Header Column</t>
  </si>
  <si>
    <t>This column indicates whether a column is included in the header for foreign key references</t>
  </si>
  <si>
    <t>This column causes change history to fire if the associated column changes during an update</t>
  </si>
  <si>
    <t>IsHeaderColumn</t>
  </si>
  <si>
    <t>Indicates whether the change history record has been exported</t>
  </si>
  <si>
    <t>Is Change History Data Exported</t>
  </si>
  <si>
    <t>After</t>
  </si>
  <si>
    <t>Before</t>
  </si>
  <si>
    <t>Friendly version of before data (e.g. foreign key translated, dates in friendly format, etc)</t>
  </si>
  <si>
    <t>Friendly version of after data (e.g. foreign key translated, dates in friendly format, etc)</t>
  </si>
  <si>
    <t>Mainly used for multilink columns so it is not necessary to go back to the data to figure it out</t>
  </si>
  <si>
    <t>RawDataBefore</t>
  </si>
  <si>
    <t>RawDataAfter</t>
  </si>
  <si>
    <t>TranslatedDataBefore</t>
  </si>
  <si>
    <t>TranslatedDataAfter</t>
  </si>
  <si>
    <t>Dictionary Table Before</t>
  </si>
  <si>
    <t>Dictionary Table After</t>
  </si>
  <si>
    <t>Change History ID</t>
  </si>
  <si>
    <t>F resulted from a foreign key, R resulted from refresh or update</t>
  </si>
  <si>
    <t>Destination</t>
  </si>
  <si>
    <t>ChangeHistory is used as a batch for exporting data</t>
  </si>
  <si>
    <t>ChangeHistoryRow that got exported</t>
  </si>
  <si>
    <t>System it went to</t>
  </si>
  <si>
    <t>a</t>
  </si>
  <si>
    <t>Contains a list of all data servers</t>
  </si>
  <si>
    <t>DataExchangeServer</t>
  </si>
  <si>
    <t>Id of data server.  Should always be the first one</t>
  </si>
  <si>
    <t>First System ID</t>
  </si>
  <si>
    <t>Last System ID</t>
  </si>
  <si>
    <t>Organization</t>
  </si>
  <si>
    <t>spsysSchemaCreate</t>
  </si>
  <si>
    <t>Display Sequence</t>
  </si>
  <si>
    <t xml:space="preserve">Data server does not exist </t>
  </si>
  <si>
    <t>Short Name</t>
  </si>
  <si>
    <t>Performed By Table</t>
  </si>
  <si>
    <t>Performed For Table</t>
  </si>
  <si>
    <t>ProductionVersion</t>
  </si>
  <si>
    <t>TestVersion</t>
  </si>
  <si>
    <t>Version of system to accept test updates.  If null, no exports will be sent</t>
  </si>
  <si>
    <t>Version of system to accept updates, if null defaults to zero.</t>
  </si>
  <si>
    <t>spexPackageExport</t>
  </si>
  <si>
    <t>Subscription is to a row that does not exist - %</t>
  </si>
  <si>
    <t>Cannot allowed to subscribe to a child record group (i.e. parent is not null) - %</t>
  </si>
  <si>
    <t>Duplicate subscription - %</t>
  </si>
  <si>
    <t>exPackage</t>
  </si>
  <si>
    <t>Contains exports of  to other systems</t>
  </si>
  <si>
    <t>ExchangePackage</t>
  </si>
  <si>
    <t>Package</t>
  </si>
  <si>
    <t>Packages</t>
  </si>
  <si>
    <t>Error executing command on AWS</t>
  </si>
  <si>
    <t>fnsysEnterNetExecute</t>
  </si>
  <si>
    <t>SubscriptionKey</t>
  </si>
  <si>
    <t>SchemaName</t>
  </si>
  <si>
    <t>Schema Name</t>
  </si>
  <si>
    <t>Subscription Key</t>
  </si>
  <si>
    <t>Used for setting a subscription key which can be used if a system is creating a subscription for a system it does not know about</t>
  </si>
  <si>
    <t>fnsysEnterNetGetNextSystemID</t>
  </si>
  <si>
    <t>Error getting next system id.  Zero means error accessing AWS. System ID %</t>
  </si>
  <si>
    <t>Data server already exists for this database.  Current data server is %.</t>
  </si>
  <si>
    <t>update</t>
  </si>
  <si>
    <t>exMessage</t>
  </si>
  <si>
    <t>Messages</t>
  </si>
  <si>
    <t>Contains a list of all Messages</t>
  </si>
  <si>
    <t>DataExchangeMessage</t>
  </si>
  <si>
    <t>MessageSeverity</t>
  </si>
  <si>
    <t>Message Severity</t>
  </si>
  <si>
    <t>IsOverridden</t>
  </si>
  <si>
    <t>Is Overridden</t>
  </si>
  <si>
    <t>Batch the message is related to</t>
  </si>
  <si>
    <t>ChangeHistoryRow the message is related to</t>
  </si>
  <si>
    <t>Table the message is related to</t>
  </si>
  <si>
    <t>Is Overridden by User</t>
  </si>
  <si>
    <t xml:space="preserve">Warning - Import is attempting to delete a record that is already deleted.  </t>
  </si>
  <si>
    <t>Warning - Database has the following extra columns that do not exist in the import - %.  As long as the column(s) allow nulls or a default value has been established, it will not cause an error.</t>
  </si>
  <si>
    <t>Warning - Import has the following extra column(s) that do not exist in the database - %</t>
  </si>
  <si>
    <t>spexPackageImport</t>
  </si>
  <si>
    <t>Warning - Data has been altered locally since the last import</t>
  </si>
  <si>
    <t>Message Severity (1 Error, 2 Warning, 3 Log)</t>
  </si>
  <si>
    <t>DistributionDate</t>
  </si>
  <si>
    <t>AppliedDate</t>
  </si>
  <si>
    <t>ReadDate</t>
  </si>
  <si>
    <t>Read Date</t>
  </si>
  <si>
    <t>Distribution Date</t>
  </si>
  <si>
    <t>Applied Date</t>
  </si>
  <si>
    <t>Where Expression</t>
  </si>
  <si>
    <t>Is Encyrpted</t>
  </si>
  <si>
    <t>This column indicates whether a column is encrypted</t>
  </si>
  <si>
    <t>isEncrypted</t>
  </si>
  <si>
    <t>IsEncrypted</t>
  </si>
  <si>
    <t>exHistoryBatch</t>
  </si>
  <si>
    <t>Contains a list of all exHistory Batches that have been processed</t>
  </si>
  <si>
    <t>DataExchangeHistoryBatch</t>
  </si>
  <si>
    <t>Date it was distributed by the data server</t>
  </si>
  <si>
    <t>Error -Distribute can only be run from a data server</t>
  </si>
  <si>
    <t>spexPackageDistribute</t>
  </si>
  <si>
    <t>dropNotNull</t>
  </si>
  <si>
    <t>Message ID of error</t>
  </si>
  <si>
    <t>Message ID</t>
  </si>
  <si>
    <t>Export History Batch ID</t>
  </si>
  <si>
    <t>Export History ID</t>
  </si>
  <si>
    <t>Table % has been dropped that has data to be imported into</t>
  </si>
  <si>
    <t>isIncludedInUniqueConstraint</t>
  </si>
  <si>
    <t>IsIncludedInUniqueConstraint</t>
  </si>
  <si>
    <t>Is Included In Unique Constraint</t>
  </si>
  <si>
    <t>exMessageOverride</t>
  </si>
  <si>
    <t>DataExchangeMessageOverride</t>
  </si>
  <si>
    <t>Contains a list of all Message Overrides</t>
  </si>
  <si>
    <t>Table the message override is related to</t>
  </si>
  <si>
    <t>Message ID that is overridden</t>
  </si>
  <si>
    <t>Message Text of the overridden message</t>
  </si>
  <si>
    <t>exGovernance</t>
  </si>
  <si>
    <t>Contains Governances for exporting data</t>
  </si>
  <si>
    <t>DataExchangeGovernance</t>
  </si>
  <si>
    <t>exGovernanceDetail</t>
  </si>
  <si>
    <t>Contains generated details based on Governances</t>
  </si>
  <si>
    <t>DataExchangeGovernanceDetail</t>
  </si>
  <si>
    <t>TransferDate</t>
  </si>
  <si>
    <t>AddressText</t>
  </si>
  <si>
    <t>Contains all address data including city, state, country in a text string</t>
  </si>
  <si>
    <t>Gl Reporting Period Amount</t>
  </si>
  <si>
    <t>Gl Reporting Period AmountYTD</t>
  </si>
  <si>
    <t>Reporting Period Date</t>
  </si>
  <si>
    <t>Is Exception Raised</t>
  </si>
  <si>
    <t>Dictionary Table Applies To</t>
  </si>
  <si>
    <t>Dictionary Table Charged By</t>
  </si>
  <si>
    <t>Working Title</t>
  </si>
  <si>
    <t>Complete Address</t>
  </si>
  <si>
    <t>Latitude</t>
  </si>
  <si>
    <t>Longitude</t>
  </si>
  <si>
    <t>Float</t>
  </si>
  <si>
    <t>DepreciationSalvageValue</t>
  </si>
  <si>
    <t>The attribute hierarchy is defined hierarchically.  This attribute point to the parent attribute that a given attribute rolls up to.</t>
  </si>
  <si>
    <t>Provides the label that will be displayed</t>
  </si>
  <si>
    <t>Defined the data type of the attribute.  If no data type is defined then just the presence of the attribute detail record will imply the presence of the attribute</t>
  </si>
  <si>
    <t>Defines the display sequence of the attribute.  If no display sequence is defined then it will be alphabetical based on the attribute description</t>
  </si>
  <si>
    <t>IsMandatory</t>
  </si>
  <si>
    <t>If a data type is defined, then this attribute will be checked to see if an attribute is mandatory</t>
  </si>
  <si>
    <t>Provides a link to the last change history event</t>
  </si>
  <si>
    <t>AttributeValue</t>
  </si>
  <si>
    <t>Attribute Value</t>
  </si>
  <si>
    <t>Identifies the atribute the record applies to</t>
  </si>
  <si>
    <t>Identifies the value of the attribute</t>
  </si>
  <si>
    <t>Parent Project</t>
  </si>
  <si>
    <t>Start date for the temporal segment</t>
  </si>
  <si>
    <t>End date for the temporal segment</t>
  </si>
  <si>
    <t>Defines whether or not the record is active</t>
  </si>
  <si>
    <t>Defines the level from the bottom up.  This column is generated.</t>
  </si>
  <si>
    <t>Defines the level from the top down.  This column is generated.</t>
  </si>
  <si>
    <t>Defines the display sequence of the hierarchy</t>
  </si>
  <si>
    <t>Primary key the actActivity record</t>
  </si>
  <si>
    <t>Foreign key link to actPriority that defines the Priority</t>
  </si>
  <si>
    <t>Foreign key link to actStatus that defines the Status</t>
  </si>
  <si>
    <t>Foreign key link to actType that defines the Activity Type</t>
  </si>
  <si>
    <t>Multilink column that identifies the specific row that is linked to for the Performed By column.</t>
  </si>
  <si>
    <t>Multilink column that identifies the specific row that is linked to for the Performed For column.</t>
  </si>
  <si>
    <t>Comments column</t>
  </si>
  <si>
    <t>Completion Date column</t>
  </si>
  <si>
    <t>Description column</t>
  </si>
  <si>
    <t>Start Date column</t>
  </si>
  <si>
    <t>Primary key the actActivitySubTypeBilling record</t>
  </si>
  <si>
    <t>Foreign key link to actProject that defines the Activity Project</t>
  </si>
  <si>
    <t>Foreign key link to crmContact that defines the Contact Invoice Through</t>
  </si>
  <si>
    <t>Foreign key link to glTransaction that defines the Transaction</t>
  </si>
  <si>
    <t>Foreign key link to actBillingStatus that defines the Billing Status</t>
  </si>
  <si>
    <t>Revenue Amount column</t>
  </si>
  <si>
    <t>Primary key the actBillingMethod record</t>
  </si>
  <si>
    <t>Display Sequence column</t>
  </si>
  <si>
    <t>Primary key the actBillingStatus record</t>
  </si>
  <si>
    <t>Short Code column</t>
  </si>
  <si>
    <t>Primary key the actCostUnit record</t>
  </si>
  <si>
    <t>Primary key the actPriority record</t>
  </si>
  <si>
    <t>Primary key the actProject record</t>
  </si>
  <si>
    <t>Foreign key link to actBillingMethod that defines the Billing Method</t>
  </si>
  <si>
    <t>Foreign key link to actProject that defines the Parent Project</t>
  </si>
  <si>
    <t>Foreign key link to actSource that defines the Source</t>
  </si>
  <si>
    <t>Foreign key link to crmContact that defines the Performed For</t>
  </si>
  <si>
    <t>Foreign key link to glCostCentre that defines the Cost Centre</t>
  </si>
  <si>
    <t>Base Amount column</t>
  </si>
  <si>
    <t>Contact column</t>
  </si>
  <si>
    <t>Expense Amount column</t>
  </si>
  <si>
    <t>Reference Number column</t>
  </si>
  <si>
    <t>Primary key the actProjectResourceAllocation record</t>
  </si>
  <si>
    <t>Foreign key link to crmContact that defines the Contact</t>
  </si>
  <si>
    <t>Dollars column</t>
  </si>
  <si>
    <t>Hours column</t>
  </si>
  <si>
    <t>Primary key the actRateBilling record</t>
  </si>
  <si>
    <t>Multilink column that is used to define the table that is linked to for the Charged By column</t>
  </si>
  <si>
    <t>Rate column</t>
  </si>
  <si>
    <t>Primary key the actRateExpense record</t>
  </si>
  <si>
    <t>Primary key the actRateFactor record</t>
  </si>
  <si>
    <t>Adjustment column</t>
  </si>
  <si>
    <t>Primary key the actSource record</t>
  </si>
  <si>
    <t>Primary key the actStatus record</t>
  </si>
  <si>
    <t>Primary key the actType record</t>
  </si>
  <si>
    <t>Foreign key link to actCostUnit that defines the Cost Unit</t>
  </si>
  <si>
    <t>Foreign key link to glAccount that defines the GL Account</t>
  </si>
  <si>
    <t>Primary key the comAttribute record</t>
  </si>
  <si>
    <t>Primary key the comAttributeDetail record</t>
  </si>
  <si>
    <t>Multilink column that identifies the specific row that is linked to for the Contact column.</t>
  </si>
  <si>
    <t>Primary key the comCity record</t>
  </si>
  <si>
    <t>Foreign key link to comCountry that defines the Country</t>
  </si>
  <si>
    <t>Foreign key link to comProvinceState that defines the Province</t>
  </si>
  <si>
    <t>Primary key the comCountry record</t>
  </si>
  <si>
    <t>Primary key the comCrossReference record</t>
  </si>
  <si>
    <t>Foreign key link to comCrossReferenceType that defines the Type</t>
  </si>
  <si>
    <t>Multilink column that is used to define the table that is linked to for the Applies To column</t>
  </si>
  <si>
    <t>Multilink column that identifies the specific row that is linked to for the SourceRecord column.</t>
  </si>
  <si>
    <t>Number column</t>
  </si>
  <si>
    <t>Primary key the comCrossReferenceType record</t>
  </si>
  <si>
    <t>Primary key the comLocation record</t>
  </si>
  <si>
    <t>Foreign key link to comLocation that defines the Fixed Asset Location Database</t>
  </si>
  <si>
    <t>Latitude column</t>
  </si>
  <si>
    <t>Longitude column</t>
  </si>
  <si>
    <t>Classify column</t>
  </si>
  <si>
    <t>Val 2 column</t>
  </si>
  <si>
    <t>Primary key the comPersonalComment record</t>
  </si>
  <si>
    <t>Foreign key link to crmContact that defines the Employee</t>
  </si>
  <si>
    <t>Primary key the comProvinceState record</t>
  </si>
  <si>
    <t>Province column</t>
  </si>
  <si>
    <t>Primary key the crmAddress record</t>
  </si>
  <si>
    <t>Foreign key link to comCity that defines the City Name</t>
  </si>
  <si>
    <t>Foreign key link to crmAddress that defines the Inherited Address</t>
  </si>
  <si>
    <t>Foreign key link to crmAddressType that defines the Address Type</t>
  </si>
  <si>
    <t>Address 1 column</t>
  </si>
  <si>
    <t>Address 2 column</t>
  </si>
  <si>
    <t>Address 3 column</t>
  </si>
  <si>
    <t>Address 4 column</t>
  </si>
  <si>
    <t>City column</t>
  </si>
  <si>
    <t>Effective Date column</t>
  </si>
  <si>
    <t>Primary Address column</t>
  </si>
  <si>
    <t>Province/State column</t>
  </si>
  <si>
    <t>Primary key the crmAddressEmail record</t>
  </si>
  <si>
    <t>Is Primary column</t>
  </si>
  <si>
    <t>Primary key the crmAddressPhone record</t>
  </si>
  <si>
    <t>Foreign key link to crmAddressPhoneType that defines the Phone Type</t>
  </si>
  <si>
    <t>Primary key the crmAddressPhoneType record</t>
  </si>
  <si>
    <t>Primary key the crmAddressType record</t>
  </si>
  <si>
    <t>Primary key the crmContact record</t>
  </si>
  <si>
    <t>Foreign key link to crmGender that defines the Gender</t>
  </si>
  <si>
    <t>Foreign key link to crmLanguage that defines the Language</t>
  </si>
  <si>
    <t>Foreign key link to crmSalutation that defines the Salutation</t>
  </si>
  <si>
    <t>Birth Date column</t>
  </si>
  <si>
    <t>Contact No column</t>
  </si>
  <si>
    <t>Contact Person column</t>
  </si>
  <si>
    <t>Website column</t>
  </si>
  <si>
    <t>Primary key the crmContactSubTypeEmployee record</t>
  </si>
  <si>
    <t>Foreign key link to hrEmploymentStatus that defines the Empl Status</t>
  </si>
  <si>
    <t>Commencement Date column</t>
  </si>
  <si>
    <t>Term Date column</t>
  </si>
  <si>
    <t>Primary key the crmContactSubTypeUser record</t>
  </si>
  <si>
    <t>User Name column</t>
  </si>
  <si>
    <t>Password column</t>
  </si>
  <si>
    <t>Primary key the crmGender record</t>
  </si>
  <si>
    <t>Primary key the crmLanguage record</t>
  </si>
  <si>
    <t>Primary key the crmRelationship record</t>
  </si>
  <si>
    <t>Foreign key link to crmContact that defines the Contact1</t>
  </si>
  <si>
    <t>Foreign key link to crmContact that defines the Contact2</t>
  </si>
  <si>
    <t>Foreign key link to crmRelationshipType that defines the Type</t>
  </si>
  <si>
    <t>Primary key the crmRelationshipType record</t>
  </si>
  <si>
    <t>Primary key the crmSalutation record</t>
  </si>
  <si>
    <t>Primary key the faDepreciationMethod record</t>
  </si>
  <si>
    <t>Primary key the faDisposalReason record</t>
  </si>
  <si>
    <t>Primary key the faFixedAsset record</t>
  </si>
  <si>
    <t>Foreign key link to faStatus that defines the Status</t>
  </si>
  <si>
    <t>Foreign key link to faType that defines the Fixed Asset Type</t>
  </si>
  <si>
    <t>Primary key the faLocationHistory record</t>
  </si>
  <si>
    <t>Foreign key link to faFixedAsset that defines the Fixed Asset</t>
  </si>
  <si>
    <t>Foreign key link to sysCommand that defines the Command</t>
  </si>
  <si>
    <t>Multilink column that is used to define the table that is linked to for the Location column</t>
  </si>
  <si>
    <t>Details column</t>
  </si>
  <si>
    <t>Active column</t>
  </si>
  <si>
    <t>Confirm column</t>
  </si>
  <si>
    <t>Primary key the faStatus record</t>
  </si>
  <si>
    <t>Primary key the faType record</t>
  </si>
  <si>
    <t>Foreign key link to glAccount that defines the GL Account Accum Depr</t>
  </si>
  <si>
    <t>Foreign key link to glAccount that defines the GL Account Asset</t>
  </si>
  <si>
    <t>Foreign key link to glAccount that defines the GL Account Depreciation Expense</t>
  </si>
  <si>
    <t>Depreciation Percent column</t>
  </si>
  <si>
    <t>Fixed Asset Number Used column</t>
  </si>
  <si>
    <t>Replacement Amount column</t>
  </si>
  <si>
    <t>Template column</t>
  </si>
  <si>
    <t>Primary key the glAccount record</t>
  </si>
  <si>
    <t>Foreign key link to glAccountType that defines the Account Type</t>
  </si>
  <si>
    <t>Bank Account No column</t>
  </si>
  <si>
    <t>Collapse on Export column</t>
  </si>
  <si>
    <t>Primary key the glAccountBalance record</t>
  </si>
  <si>
    <t>Balance column</t>
  </si>
  <si>
    <t>YTD Balance column</t>
  </si>
  <si>
    <t>Budget Balance column</t>
  </si>
  <si>
    <t>YTD Budget Balance column</t>
  </si>
  <si>
    <t>Gl Reporting Period Amount column</t>
  </si>
  <si>
    <t>Gl Reporting Period AmountYTD column</t>
  </si>
  <si>
    <t>Is Balance Sheet Type column</t>
  </si>
  <si>
    <t>Date column</t>
  </si>
  <si>
    <t>Primary key the glAccountCostCentre record</t>
  </si>
  <si>
    <t>Primary key the glAccountType record</t>
  </si>
  <si>
    <t>Normalization Factor column</t>
  </si>
  <si>
    <t>Primary key the glBatch record</t>
  </si>
  <si>
    <t xml:space="preserve">Foreign key link to glBatchStatus that defines the Batch Status </t>
  </si>
  <si>
    <t>Foreign key link to glBatchType that defines the Batch Type</t>
  </si>
  <si>
    <t>Foreign key link to glExportBatch that defines the GL Export Batch ID</t>
  </si>
  <si>
    <t>Approve Date column</t>
  </si>
  <si>
    <t>Create Date column</t>
  </si>
  <si>
    <t>Batch Error column</t>
  </si>
  <si>
    <t>Primary key the glBatchStatus record</t>
  </si>
  <si>
    <t>Primary key the glBatchType record</t>
  </si>
  <si>
    <t>Has Automatic Approval column</t>
  </si>
  <si>
    <t>Is Automated column</t>
  </si>
  <si>
    <t>Primary key the glBillingAccount record</t>
  </si>
  <si>
    <t>Foreign key link to glBillingAccountStatus that defines the Status</t>
  </si>
  <si>
    <t>Foreign key link to glEFTType that defines the EFTType</t>
  </si>
  <si>
    <t>Current Balance column</t>
  </si>
  <si>
    <t>Hours Per Day column</t>
  </si>
  <si>
    <t>GST Exempt column</t>
  </si>
  <si>
    <t>HST Exempt column</t>
  </si>
  <si>
    <t>Premium Tax Exempt column</t>
  </si>
  <si>
    <t>PST Exempt column</t>
  </si>
  <si>
    <t>Payment Terms column</t>
  </si>
  <si>
    <t>Transit No column</t>
  </si>
  <si>
    <t>Type column</t>
  </si>
  <si>
    <t>Primary key the glBillingAccountBalance record</t>
  </si>
  <si>
    <t>Multilink column that identifies the specific row that is linked to for the BillingAccount column.</t>
  </si>
  <si>
    <t>Primary key the glBillingAccountStatus record</t>
  </si>
  <si>
    <t>Primary key the glBillingMethod record</t>
  </si>
  <si>
    <t>Primary key the glBudget record</t>
  </si>
  <si>
    <t>Amount column</t>
  </si>
  <si>
    <t>Rollup Amount column</t>
  </si>
  <si>
    <t>Primary key the glCostCentre record</t>
  </si>
  <si>
    <t>Primary key the glDeposit record</t>
  </si>
  <si>
    <t>Foreign key link to glDepositStatus that defines the Deposit Status</t>
  </si>
  <si>
    <t>Deposit Date column</t>
  </si>
  <si>
    <t>Primary key the glDepositStatus record</t>
  </si>
  <si>
    <t>Primary key the glEFTType record</t>
  </si>
  <si>
    <t>Primary key the glEntry record</t>
  </si>
  <si>
    <t>Foreign key link to glEntryType that defines the Type</t>
  </si>
  <si>
    <t>Multilink column that identifies the specific row that is linked to for the ChargedTo column.</t>
  </si>
  <si>
    <t>Reconciliation Balance column</t>
  </si>
  <si>
    <t>Primary key the glEntryType record</t>
  </si>
  <si>
    <t>Primary key the glExportBatch record</t>
  </si>
  <si>
    <t>Primary key the glExportEntry record</t>
  </si>
  <si>
    <t>Foreign key link to glExportTransaction that defines the Export Transaction</t>
  </si>
  <si>
    <t>AccountNumber column</t>
  </si>
  <si>
    <t>Primary key the glExportTransaction record</t>
  </si>
  <si>
    <t>Foreign key link to glBatch that defines the Batch</t>
  </si>
  <si>
    <t>Foreign key link to glExportBatch that defines the Export Batch</t>
  </si>
  <si>
    <t>Primary key the glPaymentMethod record</t>
  </si>
  <si>
    <t>Primary key the glPostingStatus record</t>
  </si>
  <si>
    <t>Primary key the glRate record</t>
  </si>
  <si>
    <t>Foreign key link to glRateType that defines the Rate Type</t>
  </si>
  <si>
    <t>Primary key the glRateType record</t>
  </si>
  <si>
    <t>Primary key the glReconciliation record</t>
  </si>
  <si>
    <t>Foreign key link to glEntry that defines the To GL Entry</t>
  </si>
  <si>
    <t>Primary key the glSetUp record</t>
  </si>
  <si>
    <t>Account Label column</t>
  </si>
  <si>
    <t>Cost Centre Label column</t>
  </si>
  <si>
    <t>Foreign key link to crmContact that defines the Company</t>
  </si>
  <si>
    <t>Fiscal Year Increment column</t>
  </si>
  <si>
    <t>Foreign key link to glAccount that defines the Cash Account</t>
  </si>
  <si>
    <t>Foreign key link to glAccount that defines the Disbursement Account</t>
  </si>
  <si>
    <t>Foreign key link to glAccount that defines the GST Account</t>
  </si>
  <si>
    <t>Foreign key link to glAccount that defines the HST Account</t>
  </si>
  <si>
    <t>Foreign key link to glAccount that defines the Accounts Payable</t>
  </si>
  <si>
    <t>Foreign key link to glAccount that defines the PST Account</t>
  </si>
  <si>
    <t>Foreign key link to glAccount that defines the Accounts Receivable</t>
  </si>
  <si>
    <t>GST Number column</t>
  </si>
  <si>
    <t>Use CostCentre column</t>
  </si>
  <si>
    <t>Force Balancing column</t>
  </si>
  <si>
    <t>Primary key the glTransaction record</t>
  </si>
  <si>
    <t>Foreign key link to glEntry that defines the GL EntryMain</t>
  </si>
  <si>
    <t>Foreign key link to glPostingStatus that defines the Status</t>
  </si>
  <si>
    <t>Foreign key link to glTransaction that defines the Reversed Transaction</t>
  </si>
  <si>
    <t>Foreign key link to glTransactionType that defines the Type</t>
  </si>
  <si>
    <t>Foreign key link to sysDictionaryTable that defines the Table Name</t>
  </si>
  <si>
    <t>Primary key the glTransactionSubTypeCashReceipt record</t>
  </si>
  <si>
    <t>Foreign key link to crmContact that defines the Entered By</t>
  </si>
  <si>
    <t>Foreign key link to crmContact that defines the Paid By</t>
  </si>
  <si>
    <t>Foreign key link to glDeposit that defines the Deposit</t>
  </si>
  <si>
    <t>Foreign key link to glPaymentMethod that defines the Payment Method</t>
  </si>
  <si>
    <t>Invoice Number column</t>
  </si>
  <si>
    <t>Print Receipt column</t>
  </si>
  <si>
    <t>Order column</t>
  </si>
  <si>
    <t>Transaction Tag column</t>
  </si>
  <si>
    <t>Write Off Amount column</t>
  </si>
  <si>
    <t>Primary key the glTransactionSubTypeCheque record</t>
  </si>
  <si>
    <t>Foreign key link to glBillingAccount that defines the Billing Account</t>
  </si>
  <si>
    <t>Address1 column</t>
  </si>
  <si>
    <t>Address2 column</t>
  </si>
  <si>
    <t>Postal / Zip column</t>
  </si>
  <si>
    <t>Print Cnt column</t>
  </si>
  <si>
    <t>Primary key the glTransactionSubTypeInvoice record</t>
  </si>
  <si>
    <t>Gst Over column</t>
  </si>
  <si>
    <t>Primary key the glTransactionType record</t>
  </si>
  <si>
    <t>Primary key the hrEmploymentStatus record</t>
  </si>
  <si>
    <t>Primary key the hrGrade record</t>
  </si>
  <si>
    <t>Primary key the hrPosition record</t>
  </si>
  <si>
    <t>Foreign key link to comLocation that defines the Location</t>
  </si>
  <si>
    <t>Foreign key link to glCostCentre that defines the Organization Unit</t>
  </si>
  <si>
    <t>Foreign key link to hrGrade that defines the Grade</t>
  </si>
  <si>
    <t>Foreign key link to hrPositionClassification that defines the Classification</t>
  </si>
  <si>
    <t>Foreign key link to hrPositionType that defines the Type</t>
  </si>
  <si>
    <t>Salary column</t>
  </si>
  <si>
    <t>Termination Date column</t>
  </si>
  <si>
    <t>Working Title column</t>
  </si>
  <si>
    <t>Primary key the hrPositionClassification record</t>
  </si>
  <si>
    <t>Primary key the hrPositionType record</t>
  </si>
  <si>
    <t>Primary key the mailConfig record</t>
  </si>
  <si>
    <t>CSVFile Location column</t>
  </si>
  <si>
    <t>Fax Server column</t>
  </si>
  <si>
    <t>Merge File Location column</t>
  </si>
  <si>
    <t>Merge File Template Location column</t>
  </si>
  <si>
    <t>Primary key the mailContactMailOption record</t>
  </si>
  <si>
    <t>Foreign key link to crmContact that defines the Contact Record</t>
  </si>
  <si>
    <t>Foreign key link to mailDeliveryMethod that defines the Mail Method</t>
  </si>
  <si>
    <t>Foreign key link to mailSupressReason that defines the Suppress</t>
  </si>
  <si>
    <t>Primary key the mailDeliveryMethod record</t>
  </si>
  <si>
    <t>Primary key the mailDistributionRule record</t>
  </si>
  <si>
    <t>Foreign key link to mailDistributionType that defines the Distribution Type</t>
  </si>
  <si>
    <t>is Required column</t>
  </si>
  <si>
    <t>Suppressable column</t>
  </si>
  <si>
    <t>Primary key the mailDistributionRuleDeliveryMethod record</t>
  </si>
  <si>
    <t>Foreign key link to mailDeliveryMethod that defines the Distribution Rule</t>
  </si>
  <si>
    <t>Foreign key link to mailDistributionRule that defines the Delivery Method</t>
  </si>
  <si>
    <t>Primary key the mailDistributionType record</t>
  </si>
  <si>
    <t>Primary key the mailMerge record</t>
  </si>
  <si>
    <t>Foreign key link to crmContact that defines the Sent By Staff Contact</t>
  </si>
  <si>
    <t>Foreign key link to crmContact that defines the Queued By Staff Contact</t>
  </si>
  <si>
    <t>Foreign key link to mailDistributionRuleDeliveryMethod that defines the Delivery Method</t>
  </si>
  <si>
    <t>Foreign key link to mailStatus that defines the Status</t>
  </si>
  <si>
    <t>Foreign key link to mailTemplate that defines the Mail Template</t>
  </si>
  <si>
    <t>Contact Number column</t>
  </si>
  <si>
    <t>Country column</t>
  </si>
  <si>
    <t>Date Queued column</t>
  </si>
  <si>
    <t>Date Sent column</t>
  </si>
  <si>
    <t>Designation column</t>
  </si>
  <si>
    <t>Email column</t>
  </si>
  <si>
    <t>Fax column</t>
  </si>
  <si>
    <t>Label Required column</t>
  </si>
  <si>
    <t>Location column</t>
  </si>
  <si>
    <t>Message Text column</t>
  </si>
  <si>
    <t>Postal Code column</t>
  </si>
  <si>
    <t>Province Short Code column</t>
  </si>
  <si>
    <t>Query Date column</t>
  </si>
  <si>
    <t>Subject Text column</t>
  </si>
  <si>
    <t>Title column</t>
  </si>
  <si>
    <t>JSONData column</t>
  </si>
  <si>
    <t>Primary key the mailOption record</t>
  </si>
  <si>
    <t>Foreign key link to mailSupressReason that defines the Suppress Reason</t>
  </si>
  <si>
    <t>Primary key the mailOptionDefault record</t>
  </si>
  <si>
    <t>Primary key the mailStatus record</t>
  </si>
  <si>
    <t>Primary key the mailSupressReason record</t>
  </si>
  <si>
    <t>Primary key the mailTemplate record</t>
  </si>
  <si>
    <t>Foreign key link to mailDistributionRuleDeliveryMethod that defines the RefDefaultDistributionType</t>
  </si>
  <si>
    <t>DefaultMessage column</t>
  </si>
  <si>
    <t>DefaultSubject column</t>
  </si>
  <si>
    <t>KeyCode column</t>
  </si>
  <si>
    <t>Primary key the sysChangeHistory record</t>
  </si>
  <si>
    <t>Foreign key link to crmContact that defines the ContactID User</t>
  </si>
  <si>
    <t>Multilink column that is used to define the table that is linked to for the Dictionary Table column</t>
  </si>
  <si>
    <t>Multilink column that identifies the specific row that is linked to for the Object Affected column.</t>
  </si>
  <si>
    <t>Change Date column</t>
  </si>
  <si>
    <t>ChangeHistoryIDUndo column</t>
  </si>
  <si>
    <t>Primary key the sysChangeHistoryRow record</t>
  </si>
  <si>
    <t>Foreign key link to sysChangeHistory that defines the Change History</t>
  </si>
  <si>
    <t>Multilink column that is used to define the table that is linked to for the Id column</t>
  </si>
  <si>
    <t>Old Data column</t>
  </si>
  <si>
    <t>New Data column</t>
  </si>
  <si>
    <t>Is Processed column</t>
  </si>
  <si>
    <t>Primary key the sysChangeHistoryColumn record</t>
  </si>
  <si>
    <t>Foreign key link to sysChangeHistoryRow that defines the Change History Table</t>
  </si>
  <si>
    <t>Foreign key link to sysDictionaryColumn that defines the Dictionary Column</t>
  </si>
  <si>
    <t>Before Source column</t>
  </si>
  <si>
    <t>After Source column</t>
  </si>
  <si>
    <t>Primary key the sysChecklist record</t>
  </si>
  <si>
    <t>Record Count column</t>
  </si>
  <si>
    <t>Primary key the sysChecklistItem record</t>
  </si>
  <si>
    <t>Foreign key link to sysChecklist that defines the Checklist</t>
  </si>
  <si>
    <t>Action Value column</t>
  </si>
  <si>
    <t>Caption column</t>
  </si>
  <si>
    <t>Checklist Option Group column</t>
  </si>
  <si>
    <t>Additional Info column</t>
  </si>
  <si>
    <t>Generate Notes column</t>
  </si>
  <si>
    <t>Required column</t>
  </si>
  <si>
    <t>Primary key the sysChecklistOptionGroup record</t>
  </si>
  <si>
    <t>Internal Notes column</t>
  </si>
  <si>
    <t>Public Notes column</t>
  </si>
  <si>
    <t>Value column</t>
  </si>
  <si>
    <t>Primary key the sysCommand record</t>
  </si>
  <si>
    <t>Command Type column</t>
  </si>
  <si>
    <t>French Caption column</t>
  </si>
  <si>
    <t>Help Text column</t>
  </si>
  <si>
    <t>Track Change History column</t>
  </si>
  <si>
    <t>Log Condition column</t>
  </si>
  <si>
    <t>Menu Msg column</t>
  </si>
  <si>
    <t>SourceCode column</t>
  </si>
  <si>
    <t>Module column</t>
  </si>
  <si>
    <t>Primary key the sysCommandJoin record</t>
  </si>
  <si>
    <t>Foreign key link to sysCommand that defines the CommandChild</t>
  </si>
  <si>
    <t>Foreign key link to sysCommand that defines the CommandParent</t>
  </si>
  <si>
    <t>Condition column</t>
  </si>
  <si>
    <t>Primary key the sysComponent record</t>
  </si>
  <si>
    <t>Primary key the sysComponentLogic record</t>
  </si>
  <si>
    <t>Primary key the sysComponentProp record</t>
  </si>
  <si>
    <t>Primary key the sysComponentReducer record</t>
  </si>
  <si>
    <t>Primary key the sysComponentState record</t>
  </si>
  <si>
    <t>Primary key the sysDataSource record</t>
  </si>
  <si>
    <t>Primary key the sysDataType record</t>
  </si>
  <si>
    <t>Primary key the sysDictionaryColumn record</t>
  </si>
  <si>
    <t>Foreign key link to sysDictionaryTable that defines the Dictionary Table</t>
  </si>
  <si>
    <t>Foreign key link to sysDictionaryTable that defines the Dictionary Table Foreign</t>
  </si>
  <si>
    <t>Column Sequence column</t>
  </si>
  <si>
    <t>Data Length column</t>
  </si>
  <si>
    <t>Data Type column</t>
  </si>
  <si>
    <t>Decimals column</t>
  </si>
  <si>
    <t>Default Value column</t>
  </si>
  <si>
    <t>Is Nullable column</t>
  </si>
  <si>
    <t>Is Included In Unique Constraint column</t>
  </si>
  <si>
    <t>Label column</t>
  </si>
  <si>
    <t>Purpose column</t>
  </si>
  <si>
    <t>Primary key the sysDictionaryTable record</t>
  </si>
  <si>
    <t>Change History Level column</t>
  </si>
  <si>
    <t>ChangeHistoryScope column</t>
  </si>
  <si>
    <t>Is Change History Used column</t>
  </si>
  <si>
    <t>Is Table Temporal column</t>
  </si>
  <si>
    <t>ObjectID column</t>
  </si>
  <si>
    <t>Systemtem Module column</t>
  </si>
  <si>
    <t>Table Type column</t>
  </si>
  <si>
    <t>Translation column</t>
  </si>
  <si>
    <t>Primary key the sysError record</t>
  </si>
  <si>
    <t>Context column</t>
  </si>
  <si>
    <t>Message column</t>
  </si>
  <si>
    <t>State column</t>
  </si>
  <si>
    <t>TimeStamp column</t>
  </si>
  <si>
    <t>Primary key the sysInitialState record</t>
  </si>
  <si>
    <t>Primary key the sysLogic record</t>
  </si>
  <si>
    <t>Primary key the sysMessage record</t>
  </si>
  <si>
    <t>Detail column</t>
  </si>
  <si>
    <t>Hint column</t>
  </si>
  <si>
    <t>Is Message Logged column</t>
  </si>
  <si>
    <t>Is Exception Raised column</t>
  </si>
  <si>
    <t>Primary key the sysModule record</t>
  </si>
  <si>
    <t>Active Navigation Item column</t>
  </si>
  <si>
    <t>Direct column</t>
  </si>
  <si>
    <t>Primary key the sysModuleComponent record</t>
  </si>
  <si>
    <t>Direct Embed Children column</t>
  </si>
  <si>
    <t>Ignore Render column</t>
  </si>
  <si>
    <t>Primary key the sysModuleComponentLogic record</t>
  </si>
  <si>
    <t>Primary key the sysModuleComponentProp record</t>
  </si>
  <si>
    <t>Primary key the sysModuleComponentReducer record</t>
  </si>
  <si>
    <t>Primary key the sysModuleComponentState record</t>
  </si>
  <si>
    <t>Primary key the sysModuleLogic record</t>
  </si>
  <si>
    <t>Primary key the sysModuleReducer record</t>
  </si>
  <si>
    <t>Primary key the sysModuleRule record</t>
  </si>
  <si>
    <t>Primary key the sysModuleState record</t>
  </si>
  <si>
    <t>Primary key the sysMultilinkTableRule record</t>
  </si>
  <si>
    <t>Foreign key link to sysDictionaryColumn that defines the Dictionary Column Source</t>
  </si>
  <si>
    <t>Foreign key link to sysDictionaryColumn that defines the Dictionary Column Dest</t>
  </si>
  <si>
    <t>Sequence Number column</t>
  </si>
  <si>
    <t>Primary key the sysNavigation record</t>
  </si>
  <si>
    <t>Primary key the sysProcess record</t>
  </si>
  <si>
    <t>Administrative column</t>
  </si>
  <si>
    <t>Primary key the sysProcessStatus record</t>
  </si>
  <si>
    <t>Primary key the sysProcessType record</t>
  </si>
  <si>
    <t>Primary key the sysQuestionGroup record</t>
  </si>
  <si>
    <t>Primary key the sysQuestionGroupItem record</t>
  </si>
  <si>
    <t>Primary key the sysRaci record</t>
  </si>
  <si>
    <t>Primary key the sysReducer record</t>
  </si>
  <si>
    <t>Primary key the sysRule record</t>
  </si>
  <si>
    <t>Primary key the sysScheduler record</t>
  </si>
  <si>
    <t>Cron column</t>
  </si>
  <si>
    <t>Daily column</t>
  </si>
  <si>
    <t>Enabled column</t>
  </si>
  <si>
    <t>Monthly column</t>
  </si>
  <si>
    <t>Weekly column</t>
  </si>
  <si>
    <t>Primary key the sysSchedulerType record</t>
  </si>
  <si>
    <t>Primary key the sysSecurityGroup record</t>
  </si>
  <si>
    <t>Primary key the sysSecurityGroupCommand record</t>
  </si>
  <si>
    <t>Foreign key link to sysSecurityGroup that defines the Group</t>
  </si>
  <si>
    <t>Primary key the sysSecurityGroupContact record</t>
  </si>
  <si>
    <t>Foreign key link to sysSecurityGroup that defines the Security Group</t>
  </si>
  <si>
    <t>Primary key the sysSiteAction record</t>
  </si>
  <si>
    <t>Primary key the sysSurveyQuestion record</t>
  </si>
  <si>
    <t>Foreign key link to sysQuestionGroup that defines the Question Group</t>
  </si>
  <si>
    <t>Foreign key link to sysSurveyQuestion that defines the Parent</t>
  </si>
  <si>
    <t>Additional Information column</t>
  </si>
  <si>
    <t>Answer Type column</t>
  </si>
  <si>
    <t>Display Order column</t>
  </si>
  <si>
    <t>Is Additional column</t>
  </si>
  <si>
    <t>Is Alert On column</t>
  </si>
  <si>
    <t>Is Explain On column</t>
  </si>
  <si>
    <t>Is New Member column</t>
  </si>
  <si>
    <t>Is Renewal column</t>
  </si>
  <si>
    <t>Link Text column</t>
  </si>
  <si>
    <t>Prefix column</t>
  </si>
  <si>
    <t>Reason Text column</t>
  </si>
  <si>
    <t>Primary key the sysForeignKeyCache record</t>
  </si>
  <si>
    <t>Multilink column that identifies the specific row that is linked to for the Row ID column.</t>
  </si>
  <si>
    <t>Primary key the exSubscriber record</t>
  </si>
  <si>
    <t>Foreign key link to exSubscriber that defines the Subscriber</t>
  </si>
  <si>
    <t>Foreign key link to exSystem that defines the System</t>
  </si>
  <si>
    <t>Primary key the exRecordGroup record</t>
  </si>
  <si>
    <t>Foreign key link to exRecordGroup that defines the Record Group Parent</t>
  </si>
  <si>
    <t>Where Expression column</t>
  </si>
  <si>
    <t>Primary key the exSubscription record</t>
  </si>
  <si>
    <t>Foreign key link to exRecordGroup that defines the Record Group</t>
  </si>
  <si>
    <t>Row Subscribed To column</t>
  </si>
  <si>
    <t>Expiry Date column</t>
  </si>
  <si>
    <t>Primary key the exSubscriptionDetail record</t>
  </si>
  <si>
    <t>Foreign key link to exSubscription that defines the Subscription</t>
  </si>
  <si>
    <t>Multilink column that is used to define the table that is linked to for the Subscribed To column</t>
  </si>
  <si>
    <t>Multilink column that identifies the specific row that is linked to for the Row Subscribed To column.</t>
  </si>
  <si>
    <t>Primary key the exPackage record</t>
  </si>
  <si>
    <t>Data Package column</t>
  </si>
  <si>
    <t>Read Date column</t>
  </si>
  <si>
    <t>Primary key the exHistoryBatch record</t>
  </si>
  <si>
    <t>Primary key the exHistory record</t>
  </si>
  <si>
    <t>Primary key the exSystem record</t>
  </si>
  <si>
    <t>Primary key the exMessage record</t>
  </si>
  <si>
    <t>Primary key the exMessageOverride record</t>
  </si>
  <si>
    <t>Primary key the exGovernance record</t>
  </si>
  <si>
    <t>Foreign key link to exSystem that defines the Subscriber</t>
  </si>
  <si>
    <t>Primary key the exGovernanceDetail record</t>
  </si>
  <si>
    <t>Foreign key link to exGovernance that defines the Subscription</t>
  </si>
  <si>
    <t>Start Date of the activity</t>
  </si>
  <si>
    <t>Total units (hours, days) for an activity</t>
  </si>
  <si>
    <t>Billed Amount charged for the activity</t>
  </si>
  <si>
    <t>Override column for Billed Amount</t>
  </si>
  <si>
    <t>Override column for Hoursours</t>
  </si>
  <si>
    <t>Description of a Billing Method record</t>
  </si>
  <si>
    <t>Description of a Billing Status record</t>
  </si>
  <si>
    <t>Description of a Cost Unit record</t>
  </si>
  <si>
    <t>Description of a Priority record</t>
  </si>
  <si>
    <t>Description of a Project record</t>
  </si>
  <si>
    <t>Description of a Source record</t>
  </si>
  <si>
    <t>Description of a Status record</t>
  </si>
  <si>
    <t>Description of a Type record</t>
  </si>
  <si>
    <t>Name of a City</t>
  </si>
  <si>
    <t>Name of a Country</t>
  </si>
  <si>
    <t>Description of a Cross Reference Type record</t>
  </si>
  <si>
    <t>Description of a Location record</t>
  </si>
  <si>
    <t>Name of a Province State</t>
  </si>
  <si>
    <t>First Name of a Contact</t>
  </si>
  <si>
    <t>Last Name of a Contact</t>
  </si>
  <si>
    <t>Middle Name of a Contact</t>
  </si>
  <si>
    <t>Name of a Contact</t>
  </si>
  <si>
    <t>Preferred First Name of a Contact</t>
  </si>
  <si>
    <t>Previous Last Name of a Contact</t>
  </si>
  <si>
    <t>Description of a Gender record</t>
  </si>
  <si>
    <t>Description of a Language record</t>
  </si>
  <si>
    <t>Description of a Relationship record</t>
  </si>
  <si>
    <t>Primary Name of a Relationship Type</t>
  </si>
  <si>
    <t>Secondary Name of a Relationship Type</t>
  </si>
  <si>
    <t>Description of a Salutation record</t>
  </si>
  <si>
    <t>Description of a Depreciation Method record</t>
  </si>
  <si>
    <t>Description of a Disposal Reason record</t>
  </si>
  <si>
    <t>Description of a Fixed Asset record</t>
  </si>
  <si>
    <t>Description of a Batch record</t>
  </si>
  <si>
    <t>Description of a Batch Status record</t>
  </si>
  <si>
    <t>Description of a Batch Type record</t>
  </si>
  <si>
    <t>Name of a Billing Account</t>
  </si>
  <si>
    <t>Description of a Billing Account Status record</t>
  </si>
  <si>
    <t>Description of a Cost Centre record</t>
  </si>
  <si>
    <t>Description of a Deposit Status record</t>
  </si>
  <si>
    <t>Description of a Payment Method record</t>
  </si>
  <si>
    <t>Description of a Posting Status record</t>
  </si>
  <si>
    <t>Description of a Rate record</t>
  </si>
  <si>
    <t>Description of a Rate Type record</t>
  </si>
  <si>
    <t>Description of a Transaction record</t>
  </si>
  <si>
    <t>Name of a Transaction Cash Receipt</t>
  </si>
  <si>
    <t>Name of a Transaction Cheque</t>
  </si>
  <si>
    <t>Description of a Transaction Type record</t>
  </si>
  <si>
    <t>Description of a Grade record</t>
  </si>
  <si>
    <t>Description of a Position Classification record</t>
  </si>
  <si>
    <t>Description of a Position Type record</t>
  </si>
  <si>
    <t>Mail Printer Name of a Config</t>
  </si>
  <si>
    <t>Description of a Delivery Method record</t>
  </si>
  <si>
    <t>Description of a Distribution Type record</t>
  </si>
  <si>
    <t>Contact Name2 of a Merge</t>
  </si>
  <si>
    <t>Document Name of a Merge</t>
  </si>
  <si>
    <t>First Name of a Merge</t>
  </si>
  <si>
    <t>Last Name of a Merge</t>
  </si>
  <si>
    <t>Mailing Name of a Merge</t>
  </si>
  <si>
    <t>Middle Name of a Merge</t>
  </si>
  <si>
    <t>Office Name of a Merge</t>
  </si>
  <si>
    <t>Registered Name of a Merge</t>
  </si>
  <si>
    <t>Document Name of a Template</t>
  </si>
  <si>
    <t>Name of a Template</t>
  </si>
  <si>
    <t>Name of a Checklist</t>
  </si>
  <si>
    <t>Name of a Checklist Item</t>
  </si>
  <si>
    <t>Req Info Name of a Checklist Item</t>
  </si>
  <si>
    <t>Group Name of a Checklist Option Group</t>
  </si>
  <si>
    <t>Name of a Command</t>
  </si>
  <si>
    <t>Procedure Name of a Command</t>
  </si>
  <si>
    <t>Name of a Component</t>
  </si>
  <si>
    <t>Reference Name of a Component</t>
  </si>
  <si>
    <t>Render Name of a Component</t>
  </si>
  <si>
    <t>Name of a Component Prop</t>
  </si>
  <si>
    <t>Render Name of a Component Prop</t>
  </si>
  <si>
    <t>Name of a Data Source</t>
  </si>
  <si>
    <t>Name of a Data Type</t>
  </si>
  <si>
    <t>Long Name of a Dictionary Column</t>
  </si>
  <si>
    <t>Name of a Dictionary Column</t>
  </si>
  <si>
    <t>Name of a Dictionary Table</t>
  </si>
  <si>
    <t>Normalized Name of a Dictionary Table</t>
  </si>
  <si>
    <t>Plural Name of a Dictionary Table</t>
  </si>
  <si>
    <t>Singular Name of a Dictionary Table</t>
  </si>
  <si>
    <t>Name of a Logic</t>
  </si>
  <si>
    <t>Routine Name of a Message</t>
  </si>
  <si>
    <t>Name of a Module</t>
  </si>
  <si>
    <t>Plural Name of a Module</t>
  </si>
  <si>
    <t>Reference Name of a Module</t>
  </si>
  <si>
    <t>Render Name of a Module</t>
  </si>
  <si>
    <t>Singular Name of a Module</t>
  </si>
  <si>
    <t>Display Name of a Module Component</t>
  </si>
  <si>
    <t>Field Name of a Module Component</t>
  </si>
  <si>
    <t>Name of a Navigation</t>
  </si>
  <si>
    <t>Name of a Process</t>
  </si>
  <si>
    <t>Name of a Question Group</t>
  </si>
  <si>
    <t>Name of a Raci</t>
  </si>
  <si>
    <t>Name of a Reducer</t>
  </si>
  <si>
    <t>Name of a Rule</t>
  </si>
  <si>
    <t>Name of a Scheduler</t>
  </si>
  <si>
    <t>Name of a Scheduler Type</t>
  </si>
  <si>
    <t>Name of a Security Group</t>
  </si>
  <si>
    <t>Name of a Site Action</t>
  </si>
  <si>
    <t>File Name of a Survey Question</t>
  </si>
  <si>
    <t>Short Name of a Survey Question</t>
  </si>
  <si>
    <t>Name of a Subscriber</t>
  </si>
  <si>
    <t>Name of a Record Group</t>
  </si>
  <si>
    <t>Name of a System</t>
  </si>
  <si>
    <t>Schema Name of a System</t>
  </si>
  <si>
    <t>Name of a Data Server</t>
  </si>
  <si>
    <t>Is Primary phone number</t>
  </si>
  <si>
    <t>Phone number</t>
  </si>
  <si>
    <t>Date the gl entry was reconciled</t>
  </si>
  <si>
    <t>Description of an Activity record</t>
  </si>
  <si>
    <t>Description of an Attribute record</t>
  </si>
  <si>
    <t>Description of an Address Phone Type record</t>
  </si>
  <si>
    <t>Description of an Address Type record</t>
  </si>
  <si>
    <t>Description of an Account record</t>
  </si>
  <si>
    <t>Description of an Account Type record</t>
  </si>
  <si>
    <t>Description of an EFT Type record</t>
  </si>
  <si>
    <t>Description of an Entry record</t>
  </si>
  <si>
    <t>Description of an Entry Type record</t>
  </si>
  <si>
    <t>Description of an Export Entry record</t>
  </si>
  <si>
    <t>Description of an Export Transaction record</t>
  </si>
  <si>
    <t>Description of an Employment Status record</t>
  </si>
  <si>
    <t>Name of an Initial State</t>
  </si>
  <si>
    <t>Render Name of an Initial State</t>
  </si>
  <si>
    <t>Question text</t>
  </si>
  <si>
    <t>Source Record</t>
  </si>
  <si>
    <t>Defines the rule for detail records that are produced</t>
  </si>
  <si>
    <t>Defines the rule for linking to tables for the Performed By column</t>
  </si>
  <si>
    <t>Defines the rule for linking to tables for the Performed for column</t>
  </si>
  <si>
    <t>Defines the rule for gl entry records that are produced</t>
  </si>
  <si>
    <t>Row ID Value</t>
  </si>
  <si>
    <t>exSubnetServer</t>
  </si>
  <si>
    <t>Foreign key link to exSubnetServer that defines the Subscriber</t>
  </si>
  <si>
    <t>Date is was applied by the SubnetServer</t>
  </si>
  <si>
    <t>Primary key the exSubnetServer record</t>
  </si>
  <si>
    <t>SystemIDSubnetServer</t>
  </si>
  <si>
    <t>(select aa.name||' - '||x.address1 from crmContact aa where aa.id=x.crmContactID LIMIT 1)</t>
  </si>
  <si>
    <t>(select aa.name||' - '||x.email from crmContact aa where aa.id=x.crmContactID LIMIT 1)</t>
  </si>
  <si>
    <t>(select aa.name||' - '||x.phone from crmContact aa where aa.id=x.crmContactID LIMIT 1)</t>
  </si>
  <si>
    <t>exSubscriptionRedaction</t>
  </si>
  <si>
    <t>Redacted</t>
  </si>
  <si>
    <t>RedactedValue</t>
  </si>
  <si>
    <t>RedactedTranslation</t>
  </si>
  <si>
    <t>Identifies the column that is going to be redacted</t>
  </si>
  <si>
    <t>Identifies the redacted value</t>
  </si>
  <si>
    <t>Identifies the translation for the redacted value</t>
  </si>
  <si>
    <t>Dictionary Column Redacted</t>
  </si>
  <si>
    <t>Redacted Value</t>
  </si>
  <si>
    <t>Redacted Translation</t>
  </si>
  <si>
    <t>Redacted SQL</t>
  </si>
  <si>
    <t>Identifies the SQL statement used to generate the value</t>
  </si>
  <si>
    <t>RedactedSQL</t>
  </si>
  <si>
    <t>Contains details about columns that have been redacted</t>
  </si>
  <si>
    <t>DataExchangeSubscriptionRedaction</t>
  </si>
  <si>
    <t>No change history records to undo.</t>
  </si>
  <si>
    <t>(now())::timestamp</t>
  </si>
  <si>
    <t>CommandType</t>
  </si>
  <si>
    <t>json</t>
  </si>
  <si>
    <t>Invalid whereclause - %</t>
  </si>
  <si>
    <t>ProcessStatuses</t>
  </si>
  <si>
    <t>act.ActivityBilling</t>
  </si>
  <si>
    <t>crm.ContactEmployee</t>
  </si>
  <si>
    <t>crm.ContactUser</t>
  </si>
  <si>
    <t>gl.TransactionCashReceipt</t>
  </si>
  <si>
    <t>gl.TransactionCheque</t>
  </si>
  <si>
    <t>gl.TransactionInvoice</t>
  </si>
  <si>
    <t>WarrantyExpiryDate</t>
  </si>
  <si>
    <t>Warranty Expiry Date</t>
  </si>
  <si>
    <t>Purchase Date</t>
  </si>
  <si>
    <t>Make</t>
  </si>
  <si>
    <t>Fixed Asset Number</t>
  </si>
  <si>
    <t>FixedAssetNumber</t>
  </si>
  <si>
    <t>ModelYear</t>
  </si>
  <si>
    <t>Model Year</t>
  </si>
  <si>
    <t>Year of the model</t>
  </si>
  <si>
    <t>Number of years</t>
  </si>
  <si>
    <t>Depreciation Salvage Value</t>
  </si>
  <si>
    <t>AssignedTo</t>
  </si>
  <si>
    <t>OwnedBy</t>
  </si>
  <si>
    <t>LocationObject</t>
  </si>
  <si>
    <t>Foreign key link to glCostCentre that which cost centre uses it</t>
  </si>
  <si>
    <t>Assigned to</t>
  </si>
  <si>
    <t>Owned by</t>
  </si>
  <si>
    <t>Foreign key link to activity association with the billing record</t>
  </si>
  <si>
    <t>Foreign key link to contact for the employee</t>
  </si>
  <si>
    <t>Foreign key link to contact for the user</t>
  </si>
  <si>
    <t>Foreign key link to transaction associated with the cash receipt</t>
  </si>
  <si>
    <t>Foreign key link to transaction associated with the cheque</t>
  </si>
  <si>
    <t>Foreign key link to transaction associated with the invoice</t>
  </si>
  <si>
    <t>Employee Details</t>
  </si>
  <si>
    <t>User Details</t>
  </si>
  <si>
    <t>Relationship Types</t>
  </si>
  <si>
    <t>Budget Details</t>
  </si>
  <si>
    <t>Locations</t>
  </si>
  <si>
    <t>General Ledger</t>
  </si>
  <si>
    <t>Human Resource</t>
  </si>
  <si>
    <t>Contact Management</t>
  </si>
  <si>
    <t>Tables</t>
  </si>
  <si>
    <t>Columns</t>
  </si>
  <si>
    <t>Types</t>
  </si>
  <si>
    <t>Deposits</t>
  </si>
  <si>
    <t>Projects</t>
  </si>
  <si>
    <t>Priorities</t>
  </si>
  <si>
    <t>Change History Rows</t>
  </si>
  <si>
    <t>Change History Columns</t>
  </si>
  <si>
    <t>Error Log</t>
  </si>
  <si>
    <t>Error Messages</t>
  </si>
  <si>
    <t>Data Types</t>
  </si>
  <si>
    <t>Multilink Table Rules</t>
  </si>
  <si>
    <t>Foreign Key Cache</t>
  </si>
  <si>
    <t>Phone Numbers</t>
  </si>
  <si>
    <t>Phone Types</t>
  </si>
  <si>
    <t>Address Types</t>
  </si>
  <si>
    <t>Location History</t>
  </si>
  <si>
    <t>Depreciation Methods</t>
  </si>
  <si>
    <t>Disposal Reasons</t>
  </si>
  <si>
    <t>Cost Centres</t>
  </si>
  <si>
    <t>Account Balances</t>
  </si>
  <si>
    <t>Cash Receipt Details</t>
  </si>
  <si>
    <t>Cheque Details</t>
  </si>
  <si>
    <t>Invoice Details</t>
  </si>
  <si>
    <t>Set Up</t>
  </si>
  <si>
    <t>Billing Account Balances</t>
  </si>
  <si>
    <t>Billing Account Statuses</t>
  </si>
  <si>
    <t>Export Batches</t>
  </si>
  <si>
    <t>Export Entries</t>
  </si>
  <si>
    <t>Export Transactions</t>
  </si>
  <si>
    <t>Deposit Statuses</t>
  </si>
  <si>
    <t>Batch Statuses</t>
  </si>
  <si>
    <t>Batch Types</t>
  </si>
  <si>
    <t>EFT Types</t>
  </si>
  <si>
    <t>Payment Methods</t>
  </si>
  <si>
    <t>Posting Statuses</t>
  </si>
  <si>
    <t>Account Types</t>
  </si>
  <si>
    <t>Project Resource Allocations</t>
  </si>
  <si>
    <t>Billing Statuses</t>
  </si>
  <si>
    <t>Billing Details</t>
  </si>
  <si>
    <t>Province States</t>
  </si>
  <si>
    <t>Cross Reference Types</t>
  </si>
  <si>
    <t>Employment Positions</t>
  </si>
  <si>
    <t>Employment Statuses</t>
  </si>
  <si>
    <t>Position Classifications</t>
  </si>
  <si>
    <t>Position Types</t>
  </si>
  <si>
    <t>Record Groups</t>
  </si>
  <si>
    <t>Subscription Details</t>
  </si>
  <si>
    <t>History Batches</t>
  </si>
  <si>
    <t>Subnet Servers</t>
  </si>
  <si>
    <t>Message Overrides</t>
  </si>
  <si>
    <t>Governance Details</t>
  </si>
  <si>
    <t>Subscription Redactions</t>
  </si>
  <si>
    <t>Change History Row</t>
  </si>
  <si>
    <t>Change History Column</t>
  </si>
  <si>
    <t>Error Message</t>
  </si>
  <si>
    <t>Multilink Table Rule</t>
  </si>
  <si>
    <t>Employee Detail</t>
  </si>
  <si>
    <t>User Detail</t>
  </si>
  <si>
    <t>Phone Number</t>
  </si>
  <si>
    <t>Relationship Type</t>
  </si>
  <si>
    <t>Depreciation Method</t>
  </si>
  <si>
    <t>Disposal Reason</t>
  </si>
  <si>
    <t>Account Balance</t>
  </si>
  <si>
    <t>Cash Receipt Detail</t>
  </si>
  <si>
    <t>Cheque Detail</t>
  </si>
  <si>
    <t>Invoice Detail</t>
  </si>
  <si>
    <t>Entry Type</t>
  </si>
  <si>
    <t>Billing Account Balance</t>
  </si>
  <si>
    <t>Budget Detail</t>
  </si>
  <si>
    <t>EFT Type</t>
  </si>
  <si>
    <t>Billing Detail</t>
  </si>
  <si>
    <t>Province State</t>
  </si>
  <si>
    <t>Personal Comment</t>
  </si>
  <si>
    <t>Employment Position</t>
  </si>
  <si>
    <t>Employment Status</t>
  </si>
  <si>
    <t>Subscription Detail</t>
  </si>
  <si>
    <t>History Batch</t>
  </si>
  <si>
    <t>Subnet Server</t>
  </si>
  <si>
    <t>Message Override</t>
  </si>
  <si>
    <t>Governance Detail</t>
  </si>
  <si>
    <t>Subscription Redaction</t>
  </si>
  <si>
    <t>Account Cost Centre</t>
  </si>
  <si>
    <t>Billing Rate</t>
  </si>
  <si>
    <t>Expense Rate</t>
  </si>
  <si>
    <t>Billing Rates</t>
  </si>
  <si>
    <t>Expense Rates</t>
  </si>
  <si>
    <t>Rate Factors</t>
  </si>
  <si>
    <t>Rate Factor</t>
  </si>
  <si>
    <t>Attribute Type</t>
  </si>
  <si>
    <t>Attribute Types</t>
  </si>
  <si>
    <t>Export Entry</t>
  </si>
  <si>
    <t>sysMasterDataIndex</t>
  </si>
  <si>
    <t>Generated by spsysMasterDataGenerate and then used by fnsysMasterDataQuery for performing queries</t>
  </si>
  <si>
    <t>Master Data Index</t>
  </si>
  <si>
    <t>sysDictionaryTableIdMaster</t>
  </si>
  <si>
    <t>RowIdMaster</t>
  </si>
  <si>
    <t>sysDictionaryColumnIdForeign</t>
  </si>
  <si>
    <t>RowIdForeign</t>
  </si>
  <si>
    <t>Multilink column that links to the table for  the master record</t>
  </si>
  <si>
    <t>Multilink column that links to the row for  the master record</t>
  </si>
  <si>
    <t>Multilink column that links to the row for  the foreign record</t>
  </si>
  <si>
    <t>Foreign key column id</t>
  </si>
  <si>
    <t>Primary key of the sysMasterDataIndex record</t>
  </si>
  <si>
    <t>Master Table Id</t>
  </si>
  <si>
    <t>Master Record Row Id</t>
  </si>
  <si>
    <t>Foreign Key Row Id</t>
  </si>
  <si>
    <t>ForeignKeyTranslation</t>
  </si>
  <si>
    <t>Foreign Key Translation</t>
  </si>
  <si>
    <t>Foreign Key Column Id</t>
  </si>
  <si>
    <t>Master</t>
  </si>
  <si>
    <t>sysDictionaryTableIdForeign</t>
  </si>
  <si>
    <t>Multilink column that links to the table for  the foreign record</t>
  </si>
  <si>
    <t>Foreign Table Id</t>
  </si>
  <si>
    <t>GL Entries</t>
  </si>
  <si>
    <t>GL Entry Types</t>
  </si>
  <si>
    <t>GL Reconciliations</t>
  </si>
  <si>
    <t>Fixed Asset Assignments</t>
  </si>
  <si>
    <t>Activity Types</t>
  </si>
  <si>
    <t>Project Sources</t>
  </si>
  <si>
    <t>Project Source</t>
  </si>
  <si>
    <t>Activity Statuses</t>
  </si>
  <si>
    <t>Activity Cost Units</t>
  </si>
  <si>
    <t>Activity Cost Unit</t>
  </si>
  <si>
    <t>GL Rates</t>
  </si>
  <si>
    <t>GL Transactions</t>
  </si>
  <si>
    <t>GL Batches</t>
  </si>
  <si>
    <t>GL Accounts</t>
  </si>
  <si>
    <t>GL Batch</t>
  </si>
  <si>
    <t>GL Transaction</t>
  </si>
  <si>
    <t>GL Transaction Types</t>
  </si>
  <si>
    <t>GL Transaction Type</t>
  </si>
  <si>
    <t>GL Rate Types</t>
  </si>
  <si>
    <t>GL Rate</t>
  </si>
  <si>
    <t>DrilldownColumn</t>
  </si>
  <si>
    <t>Identifies the column that contains the master id value for drilling down.  This default to ID</t>
  </si>
  <si>
    <t>Drill Down Column</t>
  </si>
  <si>
    <t>RowIDMaster</t>
  </si>
  <si>
    <t>Determined by the Drill down column which defaults to ID</t>
  </si>
  <si>
    <t>Row ID Master</t>
  </si>
  <si>
    <t>Transfer Date</t>
  </si>
  <si>
    <t>spexGovernanceTransfer</t>
  </si>
  <si>
    <t>System id does not exist</t>
  </si>
  <si>
    <t>Record group id does not exist</t>
  </si>
  <si>
    <t>Record group does not reference a parent record</t>
  </si>
  <si>
    <t>Record group contains records that are governed by a different entity</t>
  </si>
  <si>
    <t>Governance is not held by the current system</t>
  </si>
  <si>
    <t>Cannot transfer it to current system</t>
  </si>
  <si>
    <t>rowstatus</t>
  </si>
  <si>
    <t>Rowstatus</t>
  </si>
  <si>
    <t>syschangehistoryid</t>
  </si>
  <si>
    <t>General Naming</t>
  </si>
  <si>
    <t>o Hierarchical (crm, address)</t>
  </si>
  <si>
    <t>Commonly occurring columns</t>
  </si>
  <si>
    <t>o Name versus Contact Name</t>
  </si>
  <si>
    <t>o Includes a foreign key reference rather than sharing the same ID value (which is important for governance)</t>
  </si>
  <si>
    <t>o don’t use reserved words (rule)</t>
  </si>
  <si>
    <t>o Description/Name</t>
  </si>
  <si>
    <t>o Comments instead of notes</t>
  </si>
  <si>
    <t>o varchar does not include length</t>
  </si>
  <si>
    <t>o bigint for all id, foreign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</si>
</sst>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.8000000000000007"/>
      <color rgb="FF000000"/>
      <name val="JetBrains Mono"/>
      <family val="3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8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 applyAlignment="1">
      <alignment horizontal="left"/>
    </xf>
    <xf numFmtId="0" fontId="19" fillId="0" borderId="0" xfId="0" applyFont="1"/>
    <xf numFmtId="1" fontId="19" fillId="0" borderId="0" xfId="0" applyNumberFormat="1" applyFont="1"/>
    <xf numFmtId="0" fontId="19" fillId="0" borderId="0" xfId="0" quotePrefix="1" applyFont="1"/>
    <xf numFmtId="1" fontId="0" fillId="0" borderId="0" xfId="0" applyNumberFormat="1" applyAlignment="1">
      <alignment horizontal="right"/>
    </xf>
    <xf numFmtId="0" fontId="0" fillId="33" borderId="0" xfId="0" applyFill="1"/>
    <xf numFmtId="0" fontId="16" fillId="0" borderId="0" xfId="0" applyFont="1"/>
    <xf numFmtId="1" fontId="0" fillId="0" borderId="0" xfId="0" applyNumberFormat="1" applyAlignment="1">
      <alignment horizontal="left"/>
    </xf>
    <xf numFmtId="0" fontId="0" fillId="0" borderId="0" xfId="0" quotePrefix="1"/>
    <xf numFmtId="0" fontId="19" fillId="0" borderId="0" xfId="0" applyFont="1" applyAlignment="1">
      <alignment horizontal="right"/>
    </xf>
    <xf numFmtId="0" fontId="21" fillId="0" borderId="0" xfId="0" applyFont="1" applyAlignment="1">
      <alignment vertical="center"/>
    </xf>
    <xf numFmtId="1" fontId="0" fillId="33" borderId="0" xfId="0" applyNumberFormat="1" applyFill="1"/>
    <xf numFmtId="0" fontId="19" fillId="33" borderId="0" xfId="0" applyFont="1" applyFill="1"/>
    <xf numFmtId="1" fontId="0" fillId="0" borderId="0" xfId="0" quotePrefix="1" applyNumberFormat="1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18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AppData/Roaming/Microsoft/AddIns/BK%20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ddSpa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 filterMode="1"/>
  <dimension ref="A1:AT1796"/>
  <sheetViews>
    <sheetView workbookViewId="0">
      <pane xSplit="3" ySplit="1" topLeftCell="O159" activePane="bottomRight" state="frozen"/>
      <selection pane="topRight" activeCell="D1" sqref="D1"/>
      <selection pane="bottomLeft" activeCell="A2" sqref="A2"/>
      <selection pane="bottomRight" activeCell="C913" sqref="C913"/>
    </sheetView>
  </sheetViews>
  <sheetFormatPr defaultColWidth="9.1328125" defaultRowHeight="14.25"/>
  <cols>
    <col min="1" max="1" width="14.1328125" customWidth="1"/>
    <col min="2" max="2" width="10.73046875" style="3" customWidth="1"/>
    <col min="3" max="3" width="57.265625" style="3" customWidth="1"/>
    <col min="4" max="4" width="13.265625" style="3" customWidth="1"/>
    <col min="5" max="5" width="29" style="3" customWidth="1"/>
    <col min="6" max="6" width="41" style="3" customWidth="1"/>
    <col min="7" max="7" width="33.59765625" style="3" customWidth="1"/>
    <col min="8" max="8" width="23.1328125" style="3" customWidth="1"/>
    <col min="9" max="9" width="36.3984375" style="3" customWidth="1"/>
    <col min="10" max="10" width="23.1328125" style="3" customWidth="1"/>
    <col min="11" max="11" width="21.59765625" style="3" customWidth="1"/>
    <col min="12" max="12" width="75.73046875" style="3" customWidth="1"/>
    <col min="13" max="13" width="10.59765625" style="3" customWidth="1"/>
    <col min="14" max="14" width="13.86328125" style="3" customWidth="1"/>
    <col min="15" max="15" width="7.3984375" style="3" customWidth="1"/>
    <col min="16" max="16" width="16.59765625" style="3" hidden="1" customWidth="1"/>
    <col min="17" max="18" width="12.265625" style="3" customWidth="1"/>
    <col min="19" max="19" width="16.59765625" style="3" customWidth="1"/>
    <col min="20" max="20" width="13.265625" style="3" hidden="1" customWidth="1"/>
    <col min="21" max="21" width="14" customWidth="1"/>
    <col min="22" max="22" width="11.265625" customWidth="1"/>
    <col min="23" max="23" width="22.3984375" customWidth="1"/>
    <col min="24" max="24" width="17.3984375" customWidth="1"/>
    <col min="25" max="25" width="14.86328125" customWidth="1"/>
    <col min="26" max="26" width="16.86328125" hidden="1" customWidth="1"/>
    <col min="27" max="27" width="16.86328125" customWidth="1"/>
    <col min="28" max="29" width="9.1328125" customWidth="1"/>
    <col min="30" max="30" width="17.59765625" customWidth="1"/>
    <col min="31" max="31" width="46" customWidth="1"/>
    <col min="32" max="32" width="34.59765625" hidden="1" customWidth="1"/>
    <col min="33" max="33" width="34.59765625" customWidth="1"/>
    <col min="34" max="34" width="14.86328125" customWidth="1"/>
    <col min="35" max="46" width="9.1328125" hidden="1" customWidth="1"/>
  </cols>
  <sheetData>
    <row r="1" spans="1:44" s="1" customFormat="1">
      <c r="A1" s="1" t="s">
        <v>0</v>
      </c>
      <c r="B1" s="1" t="s">
        <v>2403</v>
      </c>
      <c r="C1" s="1" t="s">
        <v>465</v>
      </c>
      <c r="D1" s="1" t="s">
        <v>3046</v>
      </c>
      <c r="E1" s="1" t="s">
        <v>72</v>
      </c>
      <c r="F1" s="1" t="s">
        <v>125</v>
      </c>
      <c r="G1" s="1" t="s">
        <v>12</v>
      </c>
      <c r="H1" s="1" t="s">
        <v>886</v>
      </c>
      <c r="I1" s="1" t="s">
        <v>887</v>
      </c>
      <c r="J1" s="1" t="s">
        <v>469</v>
      </c>
      <c r="K1" s="1" t="s">
        <v>106</v>
      </c>
      <c r="L1" s="1" t="s">
        <v>83</v>
      </c>
      <c r="M1" s="1" t="s">
        <v>334</v>
      </c>
      <c r="N1" s="1" t="s">
        <v>335</v>
      </c>
      <c r="O1" s="1" t="s">
        <v>67</v>
      </c>
      <c r="P1" s="1" t="s">
        <v>470</v>
      </c>
      <c r="Q1" s="1" t="s">
        <v>105</v>
      </c>
      <c r="R1" s="1" t="s">
        <v>126</v>
      </c>
      <c r="S1" s="2" t="s">
        <v>884</v>
      </c>
      <c r="T1" s="12" t="s">
        <v>1347</v>
      </c>
      <c r="U1" s="1" t="s">
        <v>337</v>
      </c>
      <c r="V1" s="1" t="s">
        <v>336</v>
      </c>
      <c r="W1" s="1" t="s">
        <v>466</v>
      </c>
      <c r="X1" s="1" t="s">
        <v>1353</v>
      </c>
      <c r="Y1" s="1" t="s">
        <v>6367</v>
      </c>
      <c r="Z1" s="1" t="s">
        <v>127</v>
      </c>
      <c r="AA1" s="1" t="s">
        <v>471</v>
      </c>
      <c r="AB1" s="1" t="s">
        <v>1302</v>
      </c>
      <c r="AC1" s="1" t="s">
        <v>467</v>
      </c>
      <c r="AD1" s="2" t="s">
        <v>885</v>
      </c>
      <c r="AE1" s="1" t="s">
        <v>888</v>
      </c>
      <c r="AF1" s="1" t="s">
        <v>874</v>
      </c>
      <c r="AG1" s="1" t="s">
        <v>6353</v>
      </c>
      <c r="AH1" s="1" t="s">
        <v>6265</v>
      </c>
      <c r="AJ1" s="1" t="s">
        <v>889</v>
      </c>
      <c r="AK1" s="1" t="s">
        <v>890</v>
      </c>
      <c r="AL1" s="1" t="s">
        <v>6361</v>
      </c>
      <c r="AM1" s="1" t="s">
        <v>891</v>
      </c>
      <c r="AN1" s="1" t="s">
        <v>1212</v>
      </c>
      <c r="AO1" s="1" t="s">
        <v>892</v>
      </c>
      <c r="AP1" s="1" t="s">
        <v>893</v>
      </c>
      <c r="AQ1" s="1" t="s">
        <v>894</v>
      </c>
      <c r="AR1" s="1" t="s">
        <v>895</v>
      </c>
    </row>
    <row r="2" spans="1:44" ht="15" hidden="1" customHeight="1">
      <c r="A2">
        <v>10000</v>
      </c>
      <c r="B2" t="s">
        <v>1475</v>
      </c>
      <c r="C2" s="3" t="str">
        <f t="shared" ref="C2:C65" si="0">CONCATENATE(E2,".",F2)</f>
        <v>actActivity.ID</v>
      </c>
      <c r="D2">
        <v>420</v>
      </c>
      <c r="E2" s="3" t="str">
        <f t="shared" ref="E2:E18" si="1">VLOOKUP(D2,DictionaryTableID,3,FALSE)</f>
        <v>actActivity</v>
      </c>
      <c r="F2" t="s">
        <v>0</v>
      </c>
      <c r="G2" s="3" t="s">
        <v>6415</v>
      </c>
      <c r="H2" s="3" t="str">
        <f t="shared" ref="H2:H18" si="2">VLOOKUP(E2,DictionaryTables,14,FALSE)</f>
        <v>Activity.Activity</v>
      </c>
      <c r="I2"/>
      <c r="K2" t="s">
        <v>1070</v>
      </c>
      <c r="L2"/>
      <c r="M2" t="s">
        <v>6007</v>
      </c>
      <c r="N2"/>
      <c r="O2"/>
      <c r="P2"/>
      <c r="Q2" s="3" t="s">
        <v>919</v>
      </c>
      <c r="R2"/>
      <c r="S2" s="12"/>
      <c r="U2" s="3" t="s">
        <v>95</v>
      </c>
      <c r="AC2" t="s">
        <v>92</v>
      </c>
      <c r="AJ2" t="e">
        <f>VLOOKUP(E2,temp1,1,FALSE)</f>
        <v>#NAME?</v>
      </c>
      <c r="AK2" t="str">
        <f>"SELECT (SELECT '"&amp;D2&amp;"' ColumnName from "&amp;F2&amp;" where "&amp;G2&amp;" is null and exists (select from "&amp;F2&amp;") limit 1) a union all"</f>
        <v>SELECT (SELECT '420' ColumnName from ID where Primary key the actActivity record is null and exists (select from ID) limit 1) a union all</v>
      </c>
      <c r="AL2" t="str">
        <f>"ALTER TABLE "&amp;E2&amp;" ALTER COLUMN "&amp;F2&amp;" DROP NOT NULL"</f>
        <v>ALTER TABLE actActivity ALTER COLUMN ID DROP NOT NULL</v>
      </c>
      <c r="AP2" t="e">
        <f>VLOOKUP(E2,temp6,1,FALSE)</f>
        <v>#NAME?</v>
      </c>
    </row>
    <row r="3" spans="1:44" ht="15" hidden="1" customHeight="1">
      <c r="A3">
        <v>10020</v>
      </c>
      <c r="B3" s="3" t="s">
        <v>1475</v>
      </c>
      <c r="C3" s="3" t="str">
        <f t="shared" si="0"/>
        <v>actActivity.actPriorityID</v>
      </c>
      <c r="D3" s="3">
        <v>420</v>
      </c>
      <c r="E3" s="3" t="str">
        <f t="shared" si="1"/>
        <v>actActivity</v>
      </c>
      <c r="F3" t="str">
        <f>VLOOKUP(V3,DictionaryTableID,3,FALSE)&amp;"ID"&amp;X3</f>
        <v>actPriorityID</v>
      </c>
      <c r="G3" s="3" t="s">
        <v>6416</v>
      </c>
      <c r="H3" s="3" t="str">
        <f t="shared" si="2"/>
        <v>Activity.Activity</v>
      </c>
      <c r="I3"/>
      <c r="K3" s="3" t="s">
        <v>453</v>
      </c>
      <c r="M3" t="s">
        <v>6007</v>
      </c>
      <c r="Q3" s="3" t="s">
        <v>92</v>
      </c>
      <c r="U3" s="3" t="s">
        <v>96</v>
      </c>
      <c r="V3">
        <v>408</v>
      </c>
      <c r="W3" s="3" t="str">
        <f>VLOOKUP(V3,DictionaryTableID,3,FALSE)</f>
        <v>actPriority</v>
      </c>
      <c r="X3" s="3"/>
      <c r="AB3" t="s">
        <v>92</v>
      </c>
      <c r="AF3" t="s">
        <v>573</v>
      </c>
    </row>
    <row r="4" spans="1:44" ht="15" hidden="1" customHeight="1">
      <c r="A4">
        <v>10030</v>
      </c>
      <c r="B4" t="s">
        <v>1475</v>
      </c>
      <c r="C4" s="3" t="str">
        <f t="shared" si="0"/>
        <v>actActivity.actStatusID</v>
      </c>
      <c r="D4">
        <v>420</v>
      </c>
      <c r="E4" s="3" t="str">
        <f t="shared" si="1"/>
        <v>actActivity</v>
      </c>
      <c r="F4" t="str">
        <f>VLOOKUP(V4,DictionaryTableID,3,FALSE)&amp;"ID"&amp;X4</f>
        <v>actStatusID</v>
      </c>
      <c r="G4" s="3" t="s">
        <v>6417</v>
      </c>
      <c r="H4" s="3" t="str">
        <f t="shared" si="2"/>
        <v>Activity.Activity</v>
      </c>
      <c r="I4"/>
      <c r="K4" t="s">
        <v>55</v>
      </c>
      <c r="L4"/>
      <c r="M4" t="s">
        <v>6007</v>
      </c>
      <c r="N4"/>
      <c r="O4"/>
      <c r="P4"/>
      <c r="Q4" t="s">
        <v>92</v>
      </c>
      <c r="R4"/>
      <c r="S4"/>
      <c r="U4" t="s">
        <v>96</v>
      </c>
      <c r="V4">
        <v>405</v>
      </c>
      <c r="W4" s="3" t="str">
        <f>VLOOKUP(V4,DictionaryTableID,3,FALSE)</f>
        <v>actStatus</v>
      </c>
      <c r="X4" s="3"/>
      <c r="AB4" t="s">
        <v>92</v>
      </c>
    </row>
    <row r="5" spans="1:44" ht="15" hidden="1" customHeight="1">
      <c r="A5">
        <v>10040</v>
      </c>
      <c r="B5" t="s">
        <v>1475</v>
      </c>
      <c r="C5" s="3" t="str">
        <f t="shared" si="0"/>
        <v>actActivity.actTypeID</v>
      </c>
      <c r="D5">
        <v>420</v>
      </c>
      <c r="E5" s="3" t="str">
        <f t="shared" si="1"/>
        <v>actActivity</v>
      </c>
      <c r="F5" t="str">
        <f>VLOOKUP(V5,DictionaryTableID,3,FALSE)&amp;"ID"&amp;X5</f>
        <v>actTypeID</v>
      </c>
      <c r="G5" s="3" t="s">
        <v>6418</v>
      </c>
      <c r="H5" s="3" t="str">
        <f t="shared" si="2"/>
        <v>Activity.Activity</v>
      </c>
      <c r="I5"/>
      <c r="K5" t="s">
        <v>203</v>
      </c>
      <c r="L5"/>
      <c r="M5" t="s">
        <v>6007</v>
      </c>
      <c r="N5"/>
      <c r="O5"/>
      <c r="P5"/>
      <c r="Q5" t="s">
        <v>919</v>
      </c>
      <c r="R5"/>
      <c r="S5"/>
      <c r="U5" t="s">
        <v>96</v>
      </c>
      <c r="V5">
        <v>400</v>
      </c>
      <c r="W5" s="3" t="str">
        <f>VLOOKUP(V5,DictionaryTableID,3,FALSE)</f>
        <v>actType</v>
      </c>
      <c r="X5" s="3" t="s">
        <v>1036</v>
      </c>
      <c r="AB5" t="s">
        <v>92</v>
      </c>
    </row>
    <row r="6" spans="1:44" ht="15" hidden="1" customHeight="1">
      <c r="A6">
        <v>10045</v>
      </c>
      <c r="B6" s="3" t="s">
        <v>1475</v>
      </c>
      <c r="C6" s="3" t="str">
        <f t="shared" si="0"/>
        <v>actActivity.actProjectID</v>
      </c>
      <c r="D6" s="3">
        <v>420</v>
      </c>
      <c r="E6" s="3" t="str">
        <f t="shared" si="1"/>
        <v>actActivity</v>
      </c>
      <c r="F6" t="str">
        <f>VLOOKUP(V6,DictionaryTableID,3,FALSE)&amp;"ID"&amp;X6</f>
        <v>actProjectID</v>
      </c>
      <c r="G6" s="3" t="s">
        <v>6426</v>
      </c>
      <c r="H6" s="3" t="str">
        <f t="shared" si="2"/>
        <v>Activity.Activity</v>
      </c>
      <c r="I6"/>
      <c r="K6" s="3" t="s">
        <v>433</v>
      </c>
      <c r="M6" t="s">
        <v>6007</v>
      </c>
      <c r="Q6" s="3" t="s">
        <v>92</v>
      </c>
      <c r="U6" s="3" t="s">
        <v>96</v>
      </c>
      <c r="V6">
        <v>401</v>
      </c>
      <c r="W6" s="3" t="str">
        <f>VLOOKUP(V6,DictionaryTableID,3,FALSE)</f>
        <v>actProject</v>
      </c>
      <c r="X6" s="3" t="s">
        <v>1036</v>
      </c>
      <c r="AB6" t="s">
        <v>92</v>
      </c>
      <c r="AF6" t="s">
        <v>578</v>
      </c>
    </row>
    <row r="7" spans="1:44" ht="15" customHeight="1">
      <c r="A7">
        <v>10050</v>
      </c>
      <c r="B7" s="3" t="s">
        <v>1475</v>
      </c>
      <c r="C7" s="3" t="str">
        <f t="shared" si="0"/>
        <v>actActivity.sysDictionaryTableIDPerformedBy</v>
      </c>
      <c r="D7" s="3">
        <v>420</v>
      </c>
      <c r="E7" s="3" t="str">
        <f t="shared" si="1"/>
        <v>actActivity</v>
      </c>
      <c r="F7" t="str">
        <f>"sysDictionaryTableID"&amp;X7</f>
        <v>sysDictionaryTableIDPerformedBy</v>
      </c>
      <c r="G7" s="3" t="s">
        <v>6041</v>
      </c>
      <c r="H7" s="3" t="str">
        <f t="shared" si="2"/>
        <v>Activity.Activity</v>
      </c>
      <c r="I7"/>
      <c r="K7" s="3" t="s">
        <v>6300</v>
      </c>
      <c r="M7" t="s">
        <v>6007</v>
      </c>
      <c r="N7"/>
      <c r="Q7" s="3" t="s">
        <v>92</v>
      </c>
      <c r="S7" s="19">
        <v>100</v>
      </c>
      <c r="U7" t="s">
        <v>1072</v>
      </c>
      <c r="V7">
        <v>1</v>
      </c>
      <c r="W7" s="3" t="str">
        <f>VLOOKUP(V7,DictionaryTableID,3,FALSE)</f>
        <v>sysDictionaryTable</v>
      </c>
      <c r="X7" t="s">
        <v>1224</v>
      </c>
      <c r="AB7" t="s">
        <v>92</v>
      </c>
      <c r="AF7" t="s">
        <v>564</v>
      </c>
    </row>
    <row r="8" spans="1:44" ht="15" customHeight="1">
      <c r="A8">
        <v>10060</v>
      </c>
      <c r="B8" s="3" t="s">
        <v>1475</v>
      </c>
      <c r="C8" s="3" t="str">
        <f t="shared" si="0"/>
        <v>actActivity.RowIDPerformedBy</v>
      </c>
      <c r="D8" s="3">
        <v>420</v>
      </c>
      <c r="E8" s="3" t="str">
        <f t="shared" si="1"/>
        <v>actActivity</v>
      </c>
      <c r="F8" t="s">
        <v>6147</v>
      </c>
      <c r="G8" s="3" t="s">
        <v>6419</v>
      </c>
      <c r="H8" s="3" t="str">
        <f t="shared" si="2"/>
        <v>Activity.Activity</v>
      </c>
      <c r="I8"/>
      <c r="K8" s="3" t="s">
        <v>1242</v>
      </c>
      <c r="M8" t="s">
        <v>6007</v>
      </c>
      <c r="Q8" s="3" t="s">
        <v>92</v>
      </c>
      <c r="U8" t="s">
        <v>1072</v>
      </c>
      <c r="W8" s="3"/>
      <c r="X8" s="3" t="s">
        <v>1224</v>
      </c>
      <c r="AB8" t="s">
        <v>92</v>
      </c>
      <c r="AF8" t="s">
        <v>558</v>
      </c>
    </row>
    <row r="9" spans="1:44" ht="15" customHeight="1">
      <c r="A9">
        <v>10070</v>
      </c>
      <c r="B9" t="s">
        <v>1475</v>
      </c>
      <c r="C9" s="3" t="str">
        <f t="shared" si="0"/>
        <v>actActivity.sysDictionaryTableIDPerformedFor</v>
      </c>
      <c r="D9">
        <v>420</v>
      </c>
      <c r="E9" s="3" t="str">
        <f t="shared" si="1"/>
        <v>actActivity</v>
      </c>
      <c r="F9" t="str">
        <f>"sysDictionaryTableID"&amp;X9</f>
        <v>sysDictionaryTableIDPerformedFor</v>
      </c>
      <c r="G9" s="3" t="s">
        <v>6042</v>
      </c>
      <c r="H9" s="3" t="str">
        <f t="shared" si="2"/>
        <v>Activity.Activity</v>
      </c>
      <c r="I9"/>
      <c r="K9" t="s">
        <v>6301</v>
      </c>
      <c r="L9"/>
      <c r="M9" t="s">
        <v>6007</v>
      </c>
      <c r="N9"/>
      <c r="O9"/>
      <c r="P9"/>
      <c r="Q9" t="s">
        <v>92</v>
      </c>
      <c r="R9"/>
      <c r="S9" s="19">
        <v>100</v>
      </c>
      <c r="U9" t="s">
        <v>1072</v>
      </c>
      <c r="V9">
        <v>1</v>
      </c>
      <c r="W9" s="3" t="str">
        <f>VLOOKUP(V9,DictionaryTableID,3,FALSE)</f>
        <v>sysDictionaryTable</v>
      </c>
      <c r="X9" t="s">
        <v>1307</v>
      </c>
      <c r="AB9" t="s">
        <v>92</v>
      </c>
    </row>
    <row r="10" spans="1:44" ht="15" customHeight="1">
      <c r="A10">
        <v>10080</v>
      </c>
      <c r="B10" t="s">
        <v>1475</v>
      </c>
      <c r="C10" s="3" t="str">
        <f t="shared" si="0"/>
        <v>actActivity.RowIDPerformedFor</v>
      </c>
      <c r="D10">
        <v>420</v>
      </c>
      <c r="E10" s="3" t="str">
        <f t="shared" si="1"/>
        <v>actActivity</v>
      </c>
      <c r="F10" t="s">
        <v>6148</v>
      </c>
      <c r="G10" s="3" t="s">
        <v>6420</v>
      </c>
      <c r="H10" s="3" t="str">
        <f t="shared" si="2"/>
        <v>Activity.Activity</v>
      </c>
      <c r="I10"/>
      <c r="K10" t="s">
        <v>1243</v>
      </c>
      <c r="L10"/>
      <c r="M10" t="s">
        <v>6007</v>
      </c>
      <c r="N10"/>
      <c r="O10"/>
      <c r="P10"/>
      <c r="Q10" t="s">
        <v>92</v>
      </c>
      <c r="R10"/>
      <c r="S10"/>
      <c r="U10" t="s">
        <v>1072</v>
      </c>
      <c r="X10" s="3" t="s">
        <v>1307</v>
      </c>
      <c r="AB10" t="s">
        <v>92</v>
      </c>
    </row>
    <row r="11" spans="1:44" ht="15" hidden="1" customHeight="1">
      <c r="A11">
        <v>10090</v>
      </c>
      <c r="B11" t="s">
        <v>1475</v>
      </c>
      <c r="C11" s="3" t="str">
        <f t="shared" si="0"/>
        <v>actActivity.Comments</v>
      </c>
      <c r="D11">
        <v>420</v>
      </c>
      <c r="E11" s="3" t="str">
        <f t="shared" si="1"/>
        <v>actActivity</v>
      </c>
      <c r="F11" t="s">
        <v>14</v>
      </c>
      <c r="G11" s="3" t="s">
        <v>6421</v>
      </c>
      <c r="H11" s="3" t="str">
        <f t="shared" si="2"/>
        <v>Activity.Activity</v>
      </c>
      <c r="I11"/>
      <c r="K11" s="3" t="s">
        <v>14</v>
      </c>
      <c r="L11"/>
      <c r="M11" t="s">
        <v>196</v>
      </c>
      <c r="N11"/>
      <c r="O11"/>
      <c r="P11"/>
      <c r="Q11" t="s">
        <v>92</v>
      </c>
      <c r="R11"/>
      <c r="S11"/>
      <c r="U11" t="s">
        <v>93</v>
      </c>
      <c r="AB11" t="s">
        <v>92</v>
      </c>
    </row>
    <row r="12" spans="1:44" ht="15" hidden="1" customHeight="1">
      <c r="A12">
        <v>10100</v>
      </c>
      <c r="B12" s="3" t="s">
        <v>1475</v>
      </c>
      <c r="C12" s="3" t="str">
        <f t="shared" si="0"/>
        <v>actActivity.CompletionDate</v>
      </c>
      <c r="D12" s="3">
        <v>420</v>
      </c>
      <c r="E12" s="3" t="str">
        <f t="shared" si="1"/>
        <v>actActivity</v>
      </c>
      <c r="F12" t="s">
        <v>282</v>
      </c>
      <c r="G12" s="3" t="s">
        <v>6422</v>
      </c>
      <c r="H12" s="3" t="str">
        <f t="shared" si="2"/>
        <v>Activity.Activity</v>
      </c>
      <c r="I12"/>
      <c r="K12" s="3" t="s">
        <v>351</v>
      </c>
      <c r="M12" s="3" t="s">
        <v>81</v>
      </c>
      <c r="Q12" s="3" t="s">
        <v>92</v>
      </c>
      <c r="U12" s="3" t="s">
        <v>93</v>
      </c>
      <c r="AB12" t="s">
        <v>92</v>
      </c>
      <c r="AF12" t="s">
        <v>556</v>
      </c>
    </row>
    <row r="13" spans="1:44" ht="15" hidden="1" customHeight="1">
      <c r="A13">
        <v>10110</v>
      </c>
      <c r="B13" t="s">
        <v>1475</v>
      </c>
      <c r="C13" s="3" t="str">
        <f t="shared" si="0"/>
        <v>actActivity.Description</v>
      </c>
      <c r="D13">
        <v>420</v>
      </c>
      <c r="E13" s="3" t="str">
        <f t="shared" si="1"/>
        <v>actActivity</v>
      </c>
      <c r="F13" t="s">
        <v>12</v>
      </c>
      <c r="G13" s="3" t="s">
        <v>7000</v>
      </c>
      <c r="H13" s="3" t="str">
        <f t="shared" si="2"/>
        <v>Activity.Activity</v>
      </c>
      <c r="I13"/>
      <c r="K13" t="s">
        <v>12</v>
      </c>
      <c r="L13"/>
      <c r="M13" t="s">
        <v>196</v>
      </c>
      <c r="N13"/>
      <c r="O13"/>
      <c r="P13"/>
      <c r="Q13" t="s">
        <v>919</v>
      </c>
      <c r="R13"/>
      <c r="S13"/>
      <c r="U13" t="s">
        <v>93</v>
      </c>
      <c r="AB13" t="s">
        <v>92</v>
      </c>
    </row>
    <row r="14" spans="1:44" ht="15" hidden="1" customHeight="1">
      <c r="A14">
        <v>10120</v>
      </c>
      <c r="B14" s="3" t="s">
        <v>1475</v>
      </c>
      <c r="C14" s="3" t="str">
        <f t="shared" si="0"/>
        <v>actActivity.StartDate</v>
      </c>
      <c r="D14" s="3">
        <v>420</v>
      </c>
      <c r="E14" s="3" t="str">
        <f t="shared" si="1"/>
        <v>actActivity</v>
      </c>
      <c r="F14" t="s">
        <v>17</v>
      </c>
      <c r="G14" s="3" t="s">
        <v>6888</v>
      </c>
      <c r="H14" s="3" t="str">
        <f t="shared" si="2"/>
        <v>Activity.Activity</v>
      </c>
      <c r="I14"/>
      <c r="K14" s="3" t="s">
        <v>108</v>
      </c>
      <c r="M14" s="3" t="s">
        <v>329</v>
      </c>
      <c r="Q14" s="3" t="s">
        <v>92</v>
      </c>
      <c r="U14" s="3" t="s">
        <v>93</v>
      </c>
      <c r="AB14" t="s">
        <v>92</v>
      </c>
    </row>
    <row r="15" spans="1:44" ht="15" hidden="1" customHeight="1">
      <c r="A15">
        <v>10130</v>
      </c>
      <c r="B15" s="3" t="s">
        <v>1475</v>
      </c>
      <c r="C15" s="3" t="str">
        <f t="shared" si="0"/>
        <v>actActivity.TotalActual</v>
      </c>
      <c r="D15" s="3">
        <v>420</v>
      </c>
      <c r="E15" s="3" t="str">
        <f t="shared" si="1"/>
        <v>actActivity</v>
      </c>
      <c r="F15" t="s">
        <v>323</v>
      </c>
      <c r="G15" s="3" t="s">
        <v>6889</v>
      </c>
      <c r="H15" s="3" t="str">
        <f t="shared" si="2"/>
        <v>Activity.Activity</v>
      </c>
      <c r="I15"/>
      <c r="K15" s="3" t="s">
        <v>353</v>
      </c>
      <c r="M15" s="3" t="s">
        <v>197</v>
      </c>
      <c r="N15" s="3">
        <v>19</v>
      </c>
      <c r="O15" s="3">
        <v>2</v>
      </c>
      <c r="Q15" s="3" t="s">
        <v>92</v>
      </c>
      <c r="U15" s="3" t="s">
        <v>93</v>
      </c>
      <c r="AB15" t="s">
        <v>92</v>
      </c>
      <c r="AF15" t="s">
        <v>563</v>
      </c>
    </row>
    <row r="16" spans="1:44" ht="15" hidden="1" customHeight="1">
      <c r="A16">
        <v>10140</v>
      </c>
      <c r="B16" t="s">
        <v>1475</v>
      </c>
      <c r="C16" s="3" t="str">
        <f t="shared" si="0"/>
        <v>actActivity.RowStatus</v>
      </c>
      <c r="D16">
        <v>420</v>
      </c>
      <c r="E16" s="3" t="str">
        <f t="shared" si="1"/>
        <v>actActivity</v>
      </c>
      <c r="F16" t="s">
        <v>1445</v>
      </c>
      <c r="G16" s="3" t="s">
        <v>6411</v>
      </c>
      <c r="H16" s="3" t="str">
        <f t="shared" si="2"/>
        <v>Activity.Activity</v>
      </c>
      <c r="I16"/>
      <c r="K16" s="3" t="s">
        <v>2471</v>
      </c>
      <c r="L16"/>
      <c r="M16" t="s">
        <v>976</v>
      </c>
      <c r="N16">
        <v>1</v>
      </c>
      <c r="O16"/>
      <c r="P16"/>
      <c r="Q16" t="s">
        <v>919</v>
      </c>
      <c r="R16"/>
      <c r="S16" s="14"/>
      <c r="U16" t="s">
        <v>94</v>
      </c>
    </row>
    <row r="17" spans="1:34" ht="15" hidden="1" customHeight="1">
      <c r="A17">
        <v>10150</v>
      </c>
      <c r="B17" t="s">
        <v>1475</v>
      </c>
      <c r="C17" s="3" t="str">
        <f t="shared" si="0"/>
        <v>actActivity.sysChangeHistoryID</v>
      </c>
      <c r="D17">
        <v>420</v>
      </c>
      <c r="E17" s="3" t="str">
        <f t="shared" si="1"/>
        <v>actActivity</v>
      </c>
      <c r="F17" t="s">
        <v>2497</v>
      </c>
      <c r="G17" s="3" t="s">
        <v>6403</v>
      </c>
      <c r="H17" s="3" t="str">
        <f t="shared" si="2"/>
        <v>Activity.Activity</v>
      </c>
      <c r="I17"/>
      <c r="K17" t="s">
        <v>1210</v>
      </c>
      <c r="L17"/>
      <c r="M17" t="s">
        <v>6007</v>
      </c>
      <c r="N17"/>
      <c r="O17"/>
      <c r="P17"/>
      <c r="Q17" t="s">
        <v>92</v>
      </c>
      <c r="R17"/>
      <c r="S17"/>
      <c r="U17" t="s">
        <v>1429</v>
      </c>
      <c r="W17" s="3"/>
      <c r="X17" s="3"/>
    </row>
    <row r="18" spans="1:34" ht="15" hidden="1" customHeight="1">
      <c r="A18">
        <v>10160</v>
      </c>
      <c r="B18" t="s">
        <v>1475</v>
      </c>
      <c r="C18" s="3" t="str">
        <f t="shared" si="0"/>
        <v>actActivitySubTypeBilling.ID</v>
      </c>
      <c r="D18">
        <v>421</v>
      </c>
      <c r="E18" s="3" t="str">
        <f t="shared" si="1"/>
        <v>actActivitySubTypeBilling</v>
      </c>
      <c r="F18" t="s">
        <v>0</v>
      </c>
      <c r="G18" s="3" t="s">
        <v>6425</v>
      </c>
      <c r="H18" s="3" t="str">
        <f t="shared" si="2"/>
        <v>Activity.Billing Detail</v>
      </c>
      <c r="I18"/>
      <c r="K18" t="s">
        <v>1539</v>
      </c>
      <c r="L18"/>
      <c r="M18" t="s">
        <v>6007</v>
      </c>
      <c r="N18"/>
      <c r="O18"/>
      <c r="P18"/>
      <c r="Q18" s="3" t="s">
        <v>919</v>
      </c>
      <c r="R18"/>
      <c r="S18"/>
      <c r="U18" s="3" t="s">
        <v>95</v>
      </c>
      <c r="AC18" t="s">
        <v>92</v>
      </c>
    </row>
    <row r="19" spans="1:34" ht="15" hidden="1" customHeight="1">
      <c r="A19">
        <v>10165</v>
      </c>
      <c r="B19" t="s">
        <v>1475</v>
      </c>
      <c r="C19" t="str">
        <f t="shared" si="0"/>
        <v>actActivitySubTypeBilling.actActivityID</v>
      </c>
      <c r="D19">
        <v>421</v>
      </c>
      <c r="E19" s="3" t="s">
        <v>2722</v>
      </c>
      <c r="F19" t="str">
        <f>VLOOKUP(V19,DictionaryTableID,3,FALSE)&amp;"ID"&amp;X19</f>
        <v>actActivityID</v>
      </c>
      <c r="G19" s="3" t="s">
        <v>7073</v>
      </c>
      <c r="H19" s="3" t="s">
        <v>7050</v>
      </c>
      <c r="I19"/>
      <c r="K19" t="s">
        <v>98</v>
      </c>
      <c r="L19"/>
      <c r="M19" t="s">
        <v>6007</v>
      </c>
      <c r="N19"/>
      <c r="O19"/>
      <c r="P19"/>
      <c r="Q19" s="3" t="s">
        <v>919</v>
      </c>
      <c r="R19"/>
      <c r="S19"/>
      <c r="U19" s="3" t="s">
        <v>96</v>
      </c>
      <c r="V19">
        <v>420</v>
      </c>
      <c r="W19" s="3" t="str">
        <f>VLOOKUP(V19,DictionaryTableID,3,FALSE)</f>
        <v>actActivity</v>
      </c>
      <c r="Y19" t="s">
        <v>92</v>
      </c>
      <c r="AB19" t="s">
        <v>92</v>
      </c>
      <c r="AC19" t="s">
        <v>92</v>
      </c>
    </row>
    <row r="20" spans="1:34" ht="15" hidden="1" customHeight="1">
      <c r="A20">
        <v>10180</v>
      </c>
      <c r="B20" s="3" t="s">
        <v>1475</v>
      </c>
      <c r="C20" s="3" t="str">
        <f t="shared" si="0"/>
        <v>actActivitySubTypeBilling.crmContactIDInvoiceThrough</v>
      </c>
      <c r="D20" s="3">
        <v>421</v>
      </c>
      <c r="E20" s="3" t="str">
        <f t="shared" ref="E20:E83" si="3">VLOOKUP(D20,DictionaryTableID,3,FALSE)</f>
        <v>actActivitySubTypeBilling</v>
      </c>
      <c r="F20" t="str">
        <f>VLOOKUP(V20,DictionaryTableID,3,FALSE)&amp;"ID"&amp;X20</f>
        <v>crmContactIDInvoiceThrough</v>
      </c>
      <c r="G20" s="3" t="s">
        <v>6427</v>
      </c>
      <c r="H20" s="3" t="str">
        <f t="shared" ref="H20:H83" si="4">VLOOKUP(E20,DictionaryTables,14,FALSE)</f>
        <v>Activity.Billing Detail</v>
      </c>
      <c r="I20"/>
      <c r="K20" s="3" t="s">
        <v>456</v>
      </c>
      <c r="M20" t="s">
        <v>6007</v>
      </c>
      <c r="Q20" s="3" t="s">
        <v>92</v>
      </c>
      <c r="U20" s="3" t="s">
        <v>96</v>
      </c>
      <c r="V20">
        <v>100</v>
      </c>
      <c r="W20" s="3" t="str">
        <f>VLOOKUP(V20,DictionaryTableID,3,FALSE)</f>
        <v>crmContact</v>
      </c>
      <c r="X20" s="3" t="s">
        <v>1213</v>
      </c>
      <c r="AB20" t="s">
        <v>92</v>
      </c>
      <c r="AF20" t="s">
        <v>569</v>
      </c>
    </row>
    <row r="21" spans="1:34" ht="15" hidden="1" customHeight="1">
      <c r="A21">
        <v>10190</v>
      </c>
      <c r="B21" s="3" t="s">
        <v>1475</v>
      </c>
      <c r="C21" s="3" t="str">
        <f t="shared" si="0"/>
        <v>actActivitySubTypeBilling.glTransactionID</v>
      </c>
      <c r="D21" s="3">
        <v>421</v>
      </c>
      <c r="E21" s="3" t="str">
        <f t="shared" si="3"/>
        <v>actActivitySubTypeBilling</v>
      </c>
      <c r="F21" t="str">
        <f>VLOOKUP(V21,DictionaryTableID,3,FALSE)&amp;"ID"&amp;X21</f>
        <v>glTransactionID</v>
      </c>
      <c r="G21" s="3" t="s">
        <v>6428</v>
      </c>
      <c r="H21" s="3" t="str">
        <f t="shared" si="4"/>
        <v>Activity.Billing Detail</v>
      </c>
      <c r="I21"/>
      <c r="K21" s="3" t="s">
        <v>120</v>
      </c>
      <c r="M21" t="s">
        <v>6007</v>
      </c>
      <c r="Q21" s="3" t="s">
        <v>92</v>
      </c>
      <c r="U21" s="3" t="s">
        <v>96</v>
      </c>
      <c r="V21">
        <v>311</v>
      </c>
      <c r="W21" s="3" t="str">
        <f>VLOOKUP(V21,DictionaryTableID,3,FALSE)</f>
        <v>glTransaction</v>
      </c>
      <c r="X21" s="3" t="s">
        <v>1036</v>
      </c>
      <c r="AB21" t="s">
        <v>92</v>
      </c>
      <c r="AF21" t="s">
        <v>566</v>
      </c>
    </row>
    <row r="22" spans="1:34" ht="15" hidden="1" customHeight="1">
      <c r="A22">
        <v>10195</v>
      </c>
      <c r="B22" s="3" t="s">
        <v>1475</v>
      </c>
      <c r="C22" s="3" t="str">
        <f t="shared" si="0"/>
        <v>actActivitySubTypeBilling.actBillingStatusID</v>
      </c>
      <c r="D22" s="3">
        <v>421</v>
      </c>
      <c r="E22" s="3" t="str">
        <f t="shared" si="3"/>
        <v>actActivitySubTypeBilling</v>
      </c>
      <c r="F22" t="str">
        <f>VLOOKUP(V22,DictionaryTableID,3,FALSE)&amp;"ID"&amp;X22</f>
        <v>actBillingStatusID</v>
      </c>
      <c r="G22" s="3" t="s">
        <v>6429</v>
      </c>
      <c r="H22" s="3" t="str">
        <f t="shared" si="4"/>
        <v>Activity.Billing Detail</v>
      </c>
      <c r="I22"/>
      <c r="K22" s="3" t="s">
        <v>443</v>
      </c>
      <c r="M22" t="s">
        <v>6007</v>
      </c>
      <c r="Q22" s="3" t="s">
        <v>92</v>
      </c>
      <c r="U22" s="3" t="s">
        <v>96</v>
      </c>
      <c r="V22">
        <v>403</v>
      </c>
      <c r="W22" s="3" t="str">
        <f>VLOOKUP(V22,DictionaryTableID,3,FALSE)</f>
        <v>actBillingStatus</v>
      </c>
      <c r="X22" s="3" t="s">
        <v>1036</v>
      </c>
      <c r="AB22" t="s">
        <v>92</v>
      </c>
      <c r="AF22" t="s">
        <v>562</v>
      </c>
    </row>
    <row r="23" spans="1:34" ht="15" hidden="1" customHeight="1">
      <c r="A23">
        <v>10200</v>
      </c>
      <c r="B23" s="3" t="s">
        <v>1475</v>
      </c>
      <c r="C23" s="3" t="str">
        <f t="shared" si="0"/>
        <v>actActivitySubTypeBilling.BilledAmount</v>
      </c>
      <c r="D23" s="3">
        <v>421</v>
      </c>
      <c r="E23" s="3" t="str">
        <f t="shared" si="3"/>
        <v>actActivitySubTypeBilling</v>
      </c>
      <c r="F23" t="s">
        <v>284</v>
      </c>
      <c r="G23" s="3" t="s">
        <v>6890</v>
      </c>
      <c r="H23" s="3" t="str">
        <f t="shared" si="4"/>
        <v>Activity.Billing Detail</v>
      </c>
      <c r="I23"/>
      <c r="K23" s="3" t="s">
        <v>357</v>
      </c>
      <c r="M23" s="3" t="s">
        <v>197</v>
      </c>
      <c r="N23" s="3">
        <v>19</v>
      </c>
      <c r="O23" s="3">
        <v>2</v>
      </c>
      <c r="Q23" s="3" t="s">
        <v>92</v>
      </c>
      <c r="U23" s="3" t="s">
        <v>93</v>
      </c>
      <c r="AB23" t="s">
        <v>92</v>
      </c>
      <c r="AF23" t="s">
        <v>579</v>
      </c>
    </row>
    <row r="24" spans="1:34" ht="15" hidden="1" customHeight="1">
      <c r="A24">
        <v>10210</v>
      </c>
      <c r="B24" s="3" t="s">
        <v>1475</v>
      </c>
      <c r="C24" s="3" t="str">
        <f t="shared" si="0"/>
        <v>actActivitySubTypeBilling.OverrideBilledAmount</v>
      </c>
      <c r="D24" s="3">
        <v>421</v>
      </c>
      <c r="E24" s="3" t="str">
        <f t="shared" si="3"/>
        <v>actActivitySubTypeBilling</v>
      </c>
      <c r="F24" t="s">
        <v>1314</v>
      </c>
      <c r="G24" s="3" t="s">
        <v>6891</v>
      </c>
      <c r="H24" s="3" t="str">
        <f t="shared" si="4"/>
        <v>Activity.Billing Detail</v>
      </c>
      <c r="I24"/>
      <c r="K24" s="3" t="s">
        <v>1315</v>
      </c>
      <c r="M24" s="3" t="s">
        <v>196</v>
      </c>
      <c r="Q24" s="3" t="s">
        <v>92</v>
      </c>
      <c r="U24" s="3" t="s">
        <v>93</v>
      </c>
      <c r="AB24" t="s">
        <v>92</v>
      </c>
      <c r="AF24" t="s">
        <v>571</v>
      </c>
    </row>
    <row r="25" spans="1:34" ht="15" hidden="1" customHeight="1">
      <c r="A25">
        <v>10220</v>
      </c>
      <c r="B25" s="3" t="s">
        <v>1475</v>
      </c>
      <c r="C25" s="3" t="str">
        <f t="shared" si="0"/>
        <v>actActivitySubTypeBilling.OverrideHours</v>
      </c>
      <c r="D25" s="3">
        <v>421</v>
      </c>
      <c r="E25" s="3" t="str">
        <f t="shared" si="3"/>
        <v>actActivitySubTypeBilling</v>
      </c>
      <c r="F25" t="s">
        <v>313</v>
      </c>
      <c r="G25" s="3" t="s">
        <v>6892</v>
      </c>
      <c r="H25" s="3" t="str">
        <f t="shared" si="4"/>
        <v>Activity.Billing Detail</v>
      </c>
      <c r="I25"/>
      <c r="K25" s="3" t="s">
        <v>354</v>
      </c>
      <c r="M25" s="3" t="s">
        <v>196</v>
      </c>
      <c r="Q25" s="3" t="s">
        <v>92</v>
      </c>
      <c r="U25" s="3" t="s">
        <v>93</v>
      </c>
      <c r="AB25" t="s">
        <v>92</v>
      </c>
      <c r="AF25" t="s">
        <v>568</v>
      </c>
    </row>
    <row r="26" spans="1:34" ht="15" hidden="1" customHeight="1">
      <c r="A26">
        <v>10230</v>
      </c>
      <c r="B26" s="3" t="s">
        <v>1475</v>
      </c>
      <c r="C26" s="3" t="str">
        <f t="shared" si="0"/>
        <v>actActivitySubTypeBilling.RevenueAmount</v>
      </c>
      <c r="D26" s="3">
        <v>421</v>
      </c>
      <c r="E26" s="3" t="str">
        <f t="shared" si="3"/>
        <v>actActivitySubTypeBilling</v>
      </c>
      <c r="F26" t="s">
        <v>321</v>
      </c>
      <c r="G26" s="3" t="s">
        <v>6430</v>
      </c>
      <c r="H26" s="3" t="str">
        <f t="shared" si="4"/>
        <v>Activity.Billing Detail</v>
      </c>
      <c r="I26"/>
      <c r="K26" s="3" t="s">
        <v>352</v>
      </c>
      <c r="M26" s="3" t="s">
        <v>197</v>
      </c>
      <c r="N26" s="3">
        <v>19</v>
      </c>
      <c r="O26" s="3">
        <v>2</v>
      </c>
      <c r="Q26" s="3" t="s">
        <v>92</v>
      </c>
      <c r="U26" s="3" t="s">
        <v>93</v>
      </c>
      <c r="AB26" t="s">
        <v>92</v>
      </c>
      <c r="AF26" t="s">
        <v>559</v>
      </c>
    </row>
    <row r="27" spans="1:34" ht="15" hidden="1" customHeight="1">
      <c r="A27">
        <v>10240</v>
      </c>
      <c r="B27" t="s">
        <v>1475</v>
      </c>
      <c r="C27" s="3" t="str">
        <f t="shared" si="0"/>
        <v>actActivitySubTypeBilling.RowStatus</v>
      </c>
      <c r="D27">
        <v>421</v>
      </c>
      <c r="E27" s="3" t="str">
        <f t="shared" si="3"/>
        <v>actActivitySubTypeBilling</v>
      </c>
      <c r="F27" t="s">
        <v>1445</v>
      </c>
      <c r="G27" s="3" t="s">
        <v>6411</v>
      </c>
      <c r="H27" s="3" t="str">
        <f t="shared" si="4"/>
        <v>Activity.Billing Detail</v>
      </c>
      <c r="I27"/>
      <c r="K27" s="3" t="s">
        <v>2471</v>
      </c>
      <c r="L27"/>
      <c r="M27" t="s">
        <v>976</v>
      </c>
      <c r="N27">
        <v>1</v>
      </c>
      <c r="O27"/>
      <c r="P27"/>
      <c r="Q27" t="s">
        <v>919</v>
      </c>
      <c r="R27"/>
      <c r="S27" s="14"/>
      <c r="U27" t="s">
        <v>94</v>
      </c>
    </row>
    <row r="28" spans="1:34" ht="15" hidden="1" customHeight="1">
      <c r="A28">
        <v>10250</v>
      </c>
      <c r="B28" t="s">
        <v>1475</v>
      </c>
      <c r="C28" s="3" t="str">
        <f t="shared" si="0"/>
        <v>actActivitySubTypeBilling.sysChangeHistoryID</v>
      </c>
      <c r="D28">
        <v>421</v>
      </c>
      <c r="E28" s="3" t="str">
        <f t="shared" si="3"/>
        <v>actActivitySubTypeBilling</v>
      </c>
      <c r="F28" t="s">
        <v>2497</v>
      </c>
      <c r="G28" s="3" t="s">
        <v>6403</v>
      </c>
      <c r="H28" s="3" t="str">
        <f t="shared" si="4"/>
        <v>Activity.Billing Detail</v>
      </c>
      <c r="I28"/>
      <c r="K28" t="s">
        <v>1210</v>
      </c>
      <c r="L28"/>
      <c r="M28" t="s">
        <v>6007</v>
      </c>
      <c r="N28"/>
      <c r="O28"/>
      <c r="P28"/>
      <c r="Q28" t="s">
        <v>92</v>
      </c>
      <c r="R28"/>
      <c r="S28"/>
      <c r="U28" t="s">
        <v>1429</v>
      </c>
      <c r="W28" s="3"/>
      <c r="X28" s="3"/>
    </row>
    <row r="29" spans="1:34" ht="15" hidden="1" customHeight="1">
      <c r="A29">
        <v>10260</v>
      </c>
      <c r="B29" s="3" t="s">
        <v>1475</v>
      </c>
      <c r="C29" s="3" t="str">
        <f t="shared" si="0"/>
        <v>actBillingMethod.ID</v>
      </c>
      <c r="D29" s="3">
        <v>407</v>
      </c>
      <c r="E29" s="3" t="str">
        <f t="shared" si="3"/>
        <v>actBillingMethod</v>
      </c>
      <c r="F29" t="s">
        <v>0</v>
      </c>
      <c r="G29" s="3" t="s">
        <v>6431</v>
      </c>
      <c r="H29" s="3" t="str">
        <f t="shared" si="4"/>
        <v>Activity.Billing Method</v>
      </c>
      <c r="I29"/>
      <c r="K29" t="s">
        <v>0</v>
      </c>
      <c r="M29" t="s">
        <v>6007</v>
      </c>
      <c r="Q29" s="3" t="s">
        <v>919</v>
      </c>
      <c r="U29" s="3" t="s">
        <v>95</v>
      </c>
    </row>
    <row r="30" spans="1:34" ht="15" hidden="1" customHeight="1">
      <c r="A30">
        <v>10270</v>
      </c>
      <c r="B30" s="3" t="s">
        <v>1475</v>
      </c>
      <c r="C30" s="3" t="str">
        <f t="shared" si="0"/>
        <v>actBillingMethod.Description</v>
      </c>
      <c r="D30" s="3">
        <v>407</v>
      </c>
      <c r="E30" s="3" t="str">
        <f t="shared" si="3"/>
        <v>actBillingMethod</v>
      </c>
      <c r="F30" t="s">
        <v>12</v>
      </c>
      <c r="G30" s="3" t="s">
        <v>6893</v>
      </c>
      <c r="H30" s="3" t="str">
        <f t="shared" si="4"/>
        <v>Activity.Billing Method</v>
      </c>
      <c r="I30"/>
      <c r="K30" t="s">
        <v>389</v>
      </c>
      <c r="L30" s="3" t="s">
        <v>973</v>
      </c>
      <c r="M30" s="3" t="s">
        <v>196</v>
      </c>
      <c r="Q30" s="3" t="s">
        <v>919</v>
      </c>
      <c r="U30" s="3" t="s">
        <v>93</v>
      </c>
      <c r="Y30" t="s">
        <v>92</v>
      </c>
      <c r="AB30" t="s">
        <v>92</v>
      </c>
      <c r="AH30" t="s">
        <v>92</v>
      </c>
    </row>
    <row r="31" spans="1:34" ht="15" hidden="1" customHeight="1">
      <c r="A31">
        <v>10280</v>
      </c>
      <c r="B31" s="3" t="s">
        <v>1475</v>
      </c>
      <c r="C31" s="3" t="str">
        <f t="shared" si="0"/>
        <v>actBillingMethod.DisplaySequence</v>
      </c>
      <c r="D31" s="3">
        <v>407</v>
      </c>
      <c r="E31" s="3" t="str">
        <f t="shared" si="3"/>
        <v>actBillingMethod</v>
      </c>
      <c r="F31" t="s">
        <v>6055</v>
      </c>
      <c r="G31" s="3" t="s">
        <v>6432</v>
      </c>
      <c r="H31" s="3" t="str">
        <f t="shared" si="4"/>
        <v>Activity.Billing Method</v>
      </c>
      <c r="I31"/>
      <c r="K31" s="3" t="s">
        <v>6297</v>
      </c>
      <c r="M31" s="3" t="s">
        <v>195</v>
      </c>
      <c r="U31" s="3" t="s">
        <v>93</v>
      </c>
    </row>
    <row r="32" spans="1:34" ht="15" hidden="1" customHeight="1">
      <c r="A32">
        <v>10290</v>
      </c>
      <c r="B32" s="3" t="s">
        <v>1475</v>
      </c>
      <c r="C32" s="3" t="str">
        <f t="shared" si="0"/>
        <v>actBillingMethod.RowStatus</v>
      </c>
      <c r="D32" s="3">
        <v>407</v>
      </c>
      <c r="E32" s="3" t="str">
        <f t="shared" si="3"/>
        <v>actBillingMethod</v>
      </c>
      <c r="F32" t="s">
        <v>1445</v>
      </c>
      <c r="G32" s="3" t="s">
        <v>6411</v>
      </c>
      <c r="H32" s="3" t="str">
        <f t="shared" si="4"/>
        <v>Activity.Billing Method</v>
      </c>
      <c r="I32"/>
      <c r="K32" s="3" t="s">
        <v>2471</v>
      </c>
      <c r="M32" t="s">
        <v>976</v>
      </c>
      <c r="N32">
        <v>1</v>
      </c>
      <c r="Q32" s="3" t="s">
        <v>919</v>
      </c>
      <c r="U32" s="3" t="s">
        <v>94</v>
      </c>
    </row>
    <row r="33" spans="1:34" ht="15" hidden="1" customHeight="1">
      <c r="A33">
        <v>10300</v>
      </c>
      <c r="B33" t="s">
        <v>1475</v>
      </c>
      <c r="C33" s="3" t="str">
        <f t="shared" si="0"/>
        <v>actBillingMethod.sysChangeHistoryID</v>
      </c>
      <c r="D33">
        <v>407</v>
      </c>
      <c r="E33" s="3" t="str">
        <f t="shared" si="3"/>
        <v>actBillingMethod</v>
      </c>
      <c r="F33" t="s">
        <v>2497</v>
      </c>
      <c r="G33" s="3" t="s">
        <v>6403</v>
      </c>
      <c r="H33" s="3" t="str">
        <f t="shared" si="4"/>
        <v>Activity.Billing Method</v>
      </c>
      <c r="I33"/>
      <c r="K33" t="s">
        <v>1210</v>
      </c>
      <c r="L33"/>
      <c r="M33" t="s">
        <v>6007</v>
      </c>
      <c r="N33"/>
      <c r="O33"/>
      <c r="P33"/>
      <c r="Q33" t="s">
        <v>92</v>
      </c>
      <c r="R33"/>
      <c r="S33"/>
      <c r="U33" t="s">
        <v>1429</v>
      </c>
      <c r="W33" s="3"/>
      <c r="X33" s="3"/>
    </row>
    <row r="34" spans="1:34" ht="15" hidden="1" customHeight="1">
      <c r="A34">
        <v>10310</v>
      </c>
      <c r="B34" s="3" t="s">
        <v>1475</v>
      </c>
      <c r="C34" s="3" t="str">
        <f t="shared" si="0"/>
        <v>actBillingStatus.ID</v>
      </c>
      <c r="D34" s="3">
        <v>403</v>
      </c>
      <c r="E34" s="3" t="str">
        <f t="shared" si="3"/>
        <v>actBillingStatus</v>
      </c>
      <c r="F34" t="s">
        <v>0</v>
      </c>
      <c r="G34" s="3" t="s">
        <v>6433</v>
      </c>
      <c r="H34" s="3" t="str">
        <f t="shared" si="4"/>
        <v>Activity.Billing Status</v>
      </c>
      <c r="I34"/>
      <c r="K34" t="s">
        <v>0</v>
      </c>
      <c r="M34" t="s">
        <v>6007</v>
      </c>
      <c r="Q34" s="3" t="s">
        <v>919</v>
      </c>
      <c r="U34" s="3" t="s">
        <v>95</v>
      </c>
    </row>
    <row r="35" spans="1:34" ht="15" hidden="1" customHeight="1">
      <c r="A35">
        <v>10320</v>
      </c>
      <c r="B35" s="3" t="s">
        <v>1475</v>
      </c>
      <c r="C35" s="3" t="str">
        <f t="shared" si="0"/>
        <v>actBillingStatus.Description</v>
      </c>
      <c r="D35" s="3">
        <v>403</v>
      </c>
      <c r="E35" s="3" t="str">
        <f t="shared" si="3"/>
        <v>actBillingStatus</v>
      </c>
      <c r="F35" t="s">
        <v>12</v>
      </c>
      <c r="G35" s="3" t="s">
        <v>6894</v>
      </c>
      <c r="H35" s="3" t="str">
        <f t="shared" si="4"/>
        <v>Activity.Billing Status</v>
      </c>
      <c r="I35"/>
      <c r="K35" t="s">
        <v>443</v>
      </c>
      <c r="L35" s="3" t="s">
        <v>973</v>
      </c>
      <c r="M35" s="3" t="s">
        <v>196</v>
      </c>
      <c r="Q35" s="3" t="s">
        <v>919</v>
      </c>
      <c r="U35" s="3" t="s">
        <v>93</v>
      </c>
      <c r="Y35" t="s">
        <v>92</v>
      </c>
      <c r="AB35" t="s">
        <v>92</v>
      </c>
      <c r="AH35" t="s">
        <v>92</v>
      </c>
    </row>
    <row r="36" spans="1:34" ht="15" hidden="1" customHeight="1">
      <c r="A36">
        <v>10330</v>
      </c>
      <c r="B36" s="3" t="s">
        <v>1475</v>
      </c>
      <c r="C36" s="3" t="str">
        <f t="shared" si="0"/>
        <v>actBillingStatus.DisplaySequence</v>
      </c>
      <c r="D36" s="3">
        <v>403</v>
      </c>
      <c r="E36" s="3" t="str">
        <f t="shared" si="3"/>
        <v>actBillingStatus</v>
      </c>
      <c r="F36" t="s">
        <v>6055</v>
      </c>
      <c r="G36" s="3" t="s">
        <v>6432</v>
      </c>
      <c r="H36" s="3" t="str">
        <f t="shared" si="4"/>
        <v>Activity.Billing Status</v>
      </c>
      <c r="I36"/>
      <c r="K36" s="3" t="s">
        <v>6297</v>
      </c>
      <c r="M36" s="3" t="s">
        <v>195</v>
      </c>
      <c r="U36" s="3" t="s">
        <v>93</v>
      </c>
    </row>
    <row r="37" spans="1:34" ht="15" hidden="1" customHeight="1">
      <c r="A37">
        <v>10340</v>
      </c>
      <c r="B37" s="3" t="s">
        <v>1475</v>
      </c>
      <c r="C37" s="3" t="str">
        <f t="shared" si="0"/>
        <v>actBillingStatus.ShortCode</v>
      </c>
      <c r="D37" s="3">
        <v>403</v>
      </c>
      <c r="E37" s="3" t="str">
        <f t="shared" si="3"/>
        <v>actBillingStatus</v>
      </c>
      <c r="F37" t="s">
        <v>16</v>
      </c>
      <c r="G37" s="3" t="s">
        <v>6434</v>
      </c>
      <c r="H37" s="3" t="str">
        <f t="shared" si="4"/>
        <v>Activity.Billing Status</v>
      </c>
      <c r="I37"/>
      <c r="K37" s="3" t="s">
        <v>117</v>
      </c>
      <c r="L37" s="3" t="s">
        <v>274</v>
      </c>
      <c r="M37" s="3" t="s">
        <v>196</v>
      </c>
      <c r="Q37" s="3" t="s">
        <v>92</v>
      </c>
      <c r="U37" s="3" t="s">
        <v>93</v>
      </c>
      <c r="AB37" t="s">
        <v>92</v>
      </c>
      <c r="AH37" t="s">
        <v>92</v>
      </c>
    </row>
    <row r="38" spans="1:34" ht="15" hidden="1" customHeight="1">
      <c r="A38">
        <v>10350</v>
      </c>
      <c r="B38" s="3" t="s">
        <v>1475</v>
      </c>
      <c r="C38" s="3" t="str">
        <f t="shared" si="0"/>
        <v>actBillingStatus.RowStatus</v>
      </c>
      <c r="D38" s="3">
        <v>403</v>
      </c>
      <c r="E38" s="3" t="str">
        <f t="shared" si="3"/>
        <v>actBillingStatus</v>
      </c>
      <c r="F38" t="s">
        <v>1445</v>
      </c>
      <c r="G38" s="3" t="s">
        <v>6411</v>
      </c>
      <c r="H38" s="3" t="str">
        <f t="shared" si="4"/>
        <v>Activity.Billing Status</v>
      </c>
      <c r="I38"/>
      <c r="K38" s="3" t="s">
        <v>2471</v>
      </c>
      <c r="M38" t="s">
        <v>976</v>
      </c>
      <c r="N38">
        <v>1</v>
      </c>
      <c r="Q38" s="3" t="s">
        <v>919</v>
      </c>
      <c r="U38" s="3" t="s">
        <v>94</v>
      </c>
    </row>
    <row r="39" spans="1:34" ht="15" hidden="1" customHeight="1">
      <c r="A39">
        <v>10360</v>
      </c>
      <c r="B39" t="s">
        <v>1475</v>
      </c>
      <c r="C39" s="3" t="str">
        <f t="shared" si="0"/>
        <v>actBillingStatus.sysChangeHistoryID</v>
      </c>
      <c r="D39">
        <v>403</v>
      </c>
      <c r="E39" s="3" t="str">
        <f t="shared" si="3"/>
        <v>actBillingStatus</v>
      </c>
      <c r="F39" t="s">
        <v>2497</v>
      </c>
      <c r="G39" s="3" t="s">
        <v>6403</v>
      </c>
      <c r="H39" s="3" t="str">
        <f t="shared" si="4"/>
        <v>Activity.Billing Status</v>
      </c>
      <c r="I39"/>
      <c r="K39" t="s">
        <v>1210</v>
      </c>
      <c r="L39"/>
      <c r="M39" t="s">
        <v>6007</v>
      </c>
      <c r="N39"/>
      <c r="O39"/>
      <c r="P39"/>
      <c r="Q39" t="s">
        <v>92</v>
      </c>
      <c r="R39"/>
      <c r="S39"/>
      <c r="U39" t="s">
        <v>1429</v>
      </c>
      <c r="W39" s="3"/>
      <c r="X39" s="3"/>
    </row>
    <row r="40" spans="1:34" ht="15" hidden="1" customHeight="1">
      <c r="A40">
        <v>10370</v>
      </c>
      <c r="B40" s="3" t="s">
        <v>1475</v>
      </c>
      <c r="C40" s="3" t="str">
        <f t="shared" si="0"/>
        <v>actCostUnit.ID</v>
      </c>
      <c r="D40" s="3">
        <v>406</v>
      </c>
      <c r="E40" s="3" t="str">
        <f t="shared" si="3"/>
        <v>actCostUnit</v>
      </c>
      <c r="F40" t="s">
        <v>0</v>
      </c>
      <c r="G40" s="3" t="s">
        <v>6435</v>
      </c>
      <c r="H40" s="3" t="str">
        <f t="shared" si="4"/>
        <v>Activity.Activity Cost Unit</v>
      </c>
      <c r="I40"/>
      <c r="K40" t="s">
        <v>0</v>
      </c>
      <c r="M40" t="s">
        <v>6007</v>
      </c>
      <c r="Q40" s="3" t="s">
        <v>919</v>
      </c>
      <c r="U40" s="3" t="s">
        <v>95</v>
      </c>
    </row>
    <row r="41" spans="1:34" ht="15" hidden="1" customHeight="1">
      <c r="A41">
        <v>10380</v>
      </c>
      <c r="B41" s="3" t="s">
        <v>1475</v>
      </c>
      <c r="C41" s="3" t="str">
        <f t="shared" si="0"/>
        <v>actCostUnit.Description</v>
      </c>
      <c r="D41" s="3">
        <v>406</v>
      </c>
      <c r="E41" s="3" t="str">
        <f t="shared" si="3"/>
        <v>actCostUnit</v>
      </c>
      <c r="F41" t="s">
        <v>12</v>
      </c>
      <c r="G41" s="3" t="s">
        <v>6895</v>
      </c>
      <c r="H41" s="3" t="str">
        <f t="shared" si="4"/>
        <v>Activity.Activity Cost Unit</v>
      </c>
      <c r="I41"/>
      <c r="K41" t="s">
        <v>446</v>
      </c>
      <c r="L41" s="3" t="s">
        <v>973</v>
      </c>
      <c r="M41" s="3" t="s">
        <v>196</v>
      </c>
      <c r="Q41" s="3" t="s">
        <v>919</v>
      </c>
      <c r="U41" s="3" t="s">
        <v>93</v>
      </c>
      <c r="Y41" t="s">
        <v>92</v>
      </c>
      <c r="AB41" t="s">
        <v>92</v>
      </c>
      <c r="AH41" t="s">
        <v>92</v>
      </c>
    </row>
    <row r="42" spans="1:34" ht="15" hidden="1" customHeight="1">
      <c r="A42">
        <v>10390</v>
      </c>
      <c r="B42" s="3" t="s">
        <v>1475</v>
      </c>
      <c r="C42" s="3" t="str">
        <f t="shared" si="0"/>
        <v>actCostUnit.DisplaySequence</v>
      </c>
      <c r="D42" s="3">
        <v>406</v>
      </c>
      <c r="E42" s="3" t="str">
        <f t="shared" si="3"/>
        <v>actCostUnit</v>
      </c>
      <c r="F42" t="s">
        <v>6055</v>
      </c>
      <c r="G42" s="3" t="s">
        <v>6432</v>
      </c>
      <c r="H42" s="3" t="str">
        <f t="shared" si="4"/>
        <v>Activity.Activity Cost Unit</v>
      </c>
      <c r="I42"/>
      <c r="K42" s="3" t="s">
        <v>6297</v>
      </c>
      <c r="M42" s="3" t="s">
        <v>195</v>
      </c>
      <c r="U42" s="3" t="s">
        <v>93</v>
      </c>
    </row>
    <row r="43" spans="1:34" ht="15" hidden="1" customHeight="1">
      <c r="A43">
        <v>10400</v>
      </c>
      <c r="B43" s="3" t="s">
        <v>1475</v>
      </c>
      <c r="C43" s="3" t="str">
        <f t="shared" si="0"/>
        <v>actCostUnit.RowStatus</v>
      </c>
      <c r="D43" s="3">
        <v>406</v>
      </c>
      <c r="E43" s="3" t="str">
        <f t="shared" si="3"/>
        <v>actCostUnit</v>
      </c>
      <c r="F43" t="s">
        <v>1445</v>
      </c>
      <c r="G43" s="3" t="s">
        <v>6411</v>
      </c>
      <c r="H43" s="3" t="str">
        <f t="shared" si="4"/>
        <v>Activity.Activity Cost Unit</v>
      </c>
      <c r="I43"/>
      <c r="K43" s="3" t="s">
        <v>2471</v>
      </c>
      <c r="M43" t="s">
        <v>976</v>
      </c>
      <c r="N43">
        <v>1</v>
      </c>
      <c r="Q43" s="3" t="s">
        <v>919</v>
      </c>
      <c r="U43" s="3" t="s">
        <v>94</v>
      </c>
    </row>
    <row r="44" spans="1:34" ht="15" hidden="1" customHeight="1">
      <c r="A44">
        <v>10410</v>
      </c>
      <c r="B44" t="s">
        <v>1475</v>
      </c>
      <c r="C44" s="3" t="str">
        <f t="shared" si="0"/>
        <v>actCostUnit.sysChangeHistoryID</v>
      </c>
      <c r="D44">
        <v>406</v>
      </c>
      <c r="E44" s="3" t="str">
        <f t="shared" si="3"/>
        <v>actCostUnit</v>
      </c>
      <c r="F44" t="s">
        <v>2497</v>
      </c>
      <c r="G44" s="3" t="s">
        <v>6403</v>
      </c>
      <c r="H44" s="3" t="str">
        <f t="shared" si="4"/>
        <v>Activity.Activity Cost Unit</v>
      </c>
      <c r="I44"/>
      <c r="K44" t="s">
        <v>1210</v>
      </c>
      <c r="L44"/>
      <c r="M44" t="s">
        <v>6007</v>
      </c>
      <c r="N44"/>
      <c r="O44"/>
      <c r="P44"/>
      <c r="Q44" t="s">
        <v>92</v>
      </c>
      <c r="R44"/>
      <c r="S44"/>
      <c r="U44" t="s">
        <v>1429</v>
      </c>
      <c r="W44" s="3"/>
      <c r="X44" s="3"/>
    </row>
    <row r="45" spans="1:34" ht="15" hidden="1" customHeight="1">
      <c r="A45">
        <v>10420</v>
      </c>
      <c r="B45" s="3" t="s">
        <v>1475</v>
      </c>
      <c r="C45" s="3" t="str">
        <f t="shared" si="0"/>
        <v>actPriority.ID</v>
      </c>
      <c r="D45" s="3">
        <v>408</v>
      </c>
      <c r="E45" s="3" t="str">
        <f t="shared" si="3"/>
        <v>actPriority</v>
      </c>
      <c r="F45" t="s">
        <v>0</v>
      </c>
      <c r="G45" s="3" t="s">
        <v>6436</v>
      </c>
      <c r="H45" s="3" t="str">
        <f t="shared" si="4"/>
        <v>Activity.Priority</v>
      </c>
      <c r="I45"/>
      <c r="K45" t="s">
        <v>0</v>
      </c>
      <c r="M45" t="s">
        <v>6007</v>
      </c>
      <c r="Q45" s="3" t="s">
        <v>919</v>
      </c>
      <c r="U45" s="3" t="s">
        <v>95</v>
      </c>
    </row>
    <row r="46" spans="1:34" ht="15" hidden="1" customHeight="1">
      <c r="A46">
        <v>10430</v>
      </c>
      <c r="B46" s="3" t="s">
        <v>1475</v>
      </c>
      <c r="C46" s="3" t="str">
        <f t="shared" si="0"/>
        <v>actPriority.Description</v>
      </c>
      <c r="D46" s="3">
        <v>408</v>
      </c>
      <c r="E46" s="3" t="str">
        <f t="shared" si="3"/>
        <v>actPriority</v>
      </c>
      <c r="F46" t="s">
        <v>12</v>
      </c>
      <c r="G46" s="3" t="s">
        <v>6896</v>
      </c>
      <c r="H46" s="3" t="str">
        <f t="shared" si="4"/>
        <v>Activity.Priority</v>
      </c>
      <c r="I46"/>
      <c r="K46" t="s">
        <v>977</v>
      </c>
      <c r="L46" s="3" t="s">
        <v>973</v>
      </c>
      <c r="M46" s="3" t="s">
        <v>196</v>
      </c>
      <c r="Q46" s="3" t="s">
        <v>919</v>
      </c>
      <c r="U46" s="3" t="s">
        <v>93</v>
      </c>
      <c r="Y46" t="s">
        <v>92</v>
      </c>
      <c r="AB46" t="s">
        <v>92</v>
      </c>
      <c r="AH46" t="s">
        <v>92</v>
      </c>
    </row>
    <row r="47" spans="1:34" ht="15" hidden="1" customHeight="1">
      <c r="A47">
        <v>10440</v>
      </c>
      <c r="B47" s="3" t="s">
        <v>1475</v>
      </c>
      <c r="C47" s="3" t="str">
        <f t="shared" si="0"/>
        <v>actPriority.DisplaySequence</v>
      </c>
      <c r="D47" s="3">
        <v>408</v>
      </c>
      <c r="E47" s="3" t="str">
        <f t="shared" si="3"/>
        <v>actPriority</v>
      </c>
      <c r="F47" t="s">
        <v>6055</v>
      </c>
      <c r="G47" s="3" t="s">
        <v>6432</v>
      </c>
      <c r="H47" s="3" t="str">
        <f t="shared" si="4"/>
        <v>Activity.Priority</v>
      </c>
      <c r="I47"/>
      <c r="K47" s="3" t="s">
        <v>6297</v>
      </c>
      <c r="M47" s="3" t="s">
        <v>195</v>
      </c>
      <c r="U47" s="3" t="s">
        <v>93</v>
      </c>
    </row>
    <row r="48" spans="1:34" ht="15" hidden="1" customHeight="1">
      <c r="A48">
        <v>10450</v>
      </c>
      <c r="B48" s="3" t="s">
        <v>1475</v>
      </c>
      <c r="C48" s="3" t="str">
        <f t="shared" si="0"/>
        <v>actPriority.ShortCode</v>
      </c>
      <c r="D48" s="3">
        <v>408</v>
      </c>
      <c r="E48" s="3" t="str">
        <f t="shared" si="3"/>
        <v>actPriority</v>
      </c>
      <c r="F48" t="s">
        <v>16</v>
      </c>
      <c r="G48" s="3" t="s">
        <v>6434</v>
      </c>
      <c r="H48" s="3" t="str">
        <f t="shared" si="4"/>
        <v>Activity.Priority</v>
      </c>
      <c r="I48"/>
      <c r="K48" s="3" t="s">
        <v>117</v>
      </c>
      <c r="L48" s="3" t="s">
        <v>274</v>
      </c>
      <c r="M48" s="3" t="s">
        <v>196</v>
      </c>
      <c r="Q48" s="3" t="s">
        <v>92</v>
      </c>
      <c r="U48" s="3" t="s">
        <v>93</v>
      </c>
      <c r="AB48" t="s">
        <v>92</v>
      </c>
      <c r="AH48" t="s">
        <v>92</v>
      </c>
    </row>
    <row r="49" spans="1:34" ht="15" hidden="1" customHeight="1">
      <c r="A49">
        <v>10460</v>
      </c>
      <c r="B49" s="3" t="s">
        <v>1475</v>
      </c>
      <c r="C49" s="3" t="str">
        <f t="shared" si="0"/>
        <v>actPriority.RowStatus</v>
      </c>
      <c r="D49" s="3">
        <v>408</v>
      </c>
      <c r="E49" s="3" t="str">
        <f t="shared" si="3"/>
        <v>actPriority</v>
      </c>
      <c r="F49" t="s">
        <v>1445</v>
      </c>
      <c r="G49" s="3" t="s">
        <v>6411</v>
      </c>
      <c r="H49" s="3" t="str">
        <f t="shared" si="4"/>
        <v>Activity.Priority</v>
      </c>
      <c r="I49"/>
      <c r="K49" s="3" t="s">
        <v>2471</v>
      </c>
      <c r="M49" t="s">
        <v>976</v>
      </c>
      <c r="N49">
        <v>1</v>
      </c>
      <c r="Q49" s="3" t="s">
        <v>919</v>
      </c>
      <c r="U49" s="3" t="s">
        <v>94</v>
      </c>
    </row>
    <row r="50" spans="1:34" ht="15" hidden="1" customHeight="1">
      <c r="A50">
        <v>10470</v>
      </c>
      <c r="B50" t="s">
        <v>1475</v>
      </c>
      <c r="C50" s="3" t="str">
        <f t="shared" si="0"/>
        <v>actPriority.sysChangeHistoryID</v>
      </c>
      <c r="D50">
        <v>408</v>
      </c>
      <c r="E50" s="3" t="str">
        <f t="shared" si="3"/>
        <v>actPriority</v>
      </c>
      <c r="F50" t="s">
        <v>2497</v>
      </c>
      <c r="G50" s="3" t="s">
        <v>6403</v>
      </c>
      <c r="H50" s="3" t="str">
        <f t="shared" si="4"/>
        <v>Activity.Priority</v>
      </c>
      <c r="I50"/>
      <c r="K50" t="s">
        <v>1210</v>
      </c>
      <c r="L50"/>
      <c r="M50" t="s">
        <v>6007</v>
      </c>
      <c r="N50"/>
      <c r="O50"/>
      <c r="P50"/>
      <c r="Q50" t="s">
        <v>92</v>
      </c>
      <c r="R50"/>
      <c r="S50"/>
      <c r="U50" t="s">
        <v>1429</v>
      </c>
      <c r="W50" s="3"/>
      <c r="X50" s="3"/>
    </row>
    <row r="51" spans="1:34" ht="15" hidden="1" customHeight="1">
      <c r="A51">
        <v>10480</v>
      </c>
      <c r="B51" s="3" t="s">
        <v>1475</v>
      </c>
      <c r="C51" s="3" t="str">
        <f t="shared" si="0"/>
        <v>actProject.ID</v>
      </c>
      <c r="D51" s="3">
        <v>401</v>
      </c>
      <c r="E51" s="3" t="str">
        <f t="shared" si="3"/>
        <v>actProject</v>
      </c>
      <c r="F51" t="s">
        <v>0</v>
      </c>
      <c r="G51" s="3" t="s">
        <v>6437</v>
      </c>
      <c r="H51" s="3" t="str">
        <f t="shared" si="4"/>
        <v>Activity.Project</v>
      </c>
      <c r="I51"/>
      <c r="K51" s="3" t="s">
        <v>0</v>
      </c>
      <c r="M51" t="s">
        <v>6007</v>
      </c>
      <c r="Q51" s="3" t="s">
        <v>919</v>
      </c>
      <c r="U51" s="3" t="s">
        <v>95</v>
      </c>
      <c r="AF51" t="s">
        <v>812</v>
      </c>
    </row>
    <row r="52" spans="1:34" ht="15" hidden="1" customHeight="1">
      <c r="A52">
        <v>10490</v>
      </c>
      <c r="B52" s="3" t="s">
        <v>1475</v>
      </c>
      <c r="C52" s="3" t="str">
        <f t="shared" si="0"/>
        <v>actProject.actBillingMethodID</v>
      </c>
      <c r="D52" s="3">
        <v>401</v>
      </c>
      <c r="E52" s="3" t="str">
        <f t="shared" si="3"/>
        <v>actProject</v>
      </c>
      <c r="F52" t="str">
        <f t="shared" ref="F52:F57" si="5">VLOOKUP(V52,DictionaryTableID,3,FALSE)&amp;"ID"&amp;X52</f>
        <v>actBillingMethodID</v>
      </c>
      <c r="G52" s="3" t="s">
        <v>6438</v>
      </c>
      <c r="H52" s="3" t="str">
        <f t="shared" si="4"/>
        <v>Activity.Project</v>
      </c>
      <c r="I52"/>
      <c r="K52" s="3" t="s">
        <v>389</v>
      </c>
      <c r="M52" t="s">
        <v>6007</v>
      </c>
      <c r="Q52" s="3" t="s">
        <v>92</v>
      </c>
      <c r="U52" s="3" t="s">
        <v>96</v>
      </c>
      <c r="V52">
        <v>407</v>
      </c>
      <c r="W52" s="3" t="str">
        <f t="shared" ref="W52:W57" si="6">VLOOKUP(V52,DictionaryTableID,3,FALSE)</f>
        <v>actBillingMethod</v>
      </c>
      <c r="X52" s="3" t="s">
        <v>1036</v>
      </c>
      <c r="AB52" t="s">
        <v>92</v>
      </c>
      <c r="AF52" t="s">
        <v>822</v>
      </c>
    </row>
    <row r="53" spans="1:34" ht="15" hidden="1" customHeight="1">
      <c r="A53">
        <v>10500</v>
      </c>
      <c r="B53" s="3" t="s">
        <v>1475</v>
      </c>
      <c r="C53" s="3" t="str">
        <f t="shared" si="0"/>
        <v>actProject.actProjectIDParent</v>
      </c>
      <c r="D53" s="3">
        <v>401</v>
      </c>
      <c r="E53" s="3" t="str">
        <f t="shared" si="3"/>
        <v>actProject</v>
      </c>
      <c r="F53" t="str">
        <f t="shared" si="5"/>
        <v>actProjectIDParent</v>
      </c>
      <c r="G53" s="3" t="s">
        <v>6439</v>
      </c>
      <c r="H53" s="3" t="str">
        <f t="shared" si="4"/>
        <v>Activity.Project</v>
      </c>
      <c r="I53"/>
      <c r="K53" s="3" t="s">
        <v>6408</v>
      </c>
      <c r="M53" t="s">
        <v>6007</v>
      </c>
      <c r="Q53" s="3" t="s">
        <v>92</v>
      </c>
      <c r="U53" s="3" t="s">
        <v>96</v>
      </c>
      <c r="V53">
        <v>401</v>
      </c>
      <c r="W53" s="3" t="str">
        <f t="shared" si="6"/>
        <v>actProject</v>
      </c>
      <c r="X53" s="3" t="s">
        <v>1220</v>
      </c>
      <c r="AB53" t="s">
        <v>92</v>
      </c>
      <c r="AF53" t="s">
        <v>827</v>
      </c>
    </row>
    <row r="54" spans="1:34" ht="15" hidden="1" customHeight="1">
      <c r="A54">
        <v>10510</v>
      </c>
      <c r="B54" s="3" t="s">
        <v>1475</v>
      </c>
      <c r="C54" s="3" t="str">
        <f t="shared" si="0"/>
        <v>actProject.actSourceID</v>
      </c>
      <c r="D54" s="3">
        <v>401</v>
      </c>
      <c r="E54" s="3" t="str">
        <f t="shared" si="3"/>
        <v>actProject</v>
      </c>
      <c r="F54" t="str">
        <f t="shared" si="5"/>
        <v>actSourceID</v>
      </c>
      <c r="G54" s="3" t="s">
        <v>6440</v>
      </c>
      <c r="H54" s="3" t="str">
        <f t="shared" si="4"/>
        <v>Activity.Project</v>
      </c>
      <c r="I54"/>
      <c r="K54" s="3" t="s">
        <v>83</v>
      </c>
      <c r="M54" t="s">
        <v>6007</v>
      </c>
      <c r="Q54" s="3" t="s">
        <v>92</v>
      </c>
      <c r="U54" s="3" t="s">
        <v>96</v>
      </c>
      <c r="V54">
        <v>404</v>
      </c>
      <c r="W54" s="3" t="str">
        <f t="shared" si="6"/>
        <v>actSource</v>
      </c>
      <c r="X54" s="3"/>
      <c r="AB54" t="s">
        <v>92</v>
      </c>
      <c r="AF54" t="s">
        <v>826</v>
      </c>
    </row>
    <row r="55" spans="1:34" ht="15" hidden="1" customHeight="1">
      <c r="A55">
        <v>10520</v>
      </c>
      <c r="B55" s="3" t="s">
        <v>1475</v>
      </c>
      <c r="C55" s="3" t="str">
        <f t="shared" si="0"/>
        <v>actProject.actStatusID</v>
      </c>
      <c r="D55" s="3">
        <v>401</v>
      </c>
      <c r="E55" s="3" t="str">
        <f t="shared" si="3"/>
        <v>actProject</v>
      </c>
      <c r="F55" t="str">
        <f t="shared" si="5"/>
        <v>actStatusID</v>
      </c>
      <c r="G55" s="3" t="s">
        <v>6417</v>
      </c>
      <c r="H55" s="3" t="str">
        <f t="shared" si="4"/>
        <v>Activity.Project</v>
      </c>
      <c r="I55"/>
      <c r="K55" s="3" t="s">
        <v>55</v>
      </c>
      <c r="M55" t="s">
        <v>6007</v>
      </c>
      <c r="Q55" s="3" t="s">
        <v>92</v>
      </c>
      <c r="U55" s="3" t="s">
        <v>96</v>
      </c>
      <c r="V55">
        <v>405</v>
      </c>
      <c r="W55" s="3" t="str">
        <f t="shared" si="6"/>
        <v>actStatus</v>
      </c>
      <c r="X55" s="3"/>
      <c r="AB55" t="s">
        <v>92</v>
      </c>
      <c r="AF55" t="s">
        <v>814</v>
      </c>
    </row>
    <row r="56" spans="1:34" ht="15" hidden="1" customHeight="1">
      <c r="A56">
        <v>10530</v>
      </c>
      <c r="B56" s="3" t="s">
        <v>1475</v>
      </c>
      <c r="C56" s="3" t="str">
        <f t="shared" si="0"/>
        <v>actProject.crmContactID</v>
      </c>
      <c r="D56" s="3">
        <v>401</v>
      </c>
      <c r="E56" s="3" t="str">
        <f t="shared" si="3"/>
        <v>actProject</v>
      </c>
      <c r="F56" t="str">
        <f t="shared" si="5"/>
        <v>crmContactID</v>
      </c>
      <c r="G56" s="3" t="s">
        <v>6441</v>
      </c>
      <c r="H56" s="3" t="str">
        <f t="shared" si="4"/>
        <v>Activity.Project</v>
      </c>
      <c r="I56"/>
      <c r="K56" s="3" t="s">
        <v>1243</v>
      </c>
      <c r="M56" t="s">
        <v>6007</v>
      </c>
      <c r="Q56" s="3" t="s">
        <v>92</v>
      </c>
      <c r="U56" s="3" t="s">
        <v>96</v>
      </c>
      <c r="V56">
        <v>100</v>
      </c>
      <c r="W56" s="3" t="str">
        <f t="shared" si="6"/>
        <v>crmContact</v>
      </c>
      <c r="X56" s="3" t="s">
        <v>1036</v>
      </c>
      <c r="AB56" t="s">
        <v>92</v>
      </c>
      <c r="AF56" t="s">
        <v>813</v>
      </c>
    </row>
    <row r="57" spans="1:34" ht="15" hidden="1" customHeight="1">
      <c r="A57">
        <v>10540</v>
      </c>
      <c r="B57" s="3" t="s">
        <v>1475</v>
      </c>
      <c r="C57" s="3" t="str">
        <f t="shared" si="0"/>
        <v>actProject.glCostCentreID</v>
      </c>
      <c r="D57" s="3">
        <v>401</v>
      </c>
      <c r="E57" s="3" t="str">
        <f t="shared" si="3"/>
        <v>actProject</v>
      </c>
      <c r="F57" t="str">
        <f t="shared" si="5"/>
        <v>glCostCentreID</v>
      </c>
      <c r="G57" s="3" t="s">
        <v>6442</v>
      </c>
      <c r="H57" s="3" t="str">
        <f t="shared" si="4"/>
        <v>Activity.Project</v>
      </c>
      <c r="I57"/>
      <c r="K57" s="3" t="s">
        <v>328</v>
      </c>
      <c r="M57" t="s">
        <v>6007</v>
      </c>
      <c r="Q57" s="3" t="s">
        <v>92</v>
      </c>
      <c r="U57" s="3" t="s">
        <v>96</v>
      </c>
      <c r="V57">
        <v>301</v>
      </c>
      <c r="W57" s="3" t="str">
        <f t="shared" si="6"/>
        <v>glCostCentre</v>
      </c>
      <c r="X57" s="3" t="s">
        <v>1036</v>
      </c>
      <c r="AB57" t="s">
        <v>92</v>
      </c>
      <c r="AF57" t="s">
        <v>829</v>
      </c>
    </row>
    <row r="58" spans="1:34" ht="15" hidden="1" customHeight="1">
      <c r="A58">
        <v>10550</v>
      </c>
      <c r="B58" s="3" t="s">
        <v>1475</v>
      </c>
      <c r="C58" s="3" t="str">
        <f t="shared" si="0"/>
        <v>actProject.BaseAmount</v>
      </c>
      <c r="D58" s="3">
        <v>401</v>
      </c>
      <c r="E58" s="3" t="str">
        <f t="shared" si="3"/>
        <v>actProject</v>
      </c>
      <c r="F58" t="s">
        <v>283</v>
      </c>
      <c r="G58" s="3" t="s">
        <v>6443</v>
      </c>
      <c r="H58" s="3" t="str">
        <f t="shared" si="4"/>
        <v>Activity.Project</v>
      </c>
      <c r="I58"/>
      <c r="K58" s="3" t="s">
        <v>358</v>
      </c>
      <c r="M58" s="3" t="s">
        <v>197</v>
      </c>
      <c r="N58" s="3">
        <v>19</v>
      </c>
      <c r="O58" s="3">
        <v>2</v>
      </c>
      <c r="Q58" s="3" t="s">
        <v>92</v>
      </c>
      <c r="U58" s="3" t="s">
        <v>93</v>
      </c>
      <c r="W58" s="3"/>
      <c r="AB58" t="s">
        <v>92</v>
      </c>
      <c r="AF58" t="s">
        <v>820</v>
      </c>
    </row>
    <row r="59" spans="1:34" ht="15" hidden="1" customHeight="1">
      <c r="A59">
        <v>10560</v>
      </c>
      <c r="B59" s="3" t="s">
        <v>1475</v>
      </c>
      <c r="C59" s="3" t="str">
        <f t="shared" si="0"/>
        <v>actProject.Comments</v>
      </c>
      <c r="D59" s="3">
        <v>401</v>
      </c>
      <c r="E59" s="3" t="str">
        <f t="shared" si="3"/>
        <v>actProject</v>
      </c>
      <c r="F59" t="s">
        <v>14</v>
      </c>
      <c r="G59" s="3" t="s">
        <v>6421</v>
      </c>
      <c r="H59" s="3" t="str">
        <f t="shared" si="4"/>
        <v>Activity.Project</v>
      </c>
      <c r="I59"/>
      <c r="K59" s="3" t="s">
        <v>14</v>
      </c>
      <c r="M59" s="3" t="s">
        <v>196</v>
      </c>
      <c r="N59"/>
      <c r="Q59" s="3" t="s">
        <v>92</v>
      </c>
      <c r="U59" s="3" t="s">
        <v>93</v>
      </c>
      <c r="W59" s="3"/>
      <c r="AB59" t="s">
        <v>92</v>
      </c>
      <c r="AF59" t="s">
        <v>819</v>
      </c>
    </row>
    <row r="60" spans="1:34" ht="15" hidden="1" customHeight="1">
      <c r="A60">
        <v>10570</v>
      </c>
      <c r="B60" s="3" t="s">
        <v>1475</v>
      </c>
      <c r="C60" s="3" t="str">
        <f t="shared" si="0"/>
        <v>actProject.CompletionDate</v>
      </c>
      <c r="D60" s="3">
        <v>401</v>
      </c>
      <c r="E60" s="3" t="str">
        <f t="shared" si="3"/>
        <v>actProject</v>
      </c>
      <c r="F60" t="s">
        <v>282</v>
      </c>
      <c r="G60" s="3" t="s">
        <v>6422</v>
      </c>
      <c r="H60" s="3" t="str">
        <f t="shared" si="4"/>
        <v>Activity.Project</v>
      </c>
      <c r="I60"/>
      <c r="K60" s="3" t="s">
        <v>351</v>
      </c>
      <c r="M60" s="3" t="s">
        <v>81</v>
      </c>
      <c r="Q60" s="3" t="s">
        <v>92</v>
      </c>
      <c r="U60" s="3" t="s">
        <v>93</v>
      </c>
      <c r="W60" s="3"/>
      <c r="AB60" t="s">
        <v>92</v>
      </c>
      <c r="AF60" t="s">
        <v>815</v>
      </c>
    </row>
    <row r="61" spans="1:34" ht="15" hidden="1" customHeight="1">
      <c r="A61">
        <v>10580</v>
      </c>
      <c r="B61" s="3" t="s">
        <v>1475</v>
      </c>
      <c r="C61" s="3" t="str">
        <f t="shared" si="0"/>
        <v>actProject.Contact</v>
      </c>
      <c r="D61" s="3">
        <v>401</v>
      </c>
      <c r="E61" s="3" t="str">
        <f t="shared" si="3"/>
        <v>actProject</v>
      </c>
      <c r="F61" t="s">
        <v>29</v>
      </c>
      <c r="G61" s="3" t="s">
        <v>6444</v>
      </c>
      <c r="H61" s="3" t="str">
        <f t="shared" si="4"/>
        <v>Activity.Project</v>
      </c>
      <c r="I61"/>
      <c r="K61" s="3" t="s">
        <v>29</v>
      </c>
      <c r="M61" s="3" t="s">
        <v>196</v>
      </c>
      <c r="Q61" s="3" t="s">
        <v>92</v>
      </c>
      <c r="U61" s="3" t="s">
        <v>93</v>
      </c>
      <c r="W61" s="3"/>
      <c r="AB61" t="s">
        <v>92</v>
      </c>
      <c r="AF61" t="s">
        <v>823</v>
      </c>
    </row>
    <row r="62" spans="1:34" ht="15" hidden="1" customHeight="1">
      <c r="A62">
        <v>10590</v>
      </c>
      <c r="B62" s="3" t="s">
        <v>1475</v>
      </c>
      <c r="C62" s="3" t="str">
        <f t="shared" si="0"/>
        <v>actProject.Description</v>
      </c>
      <c r="D62" s="3">
        <v>401</v>
      </c>
      <c r="E62" s="3" t="str">
        <f t="shared" si="3"/>
        <v>actProject</v>
      </c>
      <c r="F62" t="s">
        <v>12</v>
      </c>
      <c r="G62" s="3" t="s">
        <v>6897</v>
      </c>
      <c r="H62" s="3" t="str">
        <f t="shared" si="4"/>
        <v>Activity.Project</v>
      </c>
      <c r="I62"/>
      <c r="K62" s="3" t="s">
        <v>12</v>
      </c>
      <c r="M62" s="3" t="s">
        <v>196</v>
      </c>
      <c r="N62"/>
      <c r="Q62" s="3" t="s">
        <v>92</v>
      </c>
      <c r="U62" s="3" t="s">
        <v>93</v>
      </c>
      <c r="W62" s="3"/>
      <c r="AB62" t="s">
        <v>92</v>
      </c>
      <c r="AF62" t="s">
        <v>817</v>
      </c>
      <c r="AH62" t="s">
        <v>92</v>
      </c>
    </row>
    <row r="63" spans="1:34" ht="15" hidden="1" customHeight="1">
      <c r="A63">
        <v>10600</v>
      </c>
      <c r="B63" s="3" t="s">
        <v>1475</v>
      </c>
      <c r="C63" s="3" t="str">
        <f t="shared" si="0"/>
        <v>actProject.ExpenseAmount</v>
      </c>
      <c r="D63" s="3">
        <v>401</v>
      </c>
      <c r="E63" s="3" t="str">
        <f t="shared" si="3"/>
        <v>actProject</v>
      </c>
      <c r="F63" t="s">
        <v>305</v>
      </c>
      <c r="G63" s="3" t="s">
        <v>6445</v>
      </c>
      <c r="H63" s="3" t="str">
        <f t="shared" si="4"/>
        <v>Activity.Project</v>
      </c>
      <c r="I63"/>
      <c r="K63" s="3" t="s">
        <v>359</v>
      </c>
      <c r="M63" s="3" t="s">
        <v>197</v>
      </c>
      <c r="N63" s="3">
        <v>19</v>
      </c>
      <c r="O63" s="3">
        <v>2</v>
      </c>
      <c r="Q63" s="3" t="s">
        <v>92</v>
      </c>
      <c r="U63" s="3" t="s">
        <v>93</v>
      </c>
      <c r="W63" s="3"/>
      <c r="AB63" t="s">
        <v>92</v>
      </c>
      <c r="AF63" t="s">
        <v>824</v>
      </c>
    </row>
    <row r="64" spans="1:34" ht="15" hidden="1" customHeight="1">
      <c r="A64">
        <v>10610</v>
      </c>
      <c r="B64" s="3" t="s">
        <v>1475</v>
      </c>
      <c r="C64" s="3" t="str">
        <f t="shared" si="0"/>
        <v>actProject.ReferenceNumber</v>
      </c>
      <c r="D64" s="3">
        <v>401</v>
      </c>
      <c r="E64" s="3" t="str">
        <f t="shared" si="3"/>
        <v>actProject</v>
      </c>
      <c r="F64" t="s">
        <v>28</v>
      </c>
      <c r="G64" s="3" t="s">
        <v>6446</v>
      </c>
      <c r="H64" s="3" t="str">
        <f t="shared" si="4"/>
        <v>Activity.Project</v>
      </c>
      <c r="I64"/>
      <c r="K64" s="3" t="s">
        <v>102</v>
      </c>
      <c r="M64" s="3" t="s">
        <v>196</v>
      </c>
      <c r="Q64" s="3" t="s">
        <v>92</v>
      </c>
      <c r="U64" s="3" t="s">
        <v>93</v>
      </c>
      <c r="W64" s="3"/>
      <c r="AB64" t="s">
        <v>92</v>
      </c>
      <c r="AF64" t="s">
        <v>828</v>
      </c>
    </row>
    <row r="65" spans="1:32" ht="15" hidden="1" customHeight="1">
      <c r="A65">
        <v>10620</v>
      </c>
      <c r="B65" s="3" t="s">
        <v>1475</v>
      </c>
      <c r="C65" s="3" t="str">
        <f t="shared" si="0"/>
        <v>actProject.ShortCode</v>
      </c>
      <c r="D65" s="3">
        <v>401</v>
      </c>
      <c r="E65" s="3" t="str">
        <f t="shared" si="3"/>
        <v>actProject</v>
      </c>
      <c r="F65" t="s">
        <v>16</v>
      </c>
      <c r="G65" s="3" t="s">
        <v>6434</v>
      </c>
      <c r="H65" s="3" t="str">
        <f t="shared" si="4"/>
        <v>Activity.Project</v>
      </c>
      <c r="I65"/>
      <c r="K65" s="3" t="s">
        <v>117</v>
      </c>
      <c r="M65" s="3" t="s">
        <v>196</v>
      </c>
      <c r="Q65" s="3" t="s">
        <v>92</v>
      </c>
      <c r="U65" s="3" t="s">
        <v>93</v>
      </c>
      <c r="W65" s="3"/>
      <c r="AB65" t="s">
        <v>92</v>
      </c>
      <c r="AF65" t="s">
        <v>821</v>
      </c>
    </row>
    <row r="66" spans="1:32" ht="15" hidden="1" customHeight="1">
      <c r="A66">
        <v>10630</v>
      </c>
      <c r="B66" s="3" t="s">
        <v>1475</v>
      </c>
      <c r="C66" s="3" t="str">
        <f t="shared" ref="C66:C129" si="7">CONCATENATE(E66,".",F66)</f>
        <v>actProject.StartDate</v>
      </c>
      <c r="D66" s="3">
        <v>401</v>
      </c>
      <c r="E66" s="3" t="str">
        <f t="shared" si="3"/>
        <v>actProject</v>
      </c>
      <c r="F66" t="s">
        <v>17</v>
      </c>
      <c r="G66" s="3" t="s">
        <v>6424</v>
      </c>
      <c r="H66" s="3" t="str">
        <f t="shared" si="4"/>
        <v>Activity.Project</v>
      </c>
      <c r="I66"/>
      <c r="K66" s="3" t="s">
        <v>108</v>
      </c>
      <c r="M66" s="3" t="s">
        <v>81</v>
      </c>
      <c r="Q66" s="3" t="s">
        <v>92</v>
      </c>
      <c r="U66" s="3" t="s">
        <v>93</v>
      </c>
      <c r="W66" s="3"/>
      <c r="AB66" t="s">
        <v>92</v>
      </c>
      <c r="AF66" t="s">
        <v>816</v>
      </c>
    </row>
    <row r="67" spans="1:32" ht="15" hidden="1" customHeight="1">
      <c r="A67">
        <v>10640</v>
      </c>
      <c r="B67" s="3" t="s">
        <v>1475</v>
      </c>
      <c r="C67" s="3" t="str">
        <f t="shared" si="7"/>
        <v>actProject.RowStatus</v>
      </c>
      <c r="D67" s="3">
        <v>401</v>
      </c>
      <c r="E67" s="3" t="str">
        <f t="shared" si="3"/>
        <v>actProject</v>
      </c>
      <c r="F67" t="s">
        <v>1445</v>
      </c>
      <c r="G67" s="3" t="s">
        <v>6411</v>
      </c>
      <c r="H67" s="3" t="str">
        <f t="shared" si="4"/>
        <v>Activity.Project</v>
      </c>
      <c r="I67"/>
      <c r="K67" s="3" t="s">
        <v>2471</v>
      </c>
      <c r="M67" t="s">
        <v>976</v>
      </c>
      <c r="N67">
        <v>1</v>
      </c>
      <c r="Q67" s="3" t="s">
        <v>919</v>
      </c>
      <c r="U67" s="3" t="s">
        <v>94</v>
      </c>
      <c r="W67" s="3"/>
    </row>
    <row r="68" spans="1:32" ht="15" hidden="1" customHeight="1">
      <c r="A68">
        <v>10650</v>
      </c>
      <c r="B68" t="s">
        <v>1475</v>
      </c>
      <c r="C68" s="3" t="str">
        <f t="shared" si="7"/>
        <v>actProject.sysChangeHistoryID</v>
      </c>
      <c r="D68">
        <v>401</v>
      </c>
      <c r="E68" s="3" t="str">
        <f t="shared" si="3"/>
        <v>actProject</v>
      </c>
      <c r="F68" t="s">
        <v>2497</v>
      </c>
      <c r="G68" s="3" t="s">
        <v>6403</v>
      </c>
      <c r="H68" s="3" t="str">
        <f t="shared" si="4"/>
        <v>Activity.Project</v>
      </c>
      <c r="I68"/>
      <c r="K68" t="s">
        <v>1210</v>
      </c>
      <c r="L68"/>
      <c r="M68" t="s">
        <v>6007</v>
      </c>
      <c r="N68"/>
      <c r="O68"/>
      <c r="P68"/>
      <c r="Q68" t="s">
        <v>92</v>
      </c>
      <c r="R68"/>
      <c r="S68"/>
      <c r="U68" t="s">
        <v>1429</v>
      </c>
      <c r="W68" s="3"/>
      <c r="X68" s="3"/>
    </row>
    <row r="69" spans="1:32" ht="15" hidden="1" customHeight="1">
      <c r="A69">
        <v>10660</v>
      </c>
      <c r="B69" s="3" t="s">
        <v>1475</v>
      </c>
      <c r="C69" s="3" t="str">
        <f t="shared" si="7"/>
        <v>actProjectResourceAllocation.ID</v>
      </c>
      <c r="D69" s="3">
        <v>402</v>
      </c>
      <c r="E69" s="3" t="str">
        <f t="shared" si="3"/>
        <v>actProjectResourceAllocation</v>
      </c>
      <c r="F69" t="s">
        <v>0</v>
      </c>
      <c r="G69" s="3" t="s">
        <v>6447</v>
      </c>
      <c r="H69" s="3" t="str">
        <f t="shared" si="4"/>
        <v>Activity.Project Resource Allocation</v>
      </c>
      <c r="I69"/>
      <c r="K69" s="3" t="s">
        <v>0</v>
      </c>
      <c r="M69" t="s">
        <v>6007</v>
      </c>
      <c r="Q69" s="3" t="s">
        <v>919</v>
      </c>
      <c r="U69" s="3" t="s">
        <v>95</v>
      </c>
      <c r="AF69" t="s">
        <v>806</v>
      </c>
    </row>
    <row r="70" spans="1:32" ht="15" hidden="1" customHeight="1">
      <c r="A70">
        <v>10670</v>
      </c>
      <c r="B70" s="3" t="s">
        <v>1475</v>
      </c>
      <c r="C70" s="3" t="str">
        <f t="shared" si="7"/>
        <v>actProjectResourceAllocation.actProjectID</v>
      </c>
      <c r="D70" s="3">
        <v>402</v>
      </c>
      <c r="E70" s="3" t="str">
        <f t="shared" si="3"/>
        <v>actProjectResourceAllocation</v>
      </c>
      <c r="F70" t="str">
        <f>VLOOKUP(V70,DictionaryTableID,3,FALSE)&amp;"ID"&amp;X70</f>
        <v>actProjectID</v>
      </c>
      <c r="G70" s="3" t="s">
        <v>6426</v>
      </c>
      <c r="H70" s="3" t="str">
        <f t="shared" si="4"/>
        <v>Activity.Project Resource Allocation</v>
      </c>
      <c r="I70"/>
      <c r="K70" s="3" t="s">
        <v>433</v>
      </c>
      <c r="M70" t="s">
        <v>6007</v>
      </c>
      <c r="Q70" s="3" t="s">
        <v>919</v>
      </c>
      <c r="U70" s="3" t="s">
        <v>96</v>
      </c>
      <c r="V70">
        <v>401</v>
      </c>
      <c r="W70" s="3" t="str">
        <f>VLOOKUP(V70,DictionaryTableID,3,FALSE)</f>
        <v>actProject</v>
      </c>
      <c r="X70" s="3" t="s">
        <v>1036</v>
      </c>
      <c r="AB70" t="s">
        <v>92</v>
      </c>
      <c r="AF70" t="s">
        <v>808</v>
      </c>
    </row>
    <row r="71" spans="1:32" ht="15" hidden="1" customHeight="1">
      <c r="A71">
        <v>10680</v>
      </c>
      <c r="B71" s="3" t="s">
        <v>1475</v>
      </c>
      <c r="C71" s="3" t="str">
        <f t="shared" si="7"/>
        <v>actProjectResourceAllocation.actTypeID</v>
      </c>
      <c r="D71" s="3">
        <v>402</v>
      </c>
      <c r="E71" s="3" t="str">
        <f t="shared" si="3"/>
        <v>actProjectResourceAllocation</v>
      </c>
      <c r="F71" t="str">
        <f>VLOOKUP(V71,DictionaryTableID,3,FALSE)&amp;"ID"&amp;X71</f>
        <v>actTypeID</v>
      </c>
      <c r="G71" s="3" t="s">
        <v>6418</v>
      </c>
      <c r="H71" s="3" t="str">
        <f t="shared" si="4"/>
        <v>Activity.Project Resource Allocation</v>
      </c>
      <c r="I71"/>
      <c r="K71" s="3" t="s">
        <v>119</v>
      </c>
      <c r="M71" t="s">
        <v>6007</v>
      </c>
      <c r="Q71" s="3" t="s">
        <v>92</v>
      </c>
      <c r="U71" s="3" t="s">
        <v>96</v>
      </c>
      <c r="V71">
        <v>400</v>
      </c>
      <c r="W71" s="3" t="str">
        <f>VLOOKUP(V71,DictionaryTableID,3,FALSE)</f>
        <v>actType</v>
      </c>
      <c r="X71" s="3" t="s">
        <v>1036</v>
      </c>
      <c r="AB71" t="s">
        <v>92</v>
      </c>
      <c r="AF71" t="s">
        <v>809</v>
      </c>
    </row>
    <row r="72" spans="1:32" ht="15" hidden="1" customHeight="1">
      <c r="A72">
        <v>10690</v>
      </c>
      <c r="B72" s="3" t="s">
        <v>1475</v>
      </c>
      <c r="C72" s="3" t="str">
        <f t="shared" si="7"/>
        <v>actProjectResourceAllocation.crmContactID</v>
      </c>
      <c r="D72" s="3">
        <v>402</v>
      </c>
      <c r="E72" s="3" t="str">
        <f t="shared" si="3"/>
        <v>actProjectResourceAllocation</v>
      </c>
      <c r="F72" t="str">
        <f>VLOOKUP(V72,DictionaryTableID,3,FALSE)&amp;"ID"&amp;X72</f>
        <v>crmContactID</v>
      </c>
      <c r="G72" s="3" t="s">
        <v>6448</v>
      </c>
      <c r="H72" s="3" t="str">
        <f t="shared" si="4"/>
        <v>Activity.Project Resource Allocation</v>
      </c>
      <c r="I72"/>
      <c r="K72" s="3" t="s">
        <v>29</v>
      </c>
      <c r="M72" t="s">
        <v>6007</v>
      </c>
      <c r="Q72" s="3" t="s">
        <v>919</v>
      </c>
      <c r="U72" s="3" t="s">
        <v>96</v>
      </c>
      <c r="V72">
        <v>100</v>
      </c>
      <c r="W72" s="3" t="str">
        <f>VLOOKUP(V72,DictionaryTableID,3,FALSE)</f>
        <v>crmContact</v>
      </c>
      <c r="X72" s="3" t="s">
        <v>1036</v>
      </c>
      <c r="AB72" t="s">
        <v>92</v>
      </c>
      <c r="AF72" t="s">
        <v>807</v>
      </c>
    </row>
    <row r="73" spans="1:32" ht="15" hidden="1" customHeight="1">
      <c r="A73">
        <v>10700</v>
      </c>
      <c r="B73" s="3" t="s">
        <v>1475</v>
      </c>
      <c r="C73" s="3" t="str">
        <f t="shared" si="7"/>
        <v>actProjectResourceAllocation.Dollars</v>
      </c>
      <c r="D73" s="3">
        <v>402</v>
      </c>
      <c r="E73" s="3" t="str">
        <f t="shared" si="3"/>
        <v>actProjectResourceAllocation</v>
      </c>
      <c r="F73" t="s">
        <v>261</v>
      </c>
      <c r="G73" s="3" t="s">
        <v>6449</v>
      </c>
      <c r="H73" s="3" t="str">
        <f t="shared" si="4"/>
        <v>Activity.Project Resource Allocation</v>
      </c>
      <c r="I73"/>
      <c r="K73" s="3" t="s">
        <v>261</v>
      </c>
      <c r="M73" s="3" t="s">
        <v>197</v>
      </c>
      <c r="N73" s="3">
        <v>19</v>
      </c>
      <c r="O73" s="3">
        <v>2</v>
      </c>
      <c r="Q73" s="3" t="s">
        <v>92</v>
      </c>
      <c r="U73" s="3" t="s">
        <v>93</v>
      </c>
      <c r="W73" s="3"/>
      <c r="AB73" t="s">
        <v>92</v>
      </c>
      <c r="AF73" t="s">
        <v>811</v>
      </c>
    </row>
    <row r="74" spans="1:32" ht="15" hidden="1" customHeight="1">
      <c r="A74">
        <v>10710</v>
      </c>
      <c r="B74" s="3" t="s">
        <v>1475</v>
      </c>
      <c r="C74" s="3" t="str">
        <f t="shared" si="7"/>
        <v>actProjectResourceAllocation.Hours</v>
      </c>
      <c r="D74" s="3">
        <v>402</v>
      </c>
      <c r="E74" s="3" t="str">
        <f t="shared" si="3"/>
        <v>actProjectResourceAllocation</v>
      </c>
      <c r="F74" t="s">
        <v>265</v>
      </c>
      <c r="G74" s="3" t="s">
        <v>6450</v>
      </c>
      <c r="H74" s="3" t="str">
        <f t="shared" si="4"/>
        <v>Activity.Project Resource Allocation</v>
      </c>
      <c r="I74"/>
      <c r="K74" s="3" t="s">
        <v>265</v>
      </c>
      <c r="M74" s="3" t="s">
        <v>197</v>
      </c>
      <c r="N74" s="3">
        <v>19</v>
      </c>
      <c r="O74" s="3">
        <v>2</v>
      </c>
      <c r="Q74" s="3" t="s">
        <v>92</v>
      </c>
      <c r="U74" s="3" t="s">
        <v>93</v>
      </c>
      <c r="W74" s="3"/>
      <c r="AB74" t="s">
        <v>92</v>
      </c>
      <c r="AF74" t="s">
        <v>810</v>
      </c>
    </row>
    <row r="75" spans="1:32" ht="15" hidden="1" customHeight="1">
      <c r="A75">
        <v>10720</v>
      </c>
      <c r="B75" s="3" t="s">
        <v>1475</v>
      </c>
      <c r="C75" s="3" t="str">
        <f t="shared" si="7"/>
        <v>actProjectResourceAllocation.RowStatus</v>
      </c>
      <c r="D75" s="3">
        <v>402</v>
      </c>
      <c r="E75" s="3" t="str">
        <f t="shared" si="3"/>
        <v>actProjectResourceAllocation</v>
      </c>
      <c r="F75" t="s">
        <v>1445</v>
      </c>
      <c r="G75" s="3" t="s">
        <v>6411</v>
      </c>
      <c r="H75" s="3" t="str">
        <f t="shared" si="4"/>
        <v>Activity.Project Resource Allocation</v>
      </c>
      <c r="I75"/>
      <c r="K75" s="3" t="s">
        <v>2471</v>
      </c>
      <c r="M75" t="s">
        <v>976</v>
      </c>
      <c r="N75">
        <v>1</v>
      </c>
      <c r="Q75" s="3" t="s">
        <v>919</v>
      </c>
      <c r="U75" s="3" t="s">
        <v>94</v>
      </c>
      <c r="W75" s="3"/>
    </row>
    <row r="76" spans="1:32" ht="15" hidden="1" customHeight="1">
      <c r="A76">
        <v>10730</v>
      </c>
      <c r="B76" t="s">
        <v>1475</v>
      </c>
      <c r="C76" s="3" t="str">
        <f t="shared" si="7"/>
        <v>actProjectResourceAllocation.sysChangeHistoryID</v>
      </c>
      <c r="D76">
        <v>402</v>
      </c>
      <c r="E76" s="3" t="str">
        <f t="shared" si="3"/>
        <v>actProjectResourceAllocation</v>
      </c>
      <c r="F76" t="s">
        <v>2497</v>
      </c>
      <c r="G76" s="3" t="s">
        <v>6403</v>
      </c>
      <c r="H76" s="3" t="str">
        <f t="shared" si="4"/>
        <v>Activity.Project Resource Allocation</v>
      </c>
      <c r="I76"/>
      <c r="K76" t="s">
        <v>1210</v>
      </c>
      <c r="L76"/>
      <c r="M76" t="s">
        <v>6007</v>
      </c>
      <c r="N76"/>
      <c r="O76"/>
      <c r="P76"/>
      <c r="Q76" t="s">
        <v>92</v>
      </c>
      <c r="R76"/>
      <c r="S76"/>
      <c r="U76" t="s">
        <v>1429</v>
      </c>
      <c r="W76" s="3"/>
      <c r="X76" s="3"/>
    </row>
    <row r="77" spans="1:32" ht="15" hidden="1" customHeight="1">
      <c r="A77">
        <v>10740</v>
      </c>
      <c r="B77" s="3" t="s">
        <v>1475</v>
      </c>
      <c r="C77" s="3" t="str">
        <f t="shared" si="7"/>
        <v>actRateBilling.ID</v>
      </c>
      <c r="D77" s="3">
        <v>410</v>
      </c>
      <c r="E77" s="3" t="str">
        <f t="shared" si="3"/>
        <v>actRateBilling</v>
      </c>
      <c r="F77" t="s">
        <v>0</v>
      </c>
      <c r="G77" s="3" t="s">
        <v>6451</v>
      </c>
      <c r="H77" s="3" t="str">
        <f t="shared" si="4"/>
        <v>Activity.Billing Rate</v>
      </c>
      <c r="I77"/>
      <c r="K77" s="3" t="s">
        <v>0</v>
      </c>
      <c r="M77" t="s">
        <v>6007</v>
      </c>
      <c r="Q77" s="3" t="s">
        <v>919</v>
      </c>
      <c r="U77" s="3" t="s">
        <v>95</v>
      </c>
      <c r="AF77" t="s">
        <v>758</v>
      </c>
    </row>
    <row r="78" spans="1:32" ht="15" hidden="1" customHeight="1">
      <c r="A78">
        <v>10750</v>
      </c>
      <c r="B78" s="3" t="s">
        <v>1475</v>
      </c>
      <c r="C78" s="3" t="str">
        <f t="shared" si="7"/>
        <v>actRateBilling.actProjectID</v>
      </c>
      <c r="D78" s="3">
        <v>410</v>
      </c>
      <c r="E78" s="3" t="str">
        <f t="shared" si="3"/>
        <v>actRateBilling</v>
      </c>
      <c r="F78" t="str">
        <f>VLOOKUP(V78,DictionaryTableID,3,FALSE)&amp;"ID"&amp;X78</f>
        <v>actProjectID</v>
      </c>
      <c r="G78" s="3" t="s">
        <v>6426</v>
      </c>
      <c r="H78" s="3" t="str">
        <f t="shared" si="4"/>
        <v>Activity.Billing Rate</v>
      </c>
      <c r="I78"/>
      <c r="K78" s="3" t="s">
        <v>433</v>
      </c>
      <c r="M78" t="s">
        <v>6007</v>
      </c>
      <c r="Q78" s="3" t="s">
        <v>92</v>
      </c>
      <c r="U78" s="3" t="s">
        <v>96</v>
      </c>
      <c r="V78">
        <v>401</v>
      </c>
      <c r="W78" s="3" t="str">
        <f>VLOOKUP(V78,DictionaryTableID,3,FALSE)</f>
        <v>actProject</v>
      </c>
      <c r="X78" s="3" t="s">
        <v>1036</v>
      </c>
      <c r="AB78" t="s">
        <v>92</v>
      </c>
      <c r="AF78" t="s">
        <v>762</v>
      </c>
    </row>
    <row r="79" spans="1:32" ht="15" hidden="1" customHeight="1">
      <c r="A79">
        <v>10760</v>
      </c>
      <c r="B79" s="3" t="s">
        <v>1475</v>
      </c>
      <c r="C79" s="3" t="str">
        <f t="shared" si="7"/>
        <v>actRateBilling.actTypeID</v>
      </c>
      <c r="D79" s="3">
        <v>410</v>
      </c>
      <c r="E79" s="3" t="str">
        <f t="shared" si="3"/>
        <v>actRateBilling</v>
      </c>
      <c r="F79" t="str">
        <f>VLOOKUP(V79,DictionaryTableID,3,FALSE)&amp;"ID"&amp;X79</f>
        <v>actTypeID</v>
      </c>
      <c r="G79" s="3" t="s">
        <v>6418</v>
      </c>
      <c r="H79" s="3" t="str">
        <f t="shared" si="4"/>
        <v>Activity.Billing Rate</v>
      </c>
      <c r="I79"/>
      <c r="K79" s="3" t="s">
        <v>119</v>
      </c>
      <c r="M79" t="s">
        <v>6007</v>
      </c>
      <c r="Q79" s="3" t="s">
        <v>92</v>
      </c>
      <c r="U79" s="3" t="s">
        <v>96</v>
      </c>
      <c r="V79">
        <v>400</v>
      </c>
      <c r="W79" s="3" t="str">
        <f>VLOOKUP(V79,DictionaryTableID,3,FALSE)</f>
        <v>actType</v>
      </c>
      <c r="X79" s="3" t="s">
        <v>1036</v>
      </c>
      <c r="AB79" t="s">
        <v>92</v>
      </c>
      <c r="AF79" t="s">
        <v>760</v>
      </c>
    </row>
    <row r="80" spans="1:32" ht="15" customHeight="1">
      <c r="A80">
        <v>10770</v>
      </c>
      <c r="B80" s="3" t="s">
        <v>1475</v>
      </c>
      <c r="C80" s="3" t="str">
        <f t="shared" si="7"/>
        <v>actRateBilling.sysDictionaryTableIDChargedBy</v>
      </c>
      <c r="D80" s="3">
        <v>410</v>
      </c>
      <c r="E80" s="3" t="str">
        <f t="shared" si="3"/>
        <v>actRateBilling</v>
      </c>
      <c r="F80" t="str">
        <f>"sysDictionaryTableID"&amp;X80</f>
        <v>sysDictionaryTableIDChargedBy</v>
      </c>
      <c r="G80" s="3" t="s">
        <v>6452</v>
      </c>
      <c r="H80" s="3" t="str">
        <f t="shared" si="4"/>
        <v>Activity.Billing Rate</v>
      </c>
      <c r="I80"/>
      <c r="K80" t="s">
        <v>6390</v>
      </c>
      <c r="M80" t="s">
        <v>6007</v>
      </c>
      <c r="Q80" s="3" t="s">
        <v>919</v>
      </c>
      <c r="S80" s="19">
        <v>100</v>
      </c>
      <c r="U80" t="s">
        <v>1072</v>
      </c>
      <c r="V80">
        <v>1</v>
      </c>
      <c r="W80" s="3" t="str">
        <f>VLOOKUP(V80,DictionaryTableID,3,FALSE)</f>
        <v>sysDictionaryTable</v>
      </c>
      <c r="X80" s="3" t="s">
        <v>1455</v>
      </c>
      <c r="AB80" t="s">
        <v>92</v>
      </c>
    </row>
    <row r="81" spans="1:32" ht="15" customHeight="1">
      <c r="A81">
        <v>10780</v>
      </c>
      <c r="B81" s="3" t="s">
        <v>1475</v>
      </c>
      <c r="C81" s="3" t="str">
        <f t="shared" si="7"/>
        <v>actRateBilling.RowIDChargedBy</v>
      </c>
      <c r="D81" s="3">
        <v>410</v>
      </c>
      <c r="E81" s="3" t="str">
        <f t="shared" si="3"/>
        <v>actRateBilling</v>
      </c>
      <c r="F81" t="s">
        <v>6149</v>
      </c>
      <c r="G81" s="3" t="s">
        <v>6419</v>
      </c>
      <c r="H81" s="3" t="str">
        <f t="shared" si="4"/>
        <v>Activity.Billing Rate</v>
      </c>
      <c r="I81"/>
      <c r="K81" s="3" t="s">
        <v>1242</v>
      </c>
      <c r="M81" t="s">
        <v>6007</v>
      </c>
      <c r="Q81" s="3" t="s">
        <v>92</v>
      </c>
      <c r="U81" t="s">
        <v>1072</v>
      </c>
      <c r="W81" s="3"/>
      <c r="X81" s="3" t="s">
        <v>1455</v>
      </c>
      <c r="AB81" t="s">
        <v>92</v>
      </c>
      <c r="AF81" t="s">
        <v>759</v>
      </c>
    </row>
    <row r="82" spans="1:32" ht="15" hidden="1" customHeight="1">
      <c r="A82">
        <v>10790</v>
      </c>
      <c r="B82" s="3" t="s">
        <v>1475</v>
      </c>
      <c r="C82" s="3" t="str">
        <f t="shared" si="7"/>
        <v>actRateBilling.Rate</v>
      </c>
      <c r="D82" s="3">
        <v>410</v>
      </c>
      <c r="E82" s="3" t="str">
        <f t="shared" si="3"/>
        <v>actRateBilling</v>
      </c>
      <c r="F82" t="s">
        <v>50</v>
      </c>
      <c r="G82" s="3" t="s">
        <v>6453</v>
      </c>
      <c r="H82" s="3" t="str">
        <f t="shared" si="4"/>
        <v>Activity.Billing Rate</v>
      </c>
      <c r="I82"/>
      <c r="K82" s="3" t="s">
        <v>50</v>
      </c>
      <c r="M82" s="3" t="s">
        <v>197</v>
      </c>
      <c r="N82" s="3">
        <v>19</v>
      </c>
      <c r="O82" s="3">
        <v>2</v>
      </c>
      <c r="Q82" s="3" t="s">
        <v>919</v>
      </c>
      <c r="U82" s="3" t="s">
        <v>93</v>
      </c>
      <c r="AB82" t="s">
        <v>92</v>
      </c>
      <c r="AF82" t="s">
        <v>761</v>
      </c>
    </row>
    <row r="83" spans="1:32" ht="15" hidden="1" customHeight="1">
      <c r="A83">
        <v>10805</v>
      </c>
      <c r="B83" t="s">
        <v>1475</v>
      </c>
      <c r="C83" s="3" t="str">
        <f t="shared" si="7"/>
        <v>actRateBilling.TemporalStartDate</v>
      </c>
      <c r="D83">
        <v>410</v>
      </c>
      <c r="E83" s="3" t="str">
        <f t="shared" si="3"/>
        <v>actRateBilling</v>
      </c>
      <c r="F83" t="s">
        <v>1250</v>
      </c>
      <c r="G83" s="3" t="s">
        <v>6409</v>
      </c>
      <c r="H83" s="3" t="str">
        <f t="shared" si="4"/>
        <v>Activity.Billing Rate</v>
      </c>
      <c r="I83"/>
      <c r="K83" t="s">
        <v>108</v>
      </c>
      <c r="L83"/>
      <c r="M83" s="3" t="s">
        <v>81</v>
      </c>
      <c r="N83"/>
      <c r="O83"/>
      <c r="P83"/>
      <c r="Q83" t="s">
        <v>919</v>
      </c>
      <c r="R83"/>
      <c r="S83" s="14"/>
      <c r="U83" t="s">
        <v>1080</v>
      </c>
    </row>
    <row r="84" spans="1:32" ht="15" hidden="1" customHeight="1">
      <c r="A84">
        <v>10810</v>
      </c>
      <c r="B84" t="s">
        <v>1475</v>
      </c>
      <c r="C84" s="3" t="str">
        <f t="shared" si="7"/>
        <v>actRateBilling.TemporalEndDate</v>
      </c>
      <c r="D84">
        <v>410</v>
      </c>
      <c r="E84" s="3" t="str">
        <f t="shared" ref="E84:E147" si="8">VLOOKUP(D84,DictionaryTableID,3,FALSE)</f>
        <v>actRateBilling</v>
      </c>
      <c r="F84" t="s">
        <v>1249</v>
      </c>
      <c r="G84" s="3" t="s">
        <v>6410</v>
      </c>
      <c r="H84" s="3" t="str">
        <f t="shared" ref="H84:H147" si="9">VLOOKUP(E84,DictionaryTables,14,FALSE)</f>
        <v>Activity.Billing Rate</v>
      </c>
      <c r="I84"/>
      <c r="K84" t="s">
        <v>1091</v>
      </c>
      <c r="L84"/>
      <c r="M84" s="3" t="s">
        <v>81</v>
      </c>
      <c r="N84"/>
      <c r="O84"/>
      <c r="P84"/>
      <c r="Q84" t="s">
        <v>919</v>
      </c>
      <c r="R84"/>
      <c r="S84" s="14"/>
      <c r="U84" t="s">
        <v>1080</v>
      </c>
    </row>
    <row r="85" spans="1:32" ht="15" hidden="1" customHeight="1">
      <c r="A85">
        <v>10830</v>
      </c>
      <c r="B85" s="3" t="s">
        <v>1475</v>
      </c>
      <c r="C85" s="3" t="str">
        <f t="shared" si="7"/>
        <v>actRateBilling.RowStatus</v>
      </c>
      <c r="D85" s="3">
        <v>410</v>
      </c>
      <c r="E85" s="3" t="str">
        <f t="shared" si="8"/>
        <v>actRateBilling</v>
      </c>
      <c r="F85" t="s">
        <v>1445</v>
      </c>
      <c r="G85" s="3" t="s">
        <v>6411</v>
      </c>
      <c r="H85" s="3" t="str">
        <f t="shared" si="9"/>
        <v>Activity.Billing Rate</v>
      </c>
      <c r="I85"/>
      <c r="K85" s="3" t="s">
        <v>2471</v>
      </c>
      <c r="M85" t="s">
        <v>976</v>
      </c>
      <c r="N85">
        <v>1</v>
      </c>
      <c r="Q85" s="3" t="s">
        <v>919</v>
      </c>
      <c r="U85" s="3" t="s">
        <v>94</v>
      </c>
    </row>
    <row r="86" spans="1:32" ht="15" hidden="1" customHeight="1">
      <c r="A86">
        <v>10840</v>
      </c>
      <c r="B86" t="s">
        <v>1475</v>
      </c>
      <c r="C86" s="3" t="str">
        <f t="shared" si="7"/>
        <v>actRateBilling.sysChangeHistoryID</v>
      </c>
      <c r="D86">
        <v>410</v>
      </c>
      <c r="E86" s="3" t="str">
        <f t="shared" si="8"/>
        <v>actRateBilling</v>
      </c>
      <c r="F86" t="s">
        <v>2497</v>
      </c>
      <c r="G86" s="3" t="s">
        <v>6403</v>
      </c>
      <c r="H86" s="3" t="str">
        <f t="shared" si="9"/>
        <v>Activity.Billing Rate</v>
      </c>
      <c r="I86"/>
      <c r="K86" t="s">
        <v>1210</v>
      </c>
      <c r="L86"/>
      <c r="M86" t="s">
        <v>6007</v>
      </c>
      <c r="N86"/>
      <c r="O86"/>
      <c r="P86"/>
      <c r="Q86" t="s">
        <v>92</v>
      </c>
      <c r="R86"/>
      <c r="S86"/>
      <c r="U86" t="s">
        <v>1429</v>
      </c>
      <c r="W86" s="3"/>
      <c r="X86" s="3"/>
    </row>
    <row r="87" spans="1:32" ht="15" hidden="1" customHeight="1">
      <c r="A87">
        <v>10850</v>
      </c>
      <c r="B87" s="3" t="s">
        <v>1475</v>
      </c>
      <c r="C87" s="3" t="str">
        <f t="shared" si="7"/>
        <v>actRateExpense.ID</v>
      </c>
      <c r="D87" s="3">
        <v>411</v>
      </c>
      <c r="E87" s="3" t="str">
        <f t="shared" si="8"/>
        <v>actRateExpense</v>
      </c>
      <c r="F87" t="s">
        <v>0</v>
      </c>
      <c r="G87" s="3" t="s">
        <v>6454</v>
      </c>
      <c r="H87" s="3" t="str">
        <f t="shared" si="9"/>
        <v>Activity.Expense Rate</v>
      </c>
      <c r="I87"/>
      <c r="K87" s="3" t="s">
        <v>0</v>
      </c>
      <c r="M87" t="s">
        <v>6007</v>
      </c>
      <c r="Q87" s="3" t="s">
        <v>919</v>
      </c>
      <c r="U87" s="3" t="s">
        <v>95</v>
      </c>
      <c r="AF87" t="s">
        <v>833</v>
      </c>
    </row>
    <row r="88" spans="1:32" ht="15" hidden="1" customHeight="1">
      <c r="A88">
        <v>10860</v>
      </c>
      <c r="B88" s="3" t="s">
        <v>1475</v>
      </c>
      <c r="C88" s="3" t="str">
        <f t="shared" si="7"/>
        <v>actRateExpense.actProjectID</v>
      </c>
      <c r="D88" s="3">
        <v>411</v>
      </c>
      <c r="E88" s="3" t="str">
        <f t="shared" si="8"/>
        <v>actRateExpense</v>
      </c>
      <c r="F88" t="str">
        <f>VLOOKUP(V88,DictionaryTableID,3,FALSE)&amp;"ID"&amp;X88</f>
        <v>actProjectID</v>
      </c>
      <c r="G88" s="3" t="s">
        <v>6426</v>
      </c>
      <c r="H88" s="3" t="str">
        <f t="shared" si="9"/>
        <v>Activity.Expense Rate</v>
      </c>
      <c r="I88"/>
      <c r="K88" s="3" t="s">
        <v>433</v>
      </c>
      <c r="M88" t="s">
        <v>6007</v>
      </c>
      <c r="Q88" s="3" t="s">
        <v>92</v>
      </c>
      <c r="U88" s="3" t="s">
        <v>96</v>
      </c>
      <c r="V88">
        <v>401</v>
      </c>
      <c r="W88" s="3" t="str">
        <f>VLOOKUP(V88,DictionaryTableID,3,FALSE)</f>
        <v>actProject</v>
      </c>
      <c r="X88" s="3" t="s">
        <v>1036</v>
      </c>
      <c r="AB88" t="s">
        <v>92</v>
      </c>
      <c r="AF88" t="s">
        <v>837</v>
      </c>
    </row>
    <row r="89" spans="1:32" ht="15" hidden="1" customHeight="1">
      <c r="A89">
        <v>10870</v>
      </c>
      <c r="B89" s="3" t="s">
        <v>1475</v>
      </c>
      <c r="C89" s="3" t="str">
        <f t="shared" si="7"/>
        <v>actRateExpense.actTypeID</v>
      </c>
      <c r="D89" s="3">
        <v>411</v>
      </c>
      <c r="E89" s="3" t="str">
        <f t="shared" si="8"/>
        <v>actRateExpense</v>
      </c>
      <c r="F89" t="str">
        <f>VLOOKUP(V89,DictionaryTableID,3,FALSE)&amp;"ID"&amp;X89</f>
        <v>actTypeID</v>
      </c>
      <c r="G89" s="3" t="s">
        <v>6418</v>
      </c>
      <c r="H89" s="3" t="str">
        <f t="shared" si="9"/>
        <v>Activity.Expense Rate</v>
      </c>
      <c r="I89"/>
      <c r="K89" s="3" t="s">
        <v>119</v>
      </c>
      <c r="M89" t="s">
        <v>6007</v>
      </c>
      <c r="Q89" s="3" t="s">
        <v>92</v>
      </c>
      <c r="U89" s="3" t="s">
        <v>96</v>
      </c>
      <c r="V89">
        <v>400</v>
      </c>
      <c r="W89" s="3" t="str">
        <f>VLOOKUP(V89,DictionaryTableID,3,FALSE)</f>
        <v>actType</v>
      </c>
      <c r="X89" s="3" t="s">
        <v>1036</v>
      </c>
      <c r="AB89" t="s">
        <v>92</v>
      </c>
      <c r="AF89" t="s">
        <v>835</v>
      </c>
    </row>
    <row r="90" spans="1:32" ht="15" customHeight="1">
      <c r="A90">
        <v>10880</v>
      </c>
      <c r="B90" s="3" t="s">
        <v>1475</v>
      </c>
      <c r="C90" s="3" t="str">
        <f t="shared" si="7"/>
        <v>actRateExpense.sysDictionaryTableIDChargedBy</v>
      </c>
      <c r="D90" s="3">
        <v>411</v>
      </c>
      <c r="E90" s="3" t="str">
        <f t="shared" si="8"/>
        <v>actRateExpense</v>
      </c>
      <c r="F90" t="str">
        <f>"sysDictionaryTableID"&amp;X90</f>
        <v>sysDictionaryTableIDChargedBy</v>
      </c>
      <c r="G90" s="3" t="s">
        <v>6452</v>
      </c>
      <c r="H90" s="3" t="str">
        <f t="shared" si="9"/>
        <v>Activity.Expense Rate</v>
      </c>
      <c r="I90"/>
      <c r="K90" t="s">
        <v>6390</v>
      </c>
      <c r="M90" t="s">
        <v>6007</v>
      </c>
      <c r="Q90" s="3" t="s">
        <v>919</v>
      </c>
      <c r="S90" s="19">
        <v>100</v>
      </c>
      <c r="U90" t="s">
        <v>1072</v>
      </c>
      <c r="V90">
        <v>1</v>
      </c>
      <c r="W90" s="3" t="str">
        <f>VLOOKUP(V90,DictionaryTableID,3,FALSE)</f>
        <v>sysDictionaryTable</v>
      </c>
      <c r="X90" s="3" t="s">
        <v>1455</v>
      </c>
      <c r="AB90" t="s">
        <v>92</v>
      </c>
    </row>
    <row r="91" spans="1:32" ht="15" customHeight="1">
      <c r="A91">
        <v>10890</v>
      </c>
      <c r="B91" s="3" t="s">
        <v>1475</v>
      </c>
      <c r="C91" s="3" t="str">
        <f t="shared" si="7"/>
        <v>actRateExpense.RowIDChargedBy</v>
      </c>
      <c r="D91" s="3">
        <v>411</v>
      </c>
      <c r="E91" s="3" t="str">
        <f t="shared" si="8"/>
        <v>actRateExpense</v>
      </c>
      <c r="F91" t="s">
        <v>6149</v>
      </c>
      <c r="G91" s="3" t="s">
        <v>6419</v>
      </c>
      <c r="H91" s="3" t="str">
        <f t="shared" si="9"/>
        <v>Activity.Expense Rate</v>
      </c>
      <c r="I91"/>
      <c r="K91" s="3" t="s">
        <v>1242</v>
      </c>
      <c r="M91" t="s">
        <v>6007</v>
      </c>
      <c r="Q91" s="3" t="s">
        <v>92</v>
      </c>
      <c r="U91" t="s">
        <v>1072</v>
      </c>
      <c r="W91" s="3"/>
      <c r="X91" s="3" t="s">
        <v>1455</v>
      </c>
      <c r="AB91" t="s">
        <v>92</v>
      </c>
      <c r="AF91" t="s">
        <v>834</v>
      </c>
    </row>
    <row r="92" spans="1:32" ht="15" hidden="1" customHeight="1">
      <c r="A92">
        <v>10900</v>
      </c>
      <c r="B92" s="3" t="s">
        <v>1475</v>
      </c>
      <c r="C92" s="3" t="str">
        <f t="shared" si="7"/>
        <v>actRateExpense.Rate</v>
      </c>
      <c r="D92" s="3">
        <v>411</v>
      </c>
      <c r="E92" s="3" t="str">
        <f t="shared" si="8"/>
        <v>actRateExpense</v>
      </c>
      <c r="F92" t="s">
        <v>50</v>
      </c>
      <c r="G92" s="3" t="s">
        <v>6453</v>
      </c>
      <c r="H92" s="3" t="str">
        <f t="shared" si="9"/>
        <v>Activity.Expense Rate</v>
      </c>
      <c r="I92"/>
      <c r="K92" s="3" t="s">
        <v>50</v>
      </c>
      <c r="M92" s="3" t="s">
        <v>197</v>
      </c>
      <c r="N92" s="3">
        <v>19</v>
      </c>
      <c r="O92" s="3">
        <v>2</v>
      </c>
      <c r="Q92" s="3" t="s">
        <v>919</v>
      </c>
      <c r="U92" s="3" t="s">
        <v>93</v>
      </c>
      <c r="AB92" t="s">
        <v>92</v>
      </c>
      <c r="AF92" t="s">
        <v>836</v>
      </c>
    </row>
    <row r="93" spans="1:32" ht="15" hidden="1" customHeight="1">
      <c r="A93">
        <v>10915</v>
      </c>
      <c r="B93" s="3" t="s">
        <v>1475</v>
      </c>
      <c r="C93" s="3" t="str">
        <f t="shared" si="7"/>
        <v>actRateExpense.TemporalStartDate</v>
      </c>
      <c r="D93" s="3">
        <v>411</v>
      </c>
      <c r="E93" s="3" t="str">
        <f t="shared" si="8"/>
        <v>actRateExpense</v>
      </c>
      <c r="F93" t="s">
        <v>1250</v>
      </c>
      <c r="G93" s="3" t="s">
        <v>6409</v>
      </c>
      <c r="H93" s="3" t="str">
        <f t="shared" si="9"/>
        <v>Activity.Expense Rate</v>
      </c>
      <c r="I93"/>
      <c r="K93" t="s">
        <v>108</v>
      </c>
      <c r="M93" s="3" t="s">
        <v>81</v>
      </c>
      <c r="Q93" t="s">
        <v>919</v>
      </c>
      <c r="S93" s="14"/>
      <c r="U93" t="s">
        <v>1080</v>
      </c>
      <c r="AF93" t="s">
        <v>838</v>
      </c>
    </row>
    <row r="94" spans="1:32" ht="15" hidden="1" customHeight="1">
      <c r="A94">
        <v>10920</v>
      </c>
      <c r="B94" t="s">
        <v>1475</v>
      </c>
      <c r="C94" s="3" t="str">
        <f t="shared" si="7"/>
        <v>actRateExpense.TemporalEndDate</v>
      </c>
      <c r="D94">
        <v>411</v>
      </c>
      <c r="E94" s="3" t="str">
        <f t="shared" si="8"/>
        <v>actRateExpense</v>
      </c>
      <c r="F94" t="s">
        <v>1249</v>
      </c>
      <c r="G94" s="3" t="s">
        <v>6410</v>
      </c>
      <c r="H94" s="3" t="str">
        <f t="shared" si="9"/>
        <v>Activity.Expense Rate</v>
      </c>
      <c r="I94"/>
      <c r="K94" t="s">
        <v>1091</v>
      </c>
      <c r="L94"/>
      <c r="M94" s="3" t="s">
        <v>81</v>
      </c>
      <c r="N94"/>
      <c r="O94"/>
      <c r="P94"/>
      <c r="Q94" t="s">
        <v>919</v>
      </c>
      <c r="R94"/>
      <c r="S94" s="14"/>
      <c r="U94" t="s">
        <v>1080</v>
      </c>
    </row>
    <row r="95" spans="1:32" ht="15" hidden="1" customHeight="1">
      <c r="A95">
        <v>10940</v>
      </c>
      <c r="B95" s="3" t="s">
        <v>1475</v>
      </c>
      <c r="C95" s="3" t="str">
        <f t="shared" si="7"/>
        <v>actRateExpense.RowStatus</v>
      </c>
      <c r="D95" s="3">
        <v>411</v>
      </c>
      <c r="E95" s="3" t="str">
        <f t="shared" si="8"/>
        <v>actRateExpense</v>
      </c>
      <c r="F95" t="s">
        <v>1445</v>
      </c>
      <c r="G95" s="3" t="s">
        <v>6411</v>
      </c>
      <c r="H95" s="3" t="str">
        <f t="shared" si="9"/>
        <v>Activity.Expense Rate</v>
      </c>
      <c r="I95"/>
      <c r="K95" s="3" t="s">
        <v>2471</v>
      </c>
      <c r="M95" t="s">
        <v>976</v>
      </c>
      <c r="N95">
        <v>1</v>
      </c>
      <c r="Q95" s="3" t="s">
        <v>919</v>
      </c>
      <c r="U95" s="3" t="s">
        <v>94</v>
      </c>
    </row>
    <row r="96" spans="1:32" ht="15" hidden="1" customHeight="1">
      <c r="A96">
        <v>10950</v>
      </c>
      <c r="B96" t="s">
        <v>1475</v>
      </c>
      <c r="C96" s="3" t="str">
        <f t="shared" si="7"/>
        <v>actRateExpense.sysChangeHistoryID</v>
      </c>
      <c r="D96">
        <v>411</v>
      </c>
      <c r="E96" s="3" t="str">
        <f t="shared" si="8"/>
        <v>actRateExpense</v>
      </c>
      <c r="F96" t="s">
        <v>2497</v>
      </c>
      <c r="G96" s="3" t="s">
        <v>6403</v>
      </c>
      <c r="H96" s="3" t="str">
        <f t="shared" si="9"/>
        <v>Activity.Expense Rate</v>
      </c>
      <c r="I96"/>
      <c r="K96" t="s">
        <v>1210</v>
      </c>
      <c r="L96"/>
      <c r="M96" t="s">
        <v>6007</v>
      </c>
      <c r="N96"/>
      <c r="O96"/>
      <c r="P96"/>
      <c r="Q96" t="s">
        <v>92</v>
      </c>
      <c r="R96"/>
      <c r="S96"/>
      <c r="U96" t="s">
        <v>1429</v>
      </c>
      <c r="W96" s="3"/>
      <c r="X96" s="3"/>
    </row>
    <row r="97" spans="1:34" ht="15" hidden="1" customHeight="1">
      <c r="A97">
        <v>10960</v>
      </c>
      <c r="B97" s="3" t="s">
        <v>1475</v>
      </c>
      <c r="C97" s="3" t="str">
        <f t="shared" si="7"/>
        <v>actRateFactor.ID</v>
      </c>
      <c r="D97" s="3">
        <v>412</v>
      </c>
      <c r="E97" s="3" t="str">
        <f t="shared" si="8"/>
        <v>actRateFactor</v>
      </c>
      <c r="F97" t="s">
        <v>0</v>
      </c>
      <c r="G97" s="3" t="s">
        <v>6455</v>
      </c>
      <c r="H97" s="3" t="str">
        <f t="shared" si="9"/>
        <v>Activity.Rate Factor</v>
      </c>
      <c r="I97"/>
      <c r="K97" s="3" t="s">
        <v>0</v>
      </c>
      <c r="M97" t="s">
        <v>6007</v>
      </c>
      <c r="Q97" s="3" t="s">
        <v>919</v>
      </c>
      <c r="U97" s="3" t="s">
        <v>95</v>
      </c>
      <c r="W97" s="3"/>
      <c r="AF97" t="s">
        <v>830</v>
      </c>
    </row>
    <row r="98" spans="1:34" ht="15" hidden="1" customHeight="1">
      <c r="A98">
        <v>10970</v>
      </c>
      <c r="B98" s="3" t="s">
        <v>1475</v>
      </c>
      <c r="C98" s="3" t="str">
        <f t="shared" si="7"/>
        <v>actRateFactor.Adjustment</v>
      </c>
      <c r="D98" s="3">
        <v>412</v>
      </c>
      <c r="E98" s="3" t="str">
        <f t="shared" si="8"/>
        <v>actRateFactor</v>
      </c>
      <c r="F98" t="s">
        <v>259</v>
      </c>
      <c r="G98" s="3" t="s">
        <v>6456</v>
      </c>
      <c r="H98" s="3" t="str">
        <f t="shared" si="9"/>
        <v>Activity.Rate Factor</v>
      </c>
      <c r="I98"/>
      <c r="K98" s="3" t="s">
        <v>259</v>
      </c>
      <c r="M98" s="3" t="s">
        <v>197</v>
      </c>
      <c r="N98" s="3">
        <v>19</v>
      </c>
      <c r="O98" s="3">
        <v>2</v>
      </c>
      <c r="Q98" s="3" t="s">
        <v>919</v>
      </c>
      <c r="U98" s="3" t="s">
        <v>93</v>
      </c>
      <c r="AB98" t="s">
        <v>92</v>
      </c>
      <c r="AF98" t="s">
        <v>832</v>
      </c>
    </row>
    <row r="99" spans="1:34" ht="15" hidden="1" customHeight="1">
      <c r="A99">
        <v>10985</v>
      </c>
      <c r="B99" t="s">
        <v>1475</v>
      </c>
      <c r="C99" s="3" t="str">
        <f t="shared" si="7"/>
        <v>actRateFactor.TemporalStartDate</v>
      </c>
      <c r="D99" s="3">
        <v>412</v>
      </c>
      <c r="E99" s="3" t="str">
        <f t="shared" si="8"/>
        <v>actRateFactor</v>
      </c>
      <c r="F99" t="s">
        <v>1250</v>
      </c>
      <c r="G99" s="3" t="s">
        <v>6409</v>
      </c>
      <c r="H99" s="3" t="str">
        <f t="shared" si="9"/>
        <v>Activity.Rate Factor</v>
      </c>
      <c r="I99"/>
      <c r="K99" t="s">
        <v>108</v>
      </c>
      <c r="L99"/>
      <c r="M99" s="3" t="s">
        <v>81</v>
      </c>
      <c r="N99"/>
      <c r="O99"/>
      <c r="P99"/>
      <c r="Q99" t="s">
        <v>919</v>
      </c>
      <c r="R99"/>
      <c r="S99" s="14"/>
      <c r="U99" t="s">
        <v>1080</v>
      </c>
    </row>
    <row r="100" spans="1:34" ht="15" hidden="1" customHeight="1">
      <c r="A100">
        <v>10990</v>
      </c>
      <c r="B100" t="s">
        <v>1475</v>
      </c>
      <c r="C100" s="3" t="str">
        <f t="shared" si="7"/>
        <v>actRateFactor.TemporalEndDate</v>
      </c>
      <c r="D100" s="3">
        <v>412</v>
      </c>
      <c r="E100" s="3" t="str">
        <f t="shared" si="8"/>
        <v>actRateFactor</v>
      </c>
      <c r="F100" t="s">
        <v>1249</v>
      </c>
      <c r="G100" s="3" t="s">
        <v>6410</v>
      </c>
      <c r="H100" s="3" t="str">
        <f t="shared" si="9"/>
        <v>Activity.Rate Factor</v>
      </c>
      <c r="I100"/>
      <c r="K100" t="s">
        <v>1091</v>
      </c>
      <c r="L100"/>
      <c r="M100" s="3" t="s">
        <v>81</v>
      </c>
      <c r="N100"/>
      <c r="O100"/>
      <c r="P100"/>
      <c r="Q100" t="s">
        <v>919</v>
      </c>
      <c r="R100"/>
      <c r="S100" s="14"/>
      <c r="U100" t="s">
        <v>1080</v>
      </c>
    </row>
    <row r="101" spans="1:34" ht="15" hidden="1" customHeight="1">
      <c r="A101">
        <v>11010</v>
      </c>
      <c r="B101" s="3" t="s">
        <v>1475</v>
      </c>
      <c r="C101" s="3" t="str">
        <f t="shared" si="7"/>
        <v>actRateFactor.RowStatus</v>
      </c>
      <c r="D101" s="3">
        <v>412</v>
      </c>
      <c r="E101" s="3" t="str">
        <f t="shared" si="8"/>
        <v>actRateFactor</v>
      </c>
      <c r="F101" t="s">
        <v>1445</v>
      </c>
      <c r="G101" s="3" t="s">
        <v>6411</v>
      </c>
      <c r="H101" s="3" t="str">
        <f t="shared" si="9"/>
        <v>Activity.Rate Factor</v>
      </c>
      <c r="I101"/>
      <c r="K101" s="3" t="s">
        <v>2471</v>
      </c>
      <c r="M101" t="s">
        <v>976</v>
      </c>
      <c r="N101">
        <v>1</v>
      </c>
      <c r="Q101" s="3" t="s">
        <v>919</v>
      </c>
      <c r="U101" s="3" t="s">
        <v>94</v>
      </c>
    </row>
    <row r="102" spans="1:34" ht="15" hidden="1" customHeight="1">
      <c r="A102">
        <v>11020</v>
      </c>
      <c r="B102" t="s">
        <v>1475</v>
      </c>
      <c r="C102" s="3" t="str">
        <f t="shared" si="7"/>
        <v>actRateFactor.sysChangeHistoryID</v>
      </c>
      <c r="D102">
        <v>412</v>
      </c>
      <c r="E102" s="3" t="str">
        <f t="shared" si="8"/>
        <v>actRateFactor</v>
      </c>
      <c r="F102" t="s">
        <v>2497</v>
      </c>
      <c r="G102" s="3" t="s">
        <v>6403</v>
      </c>
      <c r="H102" s="3" t="str">
        <f t="shared" si="9"/>
        <v>Activity.Rate Factor</v>
      </c>
      <c r="I102"/>
      <c r="K102" t="s">
        <v>1210</v>
      </c>
      <c r="L102"/>
      <c r="M102" t="s">
        <v>6007</v>
      </c>
      <c r="N102"/>
      <c r="O102"/>
      <c r="P102"/>
      <c r="Q102" t="s">
        <v>92</v>
      </c>
      <c r="R102"/>
      <c r="S102"/>
      <c r="U102" t="s">
        <v>1429</v>
      </c>
      <c r="W102" s="3"/>
      <c r="X102" s="3"/>
    </row>
    <row r="103" spans="1:34" ht="15" hidden="1" customHeight="1">
      <c r="A103">
        <v>11030</v>
      </c>
      <c r="B103" s="3" t="s">
        <v>1475</v>
      </c>
      <c r="C103" s="3" t="str">
        <f t="shared" si="7"/>
        <v>actSource.ID</v>
      </c>
      <c r="D103" s="3">
        <v>404</v>
      </c>
      <c r="E103" s="3" t="str">
        <f t="shared" si="8"/>
        <v>actSource</v>
      </c>
      <c r="F103" t="s">
        <v>0</v>
      </c>
      <c r="G103" s="3" t="s">
        <v>6457</v>
      </c>
      <c r="H103" s="3" t="str">
        <f t="shared" si="9"/>
        <v>Activity.Project Source</v>
      </c>
      <c r="I103"/>
      <c r="K103" t="s">
        <v>0</v>
      </c>
      <c r="M103" t="s">
        <v>6007</v>
      </c>
      <c r="Q103" s="3" t="s">
        <v>919</v>
      </c>
      <c r="U103" s="3" t="s">
        <v>95</v>
      </c>
    </row>
    <row r="104" spans="1:34" ht="15" hidden="1" customHeight="1">
      <c r="A104">
        <v>11040</v>
      </c>
      <c r="B104" s="3" t="s">
        <v>1475</v>
      </c>
      <c r="C104" s="3" t="str">
        <f t="shared" si="7"/>
        <v>actSource.Description</v>
      </c>
      <c r="D104" s="3">
        <v>404</v>
      </c>
      <c r="E104" s="3" t="str">
        <f t="shared" si="8"/>
        <v>actSource</v>
      </c>
      <c r="F104" t="s">
        <v>12</v>
      </c>
      <c r="G104" s="3" t="s">
        <v>6898</v>
      </c>
      <c r="H104" s="3" t="str">
        <f t="shared" si="9"/>
        <v>Activity.Project Source</v>
      </c>
      <c r="I104"/>
      <c r="K104" t="s">
        <v>969</v>
      </c>
      <c r="L104" s="3" t="s">
        <v>973</v>
      </c>
      <c r="M104" s="3" t="s">
        <v>196</v>
      </c>
      <c r="Q104" s="3" t="s">
        <v>919</v>
      </c>
      <c r="U104" s="3" t="s">
        <v>93</v>
      </c>
      <c r="W104" s="3"/>
      <c r="Y104" t="s">
        <v>92</v>
      </c>
      <c r="AB104" t="s">
        <v>92</v>
      </c>
      <c r="AH104" t="s">
        <v>92</v>
      </c>
    </row>
    <row r="105" spans="1:34" ht="15" hidden="1" customHeight="1">
      <c r="A105">
        <v>11050</v>
      </c>
      <c r="B105" s="3" t="s">
        <v>1475</v>
      </c>
      <c r="C105" s="3" t="str">
        <f t="shared" si="7"/>
        <v>actSource.DisplaySequence</v>
      </c>
      <c r="D105" s="3">
        <v>404</v>
      </c>
      <c r="E105" s="3" t="str">
        <f t="shared" si="8"/>
        <v>actSource</v>
      </c>
      <c r="F105" t="s">
        <v>6055</v>
      </c>
      <c r="G105" s="3" t="s">
        <v>6432</v>
      </c>
      <c r="H105" s="3" t="str">
        <f t="shared" si="9"/>
        <v>Activity.Project Source</v>
      </c>
      <c r="I105"/>
      <c r="K105" s="3" t="s">
        <v>6297</v>
      </c>
      <c r="M105" s="3" t="s">
        <v>195</v>
      </c>
      <c r="U105" s="3" t="s">
        <v>93</v>
      </c>
    </row>
    <row r="106" spans="1:34" ht="15" hidden="1" customHeight="1">
      <c r="A106">
        <v>11060</v>
      </c>
      <c r="B106" s="3" t="s">
        <v>1475</v>
      </c>
      <c r="C106" s="3" t="str">
        <f t="shared" si="7"/>
        <v>actSource.RowStatus</v>
      </c>
      <c r="D106" s="3">
        <v>404</v>
      </c>
      <c r="E106" s="3" t="str">
        <f t="shared" si="8"/>
        <v>actSource</v>
      </c>
      <c r="F106" t="s">
        <v>1445</v>
      </c>
      <c r="G106" s="3" t="s">
        <v>6411</v>
      </c>
      <c r="H106" s="3" t="str">
        <f t="shared" si="9"/>
        <v>Activity.Project Source</v>
      </c>
      <c r="I106"/>
      <c r="K106" s="3" t="s">
        <v>2471</v>
      </c>
      <c r="M106" t="s">
        <v>976</v>
      </c>
      <c r="N106">
        <v>1</v>
      </c>
      <c r="Q106" s="3" t="s">
        <v>919</v>
      </c>
      <c r="U106" s="3" t="s">
        <v>94</v>
      </c>
    </row>
    <row r="107" spans="1:34" ht="15" hidden="1" customHeight="1">
      <c r="A107">
        <v>11070</v>
      </c>
      <c r="B107" t="s">
        <v>1475</v>
      </c>
      <c r="C107" s="3" t="str">
        <f t="shared" si="7"/>
        <v>actSource.sysChangeHistoryID</v>
      </c>
      <c r="D107">
        <v>404</v>
      </c>
      <c r="E107" s="3" t="str">
        <f t="shared" si="8"/>
        <v>actSource</v>
      </c>
      <c r="F107" t="s">
        <v>2497</v>
      </c>
      <c r="G107" s="3" t="s">
        <v>6403</v>
      </c>
      <c r="H107" s="3" t="str">
        <f t="shared" si="9"/>
        <v>Activity.Project Source</v>
      </c>
      <c r="I107"/>
      <c r="K107" t="s">
        <v>1210</v>
      </c>
      <c r="L107"/>
      <c r="M107" t="s">
        <v>6007</v>
      </c>
      <c r="N107"/>
      <c r="O107"/>
      <c r="P107"/>
      <c r="Q107" t="s">
        <v>92</v>
      </c>
      <c r="R107"/>
      <c r="S107"/>
      <c r="U107" t="s">
        <v>1429</v>
      </c>
      <c r="W107" s="3"/>
      <c r="X107" s="3"/>
    </row>
    <row r="108" spans="1:34" ht="15" hidden="1" customHeight="1">
      <c r="A108">
        <v>11080</v>
      </c>
      <c r="B108" s="3" t="s">
        <v>1475</v>
      </c>
      <c r="C108" s="3" t="str">
        <f t="shared" si="7"/>
        <v>actStatus.ID</v>
      </c>
      <c r="D108" s="3">
        <v>405</v>
      </c>
      <c r="E108" s="3" t="str">
        <f t="shared" si="8"/>
        <v>actStatus</v>
      </c>
      <c r="F108" t="s">
        <v>0</v>
      </c>
      <c r="G108" s="3" t="s">
        <v>6458</v>
      </c>
      <c r="H108" s="3" t="str">
        <f t="shared" si="9"/>
        <v>Activity.Activity Status</v>
      </c>
      <c r="I108"/>
      <c r="K108" t="s">
        <v>0</v>
      </c>
      <c r="M108" t="s">
        <v>6007</v>
      </c>
      <c r="Q108" s="3" t="s">
        <v>919</v>
      </c>
      <c r="U108" s="3" t="s">
        <v>95</v>
      </c>
    </row>
    <row r="109" spans="1:34" ht="15" hidden="1" customHeight="1">
      <c r="A109">
        <v>11090</v>
      </c>
      <c r="B109" s="3" t="s">
        <v>1475</v>
      </c>
      <c r="C109" s="3" t="str">
        <f t="shared" si="7"/>
        <v>actStatus.Description</v>
      </c>
      <c r="D109" s="3">
        <v>405</v>
      </c>
      <c r="E109" s="3" t="str">
        <f t="shared" si="8"/>
        <v>actStatus</v>
      </c>
      <c r="F109" t="s">
        <v>12</v>
      </c>
      <c r="G109" s="3" t="s">
        <v>6899</v>
      </c>
      <c r="H109" s="3" t="str">
        <f t="shared" si="9"/>
        <v>Activity.Activity Status</v>
      </c>
      <c r="I109"/>
      <c r="K109" t="s">
        <v>978</v>
      </c>
      <c r="L109" s="3" t="s">
        <v>973</v>
      </c>
      <c r="M109" s="3" t="s">
        <v>196</v>
      </c>
      <c r="Q109" s="3" t="s">
        <v>919</v>
      </c>
      <c r="U109" s="3" t="s">
        <v>93</v>
      </c>
      <c r="Y109" t="s">
        <v>92</v>
      </c>
      <c r="AB109" t="s">
        <v>92</v>
      </c>
      <c r="AH109" t="s">
        <v>92</v>
      </c>
    </row>
    <row r="110" spans="1:34" ht="15" hidden="1" customHeight="1">
      <c r="A110">
        <v>11100</v>
      </c>
      <c r="B110" s="3" t="s">
        <v>1475</v>
      </c>
      <c r="C110" s="3" t="str">
        <f t="shared" si="7"/>
        <v>actStatus.DisplaySequence</v>
      </c>
      <c r="D110" s="3">
        <v>405</v>
      </c>
      <c r="E110" s="3" t="str">
        <f t="shared" si="8"/>
        <v>actStatus</v>
      </c>
      <c r="F110" t="s">
        <v>6055</v>
      </c>
      <c r="G110" s="3" t="s">
        <v>6432</v>
      </c>
      <c r="H110" s="3" t="str">
        <f t="shared" si="9"/>
        <v>Activity.Activity Status</v>
      </c>
      <c r="I110"/>
      <c r="K110" s="3" t="s">
        <v>6297</v>
      </c>
      <c r="M110" s="3" t="s">
        <v>195</v>
      </c>
      <c r="U110" s="3" t="s">
        <v>93</v>
      </c>
    </row>
    <row r="111" spans="1:34" ht="15" hidden="1" customHeight="1">
      <c r="A111">
        <v>11110</v>
      </c>
      <c r="B111" s="3" t="s">
        <v>1475</v>
      </c>
      <c r="C111" s="3" t="str">
        <f t="shared" si="7"/>
        <v>actStatus.ShortCode</v>
      </c>
      <c r="D111" s="3">
        <v>405</v>
      </c>
      <c r="E111" s="3" t="str">
        <f t="shared" si="8"/>
        <v>actStatus</v>
      </c>
      <c r="F111" t="s">
        <v>16</v>
      </c>
      <c r="G111" s="3" t="s">
        <v>6434</v>
      </c>
      <c r="H111" s="3" t="str">
        <f t="shared" si="9"/>
        <v>Activity.Activity Status</v>
      </c>
      <c r="I111"/>
      <c r="K111" s="3" t="s">
        <v>117</v>
      </c>
      <c r="L111" s="3" t="s">
        <v>274</v>
      </c>
      <c r="M111" s="3" t="s">
        <v>196</v>
      </c>
      <c r="Q111" s="3" t="s">
        <v>92</v>
      </c>
      <c r="U111" s="3" t="s">
        <v>93</v>
      </c>
      <c r="AB111" t="s">
        <v>92</v>
      </c>
      <c r="AH111" t="s">
        <v>92</v>
      </c>
    </row>
    <row r="112" spans="1:34" ht="15" hidden="1" customHeight="1">
      <c r="A112">
        <v>11120</v>
      </c>
      <c r="B112" s="3" t="s">
        <v>1475</v>
      </c>
      <c r="C112" s="3" t="str">
        <f t="shared" si="7"/>
        <v>actStatus.RowStatus</v>
      </c>
      <c r="D112" s="3">
        <v>405</v>
      </c>
      <c r="E112" s="3" t="str">
        <f t="shared" si="8"/>
        <v>actStatus</v>
      </c>
      <c r="F112" t="s">
        <v>1445</v>
      </c>
      <c r="G112" s="3" t="s">
        <v>6411</v>
      </c>
      <c r="H112" s="3" t="str">
        <f t="shared" si="9"/>
        <v>Activity.Activity Status</v>
      </c>
      <c r="I112"/>
      <c r="K112" s="3" t="s">
        <v>2471</v>
      </c>
      <c r="M112" t="s">
        <v>976</v>
      </c>
      <c r="N112">
        <v>1</v>
      </c>
      <c r="Q112" s="3" t="s">
        <v>919</v>
      </c>
      <c r="U112" s="3" t="s">
        <v>94</v>
      </c>
    </row>
    <row r="113" spans="1:34" ht="15" hidden="1" customHeight="1">
      <c r="A113">
        <v>11130</v>
      </c>
      <c r="B113" t="s">
        <v>1475</v>
      </c>
      <c r="C113" s="3" t="str">
        <f t="shared" si="7"/>
        <v>actStatus.sysChangeHistoryID</v>
      </c>
      <c r="D113">
        <v>405</v>
      </c>
      <c r="E113" s="3" t="str">
        <f t="shared" si="8"/>
        <v>actStatus</v>
      </c>
      <c r="F113" t="s">
        <v>2497</v>
      </c>
      <c r="G113" s="3" t="s">
        <v>6403</v>
      </c>
      <c r="H113" s="3" t="str">
        <f t="shared" si="9"/>
        <v>Activity.Activity Status</v>
      </c>
      <c r="I113"/>
      <c r="K113" t="s">
        <v>1210</v>
      </c>
      <c r="L113"/>
      <c r="M113" t="s">
        <v>6007</v>
      </c>
      <c r="N113"/>
      <c r="O113"/>
      <c r="P113"/>
      <c r="Q113" t="s">
        <v>92</v>
      </c>
      <c r="R113"/>
      <c r="S113"/>
      <c r="U113" t="s">
        <v>1429</v>
      </c>
      <c r="W113" s="3"/>
      <c r="X113" s="3"/>
    </row>
    <row r="114" spans="1:34" ht="15" hidden="1" customHeight="1">
      <c r="A114">
        <v>11140</v>
      </c>
      <c r="B114" t="s">
        <v>1475</v>
      </c>
      <c r="C114" s="3" t="str">
        <f t="shared" si="7"/>
        <v>actType.ID</v>
      </c>
      <c r="D114">
        <v>400</v>
      </c>
      <c r="E114" s="3" t="str">
        <f t="shared" si="8"/>
        <v>actType</v>
      </c>
      <c r="F114" t="s">
        <v>0</v>
      </c>
      <c r="G114" s="3" t="s">
        <v>6459</v>
      </c>
      <c r="H114" s="3" t="str">
        <f t="shared" si="9"/>
        <v>Activity.Activity Type</v>
      </c>
      <c r="I114"/>
      <c r="K114" t="s">
        <v>1077</v>
      </c>
      <c r="L114"/>
      <c r="M114" t="s">
        <v>6007</v>
      </c>
      <c r="N114"/>
      <c r="O114"/>
      <c r="P114"/>
      <c r="Q114" s="3" t="s">
        <v>919</v>
      </c>
      <c r="R114"/>
      <c r="S114"/>
      <c r="U114" s="3" t="s">
        <v>95</v>
      </c>
      <c r="AC114" t="s">
        <v>92</v>
      </c>
    </row>
    <row r="115" spans="1:34" ht="15" hidden="1" customHeight="1">
      <c r="A115">
        <v>11150</v>
      </c>
      <c r="B115" s="3" t="s">
        <v>1475</v>
      </c>
      <c r="C115" s="3" t="str">
        <f t="shared" si="7"/>
        <v>actType.actCostUnitID</v>
      </c>
      <c r="D115" s="3">
        <v>400</v>
      </c>
      <c r="E115" s="3" t="str">
        <f t="shared" si="8"/>
        <v>actType</v>
      </c>
      <c r="F115" t="str">
        <f t="shared" ref="F115:F120" si="10">VLOOKUP(V115,DictionaryTableID,3,FALSE)&amp;"ID"&amp;X115</f>
        <v>actCostUnitID</v>
      </c>
      <c r="G115" s="3" t="s">
        <v>6460</v>
      </c>
      <c r="H115" s="3" t="str">
        <f t="shared" si="9"/>
        <v>Activity.Activity Type</v>
      </c>
      <c r="I115"/>
      <c r="K115" s="3" t="s">
        <v>446</v>
      </c>
      <c r="M115" t="s">
        <v>6007</v>
      </c>
      <c r="Q115" s="3" t="s">
        <v>92</v>
      </c>
      <c r="U115" s="3" t="s">
        <v>96</v>
      </c>
      <c r="V115">
        <v>406</v>
      </c>
      <c r="W115" s="3" t="str">
        <f t="shared" ref="W115:W120" si="11">VLOOKUP(V115,DictionaryTableID,3,FALSE)</f>
        <v>actCostUnit</v>
      </c>
      <c r="X115" s="3" t="s">
        <v>1036</v>
      </c>
      <c r="AB115" t="s">
        <v>92</v>
      </c>
      <c r="AF115" t="s">
        <v>551</v>
      </c>
    </row>
    <row r="116" spans="1:34" ht="15" hidden="1" customHeight="1">
      <c r="A116">
        <v>11160</v>
      </c>
      <c r="B116" s="3" t="s">
        <v>1475</v>
      </c>
      <c r="C116" s="3" t="str">
        <f t="shared" si="7"/>
        <v>actType.actTypeIDParent</v>
      </c>
      <c r="D116" s="3">
        <v>400</v>
      </c>
      <c r="E116" s="3" t="str">
        <f t="shared" si="8"/>
        <v>actType</v>
      </c>
      <c r="F116" t="str">
        <f t="shared" si="10"/>
        <v>actTypeIDParent</v>
      </c>
      <c r="G116" s="3" t="s">
        <v>1308</v>
      </c>
      <c r="H116" s="3" t="str">
        <f t="shared" si="9"/>
        <v>Activity.Activity Type</v>
      </c>
      <c r="I116"/>
      <c r="K116" s="3" t="s">
        <v>119</v>
      </c>
      <c r="M116" t="s">
        <v>6007</v>
      </c>
      <c r="Q116" s="3" t="s">
        <v>92</v>
      </c>
      <c r="U116" s="3" t="s">
        <v>96</v>
      </c>
      <c r="V116">
        <v>400</v>
      </c>
      <c r="W116" s="3" t="str">
        <f t="shared" si="11"/>
        <v>actType</v>
      </c>
      <c r="X116" s="3" t="s">
        <v>1220</v>
      </c>
      <c r="Y116" t="s">
        <v>92</v>
      </c>
      <c r="AB116" t="s">
        <v>92</v>
      </c>
      <c r="AF116" t="s">
        <v>545</v>
      </c>
    </row>
    <row r="117" spans="1:34" ht="15" hidden="1" customHeight="1">
      <c r="A117">
        <v>11170</v>
      </c>
      <c r="B117" s="3" t="s">
        <v>1475</v>
      </c>
      <c r="C117" s="3" t="str">
        <f t="shared" si="7"/>
        <v>actType.glAccountID</v>
      </c>
      <c r="D117" s="3">
        <v>400</v>
      </c>
      <c r="E117" s="3" t="str">
        <f t="shared" si="8"/>
        <v>actType</v>
      </c>
      <c r="F117" t="str">
        <f t="shared" si="10"/>
        <v>glAccountID</v>
      </c>
      <c r="G117" s="3" t="s">
        <v>6461</v>
      </c>
      <c r="H117" s="3" t="str">
        <f t="shared" si="9"/>
        <v>Activity.Activity Type</v>
      </c>
      <c r="I117"/>
      <c r="K117" s="3" t="s">
        <v>123</v>
      </c>
      <c r="M117" t="s">
        <v>6007</v>
      </c>
      <c r="Q117" s="3" t="s">
        <v>92</v>
      </c>
      <c r="U117" s="3" t="s">
        <v>96</v>
      </c>
      <c r="V117">
        <v>300</v>
      </c>
      <c r="W117" s="3" t="str">
        <f t="shared" si="11"/>
        <v>glAccount</v>
      </c>
      <c r="X117" s="3" t="s">
        <v>1036</v>
      </c>
      <c r="AB117" t="s">
        <v>92</v>
      </c>
      <c r="AF117" t="s">
        <v>552</v>
      </c>
    </row>
    <row r="118" spans="1:34" ht="15" hidden="1" customHeight="1">
      <c r="A118">
        <v>11171</v>
      </c>
      <c r="B118" s="3" t="s">
        <v>1475</v>
      </c>
      <c r="C118" s="3" t="str">
        <f t="shared" si="7"/>
        <v>actType.glCostCentreID</v>
      </c>
      <c r="D118" s="3">
        <v>400</v>
      </c>
      <c r="E118" s="3" t="str">
        <f t="shared" si="8"/>
        <v>actType</v>
      </c>
      <c r="F118" t="str">
        <f t="shared" si="10"/>
        <v>glCostCentreID</v>
      </c>
      <c r="G118" s="3" t="s">
        <v>7070</v>
      </c>
      <c r="H118" s="3" t="str">
        <f t="shared" si="9"/>
        <v>Activity.Activity Type</v>
      </c>
      <c r="I118"/>
      <c r="K118" s="3" t="s">
        <v>328</v>
      </c>
      <c r="M118" t="s">
        <v>6007</v>
      </c>
      <c r="Q118" s="3" t="s">
        <v>92</v>
      </c>
      <c r="U118" s="3" t="s">
        <v>96</v>
      </c>
      <c r="V118">
        <v>301</v>
      </c>
      <c r="W118" s="3" t="str">
        <f t="shared" si="11"/>
        <v>glCostCentre</v>
      </c>
      <c r="X118" s="3" t="s">
        <v>1036</v>
      </c>
      <c r="AB118" t="s">
        <v>92</v>
      </c>
      <c r="AF118" t="s">
        <v>703</v>
      </c>
    </row>
    <row r="119" spans="1:34" ht="15" hidden="1" customHeight="1">
      <c r="A119">
        <v>11180</v>
      </c>
      <c r="B119" s="3" t="s">
        <v>1475</v>
      </c>
      <c r="C119" s="3" t="str">
        <f t="shared" si="7"/>
        <v>actType.sysMultilinkTableRuleIDPerformedBy</v>
      </c>
      <c r="D119" s="3">
        <v>400</v>
      </c>
      <c r="E119" s="3" t="str">
        <f t="shared" si="8"/>
        <v>actType</v>
      </c>
      <c r="F119" t="str">
        <f t="shared" si="10"/>
        <v>sysMultilinkTableRuleIDPerformedBy</v>
      </c>
      <c r="G119" s="3" t="s">
        <v>7017</v>
      </c>
      <c r="H119" s="3" t="str">
        <f t="shared" si="9"/>
        <v>Activity.Activity Type</v>
      </c>
      <c r="I119"/>
      <c r="K119" s="3" t="s">
        <v>1243</v>
      </c>
      <c r="M119" t="s">
        <v>6007</v>
      </c>
      <c r="Q119" s="3" t="s">
        <v>92</v>
      </c>
      <c r="U119" s="3" t="s">
        <v>96</v>
      </c>
      <c r="V119">
        <v>42</v>
      </c>
      <c r="W119" s="3" t="str">
        <f t="shared" si="11"/>
        <v>sysMultilinkTableRule</v>
      </c>
      <c r="X119" s="3" t="s">
        <v>1224</v>
      </c>
      <c r="AB119" t="s">
        <v>92</v>
      </c>
      <c r="AF119" t="s">
        <v>551</v>
      </c>
    </row>
    <row r="120" spans="1:34" ht="15" hidden="1" customHeight="1">
      <c r="A120">
        <v>11190</v>
      </c>
      <c r="B120" s="3" t="s">
        <v>1475</v>
      </c>
      <c r="C120" s="3" t="str">
        <f t="shared" si="7"/>
        <v>actType.sysMultilinkTableRuleIDPerformedFor</v>
      </c>
      <c r="D120" s="3">
        <v>400</v>
      </c>
      <c r="E120" s="3" t="str">
        <f t="shared" si="8"/>
        <v>actType</v>
      </c>
      <c r="F120" t="str">
        <f t="shared" si="10"/>
        <v>sysMultilinkTableRuleIDPerformedFor</v>
      </c>
      <c r="G120" s="3" t="s">
        <v>7018</v>
      </c>
      <c r="H120" s="3" t="str">
        <f t="shared" si="9"/>
        <v>Activity.Activity Type</v>
      </c>
      <c r="I120"/>
      <c r="K120" s="3" t="s">
        <v>1244</v>
      </c>
      <c r="M120" t="s">
        <v>6007</v>
      </c>
      <c r="Q120" s="3" t="s">
        <v>92</v>
      </c>
      <c r="U120" s="3" t="s">
        <v>96</v>
      </c>
      <c r="V120">
        <v>42</v>
      </c>
      <c r="W120" s="3" t="str">
        <f t="shared" si="11"/>
        <v>sysMultilinkTableRule</v>
      </c>
      <c r="X120" s="3" t="s">
        <v>1307</v>
      </c>
      <c r="AB120" t="s">
        <v>92</v>
      </c>
      <c r="AF120" t="s">
        <v>551</v>
      </c>
    </row>
    <row r="121" spans="1:34" ht="15" hidden="1" customHeight="1">
      <c r="A121">
        <v>11200</v>
      </c>
      <c r="B121" s="3" t="s">
        <v>1475</v>
      </c>
      <c r="C121" s="3" t="str">
        <f t="shared" si="7"/>
        <v>actType.Comments</v>
      </c>
      <c r="D121" s="3">
        <v>400</v>
      </c>
      <c r="E121" s="3" t="str">
        <f t="shared" si="8"/>
        <v>actType</v>
      </c>
      <c r="F121" t="s">
        <v>14</v>
      </c>
      <c r="G121" s="3" t="s">
        <v>6421</v>
      </c>
      <c r="H121" s="3" t="str">
        <f t="shared" si="9"/>
        <v>Activity.Activity Type</v>
      </c>
      <c r="I121"/>
      <c r="K121" s="3" t="s">
        <v>14</v>
      </c>
      <c r="M121" s="3" t="s">
        <v>196</v>
      </c>
      <c r="N121"/>
      <c r="Q121" s="3" t="s">
        <v>92</v>
      </c>
      <c r="U121" s="3" t="s">
        <v>93</v>
      </c>
      <c r="AB121" t="s">
        <v>92</v>
      </c>
      <c r="AF121" t="s">
        <v>547</v>
      </c>
    </row>
    <row r="122" spans="1:34" ht="15" hidden="1" customHeight="1">
      <c r="A122">
        <v>11210</v>
      </c>
      <c r="B122" s="3" t="s">
        <v>1475</v>
      </c>
      <c r="C122" s="3" t="str">
        <f t="shared" si="7"/>
        <v>actType.Description</v>
      </c>
      <c r="D122" s="3">
        <v>400</v>
      </c>
      <c r="E122" s="3" t="str">
        <f t="shared" si="8"/>
        <v>actType</v>
      </c>
      <c r="F122" t="s">
        <v>12</v>
      </c>
      <c r="G122" s="3" t="s">
        <v>6900</v>
      </c>
      <c r="H122" s="3" t="str">
        <f t="shared" si="9"/>
        <v>Activity.Activity Type</v>
      </c>
      <c r="I122"/>
      <c r="K122" s="3" t="s">
        <v>12</v>
      </c>
      <c r="M122" s="3" t="s">
        <v>196</v>
      </c>
      <c r="N122"/>
      <c r="Q122" s="3" t="s">
        <v>919</v>
      </c>
      <c r="U122" s="3" t="s">
        <v>93</v>
      </c>
      <c r="Y122" t="s">
        <v>92</v>
      </c>
      <c r="AB122" t="s">
        <v>92</v>
      </c>
      <c r="AF122" t="s">
        <v>544</v>
      </c>
      <c r="AH122" t="s">
        <v>92</v>
      </c>
    </row>
    <row r="123" spans="1:34" ht="15" hidden="1" customHeight="1">
      <c r="A123">
        <v>11220</v>
      </c>
      <c r="B123" s="3" t="s">
        <v>1475</v>
      </c>
      <c r="C123" s="3" t="str">
        <f t="shared" si="7"/>
        <v>actType.DisplaySequence</v>
      </c>
      <c r="D123" s="3">
        <v>400</v>
      </c>
      <c r="E123" s="3" t="str">
        <f t="shared" si="8"/>
        <v>actType</v>
      </c>
      <c r="F123" t="s">
        <v>6055</v>
      </c>
      <c r="G123" s="3" t="s">
        <v>6432</v>
      </c>
      <c r="H123" s="3" t="str">
        <f t="shared" si="9"/>
        <v>Activity.Activity Type</v>
      </c>
      <c r="I123"/>
      <c r="K123" s="3" t="s">
        <v>6297</v>
      </c>
      <c r="M123" s="3" t="s">
        <v>195</v>
      </c>
      <c r="Q123" s="3" t="s">
        <v>92</v>
      </c>
      <c r="U123" s="3" t="s">
        <v>93</v>
      </c>
      <c r="AF123" t="s">
        <v>543</v>
      </c>
    </row>
    <row r="124" spans="1:34" ht="15" hidden="1" customHeight="1">
      <c r="A124">
        <v>11221</v>
      </c>
      <c r="B124" t="s">
        <v>1475</v>
      </c>
      <c r="C124" s="3" t="str">
        <f t="shared" si="7"/>
        <v>actType.TopDownLevel</v>
      </c>
      <c r="D124" s="3">
        <v>400</v>
      </c>
      <c r="E124" s="3" t="str">
        <f t="shared" si="8"/>
        <v>actType</v>
      </c>
      <c r="F124" t="s">
        <v>6020</v>
      </c>
      <c r="G124" s="3" t="s">
        <v>6413</v>
      </c>
      <c r="H124" s="3" t="str">
        <f t="shared" si="9"/>
        <v>Activity.Activity Type</v>
      </c>
      <c r="I124"/>
      <c r="K124" t="s">
        <v>6032</v>
      </c>
      <c r="L124"/>
      <c r="M124" t="s">
        <v>195</v>
      </c>
      <c r="N124"/>
      <c r="O124"/>
      <c r="P124"/>
      <c r="Q124" t="s">
        <v>92</v>
      </c>
      <c r="R124"/>
      <c r="S124"/>
      <c r="U124" t="s">
        <v>94</v>
      </c>
    </row>
    <row r="125" spans="1:34" ht="15" hidden="1" customHeight="1">
      <c r="A125">
        <v>11222</v>
      </c>
      <c r="B125" t="s">
        <v>1475</v>
      </c>
      <c r="C125" s="3" t="str">
        <f t="shared" si="7"/>
        <v>actType.BottomUpLevel</v>
      </c>
      <c r="D125" s="3">
        <v>400</v>
      </c>
      <c r="E125" s="3" t="str">
        <f t="shared" si="8"/>
        <v>actType</v>
      </c>
      <c r="F125" t="s">
        <v>6021</v>
      </c>
      <c r="G125" s="3" t="s">
        <v>6412</v>
      </c>
      <c r="H125" s="3" t="str">
        <f t="shared" si="9"/>
        <v>Activity.Activity Type</v>
      </c>
      <c r="I125"/>
      <c r="K125" t="s">
        <v>6033</v>
      </c>
      <c r="L125"/>
      <c r="M125" t="s">
        <v>195</v>
      </c>
      <c r="N125"/>
      <c r="O125"/>
      <c r="P125"/>
      <c r="Q125" t="s">
        <v>92</v>
      </c>
      <c r="R125"/>
      <c r="S125"/>
      <c r="U125" t="s">
        <v>94</v>
      </c>
    </row>
    <row r="126" spans="1:34" ht="15" hidden="1" customHeight="1">
      <c r="A126">
        <v>11230</v>
      </c>
      <c r="B126" t="s">
        <v>1475</v>
      </c>
      <c r="C126" s="3" t="str">
        <f t="shared" si="7"/>
        <v>actType.RowStatus</v>
      </c>
      <c r="D126">
        <v>400</v>
      </c>
      <c r="E126" s="3" t="str">
        <f t="shared" si="8"/>
        <v>actType</v>
      </c>
      <c r="F126" t="s">
        <v>1445</v>
      </c>
      <c r="G126" s="3" t="s">
        <v>6411</v>
      </c>
      <c r="H126" s="3" t="str">
        <f t="shared" si="9"/>
        <v>Activity.Activity Type</v>
      </c>
      <c r="I126"/>
      <c r="K126" s="3" t="s">
        <v>2471</v>
      </c>
      <c r="L126"/>
      <c r="M126" t="s">
        <v>976</v>
      </c>
      <c r="N126">
        <v>1</v>
      </c>
      <c r="O126"/>
      <c r="P126"/>
      <c r="Q126" t="s">
        <v>919</v>
      </c>
      <c r="R126"/>
      <c r="S126" s="14"/>
      <c r="U126" t="s">
        <v>94</v>
      </c>
    </row>
    <row r="127" spans="1:34" ht="15" hidden="1" customHeight="1">
      <c r="A127">
        <v>11240</v>
      </c>
      <c r="B127" t="s">
        <v>1475</v>
      </c>
      <c r="C127" s="3" t="str">
        <f t="shared" si="7"/>
        <v>actType.sysChangeHistoryID</v>
      </c>
      <c r="D127">
        <v>400</v>
      </c>
      <c r="E127" s="3" t="str">
        <f t="shared" si="8"/>
        <v>actType</v>
      </c>
      <c r="F127" t="s">
        <v>2497</v>
      </c>
      <c r="G127" s="3" t="s">
        <v>6403</v>
      </c>
      <c r="H127" s="3" t="str">
        <f t="shared" si="9"/>
        <v>Activity.Activity Type</v>
      </c>
      <c r="I127"/>
      <c r="K127" t="s">
        <v>1210</v>
      </c>
      <c r="L127"/>
      <c r="M127" t="s">
        <v>6007</v>
      </c>
      <c r="N127"/>
      <c r="O127"/>
      <c r="P127"/>
      <c r="Q127" t="s">
        <v>92</v>
      </c>
      <c r="R127"/>
      <c r="S127"/>
      <c r="U127" t="s">
        <v>1429</v>
      </c>
      <c r="W127" s="3"/>
      <c r="X127" s="3"/>
    </row>
    <row r="128" spans="1:34" ht="15" hidden="1" customHeight="1">
      <c r="A128">
        <v>11250</v>
      </c>
      <c r="B128" s="3" t="s">
        <v>1475</v>
      </c>
      <c r="C128" s="3" t="str">
        <f t="shared" si="7"/>
        <v>comAttribute.ID</v>
      </c>
      <c r="D128" s="3">
        <v>510</v>
      </c>
      <c r="E128" s="3" t="str">
        <f t="shared" si="8"/>
        <v>comAttribute</v>
      </c>
      <c r="F128" t="s">
        <v>0</v>
      </c>
      <c r="G128" s="3" t="s">
        <v>6462</v>
      </c>
      <c r="H128" s="3" t="str">
        <f t="shared" si="9"/>
        <v>Common.Attribute Type</v>
      </c>
      <c r="I128"/>
      <c r="K128" s="3" t="s">
        <v>0</v>
      </c>
      <c r="M128" t="s">
        <v>6007</v>
      </c>
      <c r="Q128" s="3" t="s">
        <v>919</v>
      </c>
      <c r="U128" s="3" t="s">
        <v>95</v>
      </c>
      <c r="AF128" t="s">
        <v>795</v>
      </c>
    </row>
    <row r="129" spans="1:34" ht="15" hidden="1" customHeight="1">
      <c r="A129">
        <v>11260</v>
      </c>
      <c r="B129" s="3" t="s">
        <v>1475</v>
      </c>
      <c r="C129" s="3" t="str">
        <f t="shared" si="7"/>
        <v>comAttribute.comAttributeIDParent</v>
      </c>
      <c r="D129" s="3">
        <v>510</v>
      </c>
      <c r="E129" s="3" t="str">
        <f t="shared" si="8"/>
        <v>comAttribute</v>
      </c>
      <c r="F129" t="str">
        <f>VLOOKUP(V129,DictionaryTableID,3,FALSE)&amp;"ID"&amp;X129</f>
        <v>comAttributeIDParent</v>
      </c>
      <c r="G129" s="3" t="s">
        <v>6397</v>
      </c>
      <c r="H129" s="3" t="str">
        <f t="shared" si="9"/>
        <v>Common.Attribute Type</v>
      </c>
      <c r="I129"/>
      <c r="K129" s="3" t="s">
        <v>211</v>
      </c>
      <c r="M129" t="s">
        <v>6007</v>
      </c>
      <c r="Q129" s="3" t="s">
        <v>92</v>
      </c>
      <c r="U129" s="3" t="s">
        <v>96</v>
      </c>
      <c r="V129">
        <v>510</v>
      </c>
      <c r="W129" s="3" t="str">
        <f>VLOOKUP(V129,DictionaryTableID,3,FALSE)</f>
        <v>comAttribute</v>
      </c>
      <c r="X129" s="3" t="s">
        <v>1220</v>
      </c>
      <c r="AB129" t="s">
        <v>92</v>
      </c>
      <c r="AF129" t="s">
        <v>796</v>
      </c>
    </row>
    <row r="130" spans="1:34" ht="15" hidden="1" customHeight="1">
      <c r="A130">
        <v>11270</v>
      </c>
      <c r="B130" s="3" t="s">
        <v>1475</v>
      </c>
      <c r="C130" s="3" t="str">
        <f t="shared" ref="C130:C193" si="12">CONCATENATE(E130,".",F130)</f>
        <v>comAttribute.sysMultilinkTableRuleID</v>
      </c>
      <c r="D130" s="3">
        <v>510</v>
      </c>
      <c r="E130" s="3" t="str">
        <f t="shared" si="8"/>
        <v>comAttribute</v>
      </c>
      <c r="F130" t="str">
        <f>VLOOKUP(V130,DictionaryTableID,3,FALSE)&amp;"ID"&amp;X130</f>
        <v>sysMultilinkTableRuleID</v>
      </c>
      <c r="G130" s="3" t="s">
        <v>7016</v>
      </c>
      <c r="H130" s="3" t="str">
        <f t="shared" si="9"/>
        <v>Common.Attribute Type</v>
      </c>
      <c r="K130" s="3" t="s">
        <v>40</v>
      </c>
      <c r="M130" t="s">
        <v>6007</v>
      </c>
      <c r="Q130" s="3" t="s">
        <v>92</v>
      </c>
      <c r="R130" s="3" t="str">
        <f>"select '"&amp;C130&amp;"' ColumnName, b.shortcode, count(*) count from "&amp;E130&amp;" a join referencefield b on b.id=a."&amp;F130&amp;" join referencetable c on c.id=b.referencetableid group by b.shortcode, order by count(*) desc union all"</f>
        <v>select 'comAttribute.sysMultilinkTableRuleID' ColumnName, b.shortcode, count(*) count from comAttribute a join referencefield b on b.id=a.sysMultilinkTableRuleID join referencetable c on c.id=b.referencetableid group by b.shortcode, order by count(*) desc union all</v>
      </c>
      <c r="U130" s="3" t="s">
        <v>96</v>
      </c>
      <c r="V130">
        <v>42</v>
      </c>
      <c r="W130" s="3" t="str">
        <f>VLOOKUP(V130,DictionaryTableID,3,FALSE)</f>
        <v>sysMultilinkTableRule</v>
      </c>
      <c r="X130" s="3"/>
      <c r="Y130" s="3"/>
      <c r="AB130" t="s">
        <v>92</v>
      </c>
      <c r="AF130" t="s">
        <v>800</v>
      </c>
    </row>
    <row r="131" spans="1:34" ht="15" hidden="1" customHeight="1">
      <c r="A131">
        <v>11280</v>
      </c>
      <c r="B131" s="3" t="s">
        <v>1475</v>
      </c>
      <c r="C131" s="3" t="str">
        <f t="shared" si="12"/>
        <v>comAttribute.Description</v>
      </c>
      <c r="D131" s="3">
        <v>510</v>
      </c>
      <c r="E131" s="3" t="str">
        <f t="shared" si="8"/>
        <v>comAttribute</v>
      </c>
      <c r="F131" t="s">
        <v>12</v>
      </c>
      <c r="G131" s="3" t="s">
        <v>7001</v>
      </c>
      <c r="H131" s="3" t="str">
        <f t="shared" si="9"/>
        <v>Common.Attribute Type</v>
      </c>
      <c r="I131"/>
      <c r="K131" s="3" t="s">
        <v>12</v>
      </c>
      <c r="M131" s="3" t="s">
        <v>196</v>
      </c>
      <c r="N131"/>
      <c r="Q131" s="3" t="s">
        <v>92</v>
      </c>
      <c r="U131" s="3" t="s">
        <v>93</v>
      </c>
      <c r="W131" s="3"/>
      <c r="AB131" t="s">
        <v>92</v>
      </c>
      <c r="AF131" t="s">
        <v>797</v>
      </c>
      <c r="AH131" t="s">
        <v>92</v>
      </c>
    </row>
    <row r="132" spans="1:34" ht="15" hidden="1" customHeight="1">
      <c r="A132">
        <v>11285</v>
      </c>
      <c r="B132" s="3" t="s">
        <v>1475</v>
      </c>
      <c r="C132" s="3" t="str">
        <f t="shared" si="12"/>
        <v>comAttribute.Label</v>
      </c>
      <c r="D132" s="3">
        <v>510</v>
      </c>
      <c r="E132" s="3" t="str">
        <f t="shared" si="8"/>
        <v>comAttribute</v>
      </c>
      <c r="F132" t="s">
        <v>106</v>
      </c>
      <c r="G132" s="3" t="s">
        <v>6398</v>
      </c>
      <c r="H132" s="3" t="str">
        <f t="shared" si="9"/>
        <v>Common.Attribute Type</v>
      </c>
      <c r="I132"/>
      <c r="K132" s="3" t="s">
        <v>106</v>
      </c>
      <c r="M132" s="3" t="s">
        <v>196</v>
      </c>
      <c r="N132"/>
      <c r="Q132" s="3" t="s">
        <v>92</v>
      </c>
      <c r="U132" s="3" t="s">
        <v>93</v>
      </c>
      <c r="W132" s="3"/>
      <c r="AB132" t="s">
        <v>92</v>
      </c>
      <c r="AF132" t="s">
        <v>797</v>
      </c>
      <c r="AH132" t="s">
        <v>92</v>
      </c>
    </row>
    <row r="133" spans="1:34" ht="15" hidden="1" customHeight="1">
      <c r="A133">
        <v>11290</v>
      </c>
      <c r="B133" s="3" t="s">
        <v>1475</v>
      </c>
      <c r="C133" s="3" t="str">
        <f t="shared" si="12"/>
        <v>comAttribute.sysDataTypeID</v>
      </c>
      <c r="D133" s="3">
        <v>510</v>
      </c>
      <c r="E133" s="3" t="str">
        <f t="shared" si="8"/>
        <v>comAttribute</v>
      </c>
      <c r="F133" t="str">
        <f>VLOOKUP(V133,DictionaryTableID,3,FALSE)&amp;"ID"&amp;X133</f>
        <v>sysDataTypeID</v>
      </c>
      <c r="G133" s="3" t="s">
        <v>6399</v>
      </c>
      <c r="H133" s="3" t="str">
        <f t="shared" si="9"/>
        <v>Common.Attribute Type</v>
      </c>
      <c r="I133"/>
      <c r="K133" s="3" t="s">
        <v>1961</v>
      </c>
      <c r="M133" s="3" t="s">
        <v>6007</v>
      </c>
      <c r="Q133" s="3" t="s">
        <v>92</v>
      </c>
      <c r="U133" s="3" t="s">
        <v>96</v>
      </c>
      <c r="V133">
        <v>26</v>
      </c>
      <c r="W133" s="3" t="str">
        <f>VLOOKUP(V133,DictionaryTableID,3,FALSE)</f>
        <v>sysDataType</v>
      </c>
      <c r="AB133" t="s">
        <v>92</v>
      </c>
      <c r="AF133" t="s">
        <v>799</v>
      </c>
    </row>
    <row r="134" spans="1:34" ht="15" hidden="1" customHeight="1">
      <c r="A134">
        <v>11295</v>
      </c>
      <c r="B134" s="3" t="s">
        <v>1475</v>
      </c>
      <c r="C134" s="3" t="str">
        <f t="shared" si="12"/>
        <v>comAttribute.IsMandatory</v>
      </c>
      <c r="D134" s="3">
        <v>510</v>
      </c>
      <c r="E134" s="3" t="str">
        <f t="shared" si="8"/>
        <v>comAttribute</v>
      </c>
      <c r="F134" t="s">
        <v>6401</v>
      </c>
      <c r="G134" s="3" t="s">
        <v>6402</v>
      </c>
      <c r="H134" s="3" t="str">
        <f t="shared" si="9"/>
        <v>Common.Attribute Type</v>
      </c>
      <c r="I134"/>
      <c r="K134" s="3" t="s">
        <v>361</v>
      </c>
      <c r="M134" s="3" t="s">
        <v>6007</v>
      </c>
      <c r="Q134" s="3" t="s">
        <v>92</v>
      </c>
      <c r="U134" s="3" t="s">
        <v>96</v>
      </c>
      <c r="V134">
        <v>26</v>
      </c>
      <c r="W134" s="3" t="str">
        <f>VLOOKUP(V134,DictionaryTableID,3,FALSE)</f>
        <v>sysDataType</v>
      </c>
      <c r="AB134" t="s">
        <v>92</v>
      </c>
      <c r="AF134" t="s">
        <v>799</v>
      </c>
    </row>
    <row r="135" spans="1:34" ht="15" hidden="1" customHeight="1">
      <c r="A135">
        <v>11300</v>
      </c>
      <c r="B135" s="3" t="s">
        <v>1475</v>
      </c>
      <c r="C135" s="3" t="str">
        <f t="shared" si="12"/>
        <v>comAttribute.DisplaySequence</v>
      </c>
      <c r="D135" s="3">
        <v>510</v>
      </c>
      <c r="E135" s="3" t="str">
        <f t="shared" si="8"/>
        <v>comAttribute</v>
      </c>
      <c r="F135" t="s">
        <v>6055</v>
      </c>
      <c r="G135" s="3" t="s">
        <v>6400</v>
      </c>
      <c r="H135" s="3" t="str">
        <f t="shared" si="9"/>
        <v>Common.Attribute Type</v>
      </c>
      <c r="I135"/>
      <c r="K135" s="3" t="s">
        <v>6297</v>
      </c>
      <c r="M135" s="3" t="s">
        <v>195</v>
      </c>
      <c r="Q135" s="3" t="s">
        <v>92</v>
      </c>
      <c r="U135" s="3" t="s">
        <v>93</v>
      </c>
      <c r="W135" s="3"/>
      <c r="AF135" t="s">
        <v>798</v>
      </c>
    </row>
    <row r="136" spans="1:34" ht="15" hidden="1" customHeight="1">
      <c r="A136">
        <v>11310</v>
      </c>
      <c r="B136" s="3" t="s">
        <v>1475</v>
      </c>
      <c r="C136" s="3" t="str">
        <f t="shared" si="12"/>
        <v>comAttribute.RowStatus</v>
      </c>
      <c r="D136" s="3">
        <v>510</v>
      </c>
      <c r="E136" s="3" t="str">
        <f t="shared" si="8"/>
        <v>comAttribute</v>
      </c>
      <c r="F136" t="s">
        <v>1445</v>
      </c>
      <c r="G136" s="3" t="s">
        <v>6411</v>
      </c>
      <c r="H136" s="3" t="str">
        <f t="shared" si="9"/>
        <v>Common.Attribute Type</v>
      </c>
      <c r="I136"/>
      <c r="K136" s="3" t="s">
        <v>2471</v>
      </c>
      <c r="M136" t="s">
        <v>976</v>
      </c>
      <c r="N136">
        <v>1</v>
      </c>
      <c r="Q136" s="3" t="s">
        <v>919</v>
      </c>
      <c r="U136" s="3" t="s">
        <v>94</v>
      </c>
      <c r="W136" s="3"/>
    </row>
    <row r="137" spans="1:34" ht="15" hidden="1" customHeight="1">
      <c r="A137">
        <v>11320</v>
      </c>
      <c r="B137" t="s">
        <v>1475</v>
      </c>
      <c r="C137" s="3" t="str">
        <f t="shared" si="12"/>
        <v>comAttribute.sysChangeHistoryID</v>
      </c>
      <c r="D137">
        <v>510</v>
      </c>
      <c r="E137" s="3" t="str">
        <f t="shared" si="8"/>
        <v>comAttribute</v>
      </c>
      <c r="F137" t="s">
        <v>2497</v>
      </c>
      <c r="G137" s="3" t="s">
        <v>6403</v>
      </c>
      <c r="H137" s="3" t="str">
        <f t="shared" si="9"/>
        <v>Common.Attribute Type</v>
      </c>
      <c r="I137"/>
      <c r="K137" t="s">
        <v>1210</v>
      </c>
      <c r="L137"/>
      <c r="M137" t="s">
        <v>6007</v>
      </c>
      <c r="N137"/>
      <c r="O137"/>
      <c r="P137"/>
      <c r="Q137" t="s">
        <v>92</v>
      </c>
      <c r="R137"/>
      <c r="S137"/>
      <c r="U137" t="s">
        <v>1429</v>
      </c>
      <c r="W137" s="3"/>
      <c r="X137" s="3"/>
    </row>
    <row r="138" spans="1:34" ht="15" hidden="1" customHeight="1">
      <c r="A138">
        <v>11330</v>
      </c>
      <c r="B138" s="3" t="s">
        <v>1475</v>
      </c>
      <c r="C138" s="3" t="str">
        <f t="shared" si="12"/>
        <v>comAttributeDetail.ID</v>
      </c>
      <c r="D138" s="3">
        <v>511</v>
      </c>
      <c r="E138" s="3" t="str">
        <f t="shared" si="8"/>
        <v>comAttributeDetail</v>
      </c>
      <c r="F138" t="s">
        <v>0</v>
      </c>
      <c r="G138" s="3" t="s">
        <v>6463</v>
      </c>
      <c r="H138" s="3" t="str">
        <f t="shared" si="9"/>
        <v>Common.Attribute</v>
      </c>
      <c r="I138"/>
      <c r="K138" s="3" t="s">
        <v>0</v>
      </c>
      <c r="M138" t="s">
        <v>6007</v>
      </c>
      <c r="Q138" s="3" t="s">
        <v>919</v>
      </c>
      <c r="U138" s="3" t="s">
        <v>95</v>
      </c>
      <c r="AF138" t="s">
        <v>801</v>
      </c>
    </row>
    <row r="139" spans="1:34" ht="15" hidden="1" customHeight="1">
      <c r="A139">
        <v>11340</v>
      </c>
      <c r="B139" s="3" t="s">
        <v>1475</v>
      </c>
      <c r="C139" s="3" t="str">
        <f t="shared" si="12"/>
        <v>comAttributeDetail.comAttributeID</v>
      </c>
      <c r="D139" s="3">
        <v>511</v>
      </c>
      <c r="E139" s="3" t="str">
        <f t="shared" si="8"/>
        <v>comAttributeDetail</v>
      </c>
      <c r="F139" t="str">
        <f>VLOOKUP(V139,DictionaryTableID,3,FALSE)&amp;"ID"&amp;X139</f>
        <v>comAttributeID</v>
      </c>
      <c r="G139" s="3" t="s">
        <v>6406</v>
      </c>
      <c r="H139" s="3" t="str">
        <f t="shared" si="9"/>
        <v>Common.Attribute</v>
      </c>
      <c r="I139"/>
      <c r="K139" s="3" t="s">
        <v>211</v>
      </c>
      <c r="M139" t="s">
        <v>6007</v>
      </c>
      <c r="Q139" s="3" t="s">
        <v>919</v>
      </c>
      <c r="U139" s="3" t="s">
        <v>96</v>
      </c>
      <c r="V139">
        <v>510</v>
      </c>
      <c r="W139" s="3" t="str">
        <f>VLOOKUP(V139,DictionaryTableID,3,FALSE)</f>
        <v>comAttribute</v>
      </c>
      <c r="X139" s="3" t="s">
        <v>1036</v>
      </c>
      <c r="AB139" t="s">
        <v>92</v>
      </c>
      <c r="AF139" t="s">
        <v>804</v>
      </c>
    </row>
    <row r="140" spans="1:34" ht="15" customHeight="1">
      <c r="A140">
        <v>11350</v>
      </c>
      <c r="B140" s="3" t="s">
        <v>1475</v>
      </c>
      <c r="C140" s="3" t="str">
        <f t="shared" si="12"/>
        <v>comAttributeDetail.sysDictionaryTableIDAppliesTo</v>
      </c>
      <c r="D140" s="3">
        <v>511</v>
      </c>
      <c r="E140" s="3" t="str">
        <f t="shared" si="8"/>
        <v>comAttributeDetail</v>
      </c>
      <c r="F140" t="str">
        <f>"sysDictionaryTableID"&amp;X140</f>
        <v>sysDictionaryTableIDAppliesTo</v>
      </c>
      <c r="G140" s="3" t="s">
        <v>6471</v>
      </c>
      <c r="H140" s="3" t="str">
        <f t="shared" si="9"/>
        <v>Common.Attribute</v>
      </c>
      <c r="I140"/>
      <c r="K140" t="s">
        <v>6389</v>
      </c>
      <c r="M140" t="s">
        <v>6007</v>
      </c>
      <c r="N140"/>
      <c r="O140"/>
      <c r="Q140" s="3" t="s">
        <v>92</v>
      </c>
      <c r="R140"/>
      <c r="S140"/>
      <c r="T140"/>
      <c r="U140" t="s">
        <v>1072</v>
      </c>
      <c r="V140">
        <v>1</v>
      </c>
      <c r="W140" s="3" t="str">
        <f>VLOOKUP(V140,DictionaryTableID,3,FALSE)</f>
        <v>sysDictionaryTable</v>
      </c>
      <c r="X140" s="3" t="s">
        <v>1453</v>
      </c>
      <c r="AB140" t="s">
        <v>92</v>
      </c>
    </row>
    <row r="141" spans="1:34" ht="15" customHeight="1">
      <c r="A141">
        <v>11360</v>
      </c>
      <c r="B141" s="3" t="s">
        <v>1475</v>
      </c>
      <c r="C141" s="3" t="str">
        <f t="shared" si="12"/>
        <v>comAttributeDetail.RowIDAppliesTo</v>
      </c>
      <c r="D141" s="3">
        <v>511</v>
      </c>
      <c r="E141" s="3" t="str">
        <f t="shared" si="8"/>
        <v>comAttributeDetail</v>
      </c>
      <c r="F141" t="s">
        <v>6150</v>
      </c>
      <c r="G141" s="3" t="s">
        <v>6464</v>
      </c>
      <c r="H141" s="3" t="str">
        <f t="shared" si="9"/>
        <v>Common.Attribute</v>
      </c>
      <c r="I141"/>
      <c r="K141" s="3" t="s">
        <v>7015</v>
      </c>
      <c r="M141" t="s">
        <v>6007</v>
      </c>
      <c r="Q141" s="3" t="s">
        <v>92</v>
      </c>
      <c r="U141" t="s">
        <v>1072</v>
      </c>
      <c r="W141" s="3"/>
      <c r="X141" s="3" t="s">
        <v>1453</v>
      </c>
      <c r="AB141" t="s">
        <v>92</v>
      </c>
      <c r="AF141" t="s">
        <v>803</v>
      </c>
    </row>
    <row r="142" spans="1:34" ht="15" hidden="1" customHeight="1">
      <c r="A142">
        <v>11370</v>
      </c>
      <c r="B142" s="3" t="s">
        <v>1475</v>
      </c>
      <c r="C142" s="3" t="str">
        <f t="shared" si="12"/>
        <v>comAttributeDetail.AttributeValue</v>
      </c>
      <c r="D142" s="3">
        <v>511</v>
      </c>
      <c r="E142" s="3" t="str">
        <f t="shared" si="8"/>
        <v>comAttributeDetail</v>
      </c>
      <c r="F142" t="s">
        <v>6404</v>
      </c>
      <c r="G142" s="3" t="s">
        <v>6407</v>
      </c>
      <c r="H142" s="3" t="str">
        <f t="shared" si="9"/>
        <v>Common.Attribute</v>
      </c>
      <c r="I142"/>
      <c r="K142" s="3" t="s">
        <v>6405</v>
      </c>
      <c r="M142" s="3" t="s">
        <v>196</v>
      </c>
      <c r="N142"/>
      <c r="Q142" s="3" t="s">
        <v>92</v>
      </c>
      <c r="U142" s="3" t="s">
        <v>93</v>
      </c>
      <c r="W142" s="3"/>
      <c r="AB142" t="s">
        <v>92</v>
      </c>
      <c r="AF142" t="s">
        <v>805</v>
      </c>
    </row>
    <row r="143" spans="1:34" ht="15" hidden="1" customHeight="1">
      <c r="A143">
        <v>11380</v>
      </c>
      <c r="B143" s="3" t="s">
        <v>1475</v>
      </c>
      <c r="C143" s="3" t="str">
        <f t="shared" si="12"/>
        <v>comAttributeDetail.RowStatus</v>
      </c>
      <c r="D143" s="3">
        <v>511</v>
      </c>
      <c r="E143" s="3" t="str">
        <f t="shared" si="8"/>
        <v>comAttributeDetail</v>
      </c>
      <c r="F143" t="s">
        <v>1445</v>
      </c>
      <c r="G143" s="3" t="s">
        <v>6411</v>
      </c>
      <c r="H143" s="3" t="str">
        <f t="shared" si="9"/>
        <v>Common.Attribute</v>
      </c>
      <c r="I143"/>
      <c r="K143" s="3" t="s">
        <v>2471</v>
      </c>
      <c r="M143" t="s">
        <v>976</v>
      </c>
      <c r="N143">
        <v>1</v>
      </c>
      <c r="Q143" s="3" t="s">
        <v>919</v>
      </c>
      <c r="U143" s="3" t="s">
        <v>94</v>
      </c>
      <c r="W143" s="3"/>
    </row>
    <row r="144" spans="1:34" ht="15" hidden="1" customHeight="1">
      <c r="A144">
        <v>11390</v>
      </c>
      <c r="B144" t="s">
        <v>1475</v>
      </c>
      <c r="C144" s="3" t="str">
        <f t="shared" si="12"/>
        <v>comAttributeDetail.sysChangeHistoryID</v>
      </c>
      <c r="D144">
        <v>511</v>
      </c>
      <c r="E144" s="3" t="str">
        <f t="shared" si="8"/>
        <v>comAttributeDetail</v>
      </c>
      <c r="F144" t="s">
        <v>2497</v>
      </c>
      <c r="G144" s="3" t="s">
        <v>6403</v>
      </c>
      <c r="H144" s="3" t="str">
        <f t="shared" si="9"/>
        <v>Common.Attribute</v>
      </c>
      <c r="I144"/>
      <c r="K144" t="s">
        <v>1210</v>
      </c>
      <c r="L144"/>
      <c r="M144" t="s">
        <v>6007</v>
      </c>
      <c r="N144"/>
      <c r="O144"/>
      <c r="P144"/>
      <c r="Q144" t="s">
        <v>92</v>
      </c>
      <c r="R144"/>
      <c r="S144"/>
      <c r="U144" t="s">
        <v>1429</v>
      </c>
      <c r="W144" s="3"/>
      <c r="X144" s="3"/>
    </row>
    <row r="145" spans="1:34" ht="15" hidden="1" customHeight="1">
      <c r="A145">
        <v>11400</v>
      </c>
      <c r="B145" t="s">
        <v>1475</v>
      </c>
      <c r="C145" s="3" t="str">
        <f t="shared" si="12"/>
        <v>comCity.ID</v>
      </c>
      <c r="D145">
        <v>500</v>
      </c>
      <c r="E145" s="3" t="str">
        <f t="shared" si="8"/>
        <v>comCity</v>
      </c>
      <c r="F145" t="s">
        <v>0</v>
      </c>
      <c r="G145" s="3" t="s">
        <v>6465</v>
      </c>
      <c r="H145" s="3" t="str">
        <f t="shared" si="9"/>
        <v>Common.City</v>
      </c>
      <c r="I145"/>
      <c r="K145" t="s">
        <v>1127</v>
      </c>
      <c r="L145"/>
      <c r="M145" t="s">
        <v>6007</v>
      </c>
      <c r="N145"/>
      <c r="O145"/>
      <c r="P145"/>
      <c r="Q145" s="3" t="s">
        <v>919</v>
      </c>
      <c r="R145"/>
      <c r="S145"/>
      <c r="U145" s="3" t="s">
        <v>95</v>
      </c>
      <c r="AC145" t="s">
        <v>92</v>
      </c>
    </row>
    <row r="146" spans="1:34" ht="15" hidden="1" customHeight="1">
      <c r="A146">
        <v>11410</v>
      </c>
      <c r="B146" t="s">
        <v>1475</v>
      </c>
      <c r="C146" s="3" t="str">
        <f t="shared" si="12"/>
        <v>comCity.comCountryID</v>
      </c>
      <c r="D146">
        <v>500</v>
      </c>
      <c r="E146" s="3" t="str">
        <f t="shared" si="8"/>
        <v>comCity</v>
      </c>
      <c r="F146" t="str">
        <f>VLOOKUP(V146,DictionaryTableID,3,FALSE)&amp;"ID"&amp;X146</f>
        <v>comCountryID</v>
      </c>
      <c r="G146" s="3" t="s">
        <v>6466</v>
      </c>
      <c r="H146" s="3" t="str">
        <f t="shared" si="9"/>
        <v>Common.City</v>
      </c>
      <c r="I146"/>
      <c r="K146" t="s">
        <v>1082</v>
      </c>
      <c r="L146"/>
      <c r="M146" t="s">
        <v>6007</v>
      </c>
      <c r="N146"/>
      <c r="O146"/>
      <c r="P146"/>
      <c r="Q146" t="s">
        <v>92</v>
      </c>
      <c r="R146"/>
      <c r="S146"/>
      <c r="U146" t="s">
        <v>96</v>
      </c>
      <c r="V146">
        <v>502</v>
      </c>
      <c r="W146" s="3" t="str">
        <f>VLOOKUP(V146,DictionaryTableID,3,FALSE)</f>
        <v>comCountry</v>
      </c>
      <c r="X146" s="3" t="s">
        <v>1036</v>
      </c>
      <c r="AB146" t="s">
        <v>92</v>
      </c>
    </row>
    <row r="147" spans="1:34" ht="15" hidden="1" customHeight="1">
      <c r="A147">
        <v>11420</v>
      </c>
      <c r="B147" t="s">
        <v>1475</v>
      </c>
      <c r="C147" s="3" t="str">
        <f t="shared" si="12"/>
        <v>comCity.comProvinceStateID</v>
      </c>
      <c r="D147">
        <v>500</v>
      </c>
      <c r="E147" s="3" t="str">
        <f t="shared" si="8"/>
        <v>comCity</v>
      </c>
      <c r="F147" t="str">
        <f>VLOOKUP(V147,DictionaryTableID,3,FALSE)&amp;"ID"&amp;X147</f>
        <v>comProvinceStateID</v>
      </c>
      <c r="G147" s="3" t="s">
        <v>6467</v>
      </c>
      <c r="H147" s="3" t="str">
        <f t="shared" si="9"/>
        <v>Common.City</v>
      </c>
      <c r="I147"/>
      <c r="K147" t="s">
        <v>3</v>
      </c>
      <c r="L147"/>
      <c r="M147" t="s">
        <v>6007</v>
      </c>
      <c r="N147"/>
      <c r="O147"/>
      <c r="P147"/>
      <c r="Q147" t="s">
        <v>919</v>
      </c>
      <c r="R147"/>
      <c r="S147"/>
      <c r="U147" t="s">
        <v>96</v>
      </c>
      <c r="V147">
        <v>501</v>
      </c>
      <c r="W147" s="3" t="str">
        <f>VLOOKUP(V147,DictionaryTableID,3,FALSE)</f>
        <v>comProvinceState</v>
      </c>
      <c r="X147" s="3"/>
      <c r="AB147" t="s">
        <v>92</v>
      </c>
    </row>
    <row r="148" spans="1:34" ht="15" hidden="1" customHeight="1">
      <c r="A148">
        <v>11430</v>
      </c>
      <c r="B148" t="s">
        <v>1475</v>
      </c>
      <c r="C148" s="3" t="str">
        <f t="shared" si="12"/>
        <v>comCity.Name</v>
      </c>
      <c r="D148">
        <v>500</v>
      </c>
      <c r="E148" s="3" t="str">
        <f t="shared" ref="E148:E211" si="13">VLOOKUP(D148,DictionaryTableID,3,FALSE)</f>
        <v>comCity</v>
      </c>
      <c r="F148" t="s">
        <v>22</v>
      </c>
      <c r="G148" s="3" t="s">
        <v>6901</v>
      </c>
      <c r="H148" s="3" t="str">
        <f t="shared" ref="H148:H211" si="14">VLOOKUP(E148,DictionaryTables,14,FALSE)</f>
        <v>Common.City</v>
      </c>
      <c r="I148"/>
      <c r="K148" t="s">
        <v>22</v>
      </c>
      <c r="L148"/>
      <c r="M148" t="s">
        <v>196</v>
      </c>
      <c r="N148"/>
      <c r="O148"/>
      <c r="P148"/>
      <c r="Q148" t="s">
        <v>919</v>
      </c>
      <c r="R148"/>
      <c r="S148"/>
      <c r="U148" t="s">
        <v>93</v>
      </c>
      <c r="AB148" t="s">
        <v>92</v>
      </c>
      <c r="AH148" t="s">
        <v>92</v>
      </c>
    </row>
    <row r="149" spans="1:34" ht="15" hidden="1" customHeight="1">
      <c r="A149">
        <v>11440</v>
      </c>
      <c r="B149" t="s">
        <v>1475</v>
      </c>
      <c r="C149" s="3" t="str">
        <f t="shared" si="12"/>
        <v>comCity.RowStatus</v>
      </c>
      <c r="D149">
        <v>500</v>
      </c>
      <c r="E149" s="3" t="str">
        <f t="shared" si="13"/>
        <v>comCity</v>
      </c>
      <c r="F149" t="s">
        <v>1445</v>
      </c>
      <c r="G149" s="3" t="s">
        <v>6411</v>
      </c>
      <c r="H149" s="3" t="str">
        <f t="shared" si="14"/>
        <v>Common.City</v>
      </c>
      <c r="I149"/>
      <c r="K149" s="3" t="s">
        <v>2471</v>
      </c>
      <c r="L149"/>
      <c r="M149" t="s">
        <v>976</v>
      </c>
      <c r="N149">
        <v>1</v>
      </c>
      <c r="O149"/>
      <c r="P149"/>
      <c r="Q149" t="s">
        <v>919</v>
      </c>
      <c r="R149"/>
      <c r="S149" s="14"/>
      <c r="U149" t="s">
        <v>94</v>
      </c>
    </row>
    <row r="150" spans="1:34" ht="15" hidden="1" customHeight="1">
      <c r="A150">
        <v>11450</v>
      </c>
      <c r="B150" t="s">
        <v>1475</v>
      </c>
      <c r="C150" s="3" t="str">
        <f t="shared" si="12"/>
        <v>comCity.sysChangeHistoryID</v>
      </c>
      <c r="D150">
        <v>500</v>
      </c>
      <c r="E150" s="3" t="str">
        <f t="shared" si="13"/>
        <v>comCity</v>
      </c>
      <c r="F150" t="s">
        <v>2497</v>
      </c>
      <c r="G150" s="3" t="s">
        <v>6403</v>
      </c>
      <c r="H150" s="3" t="str">
        <f t="shared" si="14"/>
        <v>Common.City</v>
      </c>
      <c r="I150"/>
      <c r="K150" t="s">
        <v>1210</v>
      </c>
      <c r="L150"/>
      <c r="M150" t="s">
        <v>6007</v>
      </c>
      <c r="N150"/>
      <c r="O150"/>
      <c r="P150"/>
      <c r="Q150" t="s">
        <v>92</v>
      </c>
      <c r="R150"/>
      <c r="S150"/>
      <c r="U150" t="s">
        <v>1429</v>
      </c>
      <c r="W150" s="3"/>
      <c r="X150" s="3"/>
    </row>
    <row r="151" spans="1:34" ht="15" hidden="1" customHeight="1">
      <c r="A151">
        <v>11460</v>
      </c>
      <c r="B151" s="3" t="s">
        <v>1475</v>
      </c>
      <c r="C151" s="3" t="str">
        <f t="shared" si="12"/>
        <v>comCountry.ID</v>
      </c>
      <c r="D151">
        <v>502</v>
      </c>
      <c r="E151" s="3" t="str">
        <f t="shared" si="13"/>
        <v>comCountry</v>
      </c>
      <c r="F151" t="s">
        <v>0</v>
      </c>
      <c r="G151" s="3" t="s">
        <v>6468</v>
      </c>
      <c r="H151" s="3" t="str">
        <f t="shared" si="14"/>
        <v>Common.Country</v>
      </c>
      <c r="I151"/>
      <c r="K151" s="3" t="s">
        <v>0</v>
      </c>
      <c r="M151" t="s">
        <v>6007</v>
      </c>
      <c r="N151"/>
      <c r="O151"/>
      <c r="Q151" s="3" t="s">
        <v>919</v>
      </c>
      <c r="U151" s="3" t="s">
        <v>95</v>
      </c>
    </row>
    <row r="152" spans="1:34" ht="15" hidden="1" customHeight="1">
      <c r="A152">
        <v>11470</v>
      </c>
      <c r="B152" s="3" t="s">
        <v>1475</v>
      </c>
      <c r="C152" s="3" t="str">
        <f t="shared" si="12"/>
        <v>comCountry.Name</v>
      </c>
      <c r="D152">
        <v>502</v>
      </c>
      <c r="E152" s="3" t="str">
        <f t="shared" si="13"/>
        <v>comCountry</v>
      </c>
      <c r="F152" t="s">
        <v>22</v>
      </c>
      <c r="G152" s="3" t="s">
        <v>6902</v>
      </c>
      <c r="H152" s="3" t="str">
        <f t="shared" si="14"/>
        <v>Common.Country</v>
      </c>
      <c r="I152"/>
      <c r="K152" s="3" t="s">
        <v>22</v>
      </c>
      <c r="M152" t="s">
        <v>196</v>
      </c>
      <c r="N152"/>
      <c r="O152"/>
      <c r="Q152" s="3" t="s">
        <v>919</v>
      </c>
      <c r="U152" t="s">
        <v>93</v>
      </c>
      <c r="AB152" t="s">
        <v>92</v>
      </c>
      <c r="AH152" t="s">
        <v>92</v>
      </c>
    </row>
    <row r="153" spans="1:34" ht="15" hidden="1" customHeight="1">
      <c r="A153">
        <v>11480</v>
      </c>
      <c r="B153" s="3" t="s">
        <v>1475</v>
      </c>
      <c r="C153" s="3" t="str">
        <f t="shared" si="12"/>
        <v>comCountry.ShortCode</v>
      </c>
      <c r="D153">
        <v>502</v>
      </c>
      <c r="E153" s="3" t="str">
        <f t="shared" si="13"/>
        <v>comCountry</v>
      </c>
      <c r="F153" t="s">
        <v>16</v>
      </c>
      <c r="G153" s="3" t="s">
        <v>6434</v>
      </c>
      <c r="H153" s="3" t="str">
        <f t="shared" si="14"/>
        <v>Common.Country</v>
      </c>
      <c r="I153"/>
      <c r="K153" s="3" t="s">
        <v>117</v>
      </c>
      <c r="M153" t="s">
        <v>196</v>
      </c>
      <c r="N153"/>
      <c r="O153"/>
      <c r="Q153" s="3" t="s">
        <v>92</v>
      </c>
      <c r="U153" t="s">
        <v>93</v>
      </c>
      <c r="AB153" t="s">
        <v>92</v>
      </c>
      <c r="AH153" t="s">
        <v>92</v>
      </c>
    </row>
    <row r="154" spans="1:34" ht="15" hidden="1" customHeight="1">
      <c r="A154">
        <v>11490</v>
      </c>
      <c r="B154" s="3" t="s">
        <v>1475</v>
      </c>
      <c r="C154" s="3" t="str">
        <f t="shared" si="12"/>
        <v>comCountry.RowStatus</v>
      </c>
      <c r="D154">
        <v>502</v>
      </c>
      <c r="E154" s="3" t="str">
        <f t="shared" si="13"/>
        <v>comCountry</v>
      </c>
      <c r="F154" t="s">
        <v>1445</v>
      </c>
      <c r="G154" s="3" t="s">
        <v>6411</v>
      </c>
      <c r="H154" s="3" t="str">
        <f t="shared" si="14"/>
        <v>Common.Country</v>
      </c>
      <c r="I154"/>
      <c r="K154" s="3" t="s">
        <v>2471</v>
      </c>
      <c r="M154" t="s">
        <v>976</v>
      </c>
      <c r="N154">
        <v>1</v>
      </c>
      <c r="O154"/>
      <c r="Q154" s="3" t="s">
        <v>919</v>
      </c>
      <c r="U154" t="s">
        <v>94</v>
      </c>
    </row>
    <row r="155" spans="1:34" ht="15" hidden="1" customHeight="1">
      <c r="A155">
        <v>11500</v>
      </c>
      <c r="B155" t="s">
        <v>1475</v>
      </c>
      <c r="C155" s="3" t="str">
        <f t="shared" si="12"/>
        <v>comCountry.sysChangeHistoryID</v>
      </c>
      <c r="D155">
        <v>502</v>
      </c>
      <c r="E155" s="3" t="str">
        <f t="shared" si="13"/>
        <v>comCountry</v>
      </c>
      <c r="F155" t="s">
        <v>2497</v>
      </c>
      <c r="G155" s="3" t="s">
        <v>6403</v>
      </c>
      <c r="H155" s="3" t="str">
        <f t="shared" si="14"/>
        <v>Common.Country</v>
      </c>
      <c r="I155"/>
      <c r="K155" t="s">
        <v>1210</v>
      </c>
      <c r="L155"/>
      <c r="M155" t="s">
        <v>6007</v>
      </c>
      <c r="N155"/>
      <c r="O155"/>
      <c r="P155"/>
      <c r="Q155" t="s">
        <v>92</v>
      </c>
      <c r="R155"/>
      <c r="S155"/>
      <c r="U155" t="s">
        <v>1429</v>
      </c>
      <c r="W155" s="3"/>
      <c r="X155" s="3"/>
    </row>
    <row r="156" spans="1:34" ht="15" hidden="1" customHeight="1">
      <c r="A156">
        <v>11510</v>
      </c>
      <c r="B156" s="3" t="s">
        <v>1475</v>
      </c>
      <c r="C156" s="3" t="str">
        <f t="shared" si="12"/>
        <v>comCrossReference.ID</v>
      </c>
      <c r="D156" s="3">
        <v>520</v>
      </c>
      <c r="E156" s="3" t="str">
        <f t="shared" si="13"/>
        <v>comCrossReference</v>
      </c>
      <c r="F156" t="s">
        <v>0</v>
      </c>
      <c r="G156" s="3" t="s">
        <v>6469</v>
      </c>
      <c r="H156" s="3" t="str">
        <f t="shared" si="14"/>
        <v>Common.Cross Reference</v>
      </c>
      <c r="I156"/>
      <c r="K156" s="3" t="s">
        <v>0</v>
      </c>
      <c r="M156" t="s">
        <v>6007</v>
      </c>
      <c r="Q156" s="3" t="s">
        <v>919</v>
      </c>
      <c r="U156" s="3" t="s">
        <v>95</v>
      </c>
      <c r="AF156" t="s">
        <v>690</v>
      </c>
    </row>
    <row r="157" spans="1:34" ht="15" hidden="1" customHeight="1">
      <c r="A157">
        <v>11520</v>
      </c>
      <c r="B157" s="3" t="s">
        <v>1475</v>
      </c>
      <c r="C157" s="3" t="str">
        <f t="shared" si="12"/>
        <v>comCrossReference.comCrossReferenceTypeID</v>
      </c>
      <c r="D157" s="3">
        <v>520</v>
      </c>
      <c r="E157" s="3" t="str">
        <f t="shared" si="13"/>
        <v>comCrossReference</v>
      </c>
      <c r="F157" t="str">
        <f>VLOOKUP(V157,DictionaryTableID,3,FALSE)&amp;"ID"&amp;X157</f>
        <v>comCrossReferenceTypeID</v>
      </c>
      <c r="G157" s="3" t="s">
        <v>6470</v>
      </c>
      <c r="H157" s="3" t="str">
        <f t="shared" si="14"/>
        <v>Common.Cross Reference</v>
      </c>
      <c r="I157"/>
      <c r="K157" s="3" t="s">
        <v>40</v>
      </c>
      <c r="M157" t="s">
        <v>6007</v>
      </c>
      <c r="Q157" s="3" t="s">
        <v>919</v>
      </c>
      <c r="U157" s="3" t="s">
        <v>96</v>
      </c>
      <c r="V157">
        <v>521</v>
      </c>
      <c r="W157" s="3" t="str">
        <f>VLOOKUP(V157,DictionaryTableID,3,FALSE)</f>
        <v>comCrossReferenceType</v>
      </c>
      <c r="X157" s="3"/>
      <c r="AB157" t="s">
        <v>92</v>
      </c>
      <c r="AF157" t="s">
        <v>694</v>
      </c>
    </row>
    <row r="158" spans="1:34" ht="15" customHeight="1">
      <c r="A158">
        <v>11530</v>
      </c>
      <c r="B158" s="3" t="s">
        <v>1475</v>
      </c>
      <c r="C158" s="3" t="str">
        <f t="shared" si="12"/>
        <v>comCrossReference.sysDictionaryTableIDAppliesTo</v>
      </c>
      <c r="D158" s="3">
        <v>520</v>
      </c>
      <c r="E158" s="3" t="str">
        <f t="shared" si="13"/>
        <v>comCrossReference</v>
      </c>
      <c r="F158" t="str">
        <f>"sysDictionaryTableID"&amp;X158</f>
        <v>sysDictionaryTableIDAppliesTo</v>
      </c>
      <c r="G158" s="3" t="s">
        <v>6471</v>
      </c>
      <c r="H158" s="3" t="str">
        <f t="shared" si="14"/>
        <v>Common.Cross Reference</v>
      </c>
      <c r="I158"/>
      <c r="K158" t="s">
        <v>6389</v>
      </c>
      <c r="M158" t="s">
        <v>6007</v>
      </c>
      <c r="N158"/>
      <c r="Q158" s="3" t="s">
        <v>919</v>
      </c>
      <c r="S158" s="19">
        <v>100</v>
      </c>
      <c r="U158" t="s">
        <v>1072</v>
      </c>
      <c r="V158">
        <v>1</v>
      </c>
      <c r="W158" s="3" t="str">
        <f>VLOOKUP(V158,DictionaryTableID,3,FALSE)</f>
        <v>sysDictionaryTable</v>
      </c>
      <c r="X158" s="3" t="s">
        <v>1453</v>
      </c>
      <c r="AB158" t="s">
        <v>92</v>
      </c>
      <c r="AF158" t="s">
        <v>691</v>
      </c>
    </row>
    <row r="159" spans="1:34" ht="15" customHeight="1">
      <c r="A159">
        <v>11540</v>
      </c>
      <c r="B159" s="3" t="s">
        <v>1475</v>
      </c>
      <c r="C159" s="3" t="str">
        <f t="shared" si="12"/>
        <v>comCrossReference.RowIDAppliesTo</v>
      </c>
      <c r="D159" s="3">
        <v>520</v>
      </c>
      <c r="E159" s="3" t="str">
        <f t="shared" si="13"/>
        <v>comCrossReference</v>
      </c>
      <c r="F159" t="s">
        <v>6150</v>
      </c>
      <c r="G159" s="3" t="s">
        <v>6472</v>
      </c>
      <c r="H159" s="3" t="str">
        <f t="shared" si="14"/>
        <v>Common.Cross Reference</v>
      </c>
      <c r="I159"/>
      <c r="K159" s="3" t="s">
        <v>340</v>
      </c>
      <c r="M159" t="s">
        <v>6007</v>
      </c>
      <c r="Q159" s="3" t="s">
        <v>92</v>
      </c>
      <c r="U159" t="s">
        <v>1072</v>
      </c>
      <c r="W159" s="3"/>
      <c r="X159" s="3" t="s">
        <v>1453</v>
      </c>
      <c r="AB159" t="s">
        <v>92</v>
      </c>
      <c r="AF159" t="s">
        <v>692</v>
      </c>
    </row>
    <row r="160" spans="1:34" ht="15" hidden="1" customHeight="1">
      <c r="A160">
        <v>11550</v>
      </c>
      <c r="B160" s="3" t="s">
        <v>1475</v>
      </c>
      <c r="C160" s="3" t="str">
        <f t="shared" si="12"/>
        <v>comCrossReference.Number</v>
      </c>
      <c r="D160" s="3">
        <v>520</v>
      </c>
      <c r="E160" s="3" t="str">
        <f t="shared" si="13"/>
        <v>comCrossReference</v>
      </c>
      <c r="F160" t="s">
        <v>279</v>
      </c>
      <c r="G160" s="3" t="s">
        <v>6473</v>
      </c>
      <c r="H160" s="3" t="str">
        <f t="shared" si="14"/>
        <v>Common.Cross Reference</v>
      </c>
      <c r="I160"/>
      <c r="K160" s="3" t="s">
        <v>279</v>
      </c>
      <c r="M160" s="3" t="s">
        <v>196</v>
      </c>
      <c r="Q160" s="3" t="s">
        <v>92</v>
      </c>
      <c r="U160" s="3" t="s">
        <v>93</v>
      </c>
      <c r="AB160" t="s">
        <v>92</v>
      </c>
      <c r="AF160" t="s">
        <v>693</v>
      </c>
    </row>
    <row r="161" spans="1:34" ht="15" hidden="1" customHeight="1">
      <c r="A161">
        <v>11560</v>
      </c>
      <c r="B161" s="3" t="s">
        <v>1475</v>
      </c>
      <c r="C161" s="3" t="str">
        <f t="shared" si="12"/>
        <v>comCrossReference.RowStatus</v>
      </c>
      <c r="D161" s="3">
        <v>520</v>
      </c>
      <c r="E161" s="3" t="str">
        <f t="shared" si="13"/>
        <v>comCrossReference</v>
      </c>
      <c r="F161" t="s">
        <v>1445</v>
      </c>
      <c r="G161" s="3" t="s">
        <v>6411</v>
      </c>
      <c r="H161" s="3" t="str">
        <f t="shared" si="14"/>
        <v>Common.Cross Reference</v>
      </c>
      <c r="I161"/>
      <c r="K161" t="s">
        <v>2471</v>
      </c>
      <c r="M161" t="s">
        <v>976</v>
      </c>
      <c r="N161">
        <v>1</v>
      </c>
      <c r="Q161" s="3" t="s">
        <v>919</v>
      </c>
      <c r="U161" s="3" t="s">
        <v>94</v>
      </c>
    </row>
    <row r="162" spans="1:34" ht="15" hidden="1" customHeight="1">
      <c r="A162">
        <v>11570</v>
      </c>
      <c r="B162" t="s">
        <v>1475</v>
      </c>
      <c r="C162" s="3" t="str">
        <f t="shared" si="12"/>
        <v>comCrossReference.sysChangeHistoryID</v>
      </c>
      <c r="D162">
        <v>520</v>
      </c>
      <c r="E162" s="3" t="str">
        <f t="shared" si="13"/>
        <v>comCrossReference</v>
      </c>
      <c r="F162" t="s">
        <v>2497</v>
      </c>
      <c r="G162" s="3" t="s">
        <v>6403</v>
      </c>
      <c r="H162" s="3" t="str">
        <f t="shared" si="14"/>
        <v>Common.Cross Reference</v>
      </c>
      <c r="I162"/>
      <c r="K162" t="s">
        <v>1210</v>
      </c>
      <c r="L162"/>
      <c r="M162" t="s">
        <v>6007</v>
      </c>
      <c r="N162"/>
      <c r="O162"/>
      <c r="P162"/>
      <c r="Q162" t="s">
        <v>92</v>
      </c>
      <c r="R162"/>
      <c r="S162"/>
      <c r="U162" t="s">
        <v>1429</v>
      </c>
      <c r="W162" s="3"/>
      <c r="X162" s="3"/>
    </row>
    <row r="163" spans="1:34" ht="15" hidden="1" customHeight="1">
      <c r="A163">
        <v>11580</v>
      </c>
      <c r="B163" s="3" t="s">
        <v>1475</v>
      </c>
      <c r="C163" s="3" t="str">
        <f t="shared" si="12"/>
        <v>comCrossReferenceType.ID</v>
      </c>
      <c r="D163" s="3">
        <v>521</v>
      </c>
      <c r="E163" s="3" t="str">
        <f t="shared" si="13"/>
        <v>comCrossReferenceType</v>
      </c>
      <c r="F163" t="s">
        <v>0</v>
      </c>
      <c r="G163" s="3" t="s">
        <v>6474</v>
      </c>
      <c r="H163" s="3" t="str">
        <f t="shared" si="14"/>
        <v>Common.Cross Reference Type</v>
      </c>
      <c r="I163"/>
      <c r="K163" t="s">
        <v>0</v>
      </c>
      <c r="M163" t="s">
        <v>6007</v>
      </c>
      <c r="Q163" s="3" t="s">
        <v>919</v>
      </c>
      <c r="U163" s="3" t="s">
        <v>95</v>
      </c>
    </row>
    <row r="164" spans="1:34" ht="15" hidden="1" customHeight="1">
      <c r="A164">
        <v>11590</v>
      </c>
      <c r="B164" s="3" t="s">
        <v>1475</v>
      </c>
      <c r="C164" s="3" t="str">
        <f t="shared" si="12"/>
        <v>comCrossReferenceType.Description</v>
      </c>
      <c r="D164" s="3">
        <v>521</v>
      </c>
      <c r="E164" s="3" t="str">
        <f t="shared" si="13"/>
        <v>comCrossReferenceType</v>
      </c>
      <c r="F164" t="s">
        <v>12</v>
      </c>
      <c r="G164" s="3" t="s">
        <v>6903</v>
      </c>
      <c r="H164" s="3" t="str">
        <f t="shared" si="14"/>
        <v>Common.Cross Reference Type</v>
      </c>
      <c r="I164"/>
      <c r="K164" t="s">
        <v>982</v>
      </c>
      <c r="L164" s="3" t="s">
        <v>973</v>
      </c>
      <c r="M164" s="3" t="s">
        <v>196</v>
      </c>
      <c r="Q164" s="3" t="s">
        <v>919</v>
      </c>
      <c r="U164" s="3" t="s">
        <v>93</v>
      </c>
      <c r="Y164" t="s">
        <v>92</v>
      </c>
      <c r="AB164" t="s">
        <v>92</v>
      </c>
      <c r="AH164" t="s">
        <v>92</v>
      </c>
    </row>
    <row r="165" spans="1:34" ht="15" hidden="1" customHeight="1">
      <c r="A165">
        <v>11600</v>
      </c>
      <c r="B165" s="3" t="s">
        <v>1475</v>
      </c>
      <c r="C165" s="3" t="str">
        <f t="shared" si="12"/>
        <v>comCrossReferenceType.ShortCode</v>
      </c>
      <c r="D165" s="3">
        <v>521</v>
      </c>
      <c r="E165" s="3" t="str">
        <f t="shared" si="13"/>
        <v>comCrossReferenceType</v>
      </c>
      <c r="F165" t="s">
        <v>16</v>
      </c>
      <c r="G165" s="3" t="s">
        <v>6434</v>
      </c>
      <c r="H165" s="3" t="str">
        <f t="shared" si="14"/>
        <v>Common.Cross Reference Type</v>
      </c>
      <c r="I165"/>
      <c r="K165" s="3" t="s">
        <v>117</v>
      </c>
      <c r="L165" s="3" t="s">
        <v>274</v>
      </c>
      <c r="M165" s="3" t="s">
        <v>196</v>
      </c>
      <c r="Q165" s="3" t="s">
        <v>92</v>
      </c>
      <c r="U165" s="3" t="s">
        <v>93</v>
      </c>
      <c r="AB165" t="s">
        <v>92</v>
      </c>
      <c r="AH165" t="s">
        <v>92</v>
      </c>
    </row>
    <row r="166" spans="1:34" ht="15" hidden="1" customHeight="1">
      <c r="A166">
        <v>11610</v>
      </c>
      <c r="B166" s="3" t="s">
        <v>1475</v>
      </c>
      <c r="C166" s="3" t="str">
        <f t="shared" si="12"/>
        <v>comCrossReferenceType.RowStatus</v>
      </c>
      <c r="D166" s="3">
        <v>521</v>
      </c>
      <c r="E166" s="3" t="str">
        <f t="shared" si="13"/>
        <v>comCrossReferenceType</v>
      </c>
      <c r="F166" t="s">
        <v>1445</v>
      </c>
      <c r="G166" s="3" t="s">
        <v>6411</v>
      </c>
      <c r="H166" s="3" t="str">
        <f t="shared" si="14"/>
        <v>Common.Cross Reference Type</v>
      </c>
      <c r="I166"/>
      <c r="K166" s="3" t="s">
        <v>2471</v>
      </c>
      <c r="M166" t="s">
        <v>976</v>
      </c>
      <c r="N166">
        <v>1</v>
      </c>
      <c r="Q166" s="3" t="s">
        <v>919</v>
      </c>
      <c r="U166" s="3" t="s">
        <v>94</v>
      </c>
    </row>
    <row r="167" spans="1:34" ht="15" hidden="1" customHeight="1">
      <c r="A167">
        <v>11620</v>
      </c>
      <c r="B167" t="s">
        <v>1475</v>
      </c>
      <c r="C167" s="3" t="str">
        <f t="shared" si="12"/>
        <v>comCrossReferenceType.sysChangeHistoryID</v>
      </c>
      <c r="D167">
        <v>521</v>
      </c>
      <c r="E167" s="3" t="str">
        <f t="shared" si="13"/>
        <v>comCrossReferenceType</v>
      </c>
      <c r="F167" t="s">
        <v>2497</v>
      </c>
      <c r="G167" s="3" t="s">
        <v>6403</v>
      </c>
      <c r="H167" s="3" t="str">
        <f t="shared" si="14"/>
        <v>Common.Cross Reference Type</v>
      </c>
      <c r="I167"/>
      <c r="K167" t="s">
        <v>1210</v>
      </c>
      <c r="L167"/>
      <c r="M167" t="s">
        <v>6007</v>
      </c>
      <c r="N167"/>
      <c r="O167"/>
      <c r="P167"/>
      <c r="Q167" t="s">
        <v>92</v>
      </c>
      <c r="R167"/>
      <c r="S167"/>
      <c r="U167" t="s">
        <v>1429</v>
      </c>
      <c r="W167" s="3"/>
      <c r="X167" s="3"/>
    </row>
    <row r="168" spans="1:34" ht="15" hidden="1" customHeight="1">
      <c r="A168">
        <v>11630</v>
      </c>
      <c r="B168" s="3" t="s">
        <v>1475</v>
      </c>
      <c r="C168" s="3" t="str">
        <f t="shared" si="12"/>
        <v>comLocation.ID</v>
      </c>
      <c r="D168" s="3">
        <v>503</v>
      </c>
      <c r="E168" s="3" t="str">
        <f t="shared" si="13"/>
        <v>comLocation</v>
      </c>
      <c r="F168" t="s">
        <v>0</v>
      </c>
      <c r="G168" s="3" t="s">
        <v>6475</v>
      </c>
      <c r="H168" s="3" t="str">
        <f t="shared" si="14"/>
        <v>Common.Location</v>
      </c>
      <c r="I168"/>
      <c r="K168" s="3" t="s">
        <v>0</v>
      </c>
      <c r="M168" t="s">
        <v>6007</v>
      </c>
      <c r="Q168" s="3" t="s">
        <v>919</v>
      </c>
      <c r="U168" s="3" t="s">
        <v>95</v>
      </c>
      <c r="W168" s="3"/>
      <c r="AF168" t="s">
        <v>656</v>
      </c>
    </row>
    <row r="169" spans="1:34" ht="15" hidden="1" customHeight="1">
      <c r="A169">
        <v>11640</v>
      </c>
      <c r="B169" s="3" t="s">
        <v>1475</v>
      </c>
      <c r="C169" s="3" t="str">
        <f t="shared" si="12"/>
        <v>comLocation.comLocationIDParent</v>
      </c>
      <c r="D169" s="3">
        <v>503</v>
      </c>
      <c r="E169" s="3" t="str">
        <f t="shared" si="13"/>
        <v>comLocation</v>
      </c>
      <c r="F169" t="str">
        <f>VLOOKUP(V169,DictionaryTableID,3,FALSE)&amp;"ID"&amp;X169</f>
        <v>comLocationIDParent</v>
      </c>
      <c r="G169" s="3" t="s">
        <v>6476</v>
      </c>
      <c r="H169" s="3" t="str">
        <f t="shared" si="14"/>
        <v>Common.Location</v>
      </c>
      <c r="I169"/>
      <c r="K169" s="3" t="s">
        <v>327</v>
      </c>
      <c r="M169" t="s">
        <v>6007</v>
      </c>
      <c r="Q169" s="3" t="s">
        <v>92</v>
      </c>
      <c r="U169" s="3" t="s">
        <v>96</v>
      </c>
      <c r="V169">
        <v>503</v>
      </c>
      <c r="W169" s="3" t="str">
        <f>VLOOKUP(V169,DictionaryTableID,3,FALSE)</f>
        <v>comLocation</v>
      </c>
      <c r="X169" s="3" t="s">
        <v>1220</v>
      </c>
      <c r="AB169" t="s">
        <v>92</v>
      </c>
      <c r="AF169" t="s">
        <v>661</v>
      </c>
    </row>
    <row r="170" spans="1:34" ht="15" hidden="1" customHeight="1">
      <c r="A170">
        <v>11650</v>
      </c>
      <c r="B170" s="3" t="s">
        <v>1475</v>
      </c>
      <c r="C170" s="3" t="str">
        <f t="shared" si="12"/>
        <v>comLocation.Comments</v>
      </c>
      <c r="D170" s="3">
        <v>503</v>
      </c>
      <c r="E170" s="3" t="str">
        <f t="shared" si="13"/>
        <v>comLocation</v>
      </c>
      <c r="F170" t="s">
        <v>14</v>
      </c>
      <c r="G170" s="3" t="s">
        <v>6421</v>
      </c>
      <c r="H170" s="3" t="str">
        <f t="shared" si="14"/>
        <v>Common.Location</v>
      </c>
      <c r="I170"/>
      <c r="K170" s="3" t="s">
        <v>14</v>
      </c>
      <c r="M170" s="3" t="s">
        <v>196</v>
      </c>
      <c r="N170"/>
      <c r="Q170" s="3" t="s">
        <v>92</v>
      </c>
      <c r="U170" s="3" t="s">
        <v>93</v>
      </c>
      <c r="AB170" t="s">
        <v>92</v>
      </c>
      <c r="AF170" t="s">
        <v>660</v>
      </c>
    </row>
    <row r="171" spans="1:34" ht="15" hidden="1" customHeight="1">
      <c r="A171">
        <v>11660</v>
      </c>
      <c r="B171" s="3" t="s">
        <v>1475</v>
      </c>
      <c r="C171" s="3" t="str">
        <f t="shared" si="12"/>
        <v>comLocation.Description</v>
      </c>
      <c r="D171" s="3">
        <v>503</v>
      </c>
      <c r="E171" s="3" t="str">
        <f t="shared" si="13"/>
        <v>comLocation</v>
      </c>
      <c r="F171" t="s">
        <v>12</v>
      </c>
      <c r="G171" s="3" t="s">
        <v>6904</v>
      </c>
      <c r="H171" s="3" t="str">
        <f t="shared" si="14"/>
        <v>Common.Location</v>
      </c>
      <c r="I171"/>
      <c r="K171" s="3" t="s">
        <v>12</v>
      </c>
      <c r="M171" s="3" t="s">
        <v>196</v>
      </c>
      <c r="N171"/>
      <c r="Q171" s="3" t="s">
        <v>919</v>
      </c>
      <c r="U171" s="3" t="s">
        <v>93</v>
      </c>
      <c r="Y171" t="s">
        <v>92</v>
      </c>
      <c r="AB171" t="s">
        <v>92</v>
      </c>
      <c r="AF171" t="s">
        <v>658</v>
      </c>
      <c r="AH171" t="s">
        <v>92</v>
      </c>
    </row>
    <row r="172" spans="1:34" ht="15" hidden="1" customHeight="1">
      <c r="A172">
        <v>11661</v>
      </c>
      <c r="B172" t="s">
        <v>1475</v>
      </c>
      <c r="C172" s="3" t="str">
        <f t="shared" si="12"/>
        <v>comLocation.Latitude</v>
      </c>
      <c r="D172" s="3">
        <v>503</v>
      </c>
      <c r="E172" s="3" t="str">
        <f t="shared" si="13"/>
        <v>comLocation</v>
      </c>
      <c r="F172" t="s">
        <v>6393</v>
      </c>
      <c r="G172" s="3" t="s">
        <v>6477</v>
      </c>
      <c r="H172" s="3" t="str">
        <f t="shared" si="14"/>
        <v>Common.Location</v>
      </c>
      <c r="I172"/>
      <c r="K172" t="s">
        <v>6393</v>
      </c>
      <c r="L172"/>
      <c r="M172" t="s">
        <v>6395</v>
      </c>
      <c r="O172"/>
      <c r="P172"/>
      <c r="Q172" t="s">
        <v>92</v>
      </c>
      <c r="R172"/>
      <c r="S172"/>
      <c r="U172" t="s">
        <v>93</v>
      </c>
      <c r="AB172" t="s">
        <v>92</v>
      </c>
    </row>
    <row r="173" spans="1:34" ht="15" hidden="1" customHeight="1">
      <c r="A173">
        <v>11662</v>
      </c>
      <c r="B173" t="s">
        <v>1475</v>
      </c>
      <c r="C173" s="3" t="str">
        <f t="shared" si="12"/>
        <v>comLocation.Longitude</v>
      </c>
      <c r="D173" s="3">
        <v>503</v>
      </c>
      <c r="E173" s="3" t="str">
        <f t="shared" si="13"/>
        <v>comLocation</v>
      </c>
      <c r="F173" t="s">
        <v>6394</v>
      </c>
      <c r="G173" s="3" t="s">
        <v>6478</v>
      </c>
      <c r="H173" s="3" t="str">
        <f t="shared" si="14"/>
        <v>Common.Location</v>
      </c>
      <c r="I173"/>
      <c r="K173" t="s">
        <v>6394</v>
      </c>
      <c r="L173"/>
      <c r="M173" t="s">
        <v>6395</v>
      </c>
      <c r="O173"/>
      <c r="P173"/>
      <c r="Q173" t="s">
        <v>92</v>
      </c>
      <c r="R173"/>
      <c r="S173"/>
      <c r="U173" t="s">
        <v>93</v>
      </c>
      <c r="AB173" t="s">
        <v>92</v>
      </c>
    </row>
    <row r="174" spans="1:34" ht="15" hidden="1" customHeight="1">
      <c r="A174">
        <v>11670</v>
      </c>
      <c r="B174" s="3" t="s">
        <v>1475</v>
      </c>
      <c r="C174" s="3" t="str">
        <f t="shared" si="12"/>
        <v>comLocation.IsUsedToClassifyRecords</v>
      </c>
      <c r="D174" s="3">
        <v>503</v>
      </c>
      <c r="E174" s="3" t="str">
        <f t="shared" si="13"/>
        <v>comLocation</v>
      </c>
      <c r="F174" t="s">
        <v>1288</v>
      </c>
      <c r="G174" s="3" t="s">
        <v>6479</v>
      </c>
      <c r="H174" s="3" t="str">
        <f t="shared" si="14"/>
        <v>Common.Location</v>
      </c>
      <c r="I174"/>
      <c r="K174" s="3" t="s">
        <v>26</v>
      </c>
      <c r="M174" s="3" t="s">
        <v>2402</v>
      </c>
      <c r="Q174" s="3" t="s">
        <v>919</v>
      </c>
      <c r="U174" s="3" t="s">
        <v>93</v>
      </c>
      <c r="AB174" t="s">
        <v>92</v>
      </c>
      <c r="AF174" t="s">
        <v>662</v>
      </c>
    </row>
    <row r="175" spans="1:34" ht="15" hidden="1" customHeight="1">
      <c r="A175">
        <v>11680</v>
      </c>
      <c r="B175" s="3" t="s">
        <v>1475</v>
      </c>
      <c r="C175" s="3" t="str">
        <f t="shared" si="12"/>
        <v>comLocation.DisplaySequence</v>
      </c>
      <c r="D175" s="3">
        <v>503</v>
      </c>
      <c r="E175" s="3" t="str">
        <f t="shared" si="13"/>
        <v>comLocation</v>
      </c>
      <c r="F175" t="s">
        <v>6055</v>
      </c>
      <c r="G175" s="3" t="s">
        <v>6432</v>
      </c>
      <c r="H175" s="3" t="str">
        <f t="shared" si="14"/>
        <v>Common.Location</v>
      </c>
      <c r="I175"/>
      <c r="K175" s="3" t="s">
        <v>6297</v>
      </c>
      <c r="M175" s="3" t="s">
        <v>195</v>
      </c>
      <c r="Q175" s="3" t="s">
        <v>92</v>
      </c>
      <c r="U175" s="3" t="s">
        <v>93</v>
      </c>
      <c r="AF175" t="s">
        <v>657</v>
      </c>
    </row>
    <row r="176" spans="1:34" ht="15" hidden="1" customHeight="1">
      <c r="A176">
        <v>11681</v>
      </c>
      <c r="B176" t="s">
        <v>1475</v>
      </c>
      <c r="C176" s="3" t="str">
        <f t="shared" si="12"/>
        <v>comLocation.TopDownLevel</v>
      </c>
      <c r="D176" s="3">
        <v>503</v>
      </c>
      <c r="E176" s="3" t="str">
        <f t="shared" si="13"/>
        <v>comLocation</v>
      </c>
      <c r="F176" t="s">
        <v>6020</v>
      </c>
      <c r="G176" s="3" t="s">
        <v>6413</v>
      </c>
      <c r="H176" s="3" t="str">
        <f t="shared" si="14"/>
        <v>Common.Location</v>
      </c>
      <c r="I176"/>
      <c r="K176" t="s">
        <v>6032</v>
      </c>
      <c r="L176"/>
      <c r="M176" t="s">
        <v>195</v>
      </c>
      <c r="N176"/>
      <c r="O176"/>
      <c r="P176"/>
      <c r="Q176" t="s">
        <v>92</v>
      </c>
      <c r="R176"/>
      <c r="S176"/>
      <c r="U176" t="s">
        <v>94</v>
      </c>
    </row>
    <row r="177" spans="1:34" ht="15" hidden="1" customHeight="1">
      <c r="A177">
        <v>11682</v>
      </c>
      <c r="B177" t="s">
        <v>1475</v>
      </c>
      <c r="C177" s="3" t="str">
        <f t="shared" si="12"/>
        <v>comLocation.BottomUpLevel</v>
      </c>
      <c r="D177" s="3">
        <v>503</v>
      </c>
      <c r="E177" s="3" t="str">
        <f t="shared" si="13"/>
        <v>comLocation</v>
      </c>
      <c r="F177" t="s">
        <v>6021</v>
      </c>
      <c r="G177" s="3" t="s">
        <v>6412</v>
      </c>
      <c r="H177" s="3" t="str">
        <f t="shared" si="14"/>
        <v>Common.Location</v>
      </c>
      <c r="I177"/>
      <c r="K177" t="s">
        <v>6033</v>
      </c>
      <c r="L177"/>
      <c r="M177" t="s">
        <v>195</v>
      </c>
      <c r="N177"/>
      <c r="O177"/>
      <c r="P177"/>
      <c r="Q177" t="s">
        <v>92</v>
      </c>
      <c r="R177"/>
      <c r="S177"/>
      <c r="U177" t="s">
        <v>94</v>
      </c>
    </row>
    <row r="178" spans="1:34" ht="15" hidden="1" customHeight="1">
      <c r="A178">
        <v>11690</v>
      </c>
      <c r="B178" s="3" t="s">
        <v>1475</v>
      </c>
      <c r="C178" s="3" t="str">
        <f t="shared" si="12"/>
        <v>comLocation.ShortCode</v>
      </c>
      <c r="D178" s="3">
        <v>503</v>
      </c>
      <c r="E178" s="3" t="str">
        <f t="shared" si="13"/>
        <v>comLocation</v>
      </c>
      <c r="F178" t="s">
        <v>16</v>
      </c>
      <c r="G178" s="3" t="s">
        <v>6480</v>
      </c>
      <c r="H178" s="3" t="str">
        <f t="shared" si="14"/>
        <v>Common.Location</v>
      </c>
      <c r="I178"/>
      <c r="K178" s="3" t="s">
        <v>408</v>
      </c>
      <c r="M178" s="3" t="s">
        <v>196</v>
      </c>
      <c r="Q178" s="3" t="s">
        <v>92</v>
      </c>
      <c r="U178" s="3" t="s">
        <v>93</v>
      </c>
      <c r="AB178" t="s">
        <v>92</v>
      </c>
      <c r="AF178" t="s">
        <v>659</v>
      </c>
    </row>
    <row r="179" spans="1:34" ht="15" hidden="1" customHeight="1">
      <c r="A179">
        <v>11700</v>
      </c>
      <c r="B179" s="3" t="s">
        <v>1475</v>
      </c>
      <c r="C179" s="3" t="str">
        <f t="shared" si="12"/>
        <v>comLocation.RowStatus</v>
      </c>
      <c r="D179" s="3">
        <v>503</v>
      </c>
      <c r="E179" s="3" t="str">
        <f t="shared" si="13"/>
        <v>comLocation</v>
      </c>
      <c r="F179" t="s">
        <v>1445</v>
      </c>
      <c r="G179" s="3" t="s">
        <v>6411</v>
      </c>
      <c r="H179" s="3" t="str">
        <f t="shared" si="14"/>
        <v>Common.Location</v>
      </c>
      <c r="I179"/>
      <c r="K179" t="s">
        <v>2471</v>
      </c>
      <c r="M179" t="s">
        <v>976</v>
      </c>
      <c r="N179">
        <v>1</v>
      </c>
      <c r="Q179" s="3" t="s">
        <v>919</v>
      </c>
      <c r="U179" s="3" t="s">
        <v>94</v>
      </c>
    </row>
    <row r="180" spans="1:34" ht="15" hidden="1" customHeight="1">
      <c r="A180">
        <v>11710</v>
      </c>
      <c r="B180" t="s">
        <v>1475</v>
      </c>
      <c r="C180" s="3" t="str">
        <f t="shared" si="12"/>
        <v>comLocation.sysChangeHistoryID</v>
      </c>
      <c r="D180">
        <v>503</v>
      </c>
      <c r="E180" s="3" t="str">
        <f t="shared" si="13"/>
        <v>comLocation</v>
      </c>
      <c r="F180" t="s">
        <v>2497</v>
      </c>
      <c r="G180" s="3" t="s">
        <v>6403</v>
      </c>
      <c r="H180" s="3" t="str">
        <f t="shared" si="14"/>
        <v>Common.Location</v>
      </c>
      <c r="I180"/>
      <c r="K180" t="s">
        <v>1210</v>
      </c>
      <c r="L180"/>
      <c r="M180" t="s">
        <v>6007</v>
      </c>
      <c r="N180"/>
      <c r="O180"/>
      <c r="P180"/>
      <c r="Q180" t="s">
        <v>92</v>
      </c>
      <c r="R180"/>
      <c r="S180"/>
      <c r="U180" t="s">
        <v>1429</v>
      </c>
      <c r="W180" s="3"/>
      <c r="X180" s="3"/>
    </row>
    <row r="181" spans="1:34" ht="15" hidden="1" customHeight="1">
      <c r="A181">
        <v>11720</v>
      </c>
      <c r="B181" s="3" t="s">
        <v>1475</v>
      </c>
      <c r="C181" s="3" t="str">
        <f t="shared" si="12"/>
        <v>comPersonalComment.ID</v>
      </c>
      <c r="D181" s="3">
        <v>530</v>
      </c>
      <c r="E181" s="3" t="str">
        <f t="shared" si="13"/>
        <v>comPersonalComment</v>
      </c>
      <c r="F181" t="s">
        <v>0</v>
      </c>
      <c r="G181" s="3" t="s">
        <v>6481</v>
      </c>
      <c r="H181" s="3" t="str">
        <f t="shared" si="14"/>
        <v>Common.Personal Comment</v>
      </c>
      <c r="I181"/>
      <c r="K181" s="3" t="s">
        <v>0</v>
      </c>
      <c r="M181" t="s">
        <v>6007</v>
      </c>
      <c r="Q181" s="3" t="s">
        <v>919</v>
      </c>
      <c r="U181" s="3" t="s">
        <v>95</v>
      </c>
      <c r="W181" s="3"/>
      <c r="AF181" t="s">
        <v>685</v>
      </c>
    </row>
    <row r="182" spans="1:34" ht="15" hidden="1" customHeight="1">
      <c r="A182">
        <v>11730</v>
      </c>
      <c r="B182" s="3" t="s">
        <v>1475</v>
      </c>
      <c r="C182" s="3" t="str">
        <f t="shared" si="12"/>
        <v>comPersonalComment.crmContactIDUser</v>
      </c>
      <c r="D182" s="3">
        <v>530</v>
      </c>
      <c r="E182" s="3" t="str">
        <f t="shared" si="13"/>
        <v>comPersonalComment</v>
      </c>
      <c r="F182" t="str">
        <f>VLOOKUP(V182,DictionaryTableID,3,FALSE)&amp;"ID"&amp;X182</f>
        <v>crmContactIDUser</v>
      </c>
      <c r="G182" s="3" t="s">
        <v>6482</v>
      </c>
      <c r="H182" s="3" t="str">
        <f t="shared" si="14"/>
        <v>Common.Personal Comment</v>
      </c>
      <c r="I182"/>
      <c r="K182" s="3" t="s">
        <v>41</v>
      </c>
      <c r="M182" t="s">
        <v>6007</v>
      </c>
      <c r="Q182" s="3" t="s">
        <v>919</v>
      </c>
      <c r="U182" s="3" t="s">
        <v>96</v>
      </c>
      <c r="V182">
        <v>100</v>
      </c>
      <c r="W182" s="3" t="str">
        <f>VLOOKUP(V182,DictionaryTableID,3,FALSE)</f>
        <v>crmContact</v>
      </c>
      <c r="X182" s="3" t="s">
        <v>1228</v>
      </c>
      <c r="AB182" t="s">
        <v>92</v>
      </c>
      <c r="AF182" t="s">
        <v>688</v>
      </c>
    </row>
    <row r="183" spans="1:34" ht="15" customHeight="1">
      <c r="A183">
        <v>11740</v>
      </c>
      <c r="B183" s="3" t="s">
        <v>1475</v>
      </c>
      <c r="C183" s="3" t="str">
        <f t="shared" si="12"/>
        <v>comPersonalComment.sysDictionaryTableIDAppliesTo</v>
      </c>
      <c r="D183" s="3">
        <v>530</v>
      </c>
      <c r="E183" s="3" t="str">
        <f t="shared" si="13"/>
        <v>comPersonalComment</v>
      </c>
      <c r="F183" t="str">
        <f>"sysDictionaryTableID"&amp;X183</f>
        <v>sysDictionaryTableIDAppliesTo</v>
      </c>
      <c r="G183" s="3" t="s">
        <v>6471</v>
      </c>
      <c r="H183" s="3" t="str">
        <f t="shared" si="14"/>
        <v>Common.Personal Comment</v>
      </c>
      <c r="I183"/>
      <c r="K183" t="s">
        <v>6389</v>
      </c>
      <c r="M183" t="s">
        <v>6007</v>
      </c>
      <c r="N183"/>
      <c r="Q183" s="3" t="s">
        <v>919</v>
      </c>
      <c r="S183" s="19">
        <v>100</v>
      </c>
      <c r="U183" t="s">
        <v>1072</v>
      </c>
      <c r="V183">
        <v>1</v>
      </c>
      <c r="W183" s="3" t="str">
        <f>VLOOKUP(V183,DictionaryTableID,3,FALSE)</f>
        <v>sysDictionaryTable</v>
      </c>
      <c r="X183" s="3" t="s">
        <v>1453</v>
      </c>
      <c r="AB183" t="s">
        <v>92</v>
      </c>
      <c r="AF183" t="s">
        <v>686</v>
      </c>
    </row>
    <row r="184" spans="1:34" ht="15" customHeight="1">
      <c r="A184">
        <v>11750</v>
      </c>
      <c r="B184" s="3" t="s">
        <v>1475</v>
      </c>
      <c r="C184" s="3" t="str">
        <f t="shared" si="12"/>
        <v>comPersonalComment.RowIDAppliesTo</v>
      </c>
      <c r="D184" s="3">
        <v>530</v>
      </c>
      <c r="E184" s="3" t="str">
        <f t="shared" si="13"/>
        <v>comPersonalComment</v>
      </c>
      <c r="F184" t="s">
        <v>6150</v>
      </c>
      <c r="G184" s="3" t="s">
        <v>6472</v>
      </c>
      <c r="H184" s="3" t="str">
        <f t="shared" si="14"/>
        <v>Common.Personal Comment</v>
      </c>
      <c r="I184"/>
      <c r="K184" s="3" t="s">
        <v>340</v>
      </c>
      <c r="M184" t="s">
        <v>6007</v>
      </c>
      <c r="Q184" s="3" t="s">
        <v>92</v>
      </c>
      <c r="U184" t="s">
        <v>1072</v>
      </c>
      <c r="W184" s="3"/>
      <c r="X184" s="3" t="s">
        <v>1453</v>
      </c>
      <c r="AB184" t="s">
        <v>92</v>
      </c>
      <c r="AF184" t="s">
        <v>687</v>
      </c>
    </row>
    <row r="185" spans="1:34" ht="15" hidden="1" customHeight="1">
      <c r="A185">
        <v>11760</v>
      </c>
      <c r="B185" s="3" t="s">
        <v>1475</v>
      </c>
      <c r="C185" s="3" t="str">
        <f t="shared" si="12"/>
        <v>comPersonalComment.Comments</v>
      </c>
      <c r="D185" s="3">
        <v>530</v>
      </c>
      <c r="E185" s="3" t="str">
        <f t="shared" si="13"/>
        <v>comPersonalComment</v>
      </c>
      <c r="F185" t="s">
        <v>14</v>
      </c>
      <c r="G185" s="3" t="s">
        <v>6421</v>
      </c>
      <c r="H185" s="3" t="str">
        <f t="shared" si="14"/>
        <v>Common.Personal Comment</v>
      </c>
      <c r="I185"/>
      <c r="K185" s="3" t="s">
        <v>14</v>
      </c>
      <c r="M185" s="3" t="s">
        <v>196</v>
      </c>
      <c r="N185"/>
      <c r="Q185" s="3" t="s">
        <v>919</v>
      </c>
      <c r="U185" s="3" t="s">
        <v>93</v>
      </c>
      <c r="AB185" t="s">
        <v>92</v>
      </c>
      <c r="AF185" t="s">
        <v>689</v>
      </c>
    </row>
    <row r="186" spans="1:34" ht="15" hidden="1" customHeight="1">
      <c r="A186">
        <v>11770</v>
      </c>
      <c r="B186" s="3" t="s">
        <v>1475</v>
      </c>
      <c r="C186" s="3" t="str">
        <f t="shared" si="12"/>
        <v>comPersonalComment.RowStatus</v>
      </c>
      <c r="D186" s="3">
        <v>530</v>
      </c>
      <c r="E186" s="3" t="str">
        <f t="shared" si="13"/>
        <v>comPersonalComment</v>
      </c>
      <c r="F186" t="s">
        <v>1445</v>
      </c>
      <c r="G186" s="3" t="s">
        <v>6411</v>
      </c>
      <c r="H186" s="3" t="str">
        <f t="shared" si="14"/>
        <v>Common.Personal Comment</v>
      </c>
      <c r="I186"/>
      <c r="K186" t="s">
        <v>2471</v>
      </c>
      <c r="M186" t="s">
        <v>976</v>
      </c>
      <c r="N186">
        <v>1</v>
      </c>
      <c r="Q186" s="3" t="s">
        <v>919</v>
      </c>
      <c r="U186" s="3" t="s">
        <v>94</v>
      </c>
    </row>
    <row r="187" spans="1:34" ht="15" hidden="1" customHeight="1">
      <c r="A187">
        <v>11780</v>
      </c>
      <c r="B187" t="s">
        <v>1475</v>
      </c>
      <c r="C187" s="3" t="str">
        <f t="shared" si="12"/>
        <v>comPersonalComment.sysChangeHistoryID</v>
      </c>
      <c r="D187">
        <v>530</v>
      </c>
      <c r="E187" s="3" t="str">
        <f t="shared" si="13"/>
        <v>comPersonalComment</v>
      </c>
      <c r="F187" t="s">
        <v>2497</v>
      </c>
      <c r="G187" s="3" t="s">
        <v>6403</v>
      </c>
      <c r="H187" s="3" t="str">
        <f t="shared" si="14"/>
        <v>Common.Personal Comment</v>
      </c>
      <c r="I187"/>
      <c r="K187" t="s">
        <v>1210</v>
      </c>
      <c r="L187"/>
      <c r="M187" t="s">
        <v>6007</v>
      </c>
      <c r="N187"/>
      <c r="O187"/>
      <c r="P187"/>
      <c r="Q187" t="s">
        <v>92</v>
      </c>
      <c r="R187"/>
      <c r="S187"/>
      <c r="U187" t="s">
        <v>1429</v>
      </c>
      <c r="W187" s="3"/>
      <c r="X187" s="3"/>
    </row>
    <row r="188" spans="1:34" ht="15" hidden="1" customHeight="1">
      <c r="A188">
        <v>11790</v>
      </c>
      <c r="B188" t="s">
        <v>1475</v>
      </c>
      <c r="C188" s="3" t="str">
        <f t="shared" si="12"/>
        <v>comProvinceState.ID</v>
      </c>
      <c r="D188">
        <v>501</v>
      </c>
      <c r="E188" s="3" t="str">
        <f t="shared" si="13"/>
        <v>comProvinceState</v>
      </c>
      <c r="F188" t="s">
        <v>0</v>
      </c>
      <c r="G188" s="3" t="s">
        <v>6483</v>
      </c>
      <c r="H188" s="3" t="str">
        <f t="shared" si="14"/>
        <v>Common.Province State</v>
      </c>
      <c r="I188"/>
      <c r="K188" t="s">
        <v>1192</v>
      </c>
      <c r="L188"/>
      <c r="M188" t="s">
        <v>6007</v>
      </c>
      <c r="N188"/>
      <c r="O188"/>
      <c r="P188"/>
      <c r="Q188" s="3" t="s">
        <v>919</v>
      </c>
      <c r="R188"/>
      <c r="S188"/>
      <c r="U188" s="3" t="s">
        <v>95</v>
      </c>
      <c r="AC188" t="s">
        <v>92</v>
      </c>
    </row>
    <row r="189" spans="1:34" ht="15" hidden="1" customHeight="1">
      <c r="A189">
        <v>11800</v>
      </c>
      <c r="B189" t="s">
        <v>1475</v>
      </c>
      <c r="C189" s="3" t="str">
        <f t="shared" si="12"/>
        <v>comProvinceState.comCountryID</v>
      </c>
      <c r="D189">
        <v>501</v>
      </c>
      <c r="E189" s="3" t="str">
        <f t="shared" si="13"/>
        <v>comProvinceState</v>
      </c>
      <c r="F189" t="str">
        <f>VLOOKUP(V189,DictionaryTableID,3,FALSE)&amp;"ID"&amp;X189</f>
        <v>comCountryID</v>
      </c>
      <c r="G189" s="3" t="s">
        <v>6466</v>
      </c>
      <c r="H189" s="3" t="str">
        <f t="shared" si="14"/>
        <v>Common.Province State</v>
      </c>
      <c r="I189"/>
      <c r="K189" t="s">
        <v>1082</v>
      </c>
      <c r="L189"/>
      <c r="M189" t="s">
        <v>6007</v>
      </c>
      <c r="N189"/>
      <c r="O189"/>
      <c r="P189"/>
      <c r="Q189" t="s">
        <v>92</v>
      </c>
      <c r="R189"/>
      <c r="S189"/>
      <c r="U189" t="s">
        <v>96</v>
      </c>
      <c r="V189">
        <v>502</v>
      </c>
      <c r="W189" s="3" t="str">
        <f>VLOOKUP(V189,DictionaryTableID,3,FALSE)</f>
        <v>comCountry</v>
      </c>
      <c r="X189" s="3" t="s">
        <v>1036</v>
      </c>
      <c r="AB189" t="s">
        <v>92</v>
      </c>
    </row>
    <row r="190" spans="1:34" ht="15" hidden="1" customHeight="1">
      <c r="A190">
        <v>11810</v>
      </c>
      <c r="B190" t="s">
        <v>1475</v>
      </c>
      <c r="C190" s="3" t="str">
        <f t="shared" si="12"/>
        <v>comProvinceState.Name</v>
      </c>
      <c r="D190">
        <v>501</v>
      </c>
      <c r="E190" s="3" t="str">
        <f t="shared" si="13"/>
        <v>comProvinceState</v>
      </c>
      <c r="F190" t="s">
        <v>22</v>
      </c>
      <c r="G190" s="3" t="s">
        <v>6905</v>
      </c>
      <c r="H190" s="3" t="str">
        <f t="shared" si="14"/>
        <v>Common.Province State</v>
      </c>
      <c r="I190"/>
      <c r="K190" t="s">
        <v>3</v>
      </c>
      <c r="L190"/>
      <c r="M190" t="s">
        <v>196</v>
      </c>
      <c r="O190"/>
      <c r="P190"/>
      <c r="Q190" t="s">
        <v>919</v>
      </c>
      <c r="R190"/>
      <c r="S190"/>
      <c r="U190" t="s">
        <v>93</v>
      </c>
      <c r="AB190" t="s">
        <v>92</v>
      </c>
      <c r="AH190" t="s">
        <v>92</v>
      </c>
    </row>
    <row r="191" spans="1:34" ht="15" hidden="1" customHeight="1">
      <c r="A191">
        <v>11820</v>
      </c>
      <c r="B191" t="s">
        <v>1475</v>
      </c>
      <c r="C191" s="3" t="str">
        <f t="shared" si="12"/>
        <v>comProvinceState.ShortCode</v>
      </c>
      <c r="D191">
        <v>501</v>
      </c>
      <c r="E191" s="3" t="str">
        <f t="shared" si="13"/>
        <v>comProvinceState</v>
      </c>
      <c r="F191" t="s">
        <v>16</v>
      </c>
      <c r="G191" s="3" t="s">
        <v>6434</v>
      </c>
      <c r="H191" s="3" t="str">
        <f t="shared" si="14"/>
        <v>Common.Province State</v>
      </c>
      <c r="I191"/>
      <c r="K191" t="s">
        <v>117</v>
      </c>
      <c r="L191"/>
      <c r="M191" t="s">
        <v>196</v>
      </c>
      <c r="O191"/>
      <c r="P191"/>
      <c r="Q191" s="3" t="s">
        <v>92</v>
      </c>
      <c r="R191"/>
      <c r="S191"/>
      <c r="U191" t="s">
        <v>93</v>
      </c>
      <c r="AB191" t="s">
        <v>92</v>
      </c>
    </row>
    <row r="192" spans="1:34" ht="15" hidden="1" customHeight="1">
      <c r="A192">
        <v>11830</v>
      </c>
      <c r="B192" t="s">
        <v>1475</v>
      </c>
      <c r="C192" s="3" t="str">
        <f t="shared" si="12"/>
        <v>comProvinceState.RowStatus</v>
      </c>
      <c r="D192">
        <v>501</v>
      </c>
      <c r="E192" s="3" t="str">
        <f t="shared" si="13"/>
        <v>comProvinceState</v>
      </c>
      <c r="F192" t="s">
        <v>1445</v>
      </c>
      <c r="G192" s="3" t="s">
        <v>6411</v>
      </c>
      <c r="H192" s="3" t="str">
        <f t="shared" si="14"/>
        <v>Common.Province State</v>
      </c>
      <c r="I192"/>
      <c r="K192" s="3" t="s">
        <v>2471</v>
      </c>
      <c r="L192"/>
      <c r="M192" t="s">
        <v>976</v>
      </c>
      <c r="N192">
        <v>1</v>
      </c>
      <c r="O192"/>
      <c r="P192"/>
      <c r="Q192" t="s">
        <v>919</v>
      </c>
      <c r="R192"/>
      <c r="S192" s="14"/>
      <c r="U192" t="s">
        <v>94</v>
      </c>
    </row>
    <row r="193" spans="1:30" ht="15" hidden="1" customHeight="1">
      <c r="A193">
        <v>11840</v>
      </c>
      <c r="B193" t="s">
        <v>1475</v>
      </c>
      <c r="C193" s="3" t="str">
        <f t="shared" si="12"/>
        <v>comProvinceState.sysChangeHistoryID</v>
      </c>
      <c r="D193">
        <v>501</v>
      </c>
      <c r="E193" s="3" t="str">
        <f t="shared" si="13"/>
        <v>comProvinceState</v>
      </c>
      <c r="F193" t="s">
        <v>2497</v>
      </c>
      <c r="G193" s="3" t="s">
        <v>6403</v>
      </c>
      <c r="H193" s="3" t="str">
        <f t="shared" si="14"/>
        <v>Common.Province State</v>
      </c>
      <c r="I193"/>
      <c r="K193" t="s">
        <v>1210</v>
      </c>
      <c r="L193"/>
      <c r="M193" t="s">
        <v>6007</v>
      </c>
      <c r="N193"/>
      <c r="O193"/>
      <c r="P193"/>
      <c r="Q193" t="s">
        <v>92</v>
      </c>
      <c r="R193"/>
      <c r="S193"/>
      <c r="U193" t="s">
        <v>1429</v>
      </c>
      <c r="W193" s="3"/>
      <c r="X193" s="3"/>
    </row>
    <row r="194" spans="1:30" ht="15" hidden="1" customHeight="1">
      <c r="A194">
        <v>11850</v>
      </c>
      <c r="B194" t="s">
        <v>1475</v>
      </c>
      <c r="C194" s="3" t="str">
        <f t="shared" ref="C194:C257" si="15">CONCATENATE(E194,".",F194)</f>
        <v>crmAddress.ID</v>
      </c>
      <c r="D194">
        <v>110</v>
      </c>
      <c r="E194" s="3" t="str">
        <f t="shared" si="13"/>
        <v>crmAddress</v>
      </c>
      <c r="F194" t="s">
        <v>0</v>
      </c>
      <c r="G194" s="3" t="s">
        <v>6485</v>
      </c>
      <c r="H194" s="3" t="str">
        <f t="shared" si="14"/>
        <v>Contact Management.Address</v>
      </c>
      <c r="I194"/>
      <c r="K194" t="s">
        <v>0</v>
      </c>
      <c r="L194"/>
      <c r="M194" t="s">
        <v>6007</v>
      </c>
      <c r="N194"/>
      <c r="O194"/>
      <c r="P194"/>
      <c r="Q194" s="3" t="s">
        <v>919</v>
      </c>
      <c r="R194"/>
      <c r="S194" s="20"/>
      <c r="U194" s="3" t="s">
        <v>95</v>
      </c>
    </row>
    <row r="195" spans="1:30" ht="15" hidden="1" customHeight="1">
      <c r="A195">
        <v>11860</v>
      </c>
      <c r="B195" t="s">
        <v>1475</v>
      </c>
      <c r="C195" s="3" t="str">
        <f t="shared" si="15"/>
        <v>crmAddress.comCityID</v>
      </c>
      <c r="D195">
        <v>110</v>
      </c>
      <c r="E195" s="3" t="str">
        <f t="shared" si="13"/>
        <v>crmAddress</v>
      </c>
      <c r="F195" t="str">
        <f>VLOOKUP(V195,DictionaryTableID,3,FALSE)&amp;"ID"&amp;X195</f>
        <v>comCityID</v>
      </c>
      <c r="G195" s="3" t="s">
        <v>6486</v>
      </c>
      <c r="H195" s="3" t="str">
        <f t="shared" si="14"/>
        <v>Contact Management.Address</v>
      </c>
      <c r="I195"/>
      <c r="K195" t="s">
        <v>2491</v>
      </c>
      <c r="L195"/>
      <c r="M195" t="s">
        <v>6007</v>
      </c>
      <c r="N195"/>
      <c r="O195"/>
      <c r="P195"/>
      <c r="Q195" t="s">
        <v>92</v>
      </c>
      <c r="R195"/>
      <c r="S195" s="4"/>
      <c r="U195" t="s">
        <v>96</v>
      </c>
      <c r="V195">
        <v>500</v>
      </c>
      <c r="W195" s="3" t="str">
        <f>VLOOKUP(V195,DictionaryTableID,3,FALSE)</f>
        <v>comCity</v>
      </c>
      <c r="X195" s="3"/>
      <c r="AB195" t="s">
        <v>92</v>
      </c>
    </row>
    <row r="196" spans="1:30" ht="15" hidden="1" customHeight="1">
      <c r="A196">
        <v>11870</v>
      </c>
      <c r="B196" t="s">
        <v>1475</v>
      </c>
      <c r="C196" s="3" t="str">
        <f t="shared" si="15"/>
        <v>crmAddress.crmAddressIDInheritedFrom</v>
      </c>
      <c r="D196">
        <v>110</v>
      </c>
      <c r="E196" s="3" t="str">
        <f t="shared" si="13"/>
        <v>crmAddress</v>
      </c>
      <c r="F196" t="str">
        <f>VLOOKUP(V196,DictionaryTableID,3,FALSE)&amp;"ID"&amp;X196</f>
        <v>crmAddressIDInheritedFrom</v>
      </c>
      <c r="G196" s="3" t="s">
        <v>6487</v>
      </c>
      <c r="H196" s="3" t="str">
        <f t="shared" si="14"/>
        <v>Contact Management.Address</v>
      </c>
      <c r="I196"/>
      <c r="K196" t="s">
        <v>6223</v>
      </c>
      <c r="L196"/>
      <c r="M196" t="s">
        <v>6007</v>
      </c>
      <c r="N196"/>
      <c r="O196"/>
      <c r="P196"/>
      <c r="Q196" s="3" t="s">
        <v>92</v>
      </c>
      <c r="R196"/>
      <c r="S196"/>
      <c r="U196" t="s">
        <v>96</v>
      </c>
      <c r="V196">
        <v>110</v>
      </c>
      <c r="W196" s="3" t="str">
        <f>VLOOKUP(V196,DictionaryTableID,3,FALSE)</f>
        <v>crmAddress</v>
      </c>
      <c r="X196" s="3" t="s">
        <v>1264</v>
      </c>
      <c r="AB196" t="s">
        <v>92</v>
      </c>
    </row>
    <row r="197" spans="1:30" ht="15" hidden="1" customHeight="1">
      <c r="A197">
        <v>11880</v>
      </c>
      <c r="B197" t="s">
        <v>1475</v>
      </c>
      <c r="C197" s="3" t="str">
        <f t="shared" si="15"/>
        <v>crmAddress.crmAddressTypeID</v>
      </c>
      <c r="D197">
        <v>110</v>
      </c>
      <c r="E197" s="3" t="str">
        <f t="shared" si="13"/>
        <v>crmAddress</v>
      </c>
      <c r="F197" t="str">
        <f>VLOOKUP(V197,DictionaryTableID,3,FALSE)&amp;"ID"&amp;X197</f>
        <v>crmAddressTypeID</v>
      </c>
      <c r="G197" s="3" t="s">
        <v>6488</v>
      </c>
      <c r="H197" s="3" t="str">
        <f t="shared" si="14"/>
        <v>Contact Management.Address</v>
      </c>
      <c r="I197"/>
      <c r="K197" t="s">
        <v>1081</v>
      </c>
      <c r="L197"/>
      <c r="M197" t="s">
        <v>6007</v>
      </c>
      <c r="N197"/>
      <c r="O197"/>
      <c r="P197"/>
      <c r="Q197" t="s">
        <v>919</v>
      </c>
      <c r="R197"/>
      <c r="S197" s="4"/>
      <c r="U197" t="s">
        <v>96</v>
      </c>
      <c r="V197">
        <v>114</v>
      </c>
      <c r="W197" s="3" t="str">
        <f>VLOOKUP(V197,DictionaryTableID,3,FALSE)</f>
        <v>crmAddressType</v>
      </c>
      <c r="X197" s="3" t="s">
        <v>1036</v>
      </c>
      <c r="AB197" t="s">
        <v>92</v>
      </c>
    </row>
    <row r="198" spans="1:30" ht="15" hidden="1" customHeight="1">
      <c r="A198">
        <v>11900</v>
      </c>
      <c r="B198" t="s">
        <v>1475</v>
      </c>
      <c r="C198" s="3" t="str">
        <f t="shared" si="15"/>
        <v>crmAddress.crmContactID</v>
      </c>
      <c r="D198">
        <v>110</v>
      </c>
      <c r="E198" s="3" t="str">
        <f t="shared" si="13"/>
        <v>crmAddress</v>
      </c>
      <c r="F198" t="str">
        <f>VLOOKUP(V198,DictionaryTableID,3,FALSE)&amp;"ID"&amp;X198</f>
        <v>crmContactID</v>
      </c>
      <c r="G198" s="3" t="s">
        <v>6448</v>
      </c>
      <c r="H198" s="3" t="str">
        <f t="shared" si="14"/>
        <v>Contact Management.Address</v>
      </c>
      <c r="I198"/>
      <c r="K198" t="s">
        <v>29</v>
      </c>
      <c r="L198"/>
      <c r="M198" t="s">
        <v>6007</v>
      </c>
      <c r="N198"/>
      <c r="O198"/>
      <c r="P198"/>
      <c r="Q198" t="s">
        <v>919</v>
      </c>
      <c r="R198"/>
      <c r="S198"/>
      <c r="U198" t="s">
        <v>96</v>
      </c>
      <c r="V198">
        <v>100</v>
      </c>
      <c r="W198" s="3" t="str">
        <f>VLOOKUP(V198,DictionaryTableID,3,FALSE)</f>
        <v>crmContact</v>
      </c>
      <c r="X198" s="3" t="s">
        <v>1036</v>
      </c>
      <c r="AB198" t="s">
        <v>92</v>
      </c>
    </row>
    <row r="199" spans="1:30" ht="15" hidden="1" customHeight="1">
      <c r="A199">
        <v>11905</v>
      </c>
      <c r="B199" t="s">
        <v>1475</v>
      </c>
      <c r="C199" s="3" t="str">
        <f t="shared" si="15"/>
        <v>crmAddress.AddressText</v>
      </c>
      <c r="D199">
        <v>110</v>
      </c>
      <c r="E199" s="3" t="str">
        <f t="shared" si="13"/>
        <v>crmAddress</v>
      </c>
      <c r="F199" t="s">
        <v>6383</v>
      </c>
      <c r="G199" s="3" t="s">
        <v>6384</v>
      </c>
      <c r="H199" s="3" t="str">
        <f t="shared" si="14"/>
        <v>Contact Management.Address</v>
      </c>
      <c r="I199"/>
      <c r="K199" t="s">
        <v>6392</v>
      </c>
      <c r="L199"/>
      <c r="M199" t="s">
        <v>196</v>
      </c>
      <c r="N199"/>
      <c r="O199"/>
      <c r="P199"/>
      <c r="Q199" t="s">
        <v>92</v>
      </c>
      <c r="R199"/>
      <c r="S199"/>
      <c r="U199" t="s">
        <v>93</v>
      </c>
      <c r="AB199" t="s">
        <v>92</v>
      </c>
    </row>
    <row r="200" spans="1:30" ht="15" hidden="1" customHeight="1">
      <c r="A200">
        <v>11910</v>
      </c>
      <c r="B200" t="s">
        <v>1475</v>
      </c>
      <c r="C200" s="3" t="str">
        <f t="shared" si="15"/>
        <v>crmAddress.AdditionalInformation</v>
      </c>
      <c r="D200">
        <v>110</v>
      </c>
      <c r="E200" s="3" t="str">
        <f t="shared" si="13"/>
        <v>crmAddress</v>
      </c>
      <c r="F200" t="s">
        <v>1265</v>
      </c>
      <c r="G200" s="3" t="s">
        <v>1083</v>
      </c>
      <c r="H200" s="3" t="str">
        <f t="shared" si="14"/>
        <v>Contact Management.Address</v>
      </c>
      <c r="I200"/>
      <c r="K200" t="s">
        <v>1266</v>
      </c>
      <c r="L200"/>
      <c r="M200" t="s">
        <v>196</v>
      </c>
      <c r="N200"/>
      <c r="O200"/>
      <c r="P200"/>
      <c r="Q200" t="s">
        <v>92</v>
      </c>
      <c r="R200"/>
      <c r="S200"/>
      <c r="U200" t="s">
        <v>93</v>
      </c>
      <c r="AB200" t="s">
        <v>92</v>
      </c>
    </row>
    <row r="201" spans="1:30" ht="15" hidden="1" customHeight="1">
      <c r="A201">
        <v>11920</v>
      </c>
      <c r="B201" t="s">
        <v>1475</v>
      </c>
      <c r="C201" s="3" t="str">
        <f t="shared" si="15"/>
        <v>crmAddress.Address1</v>
      </c>
      <c r="D201">
        <v>110</v>
      </c>
      <c r="E201" s="3" t="str">
        <f t="shared" si="13"/>
        <v>crmAddress</v>
      </c>
      <c r="F201" t="s">
        <v>1</v>
      </c>
      <c r="G201" s="3" t="s">
        <v>6489</v>
      </c>
      <c r="H201" s="3" t="str">
        <f t="shared" si="14"/>
        <v>Contact Management.Address</v>
      </c>
      <c r="I201"/>
      <c r="K201" t="s">
        <v>113</v>
      </c>
      <c r="L201"/>
      <c r="M201" t="s">
        <v>196</v>
      </c>
      <c r="N201"/>
      <c r="O201"/>
      <c r="P201"/>
      <c r="Q201" t="s">
        <v>92</v>
      </c>
      <c r="R201"/>
      <c r="S201"/>
      <c r="U201" t="s">
        <v>93</v>
      </c>
      <c r="AB201" t="s">
        <v>92</v>
      </c>
    </row>
    <row r="202" spans="1:30" ht="15" hidden="1" customHeight="1">
      <c r="A202">
        <v>11930</v>
      </c>
      <c r="B202" t="s">
        <v>1475</v>
      </c>
      <c r="C202" s="3" t="str">
        <f t="shared" si="15"/>
        <v>crmAddress.Address2</v>
      </c>
      <c r="D202">
        <v>110</v>
      </c>
      <c r="E202" s="3" t="str">
        <f t="shared" si="13"/>
        <v>crmAddress</v>
      </c>
      <c r="F202" t="s">
        <v>2</v>
      </c>
      <c r="G202" s="3" t="s">
        <v>6490</v>
      </c>
      <c r="H202" s="3" t="str">
        <f t="shared" si="14"/>
        <v>Contact Management.Address</v>
      </c>
      <c r="I202"/>
      <c r="K202" t="s">
        <v>114</v>
      </c>
      <c r="L202"/>
      <c r="M202" t="s">
        <v>196</v>
      </c>
      <c r="N202"/>
      <c r="O202"/>
      <c r="P202"/>
      <c r="Q202" t="s">
        <v>92</v>
      </c>
      <c r="R202"/>
      <c r="S202"/>
      <c r="U202" t="s">
        <v>93</v>
      </c>
      <c r="AB202" t="s">
        <v>92</v>
      </c>
    </row>
    <row r="203" spans="1:30" ht="15" hidden="1" customHeight="1">
      <c r="A203">
        <v>11940</v>
      </c>
      <c r="B203" t="s">
        <v>1475</v>
      </c>
      <c r="C203" s="3" t="str">
        <f t="shared" si="15"/>
        <v>crmAddress.Address3</v>
      </c>
      <c r="D203">
        <v>110</v>
      </c>
      <c r="E203" s="3" t="str">
        <f t="shared" si="13"/>
        <v>crmAddress</v>
      </c>
      <c r="F203" t="s">
        <v>1085</v>
      </c>
      <c r="G203" s="3" t="s">
        <v>6491</v>
      </c>
      <c r="H203" s="3" t="str">
        <f t="shared" si="14"/>
        <v>Contact Management.Address</v>
      </c>
      <c r="I203"/>
      <c r="K203" t="s">
        <v>6099</v>
      </c>
      <c r="L203"/>
      <c r="M203" t="s">
        <v>196</v>
      </c>
      <c r="N203"/>
      <c r="O203"/>
      <c r="P203"/>
      <c r="Q203" t="s">
        <v>92</v>
      </c>
      <c r="R203"/>
      <c r="S203"/>
      <c r="U203" t="s">
        <v>93</v>
      </c>
      <c r="AB203" t="s">
        <v>92</v>
      </c>
    </row>
    <row r="204" spans="1:30" ht="15" hidden="1" customHeight="1">
      <c r="A204">
        <v>11950</v>
      </c>
      <c r="B204" t="s">
        <v>1475</v>
      </c>
      <c r="C204" s="3" t="str">
        <f t="shared" si="15"/>
        <v>crmAddress.Address4</v>
      </c>
      <c r="D204">
        <v>110</v>
      </c>
      <c r="E204" s="3" t="str">
        <f t="shared" si="13"/>
        <v>crmAddress</v>
      </c>
      <c r="F204" t="s">
        <v>1469</v>
      </c>
      <c r="G204" s="3" t="s">
        <v>6492</v>
      </c>
      <c r="H204" t="str">
        <f t="shared" si="14"/>
        <v>Contact Management.Address</v>
      </c>
      <c r="I204"/>
      <c r="J204"/>
      <c r="K204" t="s">
        <v>1470</v>
      </c>
      <c r="L204" t="s">
        <v>1469</v>
      </c>
      <c r="M204" t="s">
        <v>1073</v>
      </c>
      <c r="N204"/>
      <c r="O204"/>
      <c r="P204" t="s">
        <v>1471</v>
      </c>
      <c r="Q204" t="s">
        <v>92</v>
      </c>
      <c r="R204"/>
      <c r="S204"/>
      <c r="T204"/>
      <c r="U204" t="s">
        <v>93</v>
      </c>
      <c r="AA204" t="s">
        <v>92</v>
      </c>
      <c r="AB204" t="s">
        <v>92</v>
      </c>
      <c r="AD204" s="20"/>
    </row>
    <row r="205" spans="1:30" ht="15" hidden="1" customHeight="1">
      <c r="A205">
        <v>11960</v>
      </c>
      <c r="B205" t="s">
        <v>1475</v>
      </c>
      <c r="C205" s="3" t="str">
        <f t="shared" si="15"/>
        <v>crmAddress.City</v>
      </c>
      <c r="D205">
        <v>110</v>
      </c>
      <c r="E205" s="3" t="str">
        <f t="shared" si="13"/>
        <v>crmAddress</v>
      </c>
      <c r="F205" t="s">
        <v>24</v>
      </c>
      <c r="G205" s="3" t="s">
        <v>6493</v>
      </c>
      <c r="H205" s="3" t="str">
        <f t="shared" si="14"/>
        <v>Contact Management.Address</v>
      </c>
      <c r="I205"/>
      <c r="K205" t="s">
        <v>24</v>
      </c>
      <c r="L205"/>
      <c r="M205" t="s">
        <v>196</v>
      </c>
      <c r="N205"/>
      <c r="O205"/>
      <c r="P205"/>
      <c r="Q205" t="s">
        <v>92</v>
      </c>
      <c r="R205"/>
      <c r="S205"/>
      <c r="U205" t="s">
        <v>93</v>
      </c>
      <c r="AB205" t="s">
        <v>92</v>
      </c>
    </row>
    <row r="206" spans="1:30" ht="15" hidden="1" customHeight="1">
      <c r="A206">
        <v>11970</v>
      </c>
      <c r="B206" t="s">
        <v>1475</v>
      </c>
      <c r="C206" s="3" t="str">
        <f t="shared" si="15"/>
        <v>crmAddress.EffectiveDate</v>
      </c>
      <c r="D206">
        <v>110</v>
      </c>
      <c r="E206" s="3" t="str">
        <f t="shared" si="13"/>
        <v>crmAddress</v>
      </c>
      <c r="F206" t="s">
        <v>51</v>
      </c>
      <c r="G206" s="3" t="s">
        <v>6494</v>
      </c>
      <c r="H206" s="3" t="str">
        <f t="shared" si="14"/>
        <v>Contact Management.Address</v>
      </c>
      <c r="I206"/>
      <c r="K206" t="s">
        <v>410</v>
      </c>
      <c r="L206"/>
      <c r="M206" s="3" t="s">
        <v>81</v>
      </c>
      <c r="N206"/>
      <c r="O206"/>
      <c r="P206"/>
      <c r="Q206" s="3" t="s">
        <v>92</v>
      </c>
      <c r="R206"/>
      <c r="S206" s="14"/>
      <c r="U206" t="s">
        <v>93</v>
      </c>
      <c r="AB206" t="s">
        <v>92</v>
      </c>
    </row>
    <row r="207" spans="1:30" ht="15" hidden="1" customHeight="1">
      <c r="A207">
        <v>11980</v>
      </c>
      <c r="B207" t="s">
        <v>1475</v>
      </c>
      <c r="C207" s="3" t="str">
        <f t="shared" si="15"/>
        <v>crmAddress.IsPrimaryAddress</v>
      </c>
      <c r="D207">
        <v>110</v>
      </c>
      <c r="E207" s="3" t="str">
        <f t="shared" si="13"/>
        <v>crmAddress</v>
      </c>
      <c r="F207" t="s">
        <v>1267</v>
      </c>
      <c r="G207" s="3" t="s">
        <v>6495</v>
      </c>
      <c r="H207" s="3" t="str">
        <f t="shared" si="14"/>
        <v>Contact Management.Address</v>
      </c>
      <c r="I207"/>
      <c r="K207" t="s">
        <v>1088</v>
      </c>
      <c r="L207"/>
      <c r="M207" s="3" t="s">
        <v>2402</v>
      </c>
      <c r="N207"/>
      <c r="O207"/>
      <c r="P207"/>
      <c r="Q207" s="3" t="s">
        <v>919</v>
      </c>
      <c r="R207"/>
      <c r="S207"/>
      <c r="U207" t="s">
        <v>93</v>
      </c>
      <c r="AB207" t="s">
        <v>92</v>
      </c>
    </row>
    <row r="208" spans="1:30" ht="15" hidden="1" customHeight="1">
      <c r="A208">
        <v>11990</v>
      </c>
      <c r="B208" t="s">
        <v>1475</v>
      </c>
      <c r="C208" s="3" t="str">
        <f t="shared" si="15"/>
        <v>crmAddress.PostalZip</v>
      </c>
      <c r="D208">
        <v>110</v>
      </c>
      <c r="E208" s="3" t="str">
        <f t="shared" si="13"/>
        <v>crmAddress</v>
      </c>
      <c r="F208" t="s">
        <v>1311</v>
      </c>
      <c r="G208" s="3" t="s">
        <v>1087</v>
      </c>
      <c r="H208" s="3" t="str">
        <f t="shared" si="14"/>
        <v>Contact Management.Address</v>
      </c>
      <c r="I208"/>
      <c r="K208" t="s">
        <v>1087</v>
      </c>
      <c r="L208"/>
      <c r="M208" t="s">
        <v>196</v>
      </c>
      <c r="O208"/>
      <c r="P208"/>
      <c r="Q208" t="s">
        <v>92</v>
      </c>
      <c r="R208"/>
      <c r="S208"/>
      <c r="U208" t="s">
        <v>93</v>
      </c>
      <c r="AB208" t="s">
        <v>92</v>
      </c>
    </row>
    <row r="209" spans="1:30" ht="15" hidden="1" customHeight="1">
      <c r="A209">
        <v>11991</v>
      </c>
      <c r="B209" t="s">
        <v>1475</v>
      </c>
      <c r="C209" s="3" t="str">
        <f t="shared" si="15"/>
        <v>crmAddress.Latitude</v>
      </c>
      <c r="D209">
        <v>110</v>
      </c>
      <c r="E209" s="3" t="str">
        <f t="shared" si="13"/>
        <v>crmAddress</v>
      </c>
      <c r="F209" t="s">
        <v>6393</v>
      </c>
      <c r="G209" s="3" t="s">
        <v>6477</v>
      </c>
      <c r="H209" s="3" t="str">
        <f t="shared" si="14"/>
        <v>Contact Management.Address</v>
      </c>
      <c r="I209"/>
      <c r="K209" t="s">
        <v>6393</v>
      </c>
      <c r="L209"/>
      <c r="M209" t="s">
        <v>6395</v>
      </c>
      <c r="O209"/>
      <c r="P209"/>
      <c r="Q209" t="s">
        <v>92</v>
      </c>
      <c r="R209"/>
      <c r="S209"/>
      <c r="U209" t="s">
        <v>93</v>
      </c>
      <c r="AB209" t="s">
        <v>92</v>
      </c>
    </row>
    <row r="210" spans="1:30" ht="15" hidden="1" customHeight="1">
      <c r="A210">
        <v>11992</v>
      </c>
      <c r="B210" t="s">
        <v>1475</v>
      </c>
      <c r="C210" s="3" t="str">
        <f t="shared" si="15"/>
        <v>crmAddress.Longitude</v>
      </c>
      <c r="D210">
        <v>110</v>
      </c>
      <c r="E210" s="3" t="str">
        <f t="shared" si="13"/>
        <v>crmAddress</v>
      </c>
      <c r="F210" t="s">
        <v>6394</v>
      </c>
      <c r="G210" s="3" t="s">
        <v>6478</v>
      </c>
      <c r="H210" s="3" t="str">
        <f t="shared" si="14"/>
        <v>Contact Management.Address</v>
      </c>
      <c r="I210"/>
      <c r="K210" t="s">
        <v>6394</v>
      </c>
      <c r="L210"/>
      <c r="M210" t="s">
        <v>6395</v>
      </c>
      <c r="O210"/>
      <c r="P210"/>
      <c r="Q210" t="s">
        <v>92</v>
      </c>
      <c r="R210"/>
      <c r="S210"/>
      <c r="U210" t="s">
        <v>93</v>
      </c>
      <c r="AB210" t="s">
        <v>92</v>
      </c>
    </row>
    <row r="211" spans="1:30" ht="15" hidden="1" customHeight="1">
      <c r="A211">
        <v>12000</v>
      </c>
      <c r="B211" t="s">
        <v>1475</v>
      </c>
      <c r="C211" s="3" t="str">
        <f t="shared" si="15"/>
        <v>crmAddress.ProvinceState</v>
      </c>
      <c r="D211">
        <v>110</v>
      </c>
      <c r="E211" s="3" t="str">
        <f t="shared" si="13"/>
        <v>crmAddress</v>
      </c>
      <c r="F211" t="s">
        <v>1333</v>
      </c>
      <c r="G211" s="3" t="s">
        <v>6496</v>
      </c>
      <c r="H211" s="3" t="str">
        <f t="shared" si="14"/>
        <v>Contact Management.Address</v>
      </c>
      <c r="I211"/>
      <c r="K211" t="s">
        <v>1334</v>
      </c>
      <c r="L211"/>
      <c r="M211" t="s">
        <v>196</v>
      </c>
      <c r="N211"/>
      <c r="O211"/>
      <c r="P211"/>
      <c r="Q211" t="s">
        <v>92</v>
      </c>
      <c r="R211"/>
      <c r="S211"/>
      <c r="U211" t="s">
        <v>93</v>
      </c>
      <c r="AB211" t="s">
        <v>92</v>
      </c>
    </row>
    <row r="212" spans="1:30" ht="15" hidden="1" customHeight="1">
      <c r="A212">
        <v>12010</v>
      </c>
      <c r="B212" t="s">
        <v>1475</v>
      </c>
      <c r="C212" s="3" t="str">
        <f t="shared" si="15"/>
        <v>crmAddress.RowStatus</v>
      </c>
      <c r="D212">
        <v>110</v>
      </c>
      <c r="E212" s="3" t="str">
        <f t="shared" ref="E212:E275" si="16">VLOOKUP(D212,DictionaryTableID,3,FALSE)</f>
        <v>crmAddress</v>
      </c>
      <c r="F212" t="s">
        <v>1445</v>
      </c>
      <c r="G212" s="3" t="s">
        <v>6411</v>
      </c>
      <c r="H212" s="3" t="str">
        <f t="shared" ref="H212:H255" si="17">VLOOKUP(E212,DictionaryTables,14,FALSE)</f>
        <v>Contact Management.Address</v>
      </c>
      <c r="I212"/>
      <c r="K212" s="3" t="s">
        <v>2471</v>
      </c>
      <c r="L212"/>
      <c r="M212" t="s">
        <v>976</v>
      </c>
      <c r="N212">
        <v>1</v>
      </c>
      <c r="O212"/>
      <c r="P212"/>
      <c r="Q212" t="s">
        <v>919</v>
      </c>
      <c r="R212"/>
      <c r="S212" s="14"/>
      <c r="U212" t="s">
        <v>94</v>
      </c>
    </row>
    <row r="213" spans="1:30" ht="15" hidden="1" customHeight="1">
      <c r="A213">
        <v>12020</v>
      </c>
      <c r="B213" t="s">
        <v>1475</v>
      </c>
      <c r="C213" s="3" t="str">
        <f t="shared" si="15"/>
        <v>crmAddress.sysChangeHistoryID</v>
      </c>
      <c r="D213">
        <v>110</v>
      </c>
      <c r="E213" s="3" t="str">
        <f t="shared" si="16"/>
        <v>crmAddress</v>
      </c>
      <c r="F213" t="s">
        <v>2497</v>
      </c>
      <c r="G213" s="3" t="s">
        <v>6403</v>
      </c>
      <c r="H213" s="3" t="str">
        <f t="shared" si="17"/>
        <v>Contact Management.Address</v>
      </c>
      <c r="I213"/>
      <c r="K213" t="s">
        <v>1210</v>
      </c>
      <c r="L213"/>
      <c r="M213" t="s">
        <v>6007</v>
      </c>
      <c r="N213"/>
      <c r="O213"/>
      <c r="P213"/>
      <c r="Q213" t="s">
        <v>92</v>
      </c>
      <c r="R213"/>
      <c r="S213"/>
      <c r="U213" t="s">
        <v>1429</v>
      </c>
      <c r="W213" s="3"/>
      <c r="X213" s="3"/>
    </row>
    <row r="214" spans="1:30" ht="15" hidden="1" customHeight="1">
      <c r="A214">
        <v>12030</v>
      </c>
      <c r="B214" t="s">
        <v>1475</v>
      </c>
      <c r="C214" s="3" t="str">
        <f t="shared" si="15"/>
        <v>crmAddressEmail.ID</v>
      </c>
      <c r="D214">
        <v>111</v>
      </c>
      <c r="E214" s="3" t="str">
        <f t="shared" si="16"/>
        <v>crmAddressEmail</v>
      </c>
      <c r="F214" t="s">
        <v>0</v>
      </c>
      <c r="G214" s="3" t="s">
        <v>6497</v>
      </c>
      <c r="H214" s="3" t="str">
        <f t="shared" si="17"/>
        <v>Contact Management.Email</v>
      </c>
      <c r="I214"/>
      <c r="K214" t="s">
        <v>0</v>
      </c>
      <c r="L214"/>
      <c r="M214" t="s">
        <v>6007</v>
      </c>
      <c r="N214"/>
      <c r="O214"/>
      <c r="P214"/>
      <c r="Q214" s="3" t="s">
        <v>919</v>
      </c>
      <c r="R214"/>
      <c r="S214" s="20"/>
      <c r="U214" s="3" t="s">
        <v>95</v>
      </c>
    </row>
    <row r="215" spans="1:30" ht="15" hidden="1" customHeight="1">
      <c r="A215">
        <v>12040</v>
      </c>
      <c r="B215" t="s">
        <v>1475</v>
      </c>
      <c r="C215" s="3" t="str">
        <f t="shared" si="15"/>
        <v>crmAddressEmail.crmAddressTypeID</v>
      </c>
      <c r="D215">
        <v>111</v>
      </c>
      <c r="E215" s="3" t="str">
        <f t="shared" si="16"/>
        <v>crmAddressEmail</v>
      </c>
      <c r="F215" t="str">
        <f>VLOOKUP(V215,DictionaryTableID,3,FALSE)&amp;"ID"&amp;X215</f>
        <v>crmAddressTypeID</v>
      </c>
      <c r="G215" s="3" t="s">
        <v>6488</v>
      </c>
      <c r="H215" s="3" t="str">
        <f t="shared" si="17"/>
        <v>Contact Management.Email</v>
      </c>
      <c r="I215"/>
      <c r="K215" t="s">
        <v>1081</v>
      </c>
      <c r="L215"/>
      <c r="M215" t="s">
        <v>6007</v>
      </c>
      <c r="N215"/>
      <c r="O215"/>
      <c r="P215"/>
      <c r="Q215" t="s">
        <v>919</v>
      </c>
      <c r="R215"/>
      <c r="S215" s="4"/>
      <c r="U215" t="s">
        <v>96</v>
      </c>
      <c r="V215">
        <v>114</v>
      </c>
      <c r="W215" s="3" t="str">
        <f>VLOOKUP(V215,DictionaryTableID,3,FALSE)</f>
        <v>crmAddressType</v>
      </c>
      <c r="X215" s="3" t="s">
        <v>1036</v>
      </c>
      <c r="AB215" t="s">
        <v>92</v>
      </c>
    </row>
    <row r="216" spans="1:30" ht="15" hidden="1" customHeight="1">
      <c r="A216">
        <v>12050</v>
      </c>
      <c r="B216" t="s">
        <v>1475</v>
      </c>
      <c r="C216" s="3" t="str">
        <f t="shared" si="15"/>
        <v>crmAddressEmail.crmContactID</v>
      </c>
      <c r="D216">
        <v>111</v>
      </c>
      <c r="E216" s="3" t="str">
        <f t="shared" si="16"/>
        <v>crmAddressEmail</v>
      </c>
      <c r="F216" t="str">
        <f>VLOOKUP(V216,DictionaryTableID,3,FALSE)&amp;"ID"&amp;X216</f>
        <v>crmContactID</v>
      </c>
      <c r="G216" s="3" t="s">
        <v>6448</v>
      </c>
      <c r="H216" s="3" t="str">
        <f t="shared" si="17"/>
        <v>Contact Management.Email</v>
      </c>
      <c r="I216"/>
      <c r="K216" t="s">
        <v>29</v>
      </c>
      <c r="L216"/>
      <c r="M216" t="s">
        <v>6007</v>
      </c>
      <c r="N216"/>
      <c r="O216"/>
      <c r="P216"/>
      <c r="Q216" t="s">
        <v>919</v>
      </c>
      <c r="R216"/>
      <c r="S216"/>
      <c r="U216" t="s">
        <v>96</v>
      </c>
      <c r="V216">
        <v>100</v>
      </c>
      <c r="W216" s="3" t="str">
        <f>VLOOKUP(V216,DictionaryTableID,3,FALSE)</f>
        <v>crmContact</v>
      </c>
      <c r="X216" s="3" t="s">
        <v>1036</v>
      </c>
      <c r="AB216" t="s">
        <v>92</v>
      </c>
    </row>
    <row r="217" spans="1:30" ht="15" hidden="1" customHeight="1">
      <c r="A217">
        <v>12060</v>
      </c>
      <c r="B217" t="s">
        <v>1475</v>
      </c>
      <c r="C217" s="3" t="str">
        <f t="shared" si="15"/>
        <v>crmAddressEmail.Email</v>
      </c>
      <c r="D217">
        <v>111</v>
      </c>
      <c r="E217" s="3" t="str">
        <f t="shared" si="16"/>
        <v>crmAddressEmail</v>
      </c>
      <c r="F217" t="s">
        <v>1086</v>
      </c>
      <c r="G217" s="3" t="s">
        <v>1086</v>
      </c>
      <c r="H217" s="3" t="str">
        <f t="shared" si="17"/>
        <v>Contact Management.Email</v>
      </c>
      <c r="I217"/>
      <c r="K217" t="s">
        <v>1086</v>
      </c>
      <c r="L217"/>
      <c r="M217" t="s">
        <v>196</v>
      </c>
      <c r="N217"/>
      <c r="O217"/>
      <c r="P217"/>
      <c r="Q217" s="3" t="s">
        <v>919</v>
      </c>
      <c r="R217"/>
      <c r="S217"/>
      <c r="U217" t="s">
        <v>93</v>
      </c>
      <c r="AB217" t="s">
        <v>92</v>
      </c>
    </row>
    <row r="218" spans="1:30" ht="15" hidden="1" customHeight="1">
      <c r="A218">
        <v>12070</v>
      </c>
      <c r="B218" t="s">
        <v>1475</v>
      </c>
      <c r="C218" s="3" t="str">
        <f t="shared" si="15"/>
        <v>crmAddressEmail.IsPrimary</v>
      </c>
      <c r="D218">
        <v>111</v>
      </c>
      <c r="E218" s="3" t="str">
        <f t="shared" si="16"/>
        <v>crmAddressEmail</v>
      </c>
      <c r="F218" t="s">
        <v>1472</v>
      </c>
      <c r="G218" s="3" t="s">
        <v>6498</v>
      </c>
      <c r="H218" t="str">
        <f t="shared" si="17"/>
        <v>Contact Management.Email</v>
      </c>
      <c r="I218"/>
      <c r="J218"/>
      <c r="K218" t="s">
        <v>1473</v>
      </c>
      <c r="L218" t="s">
        <v>1472</v>
      </c>
      <c r="M218" s="3" t="s">
        <v>2402</v>
      </c>
      <c r="N218"/>
      <c r="O218"/>
      <c r="P218" t="s">
        <v>1089</v>
      </c>
      <c r="Q218" s="3" t="s">
        <v>919</v>
      </c>
      <c r="R218"/>
      <c r="S218" t="b">
        <v>0</v>
      </c>
      <c r="U218" t="s">
        <v>93</v>
      </c>
      <c r="AA218" t="s">
        <v>92</v>
      </c>
      <c r="AB218" t="s">
        <v>92</v>
      </c>
      <c r="AD218" s="20"/>
    </row>
    <row r="219" spans="1:30" ht="15" hidden="1" customHeight="1">
      <c r="A219">
        <v>12080</v>
      </c>
      <c r="B219" t="s">
        <v>1475</v>
      </c>
      <c r="C219" s="3" t="str">
        <f t="shared" si="15"/>
        <v>crmAddressEmail.RowStatus</v>
      </c>
      <c r="D219">
        <v>111</v>
      </c>
      <c r="E219" s="3" t="str">
        <f t="shared" si="16"/>
        <v>crmAddressEmail</v>
      </c>
      <c r="F219" t="s">
        <v>1445</v>
      </c>
      <c r="G219" s="3" t="s">
        <v>6411</v>
      </c>
      <c r="H219" s="3" t="str">
        <f t="shared" si="17"/>
        <v>Contact Management.Email</v>
      </c>
      <c r="I219"/>
      <c r="K219" s="3" t="s">
        <v>2471</v>
      </c>
      <c r="L219"/>
      <c r="M219" t="s">
        <v>976</v>
      </c>
      <c r="N219">
        <v>1</v>
      </c>
      <c r="O219"/>
      <c r="P219"/>
      <c r="Q219" t="s">
        <v>919</v>
      </c>
      <c r="R219"/>
      <c r="S219" s="14"/>
      <c r="U219" t="s">
        <v>94</v>
      </c>
    </row>
    <row r="220" spans="1:30" ht="15" hidden="1" customHeight="1">
      <c r="A220">
        <v>12090</v>
      </c>
      <c r="B220" t="s">
        <v>1475</v>
      </c>
      <c r="C220" s="3" t="str">
        <f t="shared" si="15"/>
        <v>crmAddressEmail.sysChangeHistoryID</v>
      </c>
      <c r="D220">
        <v>111</v>
      </c>
      <c r="E220" s="3" t="str">
        <f t="shared" si="16"/>
        <v>crmAddressEmail</v>
      </c>
      <c r="F220" t="s">
        <v>2497</v>
      </c>
      <c r="G220" s="3" t="s">
        <v>6403</v>
      </c>
      <c r="H220" s="3" t="str">
        <f t="shared" si="17"/>
        <v>Contact Management.Email</v>
      </c>
      <c r="I220"/>
      <c r="K220" t="s">
        <v>1210</v>
      </c>
      <c r="L220"/>
      <c r="M220" t="s">
        <v>6007</v>
      </c>
      <c r="N220"/>
      <c r="O220"/>
      <c r="P220"/>
      <c r="Q220" t="s">
        <v>92</v>
      </c>
      <c r="R220"/>
      <c r="S220"/>
      <c r="U220" t="s">
        <v>1429</v>
      </c>
    </row>
    <row r="221" spans="1:30" ht="15" hidden="1" customHeight="1">
      <c r="A221">
        <v>12100</v>
      </c>
      <c r="B221" t="s">
        <v>1475</v>
      </c>
      <c r="C221" s="3" t="str">
        <f t="shared" si="15"/>
        <v>crmAddressPhone.ID</v>
      </c>
      <c r="D221">
        <v>112</v>
      </c>
      <c r="E221" s="3" t="str">
        <f t="shared" si="16"/>
        <v>crmAddressPhone</v>
      </c>
      <c r="F221" t="s">
        <v>0</v>
      </c>
      <c r="G221" s="3" t="s">
        <v>6499</v>
      </c>
      <c r="H221" s="3" t="str">
        <f t="shared" si="17"/>
        <v>Contact Management.Phone Number</v>
      </c>
      <c r="I221"/>
      <c r="K221" t="s">
        <v>0</v>
      </c>
      <c r="L221"/>
      <c r="M221" t="s">
        <v>6007</v>
      </c>
      <c r="N221"/>
      <c r="O221"/>
      <c r="P221"/>
      <c r="Q221" s="3" t="s">
        <v>919</v>
      </c>
      <c r="R221"/>
      <c r="S221" s="20"/>
      <c r="U221" s="3" t="s">
        <v>95</v>
      </c>
    </row>
    <row r="222" spans="1:30" ht="15" hidden="1" customHeight="1">
      <c r="A222">
        <v>12110</v>
      </c>
      <c r="B222" t="s">
        <v>1475</v>
      </c>
      <c r="C222" s="3" t="str">
        <f t="shared" si="15"/>
        <v>crmAddressPhone.crmAddressPhoneTypeID</v>
      </c>
      <c r="D222">
        <v>112</v>
      </c>
      <c r="E222" s="3" t="str">
        <f t="shared" si="16"/>
        <v>crmAddressPhone</v>
      </c>
      <c r="F222" t="str">
        <f>VLOOKUP(V222,DictionaryTableID,3,FALSE)&amp;"ID"&amp;X222</f>
        <v>crmAddressPhoneTypeID</v>
      </c>
      <c r="G222" s="3" t="s">
        <v>6500</v>
      </c>
      <c r="H222" s="3" t="str">
        <f t="shared" si="17"/>
        <v>Contact Management.Phone Number</v>
      </c>
      <c r="I222"/>
      <c r="K222" t="s">
        <v>2492</v>
      </c>
      <c r="L222"/>
      <c r="M222" t="s">
        <v>6007</v>
      </c>
      <c r="N222"/>
      <c r="O222"/>
      <c r="P222"/>
      <c r="Q222" s="3" t="s">
        <v>92</v>
      </c>
      <c r="R222"/>
      <c r="S222" s="4"/>
      <c r="U222" t="s">
        <v>96</v>
      </c>
      <c r="V222">
        <v>113</v>
      </c>
      <c r="W222" s="3" t="str">
        <f>VLOOKUP(V222,DictionaryTableID,3,FALSE)</f>
        <v>crmAddressPhoneType</v>
      </c>
      <c r="X222" s="3" t="s">
        <v>1036</v>
      </c>
      <c r="AB222" t="s">
        <v>92</v>
      </c>
    </row>
    <row r="223" spans="1:30" ht="15" hidden="1" customHeight="1">
      <c r="A223">
        <v>12120</v>
      </c>
      <c r="B223" t="s">
        <v>1475</v>
      </c>
      <c r="C223" s="3" t="str">
        <f t="shared" si="15"/>
        <v>crmAddressPhone.crmAddressTypeID</v>
      </c>
      <c r="D223">
        <v>112</v>
      </c>
      <c r="E223" s="3" t="str">
        <f t="shared" si="16"/>
        <v>crmAddressPhone</v>
      </c>
      <c r="F223" t="str">
        <f>VLOOKUP(V223,DictionaryTableID,3,FALSE)&amp;"ID"&amp;X223</f>
        <v>crmAddressTypeID</v>
      </c>
      <c r="G223" s="3" t="s">
        <v>6488</v>
      </c>
      <c r="H223" s="3" t="str">
        <f t="shared" si="17"/>
        <v>Contact Management.Phone Number</v>
      </c>
      <c r="I223"/>
      <c r="K223" t="s">
        <v>1081</v>
      </c>
      <c r="L223"/>
      <c r="M223" t="s">
        <v>6007</v>
      </c>
      <c r="N223"/>
      <c r="O223"/>
      <c r="P223"/>
      <c r="Q223" t="s">
        <v>919</v>
      </c>
      <c r="R223"/>
      <c r="S223" s="4"/>
      <c r="U223" t="s">
        <v>96</v>
      </c>
      <c r="V223">
        <v>114</v>
      </c>
      <c r="W223" s="3" t="str">
        <f>VLOOKUP(V223,DictionaryTableID,3,FALSE)</f>
        <v>crmAddressType</v>
      </c>
      <c r="X223" s="3" t="s">
        <v>1036</v>
      </c>
      <c r="AB223" t="s">
        <v>92</v>
      </c>
    </row>
    <row r="224" spans="1:30" ht="15" hidden="1" customHeight="1">
      <c r="A224">
        <v>12130</v>
      </c>
      <c r="B224" t="s">
        <v>1475</v>
      </c>
      <c r="C224" s="3" t="str">
        <f t="shared" si="15"/>
        <v>crmAddressPhone.crmContactID</v>
      </c>
      <c r="D224">
        <v>112</v>
      </c>
      <c r="E224" s="3" t="str">
        <f t="shared" si="16"/>
        <v>crmAddressPhone</v>
      </c>
      <c r="F224" t="str">
        <f>VLOOKUP(V224,DictionaryTableID,3,FALSE)&amp;"ID"&amp;X224</f>
        <v>crmContactID</v>
      </c>
      <c r="G224" s="3" t="s">
        <v>6448</v>
      </c>
      <c r="H224" s="3" t="str">
        <f t="shared" si="17"/>
        <v>Contact Management.Phone Number</v>
      </c>
      <c r="I224"/>
      <c r="K224" t="s">
        <v>29</v>
      </c>
      <c r="L224"/>
      <c r="M224" t="s">
        <v>6007</v>
      </c>
      <c r="N224"/>
      <c r="O224"/>
      <c r="P224"/>
      <c r="Q224" t="s">
        <v>919</v>
      </c>
      <c r="R224"/>
      <c r="S224"/>
      <c r="U224" t="s">
        <v>96</v>
      </c>
      <c r="V224">
        <v>100</v>
      </c>
      <c r="W224" s="3" t="str">
        <f>VLOOKUP(V224,DictionaryTableID,3,FALSE)</f>
        <v>crmContact</v>
      </c>
      <c r="X224" s="3" t="s">
        <v>1036</v>
      </c>
      <c r="AB224" t="s">
        <v>92</v>
      </c>
    </row>
    <row r="225" spans="1:34" ht="15" hidden="1" customHeight="1">
      <c r="A225">
        <v>12140</v>
      </c>
      <c r="B225" t="s">
        <v>1475</v>
      </c>
      <c r="C225" s="3" t="str">
        <f t="shared" si="15"/>
        <v>crmAddressPhone.IsPrimary</v>
      </c>
      <c r="D225">
        <v>112</v>
      </c>
      <c r="E225" s="3" t="str">
        <f t="shared" si="16"/>
        <v>crmAddressPhone</v>
      </c>
      <c r="F225" t="s">
        <v>1472</v>
      </c>
      <c r="G225" s="3" t="s">
        <v>6997</v>
      </c>
      <c r="H225" t="str">
        <f t="shared" si="17"/>
        <v>Contact Management.Phone Number</v>
      </c>
      <c r="I225"/>
      <c r="J225"/>
      <c r="K225" t="s">
        <v>1473</v>
      </c>
      <c r="L225" t="s">
        <v>1472</v>
      </c>
      <c r="M225" s="3" t="s">
        <v>2402</v>
      </c>
      <c r="N225"/>
      <c r="O225"/>
      <c r="P225" t="s">
        <v>1089</v>
      </c>
      <c r="Q225" s="3" t="s">
        <v>919</v>
      </c>
      <c r="R225"/>
      <c r="S225" t="b">
        <v>0</v>
      </c>
      <c r="U225" t="s">
        <v>93</v>
      </c>
      <c r="AA225" t="s">
        <v>92</v>
      </c>
      <c r="AB225" t="s">
        <v>92</v>
      </c>
      <c r="AD225" s="20"/>
    </row>
    <row r="226" spans="1:34" ht="15" hidden="1" customHeight="1">
      <c r="A226">
        <v>12150</v>
      </c>
      <c r="B226" t="s">
        <v>1475</v>
      </c>
      <c r="C226" s="3" t="str">
        <f t="shared" si="15"/>
        <v>crmAddressPhone.Phone</v>
      </c>
      <c r="D226">
        <v>112</v>
      </c>
      <c r="E226" s="3" t="str">
        <f t="shared" si="16"/>
        <v>crmAddressPhone</v>
      </c>
      <c r="F226" t="s">
        <v>1365</v>
      </c>
      <c r="G226" s="3" t="s">
        <v>6998</v>
      </c>
      <c r="H226" s="3" t="str">
        <f t="shared" si="17"/>
        <v>Contact Management.Phone Number</v>
      </c>
      <c r="I226"/>
      <c r="K226" t="s">
        <v>1263</v>
      </c>
      <c r="L226"/>
      <c r="M226" t="s">
        <v>196</v>
      </c>
      <c r="O226"/>
      <c r="P226"/>
      <c r="Q226" s="3" t="s">
        <v>919</v>
      </c>
      <c r="R226"/>
      <c r="S226" s="20"/>
      <c r="U226" t="s">
        <v>93</v>
      </c>
      <c r="AB226" t="s">
        <v>92</v>
      </c>
    </row>
    <row r="227" spans="1:34" ht="15" hidden="1" customHeight="1">
      <c r="A227">
        <v>12160</v>
      </c>
      <c r="B227" t="s">
        <v>1475</v>
      </c>
      <c r="C227" s="3" t="str">
        <f t="shared" si="15"/>
        <v>crmAddressPhone.RowStatus</v>
      </c>
      <c r="D227">
        <v>112</v>
      </c>
      <c r="E227" s="3" t="str">
        <f t="shared" si="16"/>
        <v>crmAddressPhone</v>
      </c>
      <c r="F227" t="s">
        <v>1445</v>
      </c>
      <c r="G227" s="3" t="s">
        <v>6411</v>
      </c>
      <c r="H227" s="3" t="str">
        <f t="shared" si="17"/>
        <v>Contact Management.Phone Number</v>
      </c>
      <c r="I227"/>
      <c r="K227" s="3" t="s">
        <v>2471</v>
      </c>
      <c r="L227"/>
      <c r="M227" t="s">
        <v>976</v>
      </c>
      <c r="N227">
        <v>1</v>
      </c>
      <c r="O227"/>
      <c r="P227"/>
      <c r="Q227" t="s">
        <v>919</v>
      </c>
      <c r="R227"/>
      <c r="S227" s="14"/>
      <c r="U227" t="s">
        <v>94</v>
      </c>
    </row>
    <row r="228" spans="1:34" ht="15" hidden="1" customHeight="1">
      <c r="A228">
        <v>12170</v>
      </c>
      <c r="B228" t="s">
        <v>1475</v>
      </c>
      <c r="C228" s="3" t="str">
        <f t="shared" si="15"/>
        <v>crmAddressPhone.sysChangeHistoryID</v>
      </c>
      <c r="D228">
        <v>112</v>
      </c>
      <c r="E228" s="3" t="str">
        <f t="shared" si="16"/>
        <v>crmAddressPhone</v>
      </c>
      <c r="F228" t="s">
        <v>2497</v>
      </c>
      <c r="G228" s="3" t="s">
        <v>6403</v>
      </c>
      <c r="H228" s="3" t="str">
        <f t="shared" si="17"/>
        <v>Contact Management.Phone Number</v>
      </c>
      <c r="I228"/>
      <c r="K228" t="s">
        <v>1210</v>
      </c>
      <c r="L228"/>
      <c r="M228" t="s">
        <v>6007</v>
      </c>
      <c r="N228"/>
      <c r="O228"/>
      <c r="P228"/>
      <c r="Q228" t="s">
        <v>92</v>
      </c>
      <c r="R228"/>
      <c r="S228"/>
      <c r="U228" t="s">
        <v>1429</v>
      </c>
      <c r="W228" s="3"/>
      <c r="X228" s="3"/>
    </row>
    <row r="229" spans="1:34" ht="15" hidden="1" customHeight="1">
      <c r="A229">
        <v>12180</v>
      </c>
      <c r="B229" s="3" t="s">
        <v>1475</v>
      </c>
      <c r="C229" s="3" t="str">
        <f t="shared" si="15"/>
        <v>crmAddressPhoneType.ID</v>
      </c>
      <c r="D229">
        <v>113</v>
      </c>
      <c r="E229" s="3" t="str">
        <f t="shared" si="16"/>
        <v>crmAddressPhoneType</v>
      </c>
      <c r="F229" t="s">
        <v>0</v>
      </c>
      <c r="G229" s="3" t="s">
        <v>6501</v>
      </c>
      <c r="H229" s="3" t="str">
        <f t="shared" si="17"/>
        <v>Contact Management.Phone Type</v>
      </c>
      <c r="I229"/>
      <c r="K229" s="3" t="s">
        <v>0</v>
      </c>
      <c r="M229" t="s">
        <v>6007</v>
      </c>
      <c r="N229"/>
      <c r="O229"/>
      <c r="Q229" s="3" t="s">
        <v>919</v>
      </c>
      <c r="U229" s="3" t="s">
        <v>95</v>
      </c>
    </row>
    <row r="230" spans="1:34" ht="15" hidden="1" customHeight="1">
      <c r="A230">
        <v>12190</v>
      </c>
      <c r="B230" s="3" t="s">
        <v>1475</v>
      </c>
      <c r="C230" s="3" t="str">
        <f t="shared" si="15"/>
        <v>crmAddressPhoneType.Description</v>
      </c>
      <c r="D230">
        <v>113</v>
      </c>
      <c r="E230" s="3" t="str">
        <f t="shared" si="16"/>
        <v>crmAddressPhoneType</v>
      </c>
      <c r="F230" t="s">
        <v>12</v>
      </c>
      <c r="G230" s="3" t="s">
        <v>7002</v>
      </c>
      <c r="H230" s="3" t="str">
        <f t="shared" si="17"/>
        <v>Contact Management.Phone Type</v>
      </c>
      <c r="I230"/>
      <c r="K230" s="3" t="s">
        <v>12</v>
      </c>
      <c r="M230" t="s">
        <v>196</v>
      </c>
      <c r="N230"/>
      <c r="O230"/>
      <c r="Q230" s="3" t="s">
        <v>919</v>
      </c>
      <c r="U230" t="s">
        <v>93</v>
      </c>
      <c r="Y230" t="s">
        <v>92</v>
      </c>
      <c r="AB230" t="s">
        <v>92</v>
      </c>
      <c r="AH230" s="14" t="s">
        <v>92</v>
      </c>
    </row>
    <row r="231" spans="1:34" ht="15" hidden="1" customHeight="1">
      <c r="A231">
        <v>12200</v>
      </c>
      <c r="B231" s="3" t="s">
        <v>1475</v>
      </c>
      <c r="C231" s="3" t="str">
        <f t="shared" si="15"/>
        <v>crmAddressPhoneType.RowStatus</v>
      </c>
      <c r="D231">
        <v>113</v>
      </c>
      <c r="E231" s="3" t="str">
        <f t="shared" si="16"/>
        <v>crmAddressPhoneType</v>
      </c>
      <c r="F231" t="s">
        <v>1445</v>
      </c>
      <c r="G231" s="3" t="s">
        <v>6411</v>
      </c>
      <c r="H231" s="3" t="str">
        <f t="shared" si="17"/>
        <v>Contact Management.Phone Type</v>
      </c>
      <c r="I231"/>
      <c r="K231" s="3" t="s">
        <v>2471</v>
      </c>
      <c r="M231" t="s">
        <v>976</v>
      </c>
      <c r="N231">
        <v>1</v>
      </c>
      <c r="O231"/>
      <c r="Q231" s="3" t="s">
        <v>919</v>
      </c>
      <c r="U231" t="s">
        <v>94</v>
      </c>
    </row>
    <row r="232" spans="1:34" ht="15" hidden="1" customHeight="1">
      <c r="A232">
        <v>12210</v>
      </c>
      <c r="B232" t="s">
        <v>1475</v>
      </c>
      <c r="C232" s="3" t="str">
        <f t="shared" si="15"/>
        <v>crmAddressPhoneType.sysChangeHistoryID</v>
      </c>
      <c r="D232">
        <v>113</v>
      </c>
      <c r="E232" s="3" t="str">
        <f t="shared" si="16"/>
        <v>crmAddressPhoneType</v>
      </c>
      <c r="F232" t="s">
        <v>2497</v>
      </c>
      <c r="G232" s="3" t="s">
        <v>6403</v>
      </c>
      <c r="H232" s="3" t="str">
        <f t="shared" si="17"/>
        <v>Contact Management.Phone Type</v>
      </c>
      <c r="I232"/>
      <c r="K232" t="s">
        <v>1210</v>
      </c>
      <c r="L232"/>
      <c r="M232" t="s">
        <v>6007</v>
      </c>
      <c r="N232"/>
      <c r="O232"/>
      <c r="P232"/>
      <c r="Q232" t="s">
        <v>92</v>
      </c>
      <c r="R232"/>
      <c r="S232"/>
      <c r="U232" t="s">
        <v>1429</v>
      </c>
      <c r="W232" s="3"/>
      <c r="X232" s="3"/>
    </row>
    <row r="233" spans="1:34" ht="15" hidden="1" customHeight="1">
      <c r="A233">
        <v>12220</v>
      </c>
      <c r="B233" s="3" t="s">
        <v>1475</v>
      </c>
      <c r="C233" s="3" t="str">
        <f t="shared" si="15"/>
        <v>crmAddressType.ID</v>
      </c>
      <c r="D233">
        <v>114</v>
      </c>
      <c r="E233" s="3" t="str">
        <f t="shared" si="16"/>
        <v>crmAddressType</v>
      </c>
      <c r="F233" t="s">
        <v>0</v>
      </c>
      <c r="G233" s="3" t="s">
        <v>6502</v>
      </c>
      <c r="H233" s="3" t="str">
        <f t="shared" si="17"/>
        <v>Contact Management.Address Type</v>
      </c>
      <c r="I233"/>
      <c r="K233" s="3" t="s">
        <v>0</v>
      </c>
      <c r="M233" t="s">
        <v>6007</v>
      </c>
      <c r="N233"/>
      <c r="O233"/>
      <c r="Q233" s="3" t="s">
        <v>919</v>
      </c>
      <c r="U233" s="3" t="s">
        <v>95</v>
      </c>
    </row>
    <row r="234" spans="1:34" ht="15" hidden="1" customHeight="1">
      <c r="A234">
        <v>12230</v>
      </c>
      <c r="B234" s="3" t="s">
        <v>1475</v>
      </c>
      <c r="C234" s="3" t="str">
        <f t="shared" si="15"/>
        <v>crmAddressType.Description</v>
      </c>
      <c r="D234">
        <v>114</v>
      </c>
      <c r="E234" s="3" t="str">
        <f t="shared" si="16"/>
        <v>crmAddressType</v>
      </c>
      <c r="F234" t="s">
        <v>12</v>
      </c>
      <c r="G234" s="3" t="s">
        <v>7003</v>
      </c>
      <c r="H234" s="3" t="str">
        <f t="shared" si="17"/>
        <v>Contact Management.Address Type</v>
      </c>
      <c r="I234"/>
      <c r="K234" s="3" t="s">
        <v>12</v>
      </c>
      <c r="M234" t="s">
        <v>196</v>
      </c>
      <c r="N234"/>
      <c r="O234"/>
      <c r="Q234" s="3" t="s">
        <v>919</v>
      </c>
      <c r="U234" t="s">
        <v>93</v>
      </c>
      <c r="Y234" t="s">
        <v>92</v>
      </c>
      <c r="AB234" t="s">
        <v>92</v>
      </c>
      <c r="AH234" t="s">
        <v>92</v>
      </c>
    </row>
    <row r="235" spans="1:34" ht="15" hidden="1" customHeight="1">
      <c r="A235">
        <v>12240</v>
      </c>
      <c r="B235" s="3" t="s">
        <v>1475</v>
      </c>
      <c r="C235" s="3" t="str">
        <f t="shared" si="15"/>
        <v>crmAddressType.RowStatus</v>
      </c>
      <c r="D235">
        <v>114</v>
      </c>
      <c r="E235" s="3" t="str">
        <f t="shared" si="16"/>
        <v>crmAddressType</v>
      </c>
      <c r="F235" t="s">
        <v>1445</v>
      </c>
      <c r="G235" s="3" t="s">
        <v>6411</v>
      </c>
      <c r="H235" s="3" t="str">
        <f t="shared" si="17"/>
        <v>Contact Management.Address Type</v>
      </c>
      <c r="I235"/>
      <c r="K235" s="3" t="s">
        <v>2471</v>
      </c>
      <c r="M235" t="s">
        <v>976</v>
      </c>
      <c r="N235">
        <v>1</v>
      </c>
      <c r="O235"/>
      <c r="Q235" s="3" t="s">
        <v>919</v>
      </c>
      <c r="U235" t="s">
        <v>94</v>
      </c>
    </row>
    <row r="236" spans="1:34" ht="15" hidden="1" customHeight="1">
      <c r="A236">
        <v>12250</v>
      </c>
      <c r="B236" t="s">
        <v>1475</v>
      </c>
      <c r="C236" s="3" t="str">
        <f t="shared" si="15"/>
        <v>crmAddressType.sysChangeHistoryID</v>
      </c>
      <c r="D236">
        <v>114</v>
      </c>
      <c r="E236" s="3" t="str">
        <f t="shared" si="16"/>
        <v>crmAddressType</v>
      </c>
      <c r="F236" t="s">
        <v>2497</v>
      </c>
      <c r="G236" s="3" t="s">
        <v>6403</v>
      </c>
      <c r="H236" s="3" t="str">
        <f t="shared" si="17"/>
        <v>Contact Management.Address Type</v>
      </c>
      <c r="I236"/>
      <c r="K236" t="s">
        <v>1210</v>
      </c>
      <c r="L236"/>
      <c r="M236" t="s">
        <v>6007</v>
      </c>
      <c r="N236"/>
      <c r="O236"/>
      <c r="P236"/>
      <c r="Q236" t="s">
        <v>92</v>
      </c>
      <c r="R236"/>
      <c r="S236"/>
      <c r="U236" t="s">
        <v>1429</v>
      </c>
      <c r="W236" s="3"/>
      <c r="X236" s="3"/>
    </row>
    <row r="237" spans="1:34" ht="15" hidden="1" customHeight="1">
      <c r="A237">
        <v>12260</v>
      </c>
      <c r="B237" t="s">
        <v>1475</v>
      </c>
      <c r="C237" s="3" t="str">
        <f t="shared" si="15"/>
        <v>crmContact.ID</v>
      </c>
      <c r="D237">
        <v>100</v>
      </c>
      <c r="E237" s="3" t="str">
        <f t="shared" si="16"/>
        <v>crmContact</v>
      </c>
      <c r="F237" t="s">
        <v>0</v>
      </c>
      <c r="G237" s="3" t="s">
        <v>6503</v>
      </c>
      <c r="H237" s="3" t="str">
        <f t="shared" si="17"/>
        <v>Contact Management.Contact</v>
      </c>
      <c r="I237"/>
      <c r="K237" t="s">
        <v>1079</v>
      </c>
      <c r="L237"/>
      <c r="M237" t="s">
        <v>6007</v>
      </c>
      <c r="N237"/>
      <c r="O237"/>
      <c r="P237"/>
      <c r="Q237" s="3" t="s">
        <v>919</v>
      </c>
      <c r="R237"/>
      <c r="S237" s="20"/>
      <c r="U237" s="3" t="s">
        <v>95</v>
      </c>
      <c r="AC237" t="s">
        <v>92</v>
      </c>
    </row>
    <row r="238" spans="1:34" ht="15" hidden="1" customHeight="1">
      <c r="A238">
        <v>12270</v>
      </c>
      <c r="B238" s="3" t="s">
        <v>1475</v>
      </c>
      <c r="C238" s="3" t="str">
        <f t="shared" si="15"/>
        <v>crmContact.crmGenderID</v>
      </c>
      <c r="D238" s="3">
        <v>100</v>
      </c>
      <c r="E238" s="3" t="str">
        <f t="shared" si="16"/>
        <v>crmContact</v>
      </c>
      <c r="F238" t="str">
        <f>VLOOKUP(V238,DictionaryTableID,3,FALSE)&amp;"ID"&amp;X238</f>
        <v>crmGenderID</v>
      </c>
      <c r="G238" s="3" t="s">
        <v>6504</v>
      </c>
      <c r="H238" s="3" t="str">
        <f t="shared" si="17"/>
        <v>Contact Management.Contact</v>
      </c>
      <c r="I238"/>
      <c r="K238" s="3" t="s">
        <v>1271</v>
      </c>
      <c r="M238" t="s">
        <v>6007</v>
      </c>
      <c r="Q238" s="3" t="s">
        <v>92</v>
      </c>
      <c r="U238" s="3" t="s">
        <v>96</v>
      </c>
      <c r="V238" s="7">
        <v>130</v>
      </c>
      <c r="W238" s="3" t="str">
        <f>VLOOKUP(V238,DictionaryTableID,3,FALSE)</f>
        <v>crmGender</v>
      </c>
      <c r="AB238" t="s">
        <v>92</v>
      </c>
      <c r="AF238" t="s">
        <v>530</v>
      </c>
    </row>
    <row r="239" spans="1:34" ht="15" hidden="1" customHeight="1">
      <c r="A239">
        <v>12280</v>
      </c>
      <c r="B239" t="s">
        <v>1475</v>
      </c>
      <c r="C239" s="3" t="str">
        <f t="shared" si="15"/>
        <v>crmContact.crmLanguageID</v>
      </c>
      <c r="D239">
        <v>100</v>
      </c>
      <c r="E239" s="3" t="str">
        <f t="shared" si="16"/>
        <v>crmContact</v>
      </c>
      <c r="F239" t="str">
        <f>VLOOKUP(V239,DictionaryTableID,3,FALSE)&amp;"ID"&amp;X239</f>
        <v>crmLanguageID</v>
      </c>
      <c r="G239" s="3" t="s">
        <v>6505</v>
      </c>
      <c r="H239" s="3" t="str">
        <f t="shared" si="17"/>
        <v>Contact Management.Contact</v>
      </c>
      <c r="I239"/>
      <c r="K239" t="s">
        <v>1137</v>
      </c>
      <c r="L239"/>
      <c r="M239" t="s">
        <v>6007</v>
      </c>
      <c r="N239"/>
      <c r="O239"/>
      <c r="P239"/>
      <c r="Q239" t="s">
        <v>92</v>
      </c>
      <c r="R239"/>
      <c r="S239"/>
      <c r="U239" t="s">
        <v>96</v>
      </c>
      <c r="V239">
        <v>131</v>
      </c>
      <c r="W239" s="3" t="str">
        <f>VLOOKUP(V239,DictionaryTableID,3,FALSE)</f>
        <v>crmLanguage</v>
      </c>
      <c r="X239" s="3" t="s">
        <v>1036</v>
      </c>
      <c r="AB239" t="s">
        <v>92</v>
      </c>
    </row>
    <row r="240" spans="1:34" ht="15" hidden="1" customHeight="1">
      <c r="A240">
        <v>12290</v>
      </c>
      <c r="B240" s="3" t="s">
        <v>1475</v>
      </c>
      <c r="C240" s="3" t="str">
        <f t="shared" si="15"/>
        <v>crmContact.crmSalutationID</v>
      </c>
      <c r="D240" s="3">
        <v>100</v>
      </c>
      <c r="E240" s="3" t="str">
        <f t="shared" si="16"/>
        <v>crmContact</v>
      </c>
      <c r="F240" t="str">
        <f>VLOOKUP(V240,DictionaryTableID,3,FALSE)&amp;"ID"&amp;X240</f>
        <v>crmSalutationID</v>
      </c>
      <c r="G240" s="3" t="s">
        <v>6506</v>
      </c>
      <c r="H240" s="3" t="str">
        <f t="shared" si="17"/>
        <v>Contact Management.Contact</v>
      </c>
      <c r="I240"/>
      <c r="K240" s="3" t="s">
        <v>272</v>
      </c>
      <c r="M240" t="s">
        <v>6007</v>
      </c>
      <c r="Q240" s="3" t="s">
        <v>92</v>
      </c>
      <c r="U240" s="3" t="s">
        <v>96</v>
      </c>
      <c r="V240">
        <v>132</v>
      </c>
      <c r="W240" s="3" t="str">
        <f>VLOOKUP(V240,DictionaryTableID,3,FALSE)</f>
        <v>crmSalutation</v>
      </c>
      <c r="X240" s="3"/>
      <c r="AB240" t="s">
        <v>92</v>
      </c>
      <c r="AF240" t="s">
        <v>535</v>
      </c>
    </row>
    <row r="241" spans="1:34" ht="15" hidden="1" customHeight="1">
      <c r="A241">
        <v>12300</v>
      </c>
      <c r="B241" s="3" t="s">
        <v>1475</v>
      </c>
      <c r="C241" s="3" t="str">
        <f t="shared" si="15"/>
        <v>crmContact.BirthDate</v>
      </c>
      <c r="D241" s="3">
        <v>100</v>
      </c>
      <c r="E241" s="3" t="str">
        <f t="shared" si="16"/>
        <v>crmContact</v>
      </c>
      <c r="F241" t="s">
        <v>42</v>
      </c>
      <c r="G241" s="3" t="s">
        <v>6507</v>
      </c>
      <c r="H241" s="3" t="str">
        <f t="shared" si="17"/>
        <v>Contact Management.Contact</v>
      </c>
      <c r="I241"/>
      <c r="K241" s="3" t="s">
        <v>405</v>
      </c>
      <c r="M241" s="3" t="s">
        <v>81</v>
      </c>
      <c r="Q241" s="3" t="s">
        <v>92</v>
      </c>
      <c r="U241" s="3" t="s">
        <v>93</v>
      </c>
      <c r="AB241" t="s">
        <v>92</v>
      </c>
      <c r="AF241" t="s">
        <v>588</v>
      </c>
    </row>
    <row r="242" spans="1:34" ht="15" hidden="1" customHeight="1">
      <c r="A242">
        <v>12310</v>
      </c>
      <c r="B242" s="3" t="s">
        <v>1475</v>
      </c>
      <c r="C242" s="3" t="str">
        <f t="shared" si="15"/>
        <v>crmContact.Comments</v>
      </c>
      <c r="D242" s="3">
        <v>100</v>
      </c>
      <c r="E242" s="3" t="str">
        <f t="shared" si="16"/>
        <v>crmContact</v>
      </c>
      <c r="F242" t="s">
        <v>14</v>
      </c>
      <c r="G242" s="3" t="s">
        <v>6421</v>
      </c>
      <c r="H242" s="3" t="str">
        <f t="shared" si="17"/>
        <v>Contact Management.Contact</v>
      </c>
      <c r="I242"/>
      <c r="K242" s="3" t="s">
        <v>14</v>
      </c>
      <c r="M242" s="3" t="s">
        <v>196</v>
      </c>
      <c r="N242"/>
      <c r="Q242" s="3" t="s">
        <v>92</v>
      </c>
      <c r="U242" s="3" t="s">
        <v>93</v>
      </c>
      <c r="AB242" t="s">
        <v>92</v>
      </c>
      <c r="AF242" t="s">
        <v>512</v>
      </c>
    </row>
    <row r="243" spans="1:34" ht="15" hidden="1" customHeight="1">
      <c r="A243">
        <v>12320</v>
      </c>
      <c r="B243" t="s">
        <v>1475</v>
      </c>
      <c r="C243" s="3" t="str">
        <f t="shared" si="15"/>
        <v>crmContact.ContactNumber</v>
      </c>
      <c r="D243">
        <v>100</v>
      </c>
      <c r="E243" s="3" t="str">
        <f t="shared" si="16"/>
        <v>crmContact</v>
      </c>
      <c r="F243" t="s">
        <v>1279</v>
      </c>
      <c r="G243" s="3" t="s">
        <v>6508</v>
      </c>
      <c r="H243" s="3" t="str">
        <f t="shared" si="17"/>
        <v>Contact Management.Contact</v>
      </c>
      <c r="I243"/>
      <c r="K243" t="s">
        <v>1141</v>
      </c>
      <c r="L243"/>
      <c r="M243" t="s">
        <v>196</v>
      </c>
      <c r="O243"/>
      <c r="P243"/>
      <c r="Q243" t="s">
        <v>92</v>
      </c>
      <c r="R243"/>
      <c r="S243"/>
      <c r="U243" t="s">
        <v>93</v>
      </c>
      <c r="AB243" t="s">
        <v>92</v>
      </c>
    </row>
    <row r="244" spans="1:34" ht="15" hidden="1" customHeight="1">
      <c r="A244">
        <v>12330</v>
      </c>
      <c r="B244" t="s">
        <v>1475</v>
      </c>
      <c r="C244" s="3" t="str">
        <f t="shared" si="15"/>
        <v>crmContact.ContactPerson</v>
      </c>
      <c r="D244">
        <v>100</v>
      </c>
      <c r="E244" s="3" t="str">
        <f t="shared" si="16"/>
        <v>crmContact</v>
      </c>
      <c r="F244" t="s">
        <v>1139</v>
      </c>
      <c r="G244" s="3" t="s">
        <v>6509</v>
      </c>
      <c r="H244" s="3" t="str">
        <f t="shared" si="17"/>
        <v>Contact Management.Contact</v>
      </c>
      <c r="I244"/>
      <c r="K244" t="s">
        <v>1140</v>
      </c>
      <c r="L244"/>
      <c r="M244" t="s">
        <v>196</v>
      </c>
      <c r="O244"/>
      <c r="P244"/>
      <c r="Q244" t="s">
        <v>92</v>
      </c>
      <c r="R244"/>
      <c r="S244"/>
      <c r="U244" t="s">
        <v>93</v>
      </c>
      <c r="AB244" t="s">
        <v>92</v>
      </c>
    </row>
    <row r="245" spans="1:34" ht="15" hidden="1" customHeight="1">
      <c r="A245">
        <v>12340</v>
      </c>
      <c r="B245" s="3" t="s">
        <v>1475</v>
      </c>
      <c r="C245" s="3" t="str">
        <f t="shared" si="15"/>
        <v>crmContact.FirstName</v>
      </c>
      <c r="D245" s="3">
        <v>100</v>
      </c>
      <c r="E245" s="3" t="str">
        <f t="shared" si="16"/>
        <v>crmContact</v>
      </c>
      <c r="F245" t="s">
        <v>44</v>
      </c>
      <c r="G245" s="3" t="s">
        <v>6906</v>
      </c>
      <c r="H245" s="3" t="str">
        <f t="shared" si="17"/>
        <v>Contact Management.Contact</v>
      </c>
      <c r="I245"/>
      <c r="K245" s="3" t="s">
        <v>115</v>
      </c>
      <c r="M245" s="3" t="s">
        <v>196</v>
      </c>
      <c r="Q245" s="3" t="s">
        <v>92</v>
      </c>
      <c r="U245" s="3" t="s">
        <v>93</v>
      </c>
      <c r="AB245" t="s">
        <v>92</v>
      </c>
      <c r="AF245" t="s">
        <v>532</v>
      </c>
      <c r="AH245" t="s">
        <v>92</v>
      </c>
    </row>
    <row r="246" spans="1:34" ht="15" hidden="1" customHeight="1">
      <c r="A246">
        <v>12350</v>
      </c>
      <c r="B246" t="s">
        <v>1475</v>
      </c>
      <c r="C246" s="3" t="str">
        <f t="shared" si="15"/>
        <v>crmContact.LastName</v>
      </c>
      <c r="D246">
        <v>100</v>
      </c>
      <c r="E246" s="3" t="str">
        <f t="shared" si="16"/>
        <v>crmContact</v>
      </c>
      <c r="F246" t="s">
        <v>80</v>
      </c>
      <c r="G246" s="3" t="s">
        <v>6907</v>
      </c>
      <c r="H246" s="3" t="str">
        <f t="shared" si="17"/>
        <v>Contact Management.Contact</v>
      </c>
      <c r="I246"/>
      <c r="K246" t="s">
        <v>99</v>
      </c>
      <c r="L246"/>
      <c r="M246" t="s">
        <v>196</v>
      </c>
      <c r="N246"/>
      <c r="O246"/>
      <c r="P246"/>
      <c r="Q246" t="s">
        <v>92</v>
      </c>
      <c r="R246"/>
      <c r="S246"/>
      <c r="U246" t="s">
        <v>93</v>
      </c>
      <c r="AB246" t="s">
        <v>92</v>
      </c>
      <c r="AH246" t="s">
        <v>92</v>
      </c>
    </row>
    <row r="247" spans="1:34" ht="15" hidden="1" customHeight="1">
      <c r="A247">
        <v>12360</v>
      </c>
      <c r="B247" t="s">
        <v>1475</v>
      </c>
      <c r="C247" s="3" t="str">
        <f t="shared" si="15"/>
        <v>crmContact.MiddleName</v>
      </c>
      <c r="D247">
        <v>100</v>
      </c>
      <c r="E247" s="3" t="str">
        <f t="shared" si="16"/>
        <v>crmContact</v>
      </c>
      <c r="F247" t="s">
        <v>45</v>
      </c>
      <c r="G247" s="3" t="s">
        <v>6908</v>
      </c>
      <c r="H247" s="3" t="str">
        <f t="shared" si="17"/>
        <v>Contact Management.Contact</v>
      </c>
      <c r="I247"/>
      <c r="K247" t="s">
        <v>116</v>
      </c>
      <c r="L247"/>
      <c r="M247" t="s">
        <v>196</v>
      </c>
      <c r="N247"/>
      <c r="O247"/>
      <c r="P247"/>
      <c r="Q247" t="s">
        <v>92</v>
      </c>
      <c r="R247"/>
      <c r="S247"/>
      <c r="U247" t="s">
        <v>93</v>
      </c>
      <c r="AB247" t="s">
        <v>92</v>
      </c>
    </row>
    <row r="248" spans="1:34" ht="15" hidden="1" customHeight="1">
      <c r="A248">
        <v>12370</v>
      </c>
      <c r="B248" t="s">
        <v>1475</v>
      </c>
      <c r="C248" s="3" t="str">
        <f t="shared" si="15"/>
        <v>crmContact.Name</v>
      </c>
      <c r="D248">
        <v>100</v>
      </c>
      <c r="E248" s="3" t="str">
        <f t="shared" si="16"/>
        <v>crmContact</v>
      </c>
      <c r="F248" t="s">
        <v>22</v>
      </c>
      <c r="G248" s="3" t="s">
        <v>6909</v>
      </c>
      <c r="H248" s="3" t="str">
        <f t="shared" si="17"/>
        <v>Contact Management.Contact</v>
      </c>
      <c r="I248"/>
      <c r="K248" t="s">
        <v>22</v>
      </c>
      <c r="L248"/>
      <c r="M248" t="s">
        <v>196</v>
      </c>
      <c r="N248"/>
      <c r="O248"/>
      <c r="P248"/>
      <c r="Q248" s="3" t="s">
        <v>92</v>
      </c>
      <c r="R248"/>
      <c r="S248"/>
      <c r="U248" t="s">
        <v>93</v>
      </c>
      <c r="AB248" t="s">
        <v>92</v>
      </c>
      <c r="AC248" t="s">
        <v>92</v>
      </c>
      <c r="AH248" t="s">
        <v>92</v>
      </c>
    </row>
    <row r="249" spans="1:34" ht="15" hidden="1" customHeight="1">
      <c r="A249">
        <v>12380</v>
      </c>
      <c r="B249" t="s">
        <v>1475</v>
      </c>
      <c r="C249" s="3" t="str">
        <f t="shared" si="15"/>
        <v>crmContact.Picture</v>
      </c>
      <c r="D249">
        <v>100</v>
      </c>
      <c r="E249" s="3" t="str">
        <f t="shared" si="16"/>
        <v>crmContact</v>
      </c>
      <c r="F249" t="s">
        <v>1268</v>
      </c>
      <c r="G249" s="3" t="s">
        <v>1269</v>
      </c>
      <c r="H249" s="3" t="str">
        <f t="shared" si="17"/>
        <v>Contact Management.Contact</v>
      </c>
      <c r="I249"/>
      <c r="K249" t="s">
        <v>1268</v>
      </c>
      <c r="L249"/>
      <c r="M249" t="s">
        <v>2407</v>
      </c>
      <c r="N249"/>
      <c r="O249"/>
      <c r="P249"/>
      <c r="Q249" t="s">
        <v>92</v>
      </c>
      <c r="R249"/>
      <c r="S249"/>
      <c r="U249" t="s">
        <v>93</v>
      </c>
    </row>
    <row r="250" spans="1:34" ht="15" hidden="1" customHeight="1">
      <c r="A250">
        <v>12390</v>
      </c>
      <c r="B250" t="s">
        <v>1475</v>
      </c>
      <c r="C250" s="3" t="str">
        <f t="shared" si="15"/>
        <v>crmContact.PreferredFirstName</v>
      </c>
      <c r="D250">
        <v>100</v>
      </c>
      <c r="E250" s="3" t="str">
        <f t="shared" si="16"/>
        <v>crmContact</v>
      </c>
      <c r="F250" t="s">
        <v>1466</v>
      </c>
      <c r="G250" s="3" t="s">
        <v>6910</v>
      </c>
      <c r="H250" s="3" t="str">
        <f t="shared" si="17"/>
        <v>Contact Management.Contact</v>
      </c>
      <c r="I250"/>
      <c r="K250" t="s">
        <v>6123</v>
      </c>
      <c r="L250"/>
      <c r="M250" t="s">
        <v>196</v>
      </c>
      <c r="N250"/>
      <c r="O250"/>
      <c r="P250"/>
      <c r="Q250" t="s">
        <v>92</v>
      </c>
      <c r="R250"/>
      <c r="S250"/>
      <c r="U250" t="s">
        <v>93</v>
      </c>
      <c r="AB250" t="s">
        <v>92</v>
      </c>
    </row>
    <row r="251" spans="1:34" ht="15" hidden="1" customHeight="1">
      <c r="A251">
        <v>12410</v>
      </c>
      <c r="B251" t="s">
        <v>1475</v>
      </c>
      <c r="C251" s="3" t="str">
        <f t="shared" si="15"/>
        <v>crmContact.PreviousLastName</v>
      </c>
      <c r="D251">
        <v>100</v>
      </c>
      <c r="E251" s="3" t="str">
        <f t="shared" si="16"/>
        <v>crmContact</v>
      </c>
      <c r="F251" t="s">
        <v>1467</v>
      </c>
      <c r="G251" s="3" t="s">
        <v>6911</v>
      </c>
      <c r="H251" s="3" t="str">
        <f t="shared" si="17"/>
        <v>Contact Management.Contact</v>
      </c>
      <c r="I251"/>
      <c r="K251" t="s">
        <v>1145</v>
      </c>
      <c r="L251"/>
      <c r="M251" t="s">
        <v>196</v>
      </c>
      <c r="N251"/>
      <c r="O251"/>
      <c r="P251"/>
      <c r="Q251" t="s">
        <v>92</v>
      </c>
      <c r="R251"/>
      <c r="S251"/>
      <c r="U251" t="s">
        <v>93</v>
      </c>
      <c r="AB251" t="s">
        <v>92</v>
      </c>
    </row>
    <row r="252" spans="1:34" ht="15" hidden="1" customHeight="1">
      <c r="A252">
        <v>12420</v>
      </c>
      <c r="B252" t="s">
        <v>1475</v>
      </c>
      <c r="C252" s="3" t="str">
        <f t="shared" si="15"/>
        <v>crmContact.Website</v>
      </c>
      <c r="D252">
        <v>100</v>
      </c>
      <c r="E252" s="3" t="str">
        <f t="shared" si="16"/>
        <v>crmContact</v>
      </c>
      <c r="F252" t="s">
        <v>1090</v>
      </c>
      <c r="G252" s="3" t="s">
        <v>6510</v>
      </c>
      <c r="H252" s="3" t="str">
        <f t="shared" si="17"/>
        <v>Contact Management.Contact</v>
      </c>
      <c r="I252"/>
      <c r="K252" t="s">
        <v>1090</v>
      </c>
      <c r="L252"/>
      <c r="M252" t="s">
        <v>196</v>
      </c>
      <c r="N252"/>
      <c r="O252"/>
      <c r="P252"/>
      <c r="Q252" t="s">
        <v>92</v>
      </c>
      <c r="R252"/>
      <c r="S252"/>
      <c r="U252" t="s">
        <v>93</v>
      </c>
      <c r="AB252" t="s">
        <v>92</v>
      </c>
    </row>
    <row r="253" spans="1:34" ht="15" hidden="1" customHeight="1">
      <c r="A253">
        <v>12430</v>
      </c>
      <c r="B253" t="s">
        <v>1475</v>
      </c>
      <c r="C253" s="3" t="str">
        <f t="shared" si="15"/>
        <v>crmContact.RowStatus</v>
      </c>
      <c r="D253">
        <v>100</v>
      </c>
      <c r="E253" s="3" t="str">
        <f t="shared" si="16"/>
        <v>crmContact</v>
      </c>
      <c r="F253" t="s">
        <v>1445</v>
      </c>
      <c r="G253" s="3" t="s">
        <v>6411</v>
      </c>
      <c r="H253" s="3" t="str">
        <f t="shared" si="17"/>
        <v>Contact Management.Contact</v>
      </c>
      <c r="I253"/>
      <c r="K253" s="3" t="s">
        <v>2471</v>
      </c>
      <c r="L253"/>
      <c r="M253" t="s">
        <v>976</v>
      </c>
      <c r="N253">
        <v>1</v>
      </c>
      <c r="O253"/>
      <c r="P253"/>
      <c r="Q253" t="s">
        <v>919</v>
      </c>
      <c r="R253"/>
      <c r="S253" s="14"/>
      <c r="U253" t="s">
        <v>94</v>
      </c>
    </row>
    <row r="254" spans="1:34" ht="15" hidden="1" customHeight="1">
      <c r="A254">
        <v>12440</v>
      </c>
      <c r="B254" t="s">
        <v>1475</v>
      </c>
      <c r="C254" s="3" t="str">
        <f t="shared" si="15"/>
        <v>crmContact.sysChangeHistoryID</v>
      </c>
      <c r="D254">
        <v>100</v>
      </c>
      <c r="E254" s="3" t="str">
        <f t="shared" si="16"/>
        <v>crmContact</v>
      </c>
      <c r="F254" t="s">
        <v>2497</v>
      </c>
      <c r="G254" s="3" t="s">
        <v>6403</v>
      </c>
      <c r="H254" s="3" t="str">
        <f t="shared" si="17"/>
        <v>Contact Management.Contact</v>
      </c>
      <c r="I254"/>
      <c r="K254" t="s">
        <v>1210</v>
      </c>
      <c r="L254"/>
      <c r="M254" t="s">
        <v>6007</v>
      </c>
      <c r="N254"/>
      <c r="O254"/>
      <c r="P254"/>
      <c r="Q254" t="s">
        <v>92</v>
      </c>
      <c r="R254"/>
      <c r="S254"/>
      <c r="U254" t="s">
        <v>1429</v>
      </c>
      <c r="W254" s="3"/>
      <c r="X254" s="3"/>
    </row>
    <row r="255" spans="1:34" ht="15" hidden="1" customHeight="1">
      <c r="A255">
        <v>12450</v>
      </c>
      <c r="B255" s="3" t="s">
        <v>1475</v>
      </c>
      <c r="C255" s="3" t="str">
        <f t="shared" si="15"/>
        <v>crmContactSubTypeEmployee.ID</v>
      </c>
      <c r="D255" s="3">
        <v>101</v>
      </c>
      <c r="E255" s="3" t="str">
        <f t="shared" si="16"/>
        <v>crmContactSubTypeEmployee</v>
      </c>
      <c r="F255" t="s">
        <v>0</v>
      </c>
      <c r="G255" s="3" t="s">
        <v>6511</v>
      </c>
      <c r="H255" s="3" t="str">
        <f t="shared" si="17"/>
        <v>Contact Management.Employee Detail</v>
      </c>
      <c r="I255"/>
      <c r="K255" s="3" t="s">
        <v>0</v>
      </c>
      <c r="M255" t="s">
        <v>6007</v>
      </c>
      <c r="Q255" s="3" t="s">
        <v>919</v>
      </c>
      <c r="U255" s="3" t="s">
        <v>95</v>
      </c>
      <c r="W255" s="3"/>
      <c r="AF255" t="s">
        <v>581</v>
      </c>
    </row>
    <row r="256" spans="1:34" ht="15" hidden="1" customHeight="1">
      <c r="A256">
        <v>12455</v>
      </c>
      <c r="B256" s="3" t="s">
        <v>1475</v>
      </c>
      <c r="C256" t="str">
        <f t="shared" si="15"/>
        <v>crmContactSubTypeEmployee.crmContactID</v>
      </c>
      <c r="D256" s="3">
        <v>101</v>
      </c>
      <c r="E256" s="3" t="s">
        <v>2748</v>
      </c>
      <c r="F256" t="str">
        <f>VLOOKUP(V256,DictionaryTableID,3,FALSE)&amp;"ID"&amp;X256</f>
        <v>crmContactID</v>
      </c>
      <c r="G256" s="3" t="s">
        <v>7074</v>
      </c>
      <c r="H256" s="3" t="s">
        <v>7051</v>
      </c>
      <c r="I256"/>
      <c r="K256" s="3" t="s">
        <v>29</v>
      </c>
      <c r="M256" t="s">
        <v>6007</v>
      </c>
      <c r="Q256" s="3" t="s">
        <v>919</v>
      </c>
      <c r="U256" s="3" t="s">
        <v>96</v>
      </c>
      <c r="V256">
        <v>100</v>
      </c>
      <c r="W256" s="3" t="str">
        <f>VLOOKUP(V256,DictionaryTableID,3,FALSE)</f>
        <v>crmContact</v>
      </c>
      <c r="Y256" t="s">
        <v>92</v>
      </c>
      <c r="AB256" t="s">
        <v>92</v>
      </c>
      <c r="AC256" t="s">
        <v>92</v>
      </c>
      <c r="AF256" t="s">
        <v>581</v>
      </c>
    </row>
    <row r="257" spans="1:34" ht="15" hidden="1" customHeight="1">
      <c r="A257">
        <v>12460</v>
      </c>
      <c r="B257" s="3" t="s">
        <v>1475</v>
      </c>
      <c r="C257" s="3" t="str">
        <f t="shared" si="15"/>
        <v>crmContactSubTypeEmployee.hrEmploymentStatusID</v>
      </c>
      <c r="D257" s="3">
        <v>101</v>
      </c>
      <c r="E257" s="3" t="str">
        <f t="shared" ref="E257:E265" si="18">VLOOKUP(D257,DictionaryTableID,3,FALSE)</f>
        <v>crmContactSubTypeEmployee</v>
      </c>
      <c r="F257" t="str">
        <f>VLOOKUP(V257,DictionaryTableID,3,FALSE)&amp;"ID"&amp;X257</f>
        <v>hrEmploymentStatusID</v>
      </c>
      <c r="G257" s="3" t="s">
        <v>6512</v>
      </c>
      <c r="H257" s="3" t="str">
        <f t="shared" ref="H257:H265" si="19">VLOOKUP(E257,DictionaryTables,14,FALSE)</f>
        <v>Contact Management.Employee Detail</v>
      </c>
      <c r="I257"/>
      <c r="K257" s="3" t="s">
        <v>449</v>
      </c>
      <c r="M257" t="s">
        <v>6007</v>
      </c>
      <c r="Q257" s="3" t="s">
        <v>92</v>
      </c>
      <c r="U257" s="3" t="s">
        <v>96</v>
      </c>
      <c r="V257">
        <v>601</v>
      </c>
      <c r="W257" s="3" t="str">
        <f>VLOOKUP(V257,DictionaryTableID,3,FALSE)</f>
        <v>hrEmploymentStatus</v>
      </c>
      <c r="X257" s="3"/>
      <c r="AB257" t="s">
        <v>92</v>
      </c>
      <c r="AF257" t="s">
        <v>593</v>
      </c>
    </row>
    <row r="258" spans="1:34" ht="15" hidden="1" customHeight="1">
      <c r="A258">
        <v>12470</v>
      </c>
      <c r="B258" s="3" t="s">
        <v>1475</v>
      </c>
      <c r="C258" s="3" t="str">
        <f t="shared" ref="C258:C321" si="20">CONCATENATE(E258,".",F258)</f>
        <v>crmContactSubTypeEmployee.CommencementDate</v>
      </c>
      <c r="D258" s="3">
        <v>101</v>
      </c>
      <c r="E258" s="3" t="str">
        <f t="shared" si="18"/>
        <v>crmContactSubTypeEmployee</v>
      </c>
      <c r="F258" t="s">
        <v>301</v>
      </c>
      <c r="G258" s="3" t="s">
        <v>6513</v>
      </c>
      <c r="H258" s="3" t="str">
        <f t="shared" si="19"/>
        <v>Contact Management.Employee Detail</v>
      </c>
      <c r="I258"/>
      <c r="K258" s="3" t="s">
        <v>424</v>
      </c>
      <c r="M258" s="3" t="s">
        <v>81</v>
      </c>
      <c r="Q258" s="3" t="s">
        <v>92</v>
      </c>
      <c r="U258" s="3" t="s">
        <v>93</v>
      </c>
      <c r="AB258" t="s">
        <v>92</v>
      </c>
      <c r="AF258" t="s">
        <v>587</v>
      </c>
    </row>
    <row r="259" spans="1:34" ht="15" hidden="1" customHeight="1">
      <c r="A259">
        <v>12480</v>
      </c>
      <c r="B259" s="3" t="s">
        <v>1475</v>
      </c>
      <c r="C259" s="3" t="str">
        <f t="shared" si="20"/>
        <v>crmContactSubTypeEmployee.Comments</v>
      </c>
      <c r="D259" s="3">
        <v>101</v>
      </c>
      <c r="E259" s="3" t="str">
        <f t="shared" si="18"/>
        <v>crmContactSubTypeEmployee</v>
      </c>
      <c r="F259" t="s">
        <v>14</v>
      </c>
      <c r="G259" s="3" t="s">
        <v>6421</v>
      </c>
      <c r="H259" s="3" t="str">
        <f t="shared" si="19"/>
        <v>Contact Management.Employee Detail</v>
      </c>
      <c r="I259"/>
      <c r="K259" s="3" t="s">
        <v>14</v>
      </c>
      <c r="M259" s="3" t="s">
        <v>196</v>
      </c>
      <c r="N259"/>
      <c r="Q259" s="3" t="s">
        <v>92</v>
      </c>
      <c r="U259" s="3" t="s">
        <v>93</v>
      </c>
      <c r="AB259" t="s">
        <v>92</v>
      </c>
      <c r="AF259" t="s">
        <v>592</v>
      </c>
    </row>
    <row r="260" spans="1:34" ht="15" hidden="1" customHeight="1">
      <c r="A260">
        <v>12490</v>
      </c>
      <c r="B260" s="3" t="s">
        <v>1475</v>
      </c>
      <c r="C260" s="3" t="str">
        <f t="shared" si="20"/>
        <v>crmContactSubTypeEmployee.TerminationDate</v>
      </c>
      <c r="D260" s="3">
        <v>101</v>
      </c>
      <c r="E260" s="3" t="str">
        <f t="shared" si="18"/>
        <v>crmContactSubTypeEmployee</v>
      </c>
      <c r="F260" t="s">
        <v>1230</v>
      </c>
      <c r="G260" s="3" t="s">
        <v>6514</v>
      </c>
      <c r="H260" s="3" t="str">
        <f t="shared" si="19"/>
        <v>Contact Management.Employee Detail</v>
      </c>
      <c r="I260"/>
      <c r="K260" s="3" t="s">
        <v>407</v>
      </c>
      <c r="M260" s="3" t="s">
        <v>81</v>
      </c>
      <c r="Q260" s="3" t="s">
        <v>92</v>
      </c>
      <c r="U260" s="3" t="s">
        <v>93</v>
      </c>
      <c r="AB260" t="s">
        <v>92</v>
      </c>
      <c r="AF260" t="s">
        <v>596</v>
      </c>
    </row>
    <row r="261" spans="1:34" ht="15" hidden="1" customHeight="1">
      <c r="A261">
        <v>12505</v>
      </c>
      <c r="B261" t="s">
        <v>1475</v>
      </c>
      <c r="C261" s="3" t="str">
        <f t="shared" si="20"/>
        <v>crmContactSubTypeEmployee.TemporalStartDate</v>
      </c>
      <c r="D261" s="3">
        <v>101</v>
      </c>
      <c r="E261" s="3" t="str">
        <f t="shared" si="18"/>
        <v>crmContactSubTypeEmployee</v>
      </c>
      <c r="F261" t="s">
        <v>1250</v>
      </c>
      <c r="G261" s="3" t="s">
        <v>6409</v>
      </c>
      <c r="H261" s="3" t="str">
        <f t="shared" si="19"/>
        <v>Contact Management.Employee Detail</v>
      </c>
      <c r="I261"/>
      <c r="K261" t="s">
        <v>108</v>
      </c>
      <c r="L261"/>
      <c r="M261" s="3" t="s">
        <v>81</v>
      </c>
      <c r="N261"/>
      <c r="O261"/>
      <c r="P261"/>
      <c r="Q261" t="s">
        <v>919</v>
      </c>
      <c r="R261"/>
      <c r="S261" s="14"/>
      <c r="U261" t="s">
        <v>1080</v>
      </c>
    </row>
    <row r="262" spans="1:34" ht="15" hidden="1" customHeight="1">
      <c r="A262">
        <v>12510</v>
      </c>
      <c r="B262" t="s">
        <v>1475</v>
      </c>
      <c r="C262" s="3" t="str">
        <f t="shared" si="20"/>
        <v>crmContactSubTypeEmployee.TemporalEndDate</v>
      </c>
      <c r="D262" s="3">
        <v>101</v>
      </c>
      <c r="E262" s="3" t="str">
        <f t="shared" si="18"/>
        <v>crmContactSubTypeEmployee</v>
      </c>
      <c r="F262" t="s">
        <v>1249</v>
      </c>
      <c r="G262" s="3" t="s">
        <v>6410</v>
      </c>
      <c r="H262" s="3" t="str">
        <f t="shared" si="19"/>
        <v>Contact Management.Employee Detail</v>
      </c>
      <c r="I262"/>
      <c r="K262" t="s">
        <v>1091</v>
      </c>
      <c r="L262"/>
      <c r="M262" s="3" t="s">
        <v>81</v>
      </c>
      <c r="N262"/>
      <c r="O262"/>
      <c r="P262"/>
      <c r="Q262" t="s">
        <v>919</v>
      </c>
      <c r="R262"/>
      <c r="S262" s="14"/>
      <c r="U262" t="s">
        <v>1080</v>
      </c>
      <c r="Y262" t="s">
        <v>92</v>
      </c>
    </row>
    <row r="263" spans="1:34" ht="15" hidden="1" customHeight="1">
      <c r="A263">
        <v>12530</v>
      </c>
      <c r="B263" s="3" t="s">
        <v>1475</v>
      </c>
      <c r="C263" s="3" t="str">
        <f t="shared" si="20"/>
        <v>crmContactSubTypeEmployee.RowStatus</v>
      </c>
      <c r="D263" s="3">
        <v>101</v>
      </c>
      <c r="E263" s="3" t="str">
        <f t="shared" si="18"/>
        <v>crmContactSubTypeEmployee</v>
      </c>
      <c r="F263" t="s">
        <v>1445</v>
      </c>
      <c r="G263" s="3" t="s">
        <v>6411</v>
      </c>
      <c r="H263" s="3" t="str">
        <f t="shared" si="19"/>
        <v>Contact Management.Employee Detail</v>
      </c>
      <c r="I263"/>
      <c r="K263" t="s">
        <v>2471</v>
      </c>
      <c r="M263" t="s">
        <v>976</v>
      </c>
      <c r="N263">
        <v>1</v>
      </c>
      <c r="Q263" s="3" t="s">
        <v>919</v>
      </c>
      <c r="U263" s="3" t="s">
        <v>94</v>
      </c>
    </row>
    <row r="264" spans="1:34" ht="15" hidden="1" customHeight="1">
      <c r="A264">
        <v>12540</v>
      </c>
      <c r="B264" t="s">
        <v>1475</v>
      </c>
      <c r="C264" s="3" t="str">
        <f t="shared" si="20"/>
        <v>crmContactSubTypeEmployee.sysChangeHistoryID</v>
      </c>
      <c r="D264">
        <v>101</v>
      </c>
      <c r="E264" s="3" t="str">
        <f t="shared" si="18"/>
        <v>crmContactSubTypeEmployee</v>
      </c>
      <c r="F264" t="s">
        <v>2497</v>
      </c>
      <c r="G264" s="3" t="s">
        <v>6403</v>
      </c>
      <c r="H264" s="3" t="str">
        <f t="shared" si="19"/>
        <v>Contact Management.Employee Detail</v>
      </c>
      <c r="I264"/>
      <c r="K264" t="s">
        <v>1210</v>
      </c>
      <c r="L264"/>
      <c r="M264" t="s">
        <v>6007</v>
      </c>
      <c r="N264"/>
      <c r="O264"/>
      <c r="P264"/>
      <c r="Q264" t="s">
        <v>92</v>
      </c>
      <c r="R264"/>
      <c r="S264"/>
      <c r="U264" t="s">
        <v>1429</v>
      </c>
      <c r="W264" s="3"/>
      <c r="X264" s="3"/>
    </row>
    <row r="265" spans="1:34" ht="15" hidden="1" customHeight="1">
      <c r="A265">
        <v>12550</v>
      </c>
      <c r="B265" t="s">
        <v>1475</v>
      </c>
      <c r="C265" s="3" t="str">
        <f t="shared" si="20"/>
        <v>crmContactSubTypeUser.ID</v>
      </c>
      <c r="D265">
        <v>102</v>
      </c>
      <c r="E265" s="3" t="str">
        <f t="shared" si="18"/>
        <v>crmContactSubTypeUser</v>
      </c>
      <c r="F265" t="s">
        <v>0</v>
      </c>
      <c r="G265" s="3" t="s">
        <v>6515</v>
      </c>
      <c r="H265" s="3" t="str">
        <f t="shared" si="19"/>
        <v>Contact Management.User Detail</v>
      </c>
      <c r="I265"/>
      <c r="K265" t="s">
        <v>0</v>
      </c>
      <c r="L265"/>
      <c r="M265" t="s">
        <v>6007</v>
      </c>
      <c r="N265"/>
      <c r="O265"/>
      <c r="P265"/>
      <c r="Q265" s="3" t="s">
        <v>919</v>
      </c>
      <c r="R265"/>
      <c r="S265" s="20"/>
      <c r="U265" s="3" t="s">
        <v>95</v>
      </c>
      <c r="AC265" t="s">
        <v>92</v>
      </c>
    </row>
    <row r="266" spans="1:34" ht="15" hidden="1" customHeight="1">
      <c r="A266">
        <v>12555</v>
      </c>
      <c r="B266" t="s">
        <v>1475</v>
      </c>
      <c r="C266" t="str">
        <f t="shared" si="20"/>
        <v>crmContactSubTypeUser.crmContactID</v>
      </c>
      <c r="D266">
        <v>102</v>
      </c>
      <c r="E266" s="3" t="s">
        <v>2749</v>
      </c>
      <c r="F266" t="str">
        <f>VLOOKUP(V266,DictionaryTableID,3,FALSE)&amp;"ID"&amp;X266</f>
        <v>crmContactID</v>
      </c>
      <c r="G266" s="3" t="s">
        <v>7075</v>
      </c>
      <c r="H266" s="3" t="s">
        <v>7052</v>
      </c>
      <c r="I266"/>
      <c r="K266" s="3" t="s">
        <v>29</v>
      </c>
      <c r="L266"/>
      <c r="M266" t="s">
        <v>6007</v>
      </c>
      <c r="N266"/>
      <c r="O266"/>
      <c r="P266"/>
      <c r="Q266" s="3" t="s">
        <v>919</v>
      </c>
      <c r="R266"/>
      <c r="S266" s="20"/>
      <c r="U266" s="3" t="s">
        <v>96</v>
      </c>
      <c r="V266">
        <v>100</v>
      </c>
      <c r="W266" s="3" t="str">
        <f>VLOOKUP(V266,DictionaryTableID,3,FALSE)</f>
        <v>crmContact</v>
      </c>
      <c r="Y266" t="s">
        <v>92</v>
      </c>
      <c r="AB266" t="s">
        <v>92</v>
      </c>
      <c r="AC266" t="s">
        <v>92</v>
      </c>
    </row>
    <row r="267" spans="1:34" ht="15" hidden="1" customHeight="1">
      <c r="A267">
        <v>12560</v>
      </c>
      <c r="B267" t="s">
        <v>1475</v>
      </c>
      <c r="C267" s="3" t="str">
        <f t="shared" si="20"/>
        <v>crmContactSubTypeUser.Login</v>
      </c>
      <c r="D267">
        <v>102</v>
      </c>
      <c r="E267" s="3" t="str">
        <f t="shared" ref="E267:E330" si="21">VLOOKUP(D267,DictionaryTableID,3,FALSE)</f>
        <v>crmContactSubTypeUser</v>
      </c>
      <c r="F267" t="s">
        <v>1143</v>
      </c>
      <c r="G267" s="3" t="s">
        <v>6516</v>
      </c>
      <c r="H267" s="3" t="str">
        <f t="shared" ref="H267:H330" si="22">VLOOKUP(E267,DictionaryTables,14,FALSE)</f>
        <v>Contact Management.User Detail</v>
      </c>
      <c r="I267"/>
      <c r="K267" t="s">
        <v>1144</v>
      </c>
      <c r="L267"/>
      <c r="M267" t="s">
        <v>196</v>
      </c>
      <c r="N267"/>
      <c r="O267"/>
      <c r="P267"/>
      <c r="Q267" t="s">
        <v>92</v>
      </c>
      <c r="R267"/>
      <c r="S267"/>
      <c r="U267" t="s">
        <v>93</v>
      </c>
      <c r="AB267" t="s">
        <v>92</v>
      </c>
    </row>
    <row r="268" spans="1:34" ht="15" hidden="1" customHeight="1">
      <c r="A268">
        <v>12570</v>
      </c>
      <c r="B268" t="s">
        <v>1475</v>
      </c>
      <c r="C268" s="3" t="str">
        <f t="shared" si="20"/>
        <v>crmContactSubTypeUser.Password</v>
      </c>
      <c r="D268">
        <v>102</v>
      </c>
      <c r="E268" s="3" t="str">
        <f t="shared" si="21"/>
        <v>crmContactSubTypeUser</v>
      </c>
      <c r="F268" t="s">
        <v>1146</v>
      </c>
      <c r="G268" s="3" t="s">
        <v>6517</v>
      </c>
      <c r="H268" s="3" t="str">
        <f t="shared" si="22"/>
        <v>Contact Management.User Detail</v>
      </c>
      <c r="I268"/>
      <c r="K268" t="s">
        <v>1146</v>
      </c>
      <c r="L268"/>
      <c r="M268" t="s">
        <v>196</v>
      </c>
      <c r="N268"/>
      <c r="O268"/>
      <c r="P268"/>
      <c r="Q268" t="s">
        <v>92</v>
      </c>
      <c r="R268"/>
      <c r="S268"/>
      <c r="U268" t="s">
        <v>93</v>
      </c>
      <c r="AH268" t="s">
        <v>92</v>
      </c>
    </row>
    <row r="269" spans="1:34" ht="15" hidden="1" customHeight="1">
      <c r="A269">
        <v>12580</v>
      </c>
      <c r="B269" t="s">
        <v>1475</v>
      </c>
      <c r="C269" s="3" t="str">
        <f t="shared" si="20"/>
        <v>crmContactSubTypeUser.RowStatus</v>
      </c>
      <c r="D269">
        <v>102</v>
      </c>
      <c r="E269" s="3" t="str">
        <f t="shared" si="21"/>
        <v>crmContactSubTypeUser</v>
      </c>
      <c r="F269" t="s">
        <v>1445</v>
      </c>
      <c r="G269" s="3" t="s">
        <v>6411</v>
      </c>
      <c r="H269" s="3" t="str">
        <f t="shared" si="22"/>
        <v>Contact Management.User Detail</v>
      </c>
      <c r="I269"/>
      <c r="K269" s="3" t="s">
        <v>2471</v>
      </c>
      <c r="L269"/>
      <c r="M269" t="s">
        <v>976</v>
      </c>
      <c r="N269">
        <v>1</v>
      </c>
      <c r="O269"/>
      <c r="P269"/>
      <c r="Q269" t="s">
        <v>919</v>
      </c>
      <c r="R269"/>
      <c r="S269" s="14"/>
      <c r="U269" t="s">
        <v>94</v>
      </c>
    </row>
    <row r="270" spans="1:34" ht="15" hidden="1" customHeight="1">
      <c r="A270">
        <v>12590</v>
      </c>
      <c r="B270" t="s">
        <v>1475</v>
      </c>
      <c r="C270" s="3" t="str">
        <f t="shared" si="20"/>
        <v>crmContactSubTypeUser.sysChangeHistoryID</v>
      </c>
      <c r="D270">
        <v>102</v>
      </c>
      <c r="E270" s="3" t="str">
        <f t="shared" si="21"/>
        <v>crmContactSubTypeUser</v>
      </c>
      <c r="F270" t="s">
        <v>2497</v>
      </c>
      <c r="G270" s="3" t="s">
        <v>6403</v>
      </c>
      <c r="H270" s="3" t="str">
        <f t="shared" si="22"/>
        <v>Contact Management.User Detail</v>
      </c>
      <c r="I270"/>
      <c r="K270" t="s">
        <v>1210</v>
      </c>
      <c r="L270"/>
      <c r="M270" t="s">
        <v>6007</v>
      </c>
      <c r="N270"/>
      <c r="O270"/>
      <c r="P270"/>
      <c r="Q270" t="s">
        <v>92</v>
      </c>
      <c r="R270"/>
      <c r="S270"/>
      <c r="U270" t="s">
        <v>1429</v>
      </c>
      <c r="W270" s="3"/>
      <c r="X270" s="3"/>
    </row>
    <row r="271" spans="1:34" ht="15" hidden="1" customHeight="1">
      <c r="A271">
        <v>12600</v>
      </c>
      <c r="B271" s="3" t="s">
        <v>1475</v>
      </c>
      <c r="C271" s="3" t="str">
        <f t="shared" si="20"/>
        <v>crmGender.ID</v>
      </c>
      <c r="D271" s="7">
        <v>130</v>
      </c>
      <c r="E271" s="3" t="str">
        <f t="shared" si="21"/>
        <v>crmGender</v>
      </c>
      <c r="F271" t="s">
        <v>0</v>
      </c>
      <c r="G271" s="3" t="s">
        <v>6518</v>
      </c>
      <c r="H271" s="3" t="str">
        <f t="shared" si="22"/>
        <v>Contact Management.Gender</v>
      </c>
      <c r="I271"/>
      <c r="K271" s="3" t="s">
        <v>0</v>
      </c>
      <c r="M271" t="s">
        <v>6007</v>
      </c>
      <c r="N271"/>
      <c r="O271"/>
      <c r="Q271" s="3" t="s">
        <v>919</v>
      </c>
      <c r="U271" s="3" t="s">
        <v>95</v>
      </c>
    </row>
    <row r="272" spans="1:34" ht="15" hidden="1" customHeight="1">
      <c r="A272">
        <v>12610</v>
      </c>
      <c r="B272" s="3" t="s">
        <v>1475</v>
      </c>
      <c r="C272" s="3" t="str">
        <f t="shared" si="20"/>
        <v>crmGender.Description</v>
      </c>
      <c r="D272" s="7">
        <v>130</v>
      </c>
      <c r="E272" s="3" t="str">
        <f t="shared" si="21"/>
        <v>crmGender</v>
      </c>
      <c r="F272" t="s">
        <v>12</v>
      </c>
      <c r="G272" s="3" t="s">
        <v>6912</v>
      </c>
      <c r="H272" s="3" t="str">
        <f t="shared" si="22"/>
        <v>Contact Management.Gender</v>
      </c>
      <c r="I272"/>
      <c r="K272" s="3" t="s">
        <v>12</v>
      </c>
      <c r="M272" t="s">
        <v>196</v>
      </c>
      <c r="N272"/>
      <c r="O272"/>
      <c r="Q272" s="3" t="s">
        <v>919</v>
      </c>
      <c r="U272" t="s">
        <v>93</v>
      </c>
      <c r="Y272" t="s">
        <v>92</v>
      </c>
      <c r="AB272" t="s">
        <v>92</v>
      </c>
      <c r="AH272" t="s">
        <v>92</v>
      </c>
    </row>
    <row r="273" spans="1:34" ht="15" hidden="1" customHeight="1">
      <c r="A273">
        <v>12620</v>
      </c>
      <c r="B273" s="3" t="s">
        <v>1475</v>
      </c>
      <c r="C273" s="3" t="str">
        <f t="shared" si="20"/>
        <v>crmGender.RowStatus</v>
      </c>
      <c r="D273" s="7">
        <v>130</v>
      </c>
      <c r="E273" s="3" t="str">
        <f t="shared" si="21"/>
        <v>crmGender</v>
      </c>
      <c r="F273" t="s">
        <v>1445</v>
      </c>
      <c r="G273" s="3" t="s">
        <v>6411</v>
      </c>
      <c r="H273" s="3" t="str">
        <f t="shared" si="22"/>
        <v>Contact Management.Gender</v>
      </c>
      <c r="I273"/>
      <c r="K273" s="3" t="s">
        <v>2471</v>
      </c>
      <c r="M273" t="s">
        <v>976</v>
      </c>
      <c r="N273">
        <v>1</v>
      </c>
      <c r="O273"/>
      <c r="Q273" s="3" t="s">
        <v>919</v>
      </c>
      <c r="U273" t="s">
        <v>94</v>
      </c>
    </row>
    <row r="274" spans="1:34" ht="15" hidden="1" customHeight="1">
      <c r="A274">
        <v>12630</v>
      </c>
      <c r="B274" t="s">
        <v>1475</v>
      </c>
      <c r="C274" s="3" t="str">
        <f t="shared" si="20"/>
        <v>crmGender.sysChangeHistoryID</v>
      </c>
      <c r="D274" s="7">
        <v>130</v>
      </c>
      <c r="E274" s="3" t="str">
        <f t="shared" si="21"/>
        <v>crmGender</v>
      </c>
      <c r="F274" t="s">
        <v>2497</v>
      </c>
      <c r="G274" s="3" t="s">
        <v>6403</v>
      </c>
      <c r="H274" s="3" t="str">
        <f t="shared" si="22"/>
        <v>Contact Management.Gender</v>
      </c>
      <c r="I274"/>
      <c r="K274" t="s">
        <v>1210</v>
      </c>
      <c r="L274"/>
      <c r="M274" t="s">
        <v>6007</v>
      </c>
      <c r="N274"/>
      <c r="O274"/>
      <c r="P274"/>
      <c r="Q274" t="s">
        <v>92</v>
      </c>
      <c r="R274"/>
      <c r="S274"/>
      <c r="U274" t="s">
        <v>1429</v>
      </c>
      <c r="W274" s="3"/>
      <c r="X274" s="3"/>
    </row>
    <row r="275" spans="1:34" ht="15" hidden="1" customHeight="1">
      <c r="A275">
        <v>12640</v>
      </c>
      <c r="B275" s="3" t="s">
        <v>1475</v>
      </c>
      <c r="C275" s="3" t="str">
        <f t="shared" si="20"/>
        <v>crmLanguage.ID</v>
      </c>
      <c r="D275">
        <v>131</v>
      </c>
      <c r="E275" s="3" t="str">
        <f t="shared" si="21"/>
        <v>crmLanguage</v>
      </c>
      <c r="F275" t="s">
        <v>0</v>
      </c>
      <c r="G275" s="3" t="s">
        <v>6519</v>
      </c>
      <c r="H275" s="3" t="str">
        <f t="shared" si="22"/>
        <v>Contact Management.Language</v>
      </c>
      <c r="I275"/>
      <c r="K275" s="3" t="s">
        <v>0</v>
      </c>
      <c r="M275" t="s">
        <v>6007</v>
      </c>
      <c r="N275"/>
      <c r="O275"/>
      <c r="Q275" s="3" t="s">
        <v>919</v>
      </c>
      <c r="U275" s="3" t="s">
        <v>95</v>
      </c>
    </row>
    <row r="276" spans="1:34" ht="15" hidden="1" customHeight="1">
      <c r="A276">
        <v>12650</v>
      </c>
      <c r="B276" s="3" t="s">
        <v>1475</v>
      </c>
      <c r="C276" s="3" t="str">
        <f t="shared" si="20"/>
        <v>crmLanguage.Description</v>
      </c>
      <c r="D276">
        <v>131</v>
      </c>
      <c r="E276" s="3" t="str">
        <f t="shared" si="21"/>
        <v>crmLanguage</v>
      </c>
      <c r="F276" t="s">
        <v>12</v>
      </c>
      <c r="G276" s="3" t="s">
        <v>6913</v>
      </c>
      <c r="H276" s="3" t="str">
        <f t="shared" si="22"/>
        <v>Contact Management.Language</v>
      </c>
      <c r="I276"/>
      <c r="K276" s="3" t="s">
        <v>12</v>
      </c>
      <c r="M276" t="s">
        <v>196</v>
      </c>
      <c r="N276"/>
      <c r="O276"/>
      <c r="Q276" s="3" t="s">
        <v>919</v>
      </c>
      <c r="U276" t="s">
        <v>93</v>
      </c>
      <c r="Y276" t="s">
        <v>92</v>
      </c>
      <c r="AB276" t="s">
        <v>92</v>
      </c>
      <c r="AH276" t="s">
        <v>92</v>
      </c>
    </row>
    <row r="277" spans="1:34" ht="15" hidden="1" customHeight="1">
      <c r="A277">
        <v>12660</v>
      </c>
      <c r="B277" s="3" t="s">
        <v>1475</v>
      </c>
      <c r="C277" s="3" t="str">
        <f t="shared" si="20"/>
        <v>crmLanguage.DisplaySequence</v>
      </c>
      <c r="D277">
        <v>131</v>
      </c>
      <c r="E277" s="3" t="str">
        <f t="shared" si="21"/>
        <v>crmLanguage</v>
      </c>
      <c r="F277" t="s">
        <v>6055</v>
      </c>
      <c r="G277" s="3" t="s">
        <v>6432</v>
      </c>
      <c r="H277" s="3" t="str">
        <f t="shared" si="22"/>
        <v>Contact Management.Language</v>
      </c>
      <c r="I277"/>
      <c r="K277" s="3" t="s">
        <v>6297</v>
      </c>
      <c r="M277" t="s">
        <v>195</v>
      </c>
      <c r="N277"/>
      <c r="O277"/>
      <c r="Q277" s="3" t="s">
        <v>92</v>
      </c>
      <c r="U277" t="s">
        <v>93</v>
      </c>
    </row>
    <row r="278" spans="1:34" ht="15" hidden="1" customHeight="1">
      <c r="A278">
        <v>12670</v>
      </c>
      <c r="B278" s="3" t="s">
        <v>1475</v>
      </c>
      <c r="C278" s="3" t="str">
        <f t="shared" si="20"/>
        <v>crmLanguage.ShortCode</v>
      </c>
      <c r="D278">
        <v>131</v>
      </c>
      <c r="E278" s="3" t="str">
        <f t="shared" si="21"/>
        <v>crmLanguage</v>
      </c>
      <c r="F278" t="s">
        <v>16</v>
      </c>
      <c r="G278" s="3" t="s">
        <v>6434</v>
      </c>
      <c r="H278" s="3" t="str">
        <f t="shared" si="22"/>
        <v>Contact Management.Language</v>
      </c>
      <c r="I278"/>
      <c r="K278" s="3" t="s">
        <v>117</v>
      </c>
      <c r="M278" t="s">
        <v>196</v>
      </c>
      <c r="N278"/>
      <c r="O278"/>
      <c r="Q278" s="3" t="s">
        <v>92</v>
      </c>
      <c r="U278" t="s">
        <v>93</v>
      </c>
      <c r="AB278" t="s">
        <v>92</v>
      </c>
      <c r="AH278" t="s">
        <v>92</v>
      </c>
    </row>
    <row r="279" spans="1:34" ht="15" hidden="1" customHeight="1">
      <c r="A279">
        <v>12680</v>
      </c>
      <c r="B279" s="3" t="s">
        <v>1475</v>
      </c>
      <c r="C279" s="3" t="str">
        <f t="shared" si="20"/>
        <v>crmLanguage.RowStatus</v>
      </c>
      <c r="D279">
        <v>131</v>
      </c>
      <c r="E279" s="3" t="str">
        <f t="shared" si="21"/>
        <v>crmLanguage</v>
      </c>
      <c r="F279" t="s">
        <v>1445</v>
      </c>
      <c r="G279" s="3" t="s">
        <v>6411</v>
      </c>
      <c r="H279" s="3" t="str">
        <f t="shared" si="22"/>
        <v>Contact Management.Language</v>
      </c>
      <c r="I279"/>
      <c r="K279" s="3" t="s">
        <v>2471</v>
      </c>
      <c r="M279" t="s">
        <v>976</v>
      </c>
      <c r="N279">
        <v>1</v>
      </c>
      <c r="O279"/>
      <c r="Q279" s="3" t="s">
        <v>919</v>
      </c>
      <c r="U279" t="s">
        <v>94</v>
      </c>
    </row>
    <row r="280" spans="1:34" ht="15" hidden="1" customHeight="1">
      <c r="A280">
        <v>12690</v>
      </c>
      <c r="B280" t="s">
        <v>1475</v>
      </c>
      <c r="C280" s="3" t="str">
        <f t="shared" si="20"/>
        <v>crmLanguage.sysChangeHistoryID</v>
      </c>
      <c r="D280">
        <v>131</v>
      </c>
      <c r="E280" s="3" t="str">
        <f t="shared" si="21"/>
        <v>crmLanguage</v>
      </c>
      <c r="F280" t="s">
        <v>2497</v>
      </c>
      <c r="G280" s="3" t="s">
        <v>6403</v>
      </c>
      <c r="H280" s="3" t="str">
        <f t="shared" si="22"/>
        <v>Contact Management.Language</v>
      </c>
      <c r="I280"/>
      <c r="K280" t="s">
        <v>1210</v>
      </c>
      <c r="L280"/>
      <c r="M280" t="s">
        <v>6007</v>
      </c>
      <c r="N280"/>
      <c r="O280"/>
      <c r="P280"/>
      <c r="Q280" t="s">
        <v>92</v>
      </c>
      <c r="R280"/>
      <c r="S280"/>
      <c r="U280" t="s">
        <v>1429</v>
      </c>
      <c r="W280" s="3"/>
      <c r="X280" s="3"/>
    </row>
    <row r="281" spans="1:34" ht="15" hidden="1" customHeight="1">
      <c r="A281">
        <v>12700</v>
      </c>
      <c r="B281" t="s">
        <v>1475</v>
      </c>
      <c r="C281" s="3" t="str">
        <f t="shared" si="20"/>
        <v>crmRelationship.ID</v>
      </c>
      <c r="D281">
        <v>120</v>
      </c>
      <c r="E281" s="3" t="str">
        <f t="shared" si="21"/>
        <v>crmRelationship</v>
      </c>
      <c r="F281" t="s">
        <v>0</v>
      </c>
      <c r="G281" s="3" t="s">
        <v>6520</v>
      </c>
      <c r="H281" s="3" t="str">
        <f t="shared" si="22"/>
        <v>Contact Management.Relationship</v>
      </c>
      <c r="I281"/>
      <c r="K281" t="s">
        <v>1079</v>
      </c>
      <c r="L281"/>
      <c r="M281" t="s">
        <v>6007</v>
      </c>
      <c r="N281"/>
      <c r="O281"/>
      <c r="P281"/>
      <c r="Q281" s="3" t="s">
        <v>919</v>
      </c>
      <c r="R281"/>
      <c r="S281" s="20"/>
      <c r="U281" s="3" t="s">
        <v>95</v>
      </c>
      <c r="AC281" t="s">
        <v>92</v>
      </c>
    </row>
    <row r="282" spans="1:34" ht="15" hidden="1" customHeight="1">
      <c r="A282">
        <v>12710</v>
      </c>
      <c r="B282" t="s">
        <v>1475</v>
      </c>
      <c r="C282" s="3" t="str">
        <f t="shared" si="20"/>
        <v>crmRelationship.crmContactID1</v>
      </c>
      <c r="D282">
        <v>120</v>
      </c>
      <c r="E282" s="3" t="str">
        <f t="shared" si="21"/>
        <v>crmRelationship</v>
      </c>
      <c r="F282" t="str">
        <f>VLOOKUP(V282,DictionaryTableID,3,FALSE)&amp;"ID"&amp;X282</f>
        <v>crmContactID1</v>
      </c>
      <c r="G282" s="3" t="s">
        <v>6521</v>
      </c>
      <c r="H282" s="3" t="str">
        <f t="shared" si="22"/>
        <v>Contact Management.Relationship</v>
      </c>
      <c r="I282"/>
      <c r="K282" t="s">
        <v>121</v>
      </c>
      <c r="L282"/>
      <c r="M282" t="s">
        <v>6007</v>
      </c>
      <c r="N282"/>
      <c r="O282"/>
      <c r="P282"/>
      <c r="Q282" t="s">
        <v>919</v>
      </c>
      <c r="R282"/>
      <c r="S282"/>
      <c r="U282" t="s">
        <v>96</v>
      </c>
      <c r="V282">
        <v>100</v>
      </c>
      <c r="W282" s="3" t="str">
        <f>VLOOKUP(V282,DictionaryTableID,3,FALSE)</f>
        <v>crmContact</v>
      </c>
      <c r="X282" s="3" t="s">
        <v>1215</v>
      </c>
      <c r="AB282" t="s">
        <v>92</v>
      </c>
    </row>
    <row r="283" spans="1:34" ht="15" hidden="1" customHeight="1">
      <c r="A283">
        <v>12720</v>
      </c>
      <c r="B283" t="s">
        <v>1475</v>
      </c>
      <c r="C283" s="3" t="str">
        <f t="shared" si="20"/>
        <v>crmRelationship.crmContactID2</v>
      </c>
      <c r="D283">
        <v>120</v>
      </c>
      <c r="E283" s="3" t="str">
        <f t="shared" si="21"/>
        <v>crmRelationship</v>
      </c>
      <c r="F283" t="str">
        <f>VLOOKUP(V283,DictionaryTableID,3,FALSE)&amp;"ID"&amp;X283</f>
        <v>crmContactID2</v>
      </c>
      <c r="G283" s="3" t="s">
        <v>6522</v>
      </c>
      <c r="H283" s="3" t="str">
        <f t="shared" si="22"/>
        <v>Contact Management.Relationship</v>
      </c>
      <c r="I283"/>
      <c r="K283" t="s">
        <v>122</v>
      </c>
      <c r="L283"/>
      <c r="M283" t="s">
        <v>6007</v>
      </c>
      <c r="N283"/>
      <c r="O283"/>
      <c r="P283"/>
      <c r="Q283" t="s">
        <v>919</v>
      </c>
      <c r="R283"/>
      <c r="S283"/>
      <c r="U283" t="s">
        <v>96</v>
      </c>
      <c r="V283">
        <v>100</v>
      </c>
      <c r="W283" s="3" t="str">
        <f>VLOOKUP(V283,DictionaryTableID,3,FALSE)</f>
        <v>crmContact</v>
      </c>
      <c r="X283" s="3" t="s">
        <v>1216</v>
      </c>
      <c r="AB283" t="s">
        <v>92</v>
      </c>
    </row>
    <row r="284" spans="1:34" ht="15" hidden="1" customHeight="1">
      <c r="A284">
        <v>12730</v>
      </c>
      <c r="B284" t="s">
        <v>1475</v>
      </c>
      <c r="C284" s="3" t="str">
        <f t="shared" si="20"/>
        <v>crmRelationship.crmRelationshipTypeID</v>
      </c>
      <c r="D284">
        <v>120</v>
      </c>
      <c r="E284" s="3" t="str">
        <f t="shared" si="21"/>
        <v>crmRelationship</v>
      </c>
      <c r="F284" t="str">
        <f>VLOOKUP(V284,DictionaryTableID,3,FALSE)&amp;"ID"&amp;X284</f>
        <v>crmRelationshipTypeID</v>
      </c>
      <c r="G284" s="3" t="s">
        <v>6523</v>
      </c>
      <c r="H284" s="3" t="str">
        <f t="shared" si="22"/>
        <v>Contact Management.Relationship</v>
      </c>
      <c r="I284"/>
      <c r="K284" t="s">
        <v>40</v>
      </c>
      <c r="L284"/>
      <c r="M284" t="s">
        <v>6007</v>
      </c>
      <c r="N284"/>
      <c r="O284"/>
      <c r="P284"/>
      <c r="Q284" s="3" t="s">
        <v>92</v>
      </c>
      <c r="R284"/>
      <c r="S284"/>
      <c r="U284" t="s">
        <v>96</v>
      </c>
      <c r="V284">
        <v>121</v>
      </c>
      <c r="W284" s="3" t="str">
        <f>VLOOKUP(V284,DictionaryTableID,3,FALSE)</f>
        <v>crmRelationshipType</v>
      </c>
      <c r="X284" s="3"/>
      <c r="AB284" t="s">
        <v>92</v>
      </c>
    </row>
    <row r="285" spans="1:34" ht="15" hidden="1" customHeight="1">
      <c r="A285">
        <v>12740</v>
      </c>
      <c r="B285" s="3" t="s">
        <v>1475</v>
      </c>
      <c r="C285" s="3" t="str">
        <f t="shared" si="20"/>
        <v>crmRelationship.Comments</v>
      </c>
      <c r="D285" s="3">
        <v>120</v>
      </c>
      <c r="E285" s="3" t="str">
        <f t="shared" si="21"/>
        <v>crmRelationship</v>
      </c>
      <c r="F285" t="s">
        <v>14</v>
      </c>
      <c r="G285" s="3" t="s">
        <v>6421</v>
      </c>
      <c r="H285" s="3" t="str">
        <f t="shared" si="22"/>
        <v>Contact Management.Relationship</v>
      </c>
      <c r="I285"/>
      <c r="K285" s="3" t="s">
        <v>14</v>
      </c>
      <c r="M285" s="3" t="s">
        <v>196</v>
      </c>
      <c r="N285"/>
      <c r="Q285" s="3" t="s">
        <v>92</v>
      </c>
      <c r="U285" s="3" t="s">
        <v>93</v>
      </c>
      <c r="AB285" t="s">
        <v>92</v>
      </c>
      <c r="AF285" t="s">
        <v>540</v>
      </c>
    </row>
    <row r="286" spans="1:34" ht="15" hidden="1" customHeight="1">
      <c r="A286">
        <v>12750</v>
      </c>
      <c r="B286" t="s">
        <v>1475</v>
      </c>
      <c r="C286" s="3" t="str">
        <f t="shared" si="20"/>
        <v>crmRelationship.Description</v>
      </c>
      <c r="D286">
        <v>120</v>
      </c>
      <c r="E286" s="3" t="str">
        <f t="shared" si="21"/>
        <v>crmRelationship</v>
      </c>
      <c r="F286" t="s">
        <v>12</v>
      </c>
      <c r="G286" s="3" t="s">
        <v>6914</v>
      </c>
      <c r="H286" s="3" t="str">
        <f t="shared" si="22"/>
        <v>Contact Management.Relationship</v>
      </c>
      <c r="I286"/>
      <c r="K286" t="s">
        <v>12</v>
      </c>
      <c r="L286"/>
      <c r="M286" t="s">
        <v>196</v>
      </c>
      <c r="N286"/>
      <c r="O286"/>
      <c r="P286"/>
      <c r="Q286" t="s">
        <v>92</v>
      </c>
      <c r="R286"/>
      <c r="S286"/>
      <c r="U286" t="s">
        <v>93</v>
      </c>
      <c r="AB286" t="s">
        <v>92</v>
      </c>
      <c r="AH286" t="s">
        <v>92</v>
      </c>
    </row>
    <row r="287" spans="1:34" ht="15" hidden="1" customHeight="1">
      <c r="A287">
        <v>12755</v>
      </c>
      <c r="B287" t="s">
        <v>1475</v>
      </c>
      <c r="C287" s="3" t="str">
        <f t="shared" si="20"/>
        <v>crmRelationship.TemporalStartDate</v>
      </c>
      <c r="D287">
        <v>120</v>
      </c>
      <c r="E287" s="3" t="str">
        <f t="shared" si="21"/>
        <v>crmRelationship</v>
      </c>
      <c r="F287" t="s">
        <v>1250</v>
      </c>
      <c r="G287" s="3" t="s">
        <v>6409</v>
      </c>
      <c r="H287" s="3" t="str">
        <f t="shared" si="22"/>
        <v>Contact Management.Relationship</v>
      </c>
      <c r="I287"/>
      <c r="K287" t="s">
        <v>108</v>
      </c>
      <c r="L287"/>
      <c r="M287" s="3" t="s">
        <v>81</v>
      </c>
      <c r="N287"/>
      <c r="O287"/>
      <c r="P287"/>
      <c r="Q287" t="s">
        <v>919</v>
      </c>
      <c r="R287"/>
      <c r="S287" s="14"/>
      <c r="U287" t="s">
        <v>1080</v>
      </c>
    </row>
    <row r="288" spans="1:34" ht="15" hidden="1" customHeight="1">
      <c r="A288">
        <v>12760</v>
      </c>
      <c r="B288" t="s">
        <v>1475</v>
      </c>
      <c r="C288" s="3" t="str">
        <f t="shared" si="20"/>
        <v>crmRelationship.TemporalEndDate</v>
      </c>
      <c r="D288">
        <v>120</v>
      </c>
      <c r="E288" s="3" t="str">
        <f t="shared" si="21"/>
        <v>crmRelationship</v>
      </c>
      <c r="F288" t="s">
        <v>1249</v>
      </c>
      <c r="G288" s="3" t="s">
        <v>6410</v>
      </c>
      <c r="H288" s="3" t="str">
        <f t="shared" si="22"/>
        <v>Contact Management.Relationship</v>
      </c>
      <c r="I288"/>
      <c r="K288" t="s">
        <v>1091</v>
      </c>
      <c r="L288"/>
      <c r="M288" s="3" t="s">
        <v>81</v>
      </c>
      <c r="N288"/>
      <c r="O288"/>
      <c r="P288"/>
      <c r="Q288" t="s">
        <v>919</v>
      </c>
      <c r="R288"/>
      <c r="S288" s="14"/>
      <c r="U288" t="s">
        <v>1080</v>
      </c>
    </row>
    <row r="289" spans="1:34" ht="15" hidden="1" customHeight="1">
      <c r="A289">
        <v>12780</v>
      </c>
      <c r="B289" s="3" t="s">
        <v>1475</v>
      </c>
      <c r="C289" s="3" t="str">
        <f t="shared" si="20"/>
        <v>crmRelationship.RowStatus</v>
      </c>
      <c r="D289" s="3">
        <v>120</v>
      </c>
      <c r="E289" s="3" t="str">
        <f t="shared" si="21"/>
        <v>crmRelationship</v>
      </c>
      <c r="F289" t="s">
        <v>1445</v>
      </c>
      <c r="G289" s="3" t="s">
        <v>6411</v>
      </c>
      <c r="H289" s="3" t="str">
        <f t="shared" si="22"/>
        <v>Contact Management.Relationship</v>
      </c>
      <c r="I289"/>
      <c r="K289" t="s">
        <v>2471</v>
      </c>
      <c r="M289" t="s">
        <v>976</v>
      </c>
      <c r="N289">
        <v>1</v>
      </c>
      <c r="Q289" s="3" t="s">
        <v>919</v>
      </c>
      <c r="U289" s="3" t="s">
        <v>94</v>
      </c>
    </row>
    <row r="290" spans="1:34" ht="15" hidden="1" customHeight="1">
      <c r="A290">
        <v>12790</v>
      </c>
      <c r="B290" t="s">
        <v>1475</v>
      </c>
      <c r="C290" s="3" t="str">
        <f t="shared" si="20"/>
        <v>crmRelationship.sysChangeHistoryID</v>
      </c>
      <c r="D290">
        <v>120</v>
      </c>
      <c r="E290" s="3" t="str">
        <f t="shared" si="21"/>
        <v>crmRelationship</v>
      </c>
      <c r="F290" t="s">
        <v>2497</v>
      </c>
      <c r="G290" s="3" t="s">
        <v>6403</v>
      </c>
      <c r="H290" s="3" t="str">
        <f t="shared" si="22"/>
        <v>Contact Management.Relationship</v>
      </c>
      <c r="I290"/>
      <c r="K290" t="s">
        <v>1210</v>
      </c>
      <c r="L290"/>
      <c r="M290" t="s">
        <v>6007</v>
      </c>
      <c r="N290"/>
      <c r="O290"/>
      <c r="P290"/>
      <c r="Q290" t="s">
        <v>92</v>
      </c>
      <c r="R290"/>
      <c r="S290"/>
      <c r="U290" t="s">
        <v>1429</v>
      </c>
      <c r="W290" s="3"/>
      <c r="X290" s="3"/>
    </row>
    <row r="291" spans="1:34" ht="15" hidden="1" customHeight="1">
      <c r="A291">
        <v>12800</v>
      </c>
      <c r="B291" s="3" t="s">
        <v>1475</v>
      </c>
      <c r="C291" s="3" t="str">
        <f t="shared" si="20"/>
        <v>crmRelationshipType.ID</v>
      </c>
      <c r="D291" s="3">
        <v>121</v>
      </c>
      <c r="E291" s="3" t="str">
        <f t="shared" si="21"/>
        <v>crmRelationshipType</v>
      </c>
      <c r="F291" t="s">
        <v>0</v>
      </c>
      <c r="G291" s="3" t="s">
        <v>6524</v>
      </c>
      <c r="H291" s="3" t="str">
        <f t="shared" si="22"/>
        <v>Contact Management.Relationship Type</v>
      </c>
      <c r="I291"/>
      <c r="K291" t="s">
        <v>0</v>
      </c>
      <c r="M291" t="s">
        <v>6007</v>
      </c>
      <c r="Q291" s="3" t="s">
        <v>919</v>
      </c>
      <c r="U291" s="3" t="s">
        <v>95</v>
      </c>
    </row>
    <row r="292" spans="1:34" ht="15" hidden="1" customHeight="1">
      <c r="A292">
        <v>12810</v>
      </c>
      <c r="B292" s="3" t="s">
        <v>1475</v>
      </c>
      <c r="C292" s="3" t="str">
        <f t="shared" si="20"/>
        <v>crmRelationshipType.PrimaryName</v>
      </c>
      <c r="D292" s="3">
        <v>121</v>
      </c>
      <c r="E292" s="3" t="str">
        <f t="shared" si="21"/>
        <v>crmRelationshipType</v>
      </c>
      <c r="F292" t="s">
        <v>1358</v>
      </c>
      <c r="G292" s="3" t="s">
        <v>6915</v>
      </c>
      <c r="H292" s="3" t="str">
        <f t="shared" si="22"/>
        <v>Contact Management.Relationship Type</v>
      </c>
      <c r="I292"/>
      <c r="K292" t="s">
        <v>970</v>
      </c>
      <c r="L292" s="3" t="s">
        <v>973</v>
      </c>
      <c r="M292" s="3" t="s">
        <v>196</v>
      </c>
      <c r="Q292" s="3" t="s">
        <v>919</v>
      </c>
      <c r="U292" s="3" t="s">
        <v>93</v>
      </c>
      <c r="AB292" t="s">
        <v>92</v>
      </c>
      <c r="AH292" t="s">
        <v>92</v>
      </c>
    </row>
    <row r="293" spans="1:34" ht="15" hidden="1" customHeight="1">
      <c r="A293">
        <v>12820</v>
      </c>
      <c r="B293" s="3" t="s">
        <v>1475</v>
      </c>
      <c r="C293" s="3" t="str">
        <f t="shared" si="20"/>
        <v>crmRelationshipType.SecondaryName</v>
      </c>
      <c r="D293" s="3">
        <v>121</v>
      </c>
      <c r="E293" s="3" t="str">
        <f t="shared" si="21"/>
        <v>crmRelationshipType</v>
      </c>
      <c r="F293" t="s">
        <v>1359</v>
      </c>
      <c r="G293" s="3" t="s">
        <v>6916</v>
      </c>
      <c r="H293" s="3" t="str">
        <f t="shared" si="22"/>
        <v>Contact Management.Relationship Type</v>
      </c>
      <c r="I293"/>
      <c r="K293" s="3" t="s">
        <v>972</v>
      </c>
      <c r="L293" s="3" t="s">
        <v>274</v>
      </c>
      <c r="M293" s="3" t="s">
        <v>196</v>
      </c>
      <c r="Q293" s="3" t="s">
        <v>919</v>
      </c>
      <c r="U293" s="3" t="s">
        <v>93</v>
      </c>
      <c r="AB293" t="s">
        <v>92</v>
      </c>
      <c r="AH293" t="s">
        <v>92</v>
      </c>
    </row>
    <row r="294" spans="1:34" ht="15" hidden="1" customHeight="1">
      <c r="A294">
        <v>12830</v>
      </c>
      <c r="B294" s="3" t="s">
        <v>1475</v>
      </c>
      <c r="C294" s="3" t="str">
        <f t="shared" si="20"/>
        <v>crmRelationshipType.DisplaySequence</v>
      </c>
      <c r="D294" s="3">
        <v>121</v>
      </c>
      <c r="E294" s="3" t="str">
        <f t="shared" si="21"/>
        <v>crmRelationshipType</v>
      </c>
      <c r="F294" t="s">
        <v>6055</v>
      </c>
      <c r="G294" s="3" t="s">
        <v>6432</v>
      </c>
      <c r="H294" s="3" t="str">
        <f t="shared" si="22"/>
        <v>Contact Management.Relationship Type</v>
      </c>
      <c r="I294"/>
      <c r="K294" s="3" t="s">
        <v>6297</v>
      </c>
      <c r="M294" s="3" t="s">
        <v>195</v>
      </c>
      <c r="U294" s="3" t="s">
        <v>93</v>
      </c>
    </row>
    <row r="295" spans="1:34" ht="15" hidden="1" customHeight="1">
      <c r="A295">
        <v>12840</v>
      </c>
      <c r="B295" s="3" t="s">
        <v>1475</v>
      </c>
      <c r="C295" s="3" t="str">
        <f t="shared" si="20"/>
        <v>crmRelationshipType.RowStatus</v>
      </c>
      <c r="D295" s="3">
        <v>121</v>
      </c>
      <c r="E295" s="3" t="str">
        <f t="shared" si="21"/>
        <v>crmRelationshipType</v>
      </c>
      <c r="F295" t="s">
        <v>1445</v>
      </c>
      <c r="G295" s="3" t="s">
        <v>6411</v>
      </c>
      <c r="H295" s="3" t="str">
        <f t="shared" si="22"/>
        <v>Contact Management.Relationship Type</v>
      </c>
      <c r="I295"/>
      <c r="K295" s="3" t="s">
        <v>2471</v>
      </c>
      <c r="M295" t="s">
        <v>976</v>
      </c>
      <c r="N295">
        <v>1</v>
      </c>
      <c r="Q295" s="3" t="s">
        <v>919</v>
      </c>
      <c r="U295" s="3" t="s">
        <v>94</v>
      </c>
    </row>
    <row r="296" spans="1:34" ht="15" hidden="1" customHeight="1">
      <c r="A296">
        <v>12850</v>
      </c>
      <c r="B296" t="s">
        <v>1475</v>
      </c>
      <c r="C296" s="3" t="str">
        <f t="shared" si="20"/>
        <v>crmRelationshipType.sysChangeHistoryID</v>
      </c>
      <c r="D296">
        <v>121</v>
      </c>
      <c r="E296" s="3" t="str">
        <f t="shared" si="21"/>
        <v>crmRelationshipType</v>
      </c>
      <c r="F296" t="s">
        <v>2497</v>
      </c>
      <c r="G296" s="3" t="s">
        <v>6403</v>
      </c>
      <c r="H296" s="3" t="str">
        <f t="shared" si="22"/>
        <v>Contact Management.Relationship Type</v>
      </c>
      <c r="I296"/>
      <c r="K296" t="s">
        <v>1210</v>
      </c>
      <c r="L296"/>
      <c r="M296" t="s">
        <v>6007</v>
      </c>
      <c r="N296"/>
      <c r="O296"/>
      <c r="P296"/>
      <c r="Q296" t="s">
        <v>92</v>
      </c>
      <c r="R296"/>
      <c r="S296"/>
      <c r="U296" t="s">
        <v>1429</v>
      </c>
      <c r="W296" s="3"/>
      <c r="X296" s="3"/>
    </row>
    <row r="297" spans="1:34" ht="15" hidden="1" customHeight="1">
      <c r="A297">
        <v>12860</v>
      </c>
      <c r="B297" s="3" t="s">
        <v>1475</v>
      </c>
      <c r="C297" s="3" t="str">
        <f t="shared" si="20"/>
        <v>crmSalutation.ID</v>
      </c>
      <c r="D297">
        <v>132</v>
      </c>
      <c r="E297" s="3" t="str">
        <f t="shared" si="21"/>
        <v>crmSalutation</v>
      </c>
      <c r="F297" t="s">
        <v>0</v>
      </c>
      <c r="G297" s="3" t="s">
        <v>6525</v>
      </c>
      <c r="H297" s="3" t="str">
        <f t="shared" si="22"/>
        <v>Contact Management.Salutation</v>
      </c>
      <c r="I297"/>
      <c r="K297" s="3" t="s">
        <v>0</v>
      </c>
      <c r="M297" t="s">
        <v>6007</v>
      </c>
      <c r="N297"/>
      <c r="O297"/>
      <c r="Q297" s="3" t="s">
        <v>919</v>
      </c>
      <c r="U297" s="3" t="s">
        <v>95</v>
      </c>
    </row>
    <row r="298" spans="1:34" ht="15" hidden="1" customHeight="1">
      <c r="A298">
        <v>12870</v>
      </c>
      <c r="B298" s="3" t="s">
        <v>1475</v>
      </c>
      <c r="C298" s="3" t="str">
        <f t="shared" si="20"/>
        <v>crmSalutation.Description</v>
      </c>
      <c r="D298">
        <v>132</v>
      </c>
      <c r="E298" s="3" t="str">
        <f t="shared" si="21"/>
        <v>crmSalutation</v>
      </c>
      <c r="F298" t="s">
        <v>12</v>
      </c>
      <c r="G298" s="3" t="s">
        <v>6917</v>
      </c>
      <c r="H298" s="3" t="str">
        <f t="shared" si="22"/>
        <v>Contact Management.Salutation</v>
      </c>
      <c r="I298"/>
      <c r="K298" s="3" t="s">
        <v>12</v>
      </c>
      <c r="M298" t="s">
        <v>196</v>
      </c>
      <c r="N298"/>
      <c r="O298"/>
      <c r="Q298" s="3" t="s">
        <v>919</v>
      </c>
      <c r="U298" t="s">
        <v>93</v>
      </c>
      <c r="Y298" t="s">
        <v>92</v>
      </c>
      <c r="AB298" t="s">
        <v>92</v>
      </c>
      <c r="AH298" t="s">
        <v>92</v>
      </c>
    </row>
    <row r="299" spans="1:34" ht="15" hidden="1" customHeight="1">
      <c r="A299">
        <v>12880</v>
      </c>
      <c r="B299" s="3" t="s">
        <v>1475</v>
      </c>
      <c r="C299" s="3" t="str">
        <f t="shared" si="20"/>
        <v>crmSalutation.ShortCode</v>
      </c>
      <c r="D299">
        <v>132</v>
      </c>
      <c r="E299" s="3" t="str">
        <f t="shared" si="21"/>
        <v>crmSalutation</v>
      </c>
      <c r="F299" t="s">
        <v>16</v>
      </c>
      <c r="G299" s="3" t="s">
        <v>6434</v>
      </c>
      <c r="H299" s="3" t="str">
        <f t="shared" si="22"/>
        <v>Contact Management.Salutation</v>
      </c>
      <c r="I299"/>
      <c r="K299" s="3" t="s">
        <v>117</v>
      </c>
      <c r="M299" t="s">
        <v>196</v>
      </c>
      <c r="N299"/>
      <c r="O299"/>
      <c r="Q299" s="3" t="s">
        <v>92</v>
      </c>
      <c r="U299" t="s">
        <v>93</v>
      </c>
      <c r="AB299" t="s">
        <v>92</v>
      </c>
      <c r="AH299" t="s">
        <v>92</v>
      </c>
    </row>
    <row r="300" spans="1:34" ht="15" hidden="1" customHeight="1">
      <c r="A300">
        <v>12890</v>
      </c>
      <c r="B300" s="3" t="s">
        <v>1475</v>
      </c>
      <c r="C300" s="3" t="str">
        <f t="shared" si="20"/>
        <v>crmSalutation.RowStatus</v>
      </c>
      <c r="D300">
        <v>132</v>
      </c>
      <c r="E300" s="3" t="str">
        <f t="shared" si="21"/>
        <v>crmSalutation</v>
      </c>
      <c r="F300" t="s">
        <v>1445</v>
      </c>
      <c r="G300" s="3" t="s">
        <v>6411</v>
      </c>
      <c r="H300" s="3" t="str">
        <f t="shared" si="22"/>
        <v>Contact Management.Salutation</v>
      </c>
      <c r="I300"/>
      <c r="K300" s="3" t="s">
        <v>2471</v>
      </c>
      <c r="M300" t="s">
        <v>976</v>
      </c>
      <c r="N300">
        <v>1</v>
      </c>
      <c r="O300"/>
      <c r="Q300" s="3" t="s">
        <v>919</v>
      </c>
      <c r="U300" t="s">
        <v>94</v>
      </c>
    </row>
    <row r="301" spans="1:34" ht="15" hidden="1" customHeight="1">
      <c r="A301">
        <v>12900</v>
      </c>
      <c r="B301" t="s">
        <v>1475</v>
      </c>
      <c r="C301" s="3" t="str">
        <f t="shared" si="20"/>
        <v>crmSalutation.sysChangeHistoryID</v>
      </c>
      <c r="D301">
        <v>132</v>
      </c>
      <c r="E301" s="3" t="str">
        <f t="shared" si="21"/>
        <v>crmSalutation</v>
      </c>
      <c r="F301" t="s">
        <v>2497</v>
      </c>
      <c r="G301" s="3" t="s">
        <v>6403</v>
      </c>
      <c r="H301" s="3" t="str">
        <f t="shared" si="22"/>
        <v>Contact Management.Salutation</v>
      </c>
      <c r="I301"/>
      <c r="K301" t="s">
        <v>1210</v>
      </c>
      <c r="L301"/>
      <c r="M301" t="s">
        <v>6007</v>
      </c>
      <c r="N301"/>
      <c r="O301"/>
      <c r="P301"/>
      <c r="Q301" t="s">
        <v>92</v>
      </c>
      <c r="R301"/>
      <c r="S301"/>
      <c r="U301" t="s">
        <v>1429</v>
      </c>
    </row>
    <row r="302" spans="1:34" ht="15" hidden="1" customHeight="1">
      <c r="A302">
        <v>12910</v>
      </c>
      <c r="B302" s="3" t="s">
        <v>1475</v>
      </c>
      <c r="C302" s="3" t="str">
        <f t="shared" si="20"/>
        <v>faDepreciationMethod.ID</v>
      </c>
      <c r="D302" s="3">
        <v>206</v>
      </c>
      <c r="E302" s="3" t="str">
        <f t="shared" si="21"/>
        <v>faDepreciationMethod</v>
      </c>
      <c r="F302" t="s">
        <v>0</v>
      </c>
      <c r="G302" s="3" t="s">
        <v>6526</v>
      </c>
      <c r="H302" s="3" t="str">
        <f t="shared" si="22"/>
        <v>Fixed Asset.Depreciation Method</v>
      </c>
      <c r="I302"/>
      <c r="K302" t="s">
        <v>0</v>
      </c>
      <c r="M302" t="s">
        <v>6007</v>
      </c>
      <c r="Q302" s="3" t="s">
        <v>919</v>
      </c>
      <c r="U302" s="3" t="s">
        <v>95</v>
      </c>
    </row>
    <row r="303" spans="1:34" ht="15" hidden="1" customHeight="1">
      <c r="A303">
        <v>12920</v>
      </c>
      <c r="B303" s="3" t="s">
        <v>1475</v>
      </c>
      <c r="C303" s="3" t="str">
        <f t="shared" si="20"/>
        <v>faDepreciationMethod.Description</v>
      </c>
      <c r="D303" s="3">
        <v>206</v>
      </c>
      <c r="E303" s="3" t="str">
        <f t="shared" si="21"/>
        <v>faDepreciationMethod</v>
      </c>
      <c r="F303" t="s">
        <v>12</v>
      </c>
      <c r="G303" s="3" t="s">
        <v>6918</v>
      </c>
      <c r="H303" s="3" t="str">
        <f t="shared" si="22"/>
        <v>Fixed Asset.Depreciation Method</v>
      </c>
      <c r="I303"/>
      <c r="K303" t="s">
        <v>980</v>
      </c>
      <c r="L303" s="3" t="s">
        <v>973</v>
      </c>
      <c r="M303" s="3" t="s">
        <v>196</v>
      </c>
      <c r="Q303" s="3" t="s">
        <v>919</v>
      </c>
      <c r="U303" s="3" t="s">
        <v>93</v>
      </c>
      <c r="Y303" t="s">
        <v>92</v>
      </c>
      <c r="AB303" t="s">
        <v>92</v>
      </c>
      <c r="AH303" t="s">
        <v>92</v>
      </c>
    </row>
    <row r="304" spans="1:34" ht="15" hidden="1" customHeight="1">
      <c r="A304">
        <v>12930</v>
      </c>
      <c r="B304" s="3" t="s">
        <v>1475</v>
      </c>
      <c r="C304" s="3" t="str">
        <f t="shared" si="20"/>
        <v>faDepreciationMethod.DisplaySequence</v>
      </c>
      <c r="D304" s="3">
        <v>206</v>
      </c>
      <c r="E304" s="3" t="str">
        <f t="shared" si="21"/>
        <v>faDepreciationMethod</v>
      </c>
      <c r="F304" t="s">
        <v>6055</v>
      </c>
      <c r="G304" s="3" t="s">
        <v>6432</v>
      </c>
      <c r="H304" s="3" t="str">
        <f t="shared" si="22"/>
        <v>Fixed Asset.Depreciation Method</v>
      </c>
      <c r="I304"/>
      <c r="K304" s="3" t="s">
        <v>6297</v>
      </c>
      <c r="M304" s="3" t="s">
        <v>195</v>
      </c>
      <c r="U304" s="3" t="s">
        <v>93</v>
      </c>
    </row>
    <row r="305" spans="1:34" ht="15" hidden="1" customHeight="1">
      <c r="A305">
        <v>12940</v>
      </c>
      <c r="B305" s="3" t="s">
        <v>1475</v>
      </c>
      <c r="C305" s="3" t="str">
        <f t="shared" si="20"/>
        <v>faDepreciationMethod.ShortCode</v>
      </c>
      <c r="D305" s="3">
        <v>206</v>
      </c>
      <c r="E305" s="3" t="str">
        <f t="shared" si="21"/>
        <v>faDepreciationMethod</v>
      </c>
      <c r="F305" t="s">
        <v>16</v>
      </c>
      <c r="G305" s="3" t="s">
        <v>6434</v>
      </c>
      <c r="H305" s="3" t="str">
        <f t="shared" si="22"/>
        <v>Fixed Asset.Depreciation Method</v>
      </c>
      <c r="I305"/>
      <c r="K305" s="3" t="s">
        <v>117</v>
      </c>
      <c r="L305" s="3" t="s">
        <v>274</v>
      </c>
      <c r="M305" s="3" t="s">
        <v>196</v>
      </c>
      <c r="Q305" s="3" t="s">
        <v>92</v>
      </c>
      <c r="U305" s="3" t="s">
        <v>93</v>
      </c>
      <c r="AB305" t="s">
        <v>92</v>
      </c>
      <c r="AH305" t="s">
        <v>92</v>
      </c>
    </row>
    <row r="306" spans="1:34" ht="15" hidden="1" customHeight="1">
      <c r="A306">
        <v>12950</v>
      </c>
      <c r="B306" s="3" t="s">
        <v>1475</v>
      </c>
      <c r="C306" s="3" t="str">
        <f t="shared" si="20"/>
        <v>faDepreciationMethod.RowStatus</v>
      </c>
      <c r="D306" s="3">
        <v>206</v>
      </c>
      <c r="E306" s="3" t="str">
        <f t="shared" si="21"/>
        <v>faDepreciationMethod</v>
      </c>
      <c r="F306" t="s">
        <v>1445</v>
      </c>
      <c r="G306" s="3" t="s">
        <v>6411</v>
      </c>
      <c r="H306" s="3" t="str">
        <f t="shared" si="22"/>
        <v>Fixed Asset.Depreciation Method</v>
      </c>
      <c r="I306"/>
      <c r="K306" s="3" t="s">
        <v>2471</v>
      </c>
      <c r="M306" t="s">
        <v>976</v>
      </c>
      <c r="N306">
        <v>1</v>
      </c>
      <c r="Q306" s="3" t="s">
        <v>919</v>
      </c>
      <c r="U306" s="3" t="s">
        <v>94</v>
      </c>
    </row>
    <row r="307" spans="1:34" ht="15" hidden="1" customHeight="1">
      <c r="A307">
        <v>12960</v>
      </c>
      <c r="B307" t="s">
        <v>1475</v>
      </c>
      <c r="C307" s="3" t="str">
        <f t="shared" si="20"/>
        <v>faDepreciationMethod.sysChangeHistoryID</v>
      </c>
      <c r="D307">
        <v>206</v>
      </c>
      <c r="E307" s="3" t="str">
        <f t="shared" si="21"/>
        <v>faDepreciationMethod</v>
      </c>
      <c r="F307" t="s">
        <v>2497</v>
      </c>
      <c r="G307" s="3" t="s">
        <v>6403</v>
      </c>
      <c r="H307" s="3" t="str">
        <f t="shared" si="22"/>
        <v>Fixed Asset.Depreciation Method</v>
      </c>
      <c r="I307"/>
      <c r="K307" t="s">
        <v>1210</v>
      </c>
      <c r="L307"/>
      <c r="M307" t="s">
        <v>6007</v>
      </c>
      <c r="N307"/>
      <c r="O307"/>
      <c r="P307"/>
      <c r="Q307" t="s">
        <v>92</v>
      </c>
      <c r="R307"/>
      <c r="S307"/>
      <c r="U307" t="s">
        <v>1429</v>
      </c>
      <c r="W307" s="3"/>
      <c r="X307" s="3"/>
    </row>
    <row r="308" spans="1:34" ht="15" hidden="1" customHeight="1">
      <c r="A308">
        <v>12970</v>
      </c>
      <c r="B308" s="3" t="s">
        <v>1475</v>
      </c>
      <c r="C308" s="3" t="str">
        <f t="shared" si="20"/>
        <v>faDisposalReason.ID</v>
      </c>
      <c r="D308" s="3">
        <v>207</v>
      </c>
      <c r="E308" s="3" t="str">
        <f t="shared" si="21"/>
        <v>faDisposalReason</v>
      </c>
      <c r="F308" t="s">
        <v>0</v>
      </c>
      <c r="G308" s="3" t="s">
        <v>6527</v>
      </c>
      <c r="H308" s="3" t="str">
        <f t="shared" si="22"/>
        <v>Fixed Asset.Disposal Reason</v>
      </c>
      <c r="I308"/>
      <c r="K308" t="s">
        <v>0</v>
      </c>
      <c r="M308" t="s">
        <v>6007</v>
      </c>
      <c r="Q308" s="3" t="s">
        <v>919</v>
      </c>
      <c r="U308" s="3" t="s">
        <v>95</v>
      </c>
    </row>
    <row r="309" spans="1:34" ht="15" hidden="1" customHeight="1">
      <c r="A309">
        <v>12980</v>
      </c>
      <c r="B309" s="3" t="s">
        <v>1475</v>
      </c>
      <c r="C309" s="3" t="str">
        <f t="shared" si="20"/>
        <v>faDisposalReason.Description</v>
      </c>
      <c r="D309" s="3">
        <v>207</v>
      </c>
      <c r="E309" s="3" t="str">
        <f t="shared" si="21"/>
        <v>faDisposalReason</v>
      </c>
      <c r="F309" t="s">
        <v>12</v>
      </c>
      <c r="G309" s="3" t="s">
        <v>6919</v>
      </c>
      <c r="H309" s="3" t="str">
        <f t="shared" si="22"/>
        <v>Fixed Asset.Disposal Reason</v>
      </c>
      <c r="I309"/>
      <c r="K309" t="s">
        <v>911</v>
      </c>
      <c r="L309" s="3" t="s">
        <v>973</v>
      </c>
      <c r="M309" s="3" t="s">
        <v>196</v>
      </c>
      <c r="Q309" s="3" t="s">
        <v>919</v>
      </c>
      <c r="U309" s="3" t="s">
        <v>93</v>
      </c>
      <c r="W309" s="3"/>
      <c r="Y309" t="s">
        <v>92</v>
      </c>
      <c r="AB309" t="s">
        <v>92</v>
      </c>
      <c r="AH309" t="s">
        <v>92</v>
      </c>
    </row>
    <row r="310" spans="1:34" ht="15" hidden="1" customHeight="1">
      <c r="A310">
        <v>12990</v>
      </c>
      <c r="B310" s="3" t="s">
        <v>1475</v>
      </c>
      <c r="C310" s="3" t="str">
        <f t="shared" si="20"/>
        <v>faDisposalReason.DisplaySequence</v>
      </c>
      <c r="D310" s="3">
        <v>207</v>
      </c>
      <c r="E310" s="3" t="str">
        <f t="shared" si="21"/>
        <v>faDisposalReason</v>
      </c>
      <c r="F310" t="s">
        <v>6055</v>
      </c>
      <c r="G310" s="3" t="s">
        <v>6432</v>
      </c>
      <c r="H310" s="3" t="str">
        <f t="shared" si="22"/>
        <v>Fixed Asset.Disposal Reason</v>
      </c>
      <c r="I310"/>
      <c r="K310" s="3" t="s">
        <v>6297</v>
      </c>
      <c r="M310" s="3" t="s">
        <v>195</v>
      </c>
      <c r="U310" s="3" t="s">
        <v>93</v>
      </c>
    </row>
    <row r="311" spans="1:34" ht="15" hidden="1" customHeight="1">
      <c r="A311">
        <v>13000</v>
      </c>
      <c r="B311" s="3" t="s">
        <v>1475</v>
      </c>
      <c r="C311" s="3" t="str">
        <f t="shared" si="20"/>
        <v>faDisposalReason.RowStatus</v>
      </c>
      <c r="D311" s="3">
        <v>207</v>
      </c>
      <c r="E311" s="3" t="str">
        <f t="shared" si="21"/>
        <v>faDisposalReason</v>
      </c>
      <c r="F311" t="s">
        <v>1445</v>
      </c>
      <c r="G311" s="3" t="s">
        <v>6411</v>
      </c>
      <c r="H311" s="3" t="str">
        <f t="shared" si="22"/>
        <v>Fixed Asset.Disposal Reason</v>
      </c>
      <c r="I311"/>
      <c r="K311" s="3" t="s">
        <v>2471</v>
      </c>
      <c r="M311" t="s">
        <v>976</v>
      </c>
      <c r="N311">
        <v>1</v>
      </c>
      <c r="Q311" s="3" t="s">
        <v>919</v>
      </c>
      <c r="U311" s="3" t="s">
        <v>94</v>
      </c>
    </row>
    <row r="312" spans="1:34" ht="15" hidden="1" customHeight="1">
      <c r="A312">
        <v>13010</v>
      </c>
      <c r="B312" t="s">
        <v>1475</v>
      </c>
      <c r="C312" s="3" t="str">
        <f t="shared" si="20"/>
        <v>faDisposalReason.sysChangeHistoryID</v>
      </c>
      <c r="D312">
        <v>207</v>
      </c>
      <c r="E312" s="3" t="str">
        <f t="shared" si="21"/>
        <v>faDisposalReason</v>
      </c>
      <c r="F312" t="s">
        <v>2497</v>
      </c>
      <c r="G312" s="3" t="s">
        <v>6403</v>
      </c>
      <c r="H312" s="3" t="str">
        <f t="shared" si="22"/>
        <v>Fixed Asset.Disposal Reason</v>
      </c>
      <c r="I312"/>
      <c r="K312" t="s">
        <v>1210</v>
      </c>
      <c r="L312"/>
      <c r="M312" t="s">
        <v>6007</v>
      </c>
      <c r="N312"/>
      <c r="O312"/>
      <c r="P312"/>
      <c r="Q312" t="s">
        <v>92</v>
      </c>
      <c r="R312"/>
      <c r="S312"/>
      <c r="U312" t="s">
        <v>1429</v>
      </c>
      <c r="W312" s="3"/>
      <c r="X312" s="3"/>
    </row>
    <row r="313" spans="1:34" ht="15" hidden="1" customHeight="1">
      <c r="A313">
        <v>13020</v>
      </c>
      <c r="B313" s="3" t="s">
        <v>1475</v>
      </c>
      <c r="C313" s="3" t="str">
        <f t="shared" si="20"/>
        <v>faFixedAsset.ID</v>
      </c>
      <c r="D313" s="3">
        <v>200</v>
      </c>
      <c r="E313" s="3" t="str">
        <f t="shared" si="21"/>
        <v>faFixedAsset</v>
      </c>
      <c r="F313" t="s">
        <v>0</v>
      </c>
      <c r="G313" s="3" t="s">
        <v>6528</v>
      </c>
      <c r="H313" s="3" t="str">
        <f t="shared" si="22"/>
        <v>Fixed Asset.Fixed Asset</v>
      </c>
      <c r="I313"/>
      <c r="K313" s="3" t="s">
        <v>0</v>
      </c>
      <c r="M313" t="s">
        <v>6007</v>
      </c>
      <c r="Q313" s="3" t="s">
        <v>919</v>
      </c>
      <c r="U313" s="3" t="s">
        <v>95</v>
      </c>
      <c r="W313" s="3"/>
      <c r="AF313" t="s">
        <v>632</v>
      </c>
    </row>
    <row r="314" spans="1:34" ht="15" hidden="1" customHeight="1">
      <c r="A314">
        <v>13025</v>
      </c>
      <c r="B314" s="3" t="s">
        <v>1475</v>
      </c>
      <c r="C314" s="3" t="str">
        <f t="shared" si="20"/>
        <v>faFixedAsset.faStatusID</v>
      </c>
      <c r="D314" s="3">
        <v>200</v>
      </c>
      <c r="E314" s="3" t="str">
        <f t="shared" si="21"/>
        <v>faFixedAsset</v>
      </c>
      <c r="F314" t="str">
        <f>VLOOKUP(V314,DictionaryTableID,3,FALSE)&amp;"ID"&amp;X314</f>
        <v>faStatusID</v>
      </c>
      <c r="G314" s="3" t="s">
        <v>6529</v>
      </c>
      <c r="H314" s="3" t="str">
        <f t="shared" si="22"/>
        <v>Fixed Asset.Fixed Asset</v>
      </c>
      <c r="I314"/>
      <c r="K314" s="3" t="s">
        <v>55</v>
      </c>
      <c r="M314" t="s">
        <v>6007</v>
      </c>
      <c r="Q314" s="3" t="s">
        <v>919</v>
      </c>
      <c r="U314" s="3" t="s">
        <v>96</v>
      </c>
      <c r="V314">
        <v>208</v>
      </c>
      <c r="W314" s="3" t="str">
        <f>VLOOKUP(V314,DictionaryTableID,3,FALSE)</f>
        <v>faStatus</v>
      </c>
      <c r="X314" s="3"/>
      <c r="AB314" t="s">
        <v>92</v>
      </c>
      <c r="AF314" t="s">
        <v>639</v>
      </c>
    </row>
    <row r="315" spans="1:34" ht="15" hidden="1" customHeight="1">
      <c r="A315">
        <v>13030</v>
      </c>
      <c r="B315" s="3" t="s">
        <v>1475</v>
      </c>
      <c r="C315" s="3" t="str">
        <f t="shared" si="20"/>
        <v>faFixedAsset.faTypeID</v>
      </c>
      <c r="D315" s="3">
        <v>200</v>
      </c>
      <c r="E315" s="3" t="str">
        <f t="shared" si="21"/>
        <v>faFixedAsset</v>
      </c>
      <c r="F315" t="str">
        <f>VLOOKUP(V315,DictionaryTableID,3,FALSE)&amp;"ID"&amp;X315</f>
        <v>faTypeID</v>
      </c>
      <c r="G315" s="3" t="s">
        <v>6530</v>
      </c>
      <c r="H315" s="3" t="str">
        <f t="shared" si="22"/>
        <v>Fixed Asset.Fixed Asset</v>
      </c>
      <c r="I315"/>
      <c r="K315" s="3" t="s">
        <v>326</v>
      </c>
      <c r="M315" t="s">
        <v>6007</v>
      </c>
      <c r="Q315" s="3" t="s">
        <v>919</v>
      </c>
      <c r="U315" s="3" t="s">
        <v>96</v>
      </c>
      <c r="V315">
        <v>209</v>
      </c>
      <c r="W315" s="3" t="str">
        <f>VLOOKUP(V315,DictionaryTableID,3,FALSE)</f>
        <v>faType</v>
      </c>
      <c r="X315" s="3" t="s">
        <v>1036</v>
      </c>
      <c r="AB315" t="s">
        <v>92</v>
      </c>
      <c r="AF315" t="s">
        <v>635</v>
      </c>
    </row>
    <row r="316" spans="1:34" ht="15" hidden="1" customHeight="1">
      <c r="A316">
        <v>13045</v>
      </c>
      <c r="B316" s="3" t="s">
        <v>1475</v>
      </c>
      <c r="C316" s="3" t="str">
        <f t="shared" si="20"/>
        <v>faFixedAsset.Description</v>
      </c>
      <c r="D316" s="3">
        <v>200</v>
      </c>
      <c r="E316" s="3" t="str">
        <f t="shared" si="21"/>
        <v>faFixedAsset</v>
      </c>
      <c r="F316" t="s">
        <v>12</v>
      </c>
      <c r="G316" s="3" t="s">
        <v>6920</v>
      </c>
      <c r="H316" s="3" t="str">
        <f t="shared" si="22"/>
        <v>Fixed Asset.Fixed Asset</v>
      </c>
      <c r="I316"/>
      <c r="K316" s="3" t="s">
        <v>12</v>
      </c>
      <c r="M316" s="3" t="s">
        <v>196</v>
      </c>
      <c r="N316"/>
      <c r="Q316" s="3" t="s">
        <v>919</v>
      </c>
      <c r="U316" s="3" t="s">
        <v>93</v>
      </c>
      <c r="AB316" t="s">
        <v>92</v>
      </c>
      <c r="AF316" t="s">
        <v>634</v>
      </c>
      <c r="AH316" t="s">
        <v>92</v>
      </c>
    </row>
    <row r="317" spans="1:34" ht="15" hidden="1" customHeight="1">
      <c r="A317">
        <v>13050</v>
      </c>
      <c r="B317" s="3" t="s">
        <v>1475</v>
      </c>
      <c r="C317" s="3" t="str">
        <f t="shared" si="20"/>
        <v>faFixedAsset.PurchaseDate</v>
      </c>
      <c r="D317" s="3">
        <v>200</v>
      </c>
      <c r="E317" s="3" t="str">
        <f t="shared" si="21"/>
        <v>faFixedAsset</v>
      </c>
      <c r="F317" t="s">
        <v>1231</v>
      </c>
      <c r="G317" s="3" t="s">
        <v>7058</v>
      </c>
      <c r="H317" s="3" t="str">
        <f t="shared" si="22"/>
        <v>Fixed Asset.Fixed Asset</v>
      </c>
      <c r="I317"/>
      <c r="K317" s="3" t="s">
        <v>7058</v>
      </c>
      <c r="M317" s="3" t="s">
        <v>81</v>
      </c>
      <c r="Q317" s="3" t="s">
        <v>92</v>
      </c>
      <c r="U317" s="3" t="s">
        <v>93</v>
      </c>
      <c r="AB317" t="s">
        <v>92</v>
      </c>
      <c r="AF317" t="s">
        <v>644</v>
      </c>
    </row>
    <row r="318" spans="1:34" ht="15" hidden="1" customHeight="1">
      <c r="A318">
        <v>13060</v>
      </c>
      <c r="B318" s="3" t="s">
        <v>1475</v>
      </c>
      <c r="C318" s="3" t="str">
        <f t="shared" si="20"/>
        <v>faFixedAsset.FixedAssetNumber</v>
      </c>
      <c r="D318" s="3">
        <v>200</v>
      </c>
      <c r="E318" s="3" t="str">
        <f t="shared" si="21"/>
        <v>faFixedAsset</v>
      </c>
      <c r="F318" t="s">
        <v>7061</v>
      </c>
      <c r="G318" s="3" t="s">
        <v>7060</v>
      </c>
      <c r="H318" s="3" t="str">
        <f t="shared" si="22"/>
        <v>Fixed Asset.Fixed Asset</v>
      </c>
      <c r="I318"/>
      <c r="K318" s="3" t="s">
        <v>7060</v>
      </c>
      <c r="M318" s="3" t="s">
        <v>196</v>
      </c>
      <c r="Q318" s="3" t="s">
        <v>92</v>
      </c>
      <c r="U318" s="3" t="s">
        <v>93</v>
      </c>
      <c r="AB318" t="s">
        <v>92</v>
      </c>
      <c r="AF318" t="s">
        <v>633</v>
      </c>
    </row>
    <row r="319" spans="1:34" ht="15" hidden="1" customHeight="1">
      <c r="A319">
        <v>13070</v>
      </c>
      <c r="B319" s="3" t="s">
        <v>1475</v>
      </c>
      <c r="C319" s="3" t="str">
        <f t="shared" si="20"/>
        <v>faFixedAsset.SerialNumber</v>
      </c>
      <c r="D319" s="3">
        <v>200</v>
      </c>
      <c r="E319" s="3" t="str">
        <f t="shared" si="21"/>
        <v>faFixedAsset</v>
      </c>
      <c r="F319" t="s">
        <v>1277</v>
      </c>
      <c r="G319" s="3" t="s">
        <v>1319</v>
      </c>
      <c r="H319" s="3" t="str">
        <f t="shared" si="22"/>
        <v>Fixed Asset.Fixed Asset</v>
      </c>
      <c r="I319"/>
      <c r="K319" s="3" t="s">
        <v>1319</v>
      </c>
      <c r="M319" s="3" t="s">
        <v>196</v>
      </c>
      <c r="Q319" s="3" t="s">
        <v>92</v>
      </c>
      <c r="U319" s="3" t="s">
        <v>93</v>
      </c>
      <c r="AB319" t="s">
        <v>92</v>
      </c>
      <c r="AF319" t="s">
        <v>636</v>
      </c>
    </row>
    <row r="320" spans="1:34" ht="15" hidden="1" customHeight="1">
      <c r="A320">
        <v>13080</v>
      </c>
      <c r="B320" s="3" t="s">
        <v>1475</v>
      </c>
      <c r="C320" s="3" t="str">
        <f t="shared" si="20"/>
        <v>faFixedAsset.Make</v>
      </c>
      <c r="D320" s="3">
        <v>200</v>
      </c>
      <c r="E320" s="3" t="str">
        <f t="shared" si="21"/>
        <v>faFixedAsset</v>
      </c>
      <c r="F320" t="s">
        <v>7059</v>
      </c>
      <c r="G320" s="3" t="s">
        <v>7059</v>
      </c>
      <c r="H320" s="3" t="str">
        <f t="shared" si="22"/>
        <v>Fixed Asset.Fixed Asset</v>
      </c>
      <c r="I320"/>
      <c r="K320" s="3" t="s">
        <v>7059</v>
      </c>
      <c r="M320" s="3" t="s">
        <v>196</v>
      </c>
      <c r="Q320" s="3" t="s">
        <v>92</v>
      </c>
      <c r="U320" s="3" t="s">
        <v>93</v>
      </c>
      <c r="AB320" t="s">
        <v>92</v>
      </c>
      <c r="AF320" t="s">
        <v>637</v>
      </c>
    </row>
    <row r="321" spans="1:32" ht="15" hidden="1" customHeight="1">
      <c r="A321">
        <v>13090</v>
      </c>
      <c r="B321" s="3" t="s">
        <v>1475</v>
      </c>
      <c r="C321" s="3" t="str">
        <f t="shared" si="20"/>
        <v>faFixedAsset.ModelNumber</v>
      </c>
      <c r="D321" s="3">
        <v>200</v>
      </c>
      <c r="E321" s="3" t="str">
        <f t="shared" si="21"/>
        <v>faFixedAsset</v>
      </c>
      <c r="F321" t="s">
        <v>1276</v>
      </c>
      <c r="G321" s="3" t="s">
        <v>1318</v>
      </c>
      <c r="H321" s="3" t="str">
        <f t="shared" si="22"/>
        <v>Fixed Asset.Fixed Asset</v>
      </c>
      <c r="I321"/>
      <c r="K321" s="3" t="s">
        <v>1318</v>
      </c>
      <c r="M321" s="3" t="s">
        <v>196</v>
      </c>
      <c r="Q321" s="3" t="s">
        <v>92</v>
      </c>
      <c r="U321" s="3" t="s">
        <v>93</v>
      </c>
      <c r="AB321" t="s">
        <v>92</v>
      </c>
      <c r="AF321" t="s">
        <v>637</v>
      </c>
    </row>
    <row r="322" spans="1:32" ht="15" hidden="1" customHeight="1">
      <c r="A322">
        <v>13100</v>
      </c>
      <c r="B322" s="3" t="s">
        <v>1475</v>
      </c>
      <c r="C322" s="3" t="str">
        <f t="shared" ref="C322:C385" si="23">CONCATENATE(E322,".",F322)</f>
        <v>faFixedAsset.ModelYear</v>
      </c>
      <c r="D322" s="3">
        <v>200</v>
      </c>
      <c r="E322" s="3" t="str">
        <f t="shared" si="21"/>
        <v>faFixedAsset</v>
      </c>
      <c r="F322" t="s">
        <v>7062</v>
      </c>
      <c r="G322" s="3" t="s">
        <v>7064</v>
      </c>
      <c r="H322" s="3" t="str">
        <f t="shared" si="22"/>
        <v>Fixed Asset.Fixed Asset</v>
      </c>
      <c r="I322"/>
      <c r="K322" s="3" t="s">
        <v>7063</v>
      </c>
      <c r="M322" s="3" t="s">
        <v>195</v>
      </c>
      <c r="Q322" s="3" t="s">
        <v>92</v>
      </c>
      <c r="U322" s="3" t="s">
        <v>93</v>
      </c>
      <c r="AB322" t="s">
        <v>92</v>
      </c>
      <c r="AF322" t="s">
        <v>641</v>
      </c>
    </row>
    <row r="323" spans="1:32" ht="15" hidden="1" customHeight="1">
      <c r="A323">
        <v>13110</v>
      </c>
      <c r="B323" s="3" t="s">
        <v>1475</v>
      </c>
      <c r="C323" s="3" t="str">
        <f t="shared" si="23"/>
        <v>faFixedAsset.Comments</v>
      </c>
      <c r="D323" s="3">
        <v>200</v>
      </c>
      <c r="E323" s="3" t="str">
        <f t="shared" si="21"/>
        <v>faFixedAsset</v>
      </c>
      <c r="F323" t="s">
        <v>14</v>
      </c>
      <c r="G323" s="3" t="s">
        <v>14</v>
      </c>
      <c r="H323" s="3" t="str">
        <f t="shared" si="22"/>
        <v>Fixed Asset.Fixed Asset</v>
      </c>
      <c r="I323"/>
      <c r="K323" s="3" t="s">
        <v>14</v>
      </c>
      <c r="M323" s="3" t="s">
        <v>196</v>
      </c>
      <c r="N323"/>
      <c r="Q323" s="3" t="s">
        <v>92</v>
      </c>
      <c r="U323" s="3" t="s">
        <v>93</v>
      </c>
      <c r="AB323" t="s">
        <v>92</v>
      </c>
      <c r="AF323" t="s">
        <v>638</v>
      </c>
    </row>
    <row r="324" spans="1:32" ht="15" hidden="1" customHeight="1">
      <c r="A324">
        <v>13120</v>
      </c>
      <c r="B324" s="3" t="s">
        <v>1475</v>
      </c>
      <c r="C324" s="3" t="str">
        <f t="shared" si="23"/>
        <v>faFixedAsset.DepreciationLife</v>
      </c>
      <c r="D324" s="3">
        <v>200</v>
      </c>
      <c r="E324" s="3" t="str">
        <f t="shared" si="21"/>
        <v>faFixedAsset</v>
      </c>
      <c r="F324" t="s">
        <v>1275</v>
      </c>
      <c r="G324" s="3" t="s">
        <v>7065</v>
      </c>
      <c r="H324" s="3" t="str">
        <f t="shared" si="22"/>
        <v>Fixed Asset.Fixed Asset</v>
      </c>
      <c r="I324"/>
      <c r="K324" s="3" t="s">
        <v>1316</v>
      </c>
      <c r="M324" s="3" t="s">
        <v>195</v>
      </c>
      <c r="Q324" s="3" t="s">
        <v>92</v>
      </c>
      <c r="U324" s="3" t="s">
        <v>93</v>
      </c>
      <c r="AB324" t="s">
        <v>92</v>
      </c>
      <c r="AF324" t="s">
        <v>641</v>
      </c>
    </row>
    <row r="325" spans="1:32" ht="15" hidden="1" customHeight="1">
      <c r="A325">
        <v>13125</v>
      </c>
      <c r="B325" s="3" t="s">
        <v>1475</v>
      </c>
      <c r="C325" s="3" t="str">
        <f t="shared" si="23"/>
        <v>faFixedAsset.DepreciationSalvageValue</v>
      </c>
      <c r="D325" s="3">
        <v>200</v>
      </c>
      <c r="E325" s="3" t="str">
        <f t="shared" si="21"/>
        <v>faFixedAsset</v>
      </c>
      <c r="F325" t="s">
        <v>6396</v>
      </c>
      <c r="G325" s="3" t="s">
        <v>7066</v>
      </c>
      <c r="H325" s="3" t="str">
        <f t="shared" si="22"/>
        <v>Fixed Asset.Fixed Asset</v>
      </c>
      <c r="I325"/>
      <c r="K325" s="3" t="s">
        <v>7066</v>
      </c>
      <c r="M325" s="3" t="s">
        <v>197</v>
      </c>
      <c r="N325" s="3">
        <v>19</v>
      </c>
      <c r="O325" s="3">
        <v>2</v>
      </c>
      <c r="Q325" s="3" t="s">
        <v>92</v>
      </c>
      <c r="U325" s="3" t="s">
        <v>93</v>
      </c>
      <c r="AB325" t="s">
        <v>92</v>
      </c>
      <c r="AF325" t="s">
        <v>642</v>
      </c>
    </row>
    <row r="326" spans="1:32" ht="15" hidden="1" customHeight="1">
      <c r="A326">
        <v>13130</v>
      </c>
      <c r="B326" s="3" t="s">
        <v>1475</v>
      </c>
      <c r="C326" s="3" t="str">
        <f t="shared" si="23"/>
        <v>faFixedAsset.WarrantyExpiryDate</v>
      </c>
      <c r="D326" s="3">
        <v>200</v>
      </c>
      <c r="E326" s="3" t="str">
        <f t="shared" si="21"/>
        <v>faFixedAsset</v>
      </c>
      <c r="F326" t="s">
        <v>7056</v>
      </c>
      <c r="G326" s="3" t="s">
        <v>7057</v>
      </c>
      <c r="H326" s="3" t="str">
        <f t="shared" si="22"/>
        <v>Fixed Asset.Fixed Asset</v>
      </c>
      <c r="I326"/>
      <c r="K326" s="3" t="s">
        <v>7057</v>
      </c>
      <c r="M326" s="3" t="s">
        <v>81</v>
      </c>
      <c r="Q326" s="3" t="s">
        <v>92</v>
      </c>
      <c r="U326" s="3" t="s">
        <v>93</v>
      </c>
      <c r="AB326" t="s">
        <v>92</v>
      </c>
      <c r="AF326" t="s">
        <v>644</v>
      </c>
    </row>
    <row r="327" spans="1:32" ht="15" hidden="1" customHeight="1">
      <c r="A327">
        <v>13150</v>
      </c>
      <c r="B327" s="3" t="s">
        <v>1475</v>
      </c>
      <c r="C327" s="3" t="str">
        <f t="shared" si="23"/>
        <v>faFixedAsset.RowStatus</v>
      </c>
      <c r="D327" s="3">
        <v>200</v>
      </c>
      <c r="E327" s="3" t="str">
        <f t="shared" si="21"/>
        <v>faFixedAsset</v>
      </c>
      <c r="F327" t="s">
        <v>1445</v>
      </c>
      <c r="G327" s="3" t="s">
        <v>6411</v>
      </c>
      <c r="H327" s="3" t="str">
        <f t="shared" si="22"/>
        <v>Fixed Asset.Fixed Asset</v>
      </c>
      <c r="I327"/>
      <c r="K327" t="s">
        <v>2471</v>
      </c>
      <c r="M327" t="s">
        <v>976</v>
      </c>
      <c r="N327">
        <v>1</v>
      </c>
      <c r="Q327" s="3" t="s">
        <v>919</v>
      </c>
      <c r="U327" s="3" t="s">
        <v>94</v>
      </c>
    </row>
    <row r="328" spans="1:32" ht="15" hidden="1" customHeight="1">
      <c r="A328">
        <v>13160</v>
      </c>
      <c r="B328" t="s">
        <v>1475</v>
      </c>
      <c r="C328" s="3" t="str">
        <f t="shared" si="23"/>
        <v>faFixedAsset.sysChangeHistoryID</v>
      </c>
      <c r="D328">
        <v>200</v>
      </c>
      <c r="E328" s="3" t="str">
        <f t="shared" si="21"/>
        <v>faFixedAsset</v>
      </c>
      <c r="F328" t="s">
        <v>2497</v>
      </c>
      <c r="G328" s="3" t="s">
        <v>6403</v>
      </c>
      <c r="H328" s="3" t="str">
        <f t="shared" si="22"/>
        <v>Fixed Asset.Fixed Asset</v>
      </c>
      <c r="I328"/>
      <c r="K328" t="s">
        <v>1210</v>
      </c>
      <c r="L328"/>
      <c r="M328" t="s">
        <v>6007</v>
      </c>
      <c r="N328"/>
      <c r="O328"/>
      <c r="P328"/>
      <c r="Q328" t="s">
        <v>92</v>
      </c>
      <c r="R328"/>
      <c r="S328"/>
      <c r="U328" t="s">
        <v>1429</v>
      </c>
      <c r="W328" s="3"/>
      <c r="X328" s="3"/>
    </row>
    <row r="329" spans="1:32" ht="15" hidden="1" customHeight="1">
      <c r="A329">
        <v>13170</v>
      </c>
      <c r="B329" s="3" t="s">
        <v>1475</v>
      </c>
      <c r="C329" s="3" t="str">
        <f t="shared" si="23"/>
        <v>faLocationHistory.ID</v>
      </c>
      <c r="D329" s="3">
        <v>201</v>
      </c>
      <c r="E329" s="3" t="str">
        <f t="shared" si="21"/>
        <v>faLocationHistory</v>
      </c>
      <c r="F329" t="s">
        <v>0</v>
      </c>
      <c r="G329" s="3" t="s">
        <v>6531</v>
      </c>
      <c r="H329" s="3" t="str">
        <f t="shared" si="22"/>
        <v>Fixed Asset.Location History</v>
      </c>
      <c r="I329"/>
      <c r="K329" s="3" t="s">
        <v>0</v>
      </c>
      <c r="M329" t="s">
        <v>6007</v>
      </c>
      <c r="Q329" s="3" t="s">
        <v>919</v>
      </c>
      <c r="U329" s="3" t="s">
        <v>95</v>
      </c>
      <c r="W329" s="3"/>
      <c r="AF329" t="s">
        <v>472</v>
      </c>
    </row>
    <row r="330" spans="1:32" ht="15" hidden="1" customHeight="1">
      <c r="A330">
        <v>13180</v>
      </c>
      <c r="B330" s="3" t="s">
        <v>1475</v>
      </c>
      <c r="C330" s="3" t="str">
        <f t="shared" si="23"/>
        <v>faLocationHistory.crmContactIDAssignedTo</v>
      </c>
      <c r="D330" s="3">
        <v>201</v>
      </c>
      <c r="E330" s="3" t="str">
        <f t="shared" si="21"/>
        <v>faLocationHistory</v>
      </c>
      <c r="F330" t="str">
        <f>VLOOKUP(V330,DictionaryTableID,3,FALSE)&amp;"ID"&amp;X330</f>
        <v>crmContactIDAssignedTo</v>
      </c>
      <c r="G330" s="3" t="s">
        <v>6448</v>
      </c>
      <c r="H330" s="3" t="str">
        <f t="shared" si="22"/>
        <v>Fixed Asset.Location History</v>
      </c>
      <c r="I330"/>
      <c r="K330" s="3" t="s">
        <v>7071</v>
      </c>
      <c r="M330" t="s">
        <v>6007</v>
      </c>
      <c r="Q330" s="3" t="s">
        <v>92</v>
      </c>
      <c r="U330" s="3" t="s">
        <v>96</v>
      </c>
      <c r="V330">
        <v>100</v>
      </c>
      <c r="W330" s="3" t="str">
        <f>VLOOKUP(V330,DictionaryTableID,3,FALSE)</f>
        <v>crmContact</v>
      </c>
      <c r="X330" s="3" t="s">
        <v>7067</v>
      </c>
      <c r="AB330" t="s">
        <v>92</v>
      </c>
      <c r="AF330" t="s">
        <v>481</v>
      </c>
    </row>
    <row r="331" spans="1:32" ht="15" hidden="1" customHeight="1">
      <c r="A331">
        <v>13181</v>
      </c>
      <c r="B331" s="3" t="s">
        <v>1475</v>
      </c>
      <c r="C331" s="3" t="str">
        <f t="shared" si="23"/>
        <v>faLocationHistory.glCostCentreIDOwnedBy</v>
      </c>
      <c r="D331" s="3">
        <v>201</v>
      </c>
      <c r="E331" s="3" t="str">
        <f t="shared" ref="E331:E394" si="24">VLOOKUP(D331,DictionaryTableID,3,FALSE)</f>
        <v>faLocationHistory</v>
      </c>
      <c r="F331" t="str">
        <f>VLOOKUP(V331,DictionaryTableID,3,FALSE)&amp;"ID"&amp;X331</f>
        <v>glCostCentreIDOwnedBy</v>
      </c>
      <c r="G331" s="3" t="s">
        <v>6442</v>
      </c>
      <c r="H331" s="3" t="str">
        <f t="shared" ref="H331:H394" si="25">VLOOKUP(E331,DictionaryTables,14,FALSE)</f>
        <v>Fixed Asset.Location History</v>
      </c>
      <c r="I331"/>
      <c r="K331" s="3" t="s">
        <v>7072</v>
      </c>
      <c r="M331" t="s">
        <v>6007</v>
      </c>
      <c r="Q331" s="3" t="s">
        <v>92</v>
      </c>
      <c r="U331" s="3" t="s">
        <v>96</v>
      </c>
      <c r="V331">
        <v>301</v>
      </c>
      <c r="W331" s="3" t="str">
        <f>VLOOKUP(V331,DictionaryTableID,3,FALSE)</f>
        <v>glCostCentre</v>
      </c>
      <c r="X331" s="3" t="s">
        <v>7068</v>
      </c>
      <c r="AB331" t="s">
        <v>92</v>
      </c>
      <c r="AF331" t="s">
        <v>643</v>
      </c>
    </row>
    <row r="332" spans="1:32" ht="15" hidden="1" customHeight="1">
      <c r="A332">
        <v>13190</v>
      </c>
      <c r="B332" s="3" t="s">
        <v>1475</v>
      </c>
      <c r="C332" s="3" t="str">
        <f t="shared" si="23"/>
        <v>faLocationHistory.faFixedAssetID</v>
      </c>
      <c r="D332" s="3">
        <v>201</v>
      </c>
      <c r="E332" s="3" t="str">
        <f t="shared" si="24"/>
        <v>faLocationHistory</v>
      </c>
      <c r="F332" t="str">
        <f>VLOOKUP(V332,DictionaryTableID,3,FALSE)&amp;"ID"&amp;X332</f>
        <v>faFixedAssetID</v>
      </c>
      <c r="G332" s="3" t="s">
        <v>6532</v>
      </c>
      <c r="H332" s="3" t="str">
        <f t="shared" si="25"/>
        <v>Fixed Asset.Location History</v>
      </c>
      <c r="I332"/>
      <c r="K332" s="3" t="s">
        <v>437</v>
      </c>
      <c r="M332" t="s">
        <v>6007</v>
      </c>
      <c r="Q332" s="3" t="s">
        <v>919</v>
      </c>
      <c r="U332" s="3" t="s">
        <v>96</v>
      </c>
      <c r="V332">
        <v>200</v>
      </c>
      <c r="W332" s="3" t="str">
        <f>VLOOKUP(V332,DictionaryTableID,3,FALSE)</f>
        <v>faFixedAsset</v>
      </c>
      <c r="X332" s="3" t="s">
        <v>1036</v>
      </c>
      <c r="AB332" t="s">
        <v>92</v>
      </c>
      <c r="AF332" t="s">
        <v>473</v>
      </c>
    </row>
    <row r="333" spans="1:32" ht="15" customHeight="1">
      <c r="A333">
        <v>13210</v>
      </c>
      <c r="B333" s="3" t="s">
        <v>1475</v>
      </c>
      <c r="C333" s="3" t="str">
        <f t="shared" si="23"/>
        <v>faLocationHistory.sysDictionaryTableIDLocation</v>
      </c>
      <c r="D333" s="3">
        <v>201</v>
      </c>
      <c r="E333" s="3" t="str">
        <f t="shared" si="24"/>
        <v>faLocationHistory</v>
      </c>
      <c r="F333" t="str">
        <f>VLOOKUP(V333,DictionaryTableID,3,FALSE)&amp;"ID"&amp;X333</f>
        <v>sysDictionaryTableIDLocation</v>
      </c>
      <c r="G333" s="3" t="s">
        <v>6534</v>
      </c>
      <c r="H333" s="3" t="str">
        <f t="shared" si="25"/>
        <v>Fixed Asset.Location History</v>
      </c>
      <c r="I333"/>
      <c r="K333" t="s">
        <v>7069</v>
      </c>
      <c r="M333" t="s">
        <v>6007</v>
      </c>
      <c r="N333"/>
      <c r="Q333" s="3" t="s">
        <v>92</v>
      </c>
      <c r="S333" s="19">
        <v>503</v>
      </c>
      <c r="U333" t="s">
        <v>1072</v>
      </c>
      <c r="V333">
        <v>1</v>
      </c>
      <c r="W333" s="3" t="str">
        <f>VLOOKUP(V333,DictionaryTableID,3,FALSE)</f>
        <v>sysDictionaryTable</v>
      </c>
      <c r="X333" s="3" t="s">
        <v>53</v>
      </c>
      <c r="AB333" t="s">
        <v>92</v>
      </c>
      <c r="AF333" t="s">
        <v>474</v>
      </c>
    </row>
    <row r="334" spans="1:32" ht="15" customHeight="1">
      <c r="A334">
        <v>13220</v>
      </c>
      <c r="B334" s="3" t="s">
        <v>1475</v>
      </c>
      <c r="C334" s="3" t="str">
        <f t="shared" si="23"/>
        <v>faLocationHistory.RowIDLocation</v>
      </c>
      <c r="D334" s="3">
        <v>201</v>
      </c>
      <c r="E334" s="3" t="str">
        <f t="shared" si="24"/>
        <v>faLocationHistory</v>
      </c>
      <c r="F334" t="s">
        <v>6151</v>
      </c>
      <c r="G334" s="3" t="s">
        <v>6472</v>
      </c>
      <c r="H334" s="3" t="str">
        <f t="shared" si="25"/>
        <v>Fixed Asset.Location History</v>
      </c>
      <c r="I334"/>
      <c r="K334" s="3" t="s">
        <v>53</v>
      </c>
      <c r="M334" t="s">
        <v>6007</v>
      </c>
      <c r="Q334" s="3" t="s">
        <v>92</v>
      </c>
      <c r="U334" t="s">
        <v>1072</v>
      </c>
      <c r="W334" s="3"/>
      <c r="X334" s="3" t="s">
        <v>53</v>
      </c>
      <c r="AB334" t="s">
        <v>92</v>
      </c>
      <c r="AF334" t="s">
        <v>475</v>
      </c>
    </row>
    <row r="335" spans="1:32" ht="15" hidden="1" customHeight="1">
      <c r="A335">
        <v>13230</v>
      </c>
      <c r="B335" s="3" t="s">
        <v>1475</v>
      </c>
      <c r="C335" s="3" t="str">
        <f t="shared" si="23"/>
        <v>faLocationHistory.Details</v>
      </c>
      <c r="D335" s="3">
        <v>201</v>
      </c>
      <c r="E335" s="3" t="str">
        <f t="shared" si="24"/>
        <v>faLocationHistory</v>
      </c>
      <c r="F335" t="s">
        <v>87</v>
      </c>
      <c r="G335" s="3" t="s">
        <v>6535</v>
      </c>
      <c r="H335" s="3" t="str">
        <f t="shared" si="25"/>
        <v>Fixed Asset.Location History</v>
      </c>
      <c r="I335"/>
      <c r="K335" s="3" t="s">
        <v>87</v>
      </c>
      <c r="M335" s="3" t="s">
        <v>196</v>
      </c>
      <c r="Q335" s="3" t="s">
        <v>92</v>
      </c>
      <c r="U335" s="3" t="s">
        <v>93</v>
      </c>
      <c r="W335" s="3"/>
      <c r="AB335" t="s">
        <v>92</v>
      </c>
      <c r="AF335" t="s">
        <v>480</v>
      </c>
    </row>
    <row r="336" spans="1:32" ht="15" hidden="1" customHeight="1">
      <c r="A336">
        <v>13240</v>
      </c>
      <c r="B336" s="3" t="s">
        <v>1475</v>
      </c>
      <c r="C336" s="3" t="str">
        <f t="shared" si="23"/>
        <v>faLocationHistory.IsActive</v>
      </c>
      <c r="D336" s="3">
        <v>201</v>
      </c>
      <c r="E336" s="3" t="str">
        <f t="shared" si="24"/>
        <v>faLocationHistory</v>
      </c>
      <c r="F336" t="s">
        <v>1286</v>
      </c>
      <c r="G336" s="3" t="s">
        <v>6536</v>
      </c>
      <c r="H336" s="3" t="str">
        <f t="shared" si="25"/>
        <v>Fixed Asset.Location History</v>
      </c>
      <c r="I336"/>
      <c r="K336" s="3" t="s">
        <v>132</v>
      </c>
      <c r="M336" s="3" t="s">
        <v>2402</v>
      </c>
      <c r="Q336" s="3" t="s">
        <v>92</v>
      </c>
      <c r="U336" s="3" t="s">
        <v>93</v>
      </c>
      <c r="W336" s="3"/>
      <c r="AB336" t="s">
        <v>92</v>
      </c>
      <c r="AF336" t="s">
        <v>479</v>
      </c>
    </row>
    <row r="337" spans="1:34" ht="15" hidden="1" customHeight="1">
      <c r="A337">
        <v>13250</v>
      </c>
      <c r="B337" s="3" t="s">
        <v>1475</v>
      </c>
      <c r="C337" s="3" t="str">
        <f t="shared" si="23"/>
        <v>faLocationHistory.IsConfirmed</v>
      </c>
      <c r="D337" s="3">
        <v>201</v>
      </c>
      <c r="E337" s="3" t="str">
        <f t="shared" si="24"/>
        <v>faLocationHistory</v>
      </c>
      <c r="F337" t="s">
        <v>1287</v>
      </c>
      <c r="G337" s="3" t="s">
        <v>6537</v>
      </c>
      <c r="H337" s="3" t="str">
        <f t="shared" si="25"/>
        <v>Fixed Asset.Location History</v>
      </c>
      <c r="I337"/>
      <c r="K337" s="3" t="s">
        <v>229</v>
      </c>
      <c r="M337" s="3" t="s">
        <v>2402</v>
      </c>
      <c r="Q337" s="3" t="s">
        <v>92</v>
      </c>
      <c r="U337" s="3" t="s">
        <v>93</v>
      </c>
      <c r="W337" s="3"/>
      <c r="AB337" t="s">
        <v>92</v>
      </c>
      <c r="AF337" t="s">
        <v>477</v>
      </c>
    </row>
    <row r="338" spans="1:34" ht="15" hidden="1" customHeight="1">
      <c r="A338">
        <v>13265</v>
      </c>
      <c r="B338" s="3" t="s">
        <v>1475</v>
      </c>
      <c r="C338" s="3" t="str">
        <f t="shared" si="23"/>
        <v>faLocationHistory.TemporalStartDate</v>
      </c>
      <c r="D338" s="3">
        <v>201</v>
      </c>
      <c r="E338" s="3" t="str">
        <f t="shared" si="24"/>
        <v>faLocationHistory</v>
      </c>
      <c r="F338" t="s">
        <v>1250</v>
      </c>
      <c r="G338" s="3" t="s">
        <v>6409</v>
      </c>
      <c r="H338" s="3" t="str">
        <f t="shared" si="25"/>
        <v>Fixed Asset.Location History</v>
      </c>
      <c r="I338"/>
      <c r="K338" s="3" t="s">
        <v>108</v>
      </c>
      <c r="M338" s="3" t="s">
        <v>81</v>
      </c>
      <c r="Q338" t="s">
        <v>919</v>
      </c>
      <c r="S338" s="14"/>
      <c r="U338" t="s">
        <v>1080</v>
      </c>
      <c r="W338" s="3"/>
      <c r="AF338" t="s">
        <v>476</v>
      </c>
    </row>
    <row r="339" spans="1:34" ht="15" hidden="1" customHeight="1">
      <c r="A339">
        <v>13270</v>
      </c>
      <c r="B339" s="3" t="s">
        <v>1475</v>
      </c>
      <c r="C339" s="3" t="str">
        <f t="shared" si="23"/>
        <v>faLocationHistory.TemporalEndDate</v>
      </c>
      <c r="D339" s="3">
        <v>201</v>
      </c>
      <c r="E339" s="3" t="str">
        <f t="shared" si="24"/>
        <v>faLocationHistory</v>
      </c>
      <c r="F339" t="s">
        <v>1249</v>
      </c>
      <c r="G339" s="3" t="s">
        <v>6410</v>
      </c>
      <c r="H339" s="3" t="str">
        <f t="shared" si="25"/>
        <v>Fixed Asset.Location History</v>
      </c>
      <c r="I339"/>
      <c r="K339" s="3" t="s">
        <v>1091</v>
      </c>
      <c r="M339" s="3" t="s">
        <v>81</v>
      </c>
      <c r="Q339" t="s">
        <v>919</v>
      </c>
      <c r="S339" s="14"/>
      <c r="U339" t="s">
        <v>1080</v>
      </c>
      <c r="W339" s="3"/>
      <c r="AF339" t="s">
        <v>476</v>
      </c>
    </row>
    <row r="340" spans="1:34" ht="15" hidden="1" customHeight="1">
      <c r="A340">
        <v>13290</v>
      </c>
      <c r="B340" s="3" t="s">
        <v>1475</v>
      </c>
      <c r="C340" s="3" t="str">
        <f t="shared" si="23"/>
        <v>faLocationHistory.RowStatus</v>
      </c>
      <c r="D340" s="3">
        <v>201</v>
      </c>
      <c r="E340" s="3" t="str">
        <f t="shared" si="24"/>
        <v>faLocationHistory</v>
      </c>
      <c r="F340" t="s">
        <v>1445</v>
      </c>
      <c r="G340" s="3" t="s">
        <v>6411</v>
      </c>
      <c r="H340" s="3" t="str">
        <f t="shared" si="25"/>
        <v>Fixed Asset.Location History</v>
      </c>
      <c r="I340"/>
      <c r="K340" t="s">
        <v>2471</v>
      </c>
      <c r="M340" t="s">
        <v>976</v>
      </c>
      <c r="N340">
        <v>1</v>
      </c>
      <c r="Q340" s="3" t="s">
        <v>919</v>
      </c>
      <c r="U340" s="3" t="s">
        <v>94</v>
      </c>
      <c r="W340" s="3"/>
    </row>
    <row r="341" spans="1:34" ht="15" hidden="1" customHeight="1">
      <c r="A341">
        <v>13300</v>
      </c>
      <c r="B341" t="s">
        <v>1475</v>
      </c>
      <c r="C341" s="3" t="str">
        <f t="shared" si="23"/>
        <v>faLocationHistory.sysChangeHistoryID</v>
      </c>
      <c r="D341">
        <v>201</v>
      </c>
      <c r="E341" s="3" t="str">
        <f t="shared" si="24"/>
        <v>faLocationHistory</v>
      </c>
      <c r="F341" t="s">
        <v>2497</v>
      </c>
      <c r="G341" s="3" t="s">
        <v>6403</v>
      </c>
      <c r="H341" s="3" t="str">
        <f t="shared" si="25"/>
        <v>Fixed Asset.Location History</v>
      </c>
      <c r="I341"/>
      <c r="K341" t="s">
        <v>1210</v>
      </c>
      <c r="L341"/>
      <c r="M341" t="s">
        <v>6007</v>
      </c>
      <c r="N341"/>
      <c r="O341"/>
      <c r="P341"/>
      <c r="Q341" t="s">
        <v>92</v>
      </c>
      <c r="R341"/>
      <c r="S341"/>
      <c r="U341" t="s">
        <v>1429</v>
      </c>
      <c r="W341" s="3"/>
      <c r="X341" s="3"/>
    </row>
    <row r="342" spans="1:34" ht="15" hidden="1" customHeight="1">
      <c r="A342">
        <v>13310</v>
      </c>
      <c r="B342" s="3" t="s">
        <v>1475</v>
      </c>
      <c r="C342" s="3" t="str">
        <f t="shared" si="23"/>
        <v>faStatus.ID</v>
      </c>
      <c r="D342" s="3">
        <v>208</v>
      </c>
      <c r="E342" s="3" t="str">
        <f t="shared" si="24"/>
        <v>faStatus</v>
      </c>
      <c r="F342" t="s">
        <v>0</v>
      </c>
      <c r="G342" s="3" t="s">
        <v>6538</v>
      </c>
      <c r="H342" s="3" t="str">
        <f t="shared" si="25"/>
        <v>Fixed Asset.Status</v>
      </c>
      <c r="I342"/>
      <c r="K342" t="s">
        <v>0</v>
      </c>
      <c r="M342" t="s">
        <v>6007</v>
      </c>
      <c r="Q342" s="3" t="s">
        <v>919</v>
      </c>
      <c r="U342" s="3" t="s">
        <v>95</v>
      </c>
    </row>
    <row r="343" spans="1:34" ht="15" hidden="1" customHeight="1">
      <c r="A343">
        <v>13320</v>
      </c>
      <c r="B343" s="3" t="s">
        <v>1475</v>
      </c>
      <c r="C343" s="3" t="str">
        <f t="shared" si="23"/>
        <v>faStatus.Description</v>
      </c>
      <c r="D343" s="3">
        <v>208</v>
      </c>
      <c r="E343" s="3" t="str">
        <f t="shared" si="24"/>
        <v>faStatus</v>
      </c>
      <c r="F343" t="s">
        <v>12</v>
      </c>
      <c r="G343" s="3" t="s">
        <v>6899</v>
      </c>
      <c r="H343" s="3" t="str">
        <f t="shared" si="25"/>
        <v>Fixed Asset.Status</v>
      </c>
      <c r="I343"/>
      <c r="K343" t="s">
        <v>979</v>
      </c>
      <c r="L343" s="3" t="s">
        <v>973</v>
      </c>
      <c r="M343" s="3" t="s">
        <v>196</v>
      </c>
      <c r="Q343" s="3" t="s">
        <v>919</v>
      </c>
      <c r="U343" s="3" t="s">
        <v>93</v>
      </c>
      <c r="Y343" t="s">
        <v>92</v>
      </c>
      <c r="AB343" t="s">
        <v>92</v>
      </c>
      <c r="AH343" t="s">
        <v>92</v>
      </c>
    </row>
    <row r="344" spans="1:34" ht="15" hidden="1" customHeight="1">
      <c r="A344">
        <v>13330</v>
      </c>
      <c r="B344" s="3" t="s">
        <v>1475</v>
      </c>
      <c r="C344" s="3" t="str">
        <f t="shared" si="23"/>
        <v>faStatus.DisplaySequence</v>
      </c>
      <c r="D344" s="3">
        <v>208</v>
      </c>
      <c r="E344" s="3" t="str">
        <f t="shared" si="24"/>
        <v>faStatus</v>
      </c>
      <c r="F344" t="s">
        <v>6055</v>
      </c>
      <c r="G344" s="3" t="s">
        <v>6432</v>
      </c>
      <c r="H344" s="3" t="str">
        <f t="shared" si="25"/>
        <v>Fixed Asset.Status</v>
      </c>
      <c r="I344"/>
      <c r="K344" s="3" t="s">
        <v>6297</v>
      </c>
      <c r="M344" s="3" t="s">
        <v>195</v>
      </c>
      <c r="U344" s="3" t="s">
        <v>93</v>
      </c>
    </row>
    <row r="345" spans="1:34" ht="15" hidden="1" customHeight="1">
      <c r="A345">
        <v>13340</v>
      </c>
      <c r="B345" s="3" t="s">
        <v>1475</v>
      </c>
      <c r="C345" s="3" t="str">
        <f t="shared" si="23"/>
        <v>faStatus.ShortCode</v>
      </c>
      <c r="D345" s="3">
        <v>208</v>
      </c>
      <c r="E345" s="3" t="str">
        <f t="shared" si="24"/>
        <v>faStatus</v>
      </c>
      <c r="F345" t="s">
        <v>16</v>
      </c>
      <c r="G345" s="3" t="s">
        <v>6434</v>
      </c>
      <c r="H345" s="3" t="str">
        <f t="shared" si="25"/>
        <v>Fixed Asset.Status</v>
      </c>
      <c r="I345"/>
      <c r="K345" s="3" t="s">
        <v>117</v>
      </c>
      <c r="L345" s="3" t="s">
        <v>274</v>
      </c>
      <c r="M345" s="3" t="s">
        <v>196</v>
      </c>
      <c r="Q345" s="3" t="s">
        <v>92</v>
      </c>
      <c r="U345" s="3" t="s">
        <v>93</v>
      </c>
      <c r="AB345" t="s">
        <v>92</v>
      </c>
      <c r="AH345" t="s">
        <v>92</v>
      </c>
    </row>
    <row r="346" spans="1:34" ht="15" hidden="1" customHeight="1">
      <c r="A346">
        <v>13350</v>
      </c>
      <c r="B346" s="3" t="s">
        <v>1475</v>
      </c>
      <c r="C346" s="3" t="str">
        <f t="shared" si="23"/>
        <v>faStatus.RowStatus</v>
      </c>
      <c r="D346" s="3">
        <v>208</v>
      </c>
      <c r="E346" s="3" t="str">
        <f t="shared" si="24"/>
        <v>faStatus</v>
      </c>
      <c r="F346" t="s">
        <v>1445</v>
      </c>
      <c r="G346" s="3" t="s">
        <v>6411</v>
      </c>
      <c r="H346" s="3" t="str">
        <f t="shared" si="25"/>
        <v>Fixed Asset.Status</v>
      </c>
      <c r="I346"/>
      <c r="K346" s="3" t="s">
        <v>2471</v>
      </c>
      <c r="M346" t="s">
        <v>976</v>
      </c>
      <c r="N346">
        <v>1</v>
      </c>
      <c r="Q346" s="3" t="s">
        <v>919</v>
      </c>
      <c r="U346" s="3" t="s">
        <v>94</v>
      </c>
    </row>
    <row r="347" spans="1:34" ht="15" hidden="1" customHeight="1">
      <c r="A347">
        <v>13360</v>
      </c>
      <c r="B347" t="s">
        <v>1475</v>
      </c>
      <c r="C347" s="3" t="str">
        <f t="shared" si="23"/>
        <v>faStatus.sysChangeHistoryID</v>
      </c>
      <c r="D347">
        <v>208</v>
      </c>
      <c r="E347" s="3" t="str">
        <f t="shared" si="24"/>
        <v>faStatus</v>
      </c>
      <c r="F347" t="s">
        <v>2497</v>
      </c>
      <c r="G347" s="3" t="s">
        <v>6403</v>
      </c>
      <c r="H347" s="3" t="str">
        <f t="shared" si="25"/>
        <v>Fixed Asset.Status</v>
      </c>
      <c r="I347"/>
      <c r="K347" t="s">
        <v>1210</v>
      </c>
      <c r="L347"/>
      <c r="M347" t="s">
        <v>6007</v>
      </c>
      <c r="N347"/>
      <c r="O347"/>
      <c r="P347"/>
      <c r="Q347" t="s">
        <v>92</v>
      </c>
      <c r="R347"/>
      <c r="S347"/>
      <c r="U347" t="s">
        <v>1429</v>
      </c>
      <c r="W347" s="3"/>
      <c r="X347" s="3"/>
    </row>
    <row r="348" spans="1:34" ht="15" hidden="1" customHeight="1">
      <c r="A348">
        <v>13370</v>
      </c>
      <c r="B348" s="3" t="s">
        <v>1475</v>
      </c>
      <c r="C348" s="3" t="str">
        <f t="shared" si="23"/>
        <v>faType.ID</v>
      </c>
      <c r="D348" s="3">
        <v>209</v>
      </c>
      <c r="E348" s="3" t="str">
        <f t="shared" si="24"/>
        <v>faType</v>
      </c>
      <c r="F348" t="s">
        <v>0</v>
      </c>
      <c r="G348" s="3" t="s">
        <v>6539</v>
      </c>
      <c r="H348" s="3" t="str">
        <f t="shared" si="25"/>
        <v>Fixed Asset.Type</v>
      </c>
      <c r="I348"/>
      <c r="K348" s="3" t="s">
        <v>0</v>
      </c>
      <c r="M348" t="s">
        <v>6007</v>
      </c>
      <c r="Q348" s="3" t="s">
        <v>919</v>
      </c>
      <c r="U348" s="3" t="s">
        <v>95</v>
      </c>
      <c r="W348" s="3"/>
      <c r="AF348" t="s">
        <v>617</v>
      </c>
    </row>
    <row r="349" spans="1:34" ht="15" hidden="1" customHeight="1">
      <c r="A349">
        <v>13380</v>
      </c>
      <c r="B349" s="3" t="s">
        <v>1475</v>
      </c>
      <c r="C349" s="3" t="str">
        <f t="shared" si="23"/>
        <v>faType.faTypeIDParent</v>
      </c>
      <c r="D349" s="3">
        <v>209</v>
      </c>
      <c r="E349" s="3" t="str">
        <f t="shared" si="24"/>
        <v>faType</v>
      </c>
      <c r="F349" t="str">
        <f>VLOOKUP(V349,DictionaryTableID,3,FALSE)&amp;"ID"&amp;X349</f>
        <v>faTypeIDParent</v>
      </c>
      <c r="G349" s="3" t="s">
        <v>6530</v>
      </c>
      <c r="H349" s="3" t="str">
        <f t="shared" si="25"/>
        <v>Fixed Asset.Type</v>
      </c>
      <c r="I349"/>
      <c r="K349" s="3" t="s">
        <v>326</v>
      </c>
      <c r="M349" t="s">
        <v>6007</v>
      </c>
      <c r="Q349" s="3" t="s">
        <v>92</v>
      </c>
      <c r="U349" s="3" t="s">
        <v>96</v>
      </c>
      <c r="V349">
        <v>209</v>
      </c>
      <c r="W349" s="3" t="str">
        <f>VLOOKUP(V349,DictionaryTableID,3,FALSE)</f>
        <v>faType</v>
      </c>
      <c r="X349" s="3" t="s">
        <v>1220</v>
      </c>
      <c r="Y349" t="s">
        <v>92</v>
      </c>
      <c r="AB349" t="s">
        <v>92</v>
      </c>
      <c r="AF349" t="s">
        <v>620</v>
      </c>
    </row>
    <row r="350" spans="1:34" ht="15" hidden="1" customHeight="1">
      <c r="A350">
        <v>13390</v>
      </c>
      <c r="B350" s="3" t="s">
        <v>1475</v>
      </c>
      <c r="C350" s="3" t="str">
        <f t="shared" si="23"/>
        <v>faType.glAccountIDAccummulatedDepreciation</v>
      </c>
      <c r="D350" s="3">
        <v>209</v>
      </c>
      <c r="E350" s="3" t="str">
        <f t="shared" si="24"/>
        <v>faType</v>
      </c>
      <c r="F350" t="str">
        <f>VLOOKUP(V350,DictionaryTableID,3,FALSE)&amp;"ID"&amp;X350</f>
        <v>glAccountIDAccummulatedDepreciation</v>
      </c>
      <c r="G350" s="3" t="s">
        <v>6540</v>
      </c>
      <c r="H350" s="3" t="str">
        <f t="shared" si="25"/>
        <v>Fixed Asset.Type</v>
      </c>
      <c r="I350"/>
      <c r="K350" s="3" t="s">
        <v>457</v>
      </c>
      <c r="M350" t="s">
        <v>6007</v>
      </c>
      <c r="Q350" s="3" t="s">
        <v>92</v>
      </c>
      <c r="U350" s="3" t="s">
        <v>96</v>
      </c>
      <c r="V350">
        <v>300</v>
      </c>
      <c r="W350" s="3" t="str">
        <f>VLOOKUP(V350,DictionaryTableID,3,FALSE)</f>
        <v>glAccount</v>
      </c>
      <c r="X350" s="3" t="s">
        <v>1221</v>
      </c>
      <c r="AB350" t="s">
        <v>92</v>
      </c>
      <c r="AF350" t="s">
        <v>626</v>
      </c>
    </row>
    <row r="351" spans="1:34" ht="15" hidden="1" customHeight="1">
      <c r="A351">
        <v>13400</v>
      </c>
      <c r="B351" s="3" t="s">
        <v>1475</v>
      </c>
      <c r="C351" s="3" t="str">
        <f t="shared" si="23"/>
        <v>faType.glAccountIDAsset</v>
      </c>
      <c r="D351" s="3">
        <v>209</v>
      </c>
      <c r="E351" s="3" t="str">
        <f t="shared" si="24"/>
        <v>faType</v>
      </c>
      <c r="F351" t="str">
        <f>VLOOKUP(V351,DictionaryTableID,3,FALSE)&amp;"ID"&amp;X351</f>
        <v>glAccountIDAsset</v>
      </c>
      <c r="G351" s="3" t="s">
        <v>6541</v>
      </c>
      <c r="H351" s="3" t="str">
        <f t="shared" si="25"/>
        <v>Fixed Asset.Type</v>
      </c>
      <c r="I351"/>
      <c r="K351" s="3" t="s">
        <v>459</v>
      </c>
      <c r="M351" t="s">
        <v>6007</v>
      </c>
      <c r="Q351" s="3" t="s">
        <v>92</v>
      </c>
      <c r="U351" s="3" t="s">
        <v>96</v>
      </c>
      <c r="V351">
        <v>300</v>
      </c>
      <c r="W351" s="3" t="str">
        <f>VLOOKUP(V351,DictionaryTableID,3,FALSE)</f>
        <v>glAccount</v>
      </c>
      <c r="X351" s="3" t="s">
        <v>1217</v>
      </c>
      <c r="AB351" t="s">
        <v>92</v>
      </c>
      <c r="AF351" t="s">
        <v>628</v>
      </c>
    </row>
    <row r="352" spans="1:34" ht="15" hidden="1" customHeight="1">
      <c r="A352">
        <v>13410</v>
      </c>
      <c r="B352" s="3" t="s">
        <v>1475</v>
      </c>
      <c r="C352" s="3" t="str">
        <f t="shared" si="23"/>
        <v>faType.glAccountIDDepreciationExpense</v>
      </c>
      <c r="D352" s="3">
        <v>209</v>
      </c>
      <c r="E352" s="3" t="str">
        <f t="shared" si="24"/>
        <v>faType</v>
      </c>
      <c r="F352" t="str">
        <f>VLOOKUP(V352,DictionaryTableID,3,FALSE)&amp;"ID"&amp;X352</f>
        <v>glAccountIDDepreciationExpense</v>
      </c>
      <c r="G352" s="3" t="s">
        <v>6542</v>
      </c>
      <c r="H352" s="3" t="str">
        <f t="shared" si="25"/>
        <v>Fixed Asset.Type</v>
      </c>
      <c r="I352"/>
      <c r="K352" s="3" t="s">
        <v>458</v>
      </c>
      <c r="M352" t="s">
        <v>6007</v>
      </c>
      <c r="Q352" s="3" t="s">
        <v>92</v>
      </c>
      <c r="U352" s="3" t="s">
        <v>96</v>
      </c>
      <c r="V352">
        <v>300</v>
      </c>
      <c r="W352" s="3" t="str">
        <f>VLOOKUP(V352,DictionaryTableID,3,FALSE)</f>
        <v>glAccount</v>
      </c>
      <c r="X352" s="3" t="s">
        <v>1218</v>
      </c>
      <c r="AB352" t="s">
        <v>92</v>
      </c>
      <c r="AF352" t="s">
        <v>627</v>
      </c>
    </row>
    <row r="353" spans="1:34" ht="15" hidden="1" customHeight="1">
      <c r="A353">
        <v>13420</v>
      </c>
      <c r="B353" s="3" t="s">
        <v>1475</v>
      </c>
      <c r="C353" s="3" t="str">
        <f t="shared" si="23"/>
        <v>faType.DepreciationLife</v>
      </c>
      <c r="D353" s="3">
        <v>209</v>
      </c>
      <c r="E353" s="3" t="str">
        <f t="shared" si="24"/>
        <v>faType</v>
      </c>
      <c r="F353" t="s">
        <v>1275</v>
      </c>
      <c r="G353" s="3" t="s">
        <v>7065</v>
      </c>
      <c r="H353" s="3" t="str">
        <f t="shared" si="25"/>
        <v>Fixed Asset.Type</v>
      </c>
      <c r="I353"/>
      <c r="K353" s="3" t="s">
        <v>1316</v>
      </c>
      <c r="M353" s="3" t="s">
        <v>195</v>
      </c>
      <c r="Q353" s="3" t="s">
        <v>92</v>
      </c>
      <c r="U353" s="3" t="s">
        <v>93</v>
      </c>
      <c r="AB353" t="s">
        <v>92</v>
      </c>
      <c r="AF353" t="s">
        <v>624</v>
      </c>
    </row>
    <row r="354" spans="1:34" ht="15" hidden="1" customHeight="1">
      <c r="A354">
        <v>13430</v>
      </c>
      <c r="B354" s="3" t="s">
        <v>1475</v>
      </c>
      <c r="C354" s="3" t="str">
        <f t="shared" si="23"/>
        <v>faType.DepreciationPercent</v>
      </c>
      <c r="D354" s="3">
        <v>209</v>
      </c>
      <c r="E354" s="3" t="str">
        <f t="shared" si="24"/>
        <v>faType</v>
      </c>
      <c r="F354" t="s">
        <v>302</v>
      </c>
      <c r="G354" s="3" t="s">
        <v>6543</v>
      </c>
      <c r="H354" s="3" t="str">
        <f t="shared" si="25"/>
        <v>Fixed Asset.Type</v>
      </c>
      <c r="I354"/>
      <c r="K354" s="3" t="s">
        <v>416</v>
      </c>
      <c r="M354" s="3" t="s">
        <v>195</v>
      </c>
      <c r="Q354" s="3" t="s">
        <v>92</v>
      </c>
      <c r="U354" s="3" t="s">
        <v>93</v>
      </c>
      <c r="AB354" t="s">
        <v>92</v>
      </c>
      <c r="AF354" t="s">
        <v>625</v>
      </c>
    </row>
    <row r="355" spans="1:34" ht="15" hidden="1" customHeight="1">
      <c r="A355">
        <v>13440</v>
      </c>
      <c r="B355" s="3" t="s">
        <v>1475</v>
      </c>
      <c r="C355" s="3" t="str">
        <f t="shared" si="23"/>
        <v>faType.Description</v>
      </c>
      <c r="D355" s="3">
        <v>209</v>
      </c>
      <c r="E355" s="3" t="str">
        <f t="shared" si="24"/>
        <v>faType</v>
      </c>
      <c r="F355" t="s">
        <v>12</v>
      </c>
      <c r="G355" s="3" t="s">
        <v>6900</v>
      </c>
      <c r="H355" s="3" t="str">
        <f t="shared" si="25"/>
        <v>Fixed Asset.Type</v>
      </c>
      <c r="I355"/>
      <c r="K355" s="3" t="s">
        <v>12</v>
      </c>
      <c r="M355" s="3" t="s">
        <v>196</v>
      </c>
      <c r="N355"/>
      <c r="Q355" s="3" t="s">
        <v>919</v>
      </c>
      <c r="U355" s="3" t="s">
        <v>93</v>
      </c>
      <c r="Y355" t="s">
        <v>92</v>
      </c>
      <c r="AB355" t="s">
        <v>92</v>
      </c>
      <c r="AF355" t="s">
        <v>619</v>
      </c>
      <c r="AH355" t="s">
        <v>92</v>
      </c>
    </row>
    <row r="356" spans="1:34" ht="15" hidden="1" customHeight="1">
      <c r="A356">
        <v>13450</v>
      </c>
      <c r="B356" s="3" t="s">
        <v>1475</v>
      </c>
      <c r="C356" s="3" t="str">
        <f t="shared" si="23"/>
        <v>faType.IsFixedAssetNumberUsed</v>
      </c>
      <c r="D356" s="3">
        <v>209</v>
      </c>
      <c r="E356" s="3" t="str">
        <f t="shared" si="24"/>
        <v>faType</v>
      </c>
      <c r="F356" t="s">
        <v>1290</v>
      </c>
      <c r="G356" s="3" t="s">
        <v>6544</v>
      </c>
      <c r="H356" s="3" t="str">
        <f t="shared" si="25"/>
        <v>Fixed Asset.Type</v>
      </c>
      <c r="I356"/>
      <c r="K356" s="3" t="s">
        <v>415</v>
      </c>
      <c r="M356" s="3" t="s">
        <v>2402</v>
      </c>
      <c r="Q356" s="3" t="s">
        <v>92</v>
      </c>
      <c r="U356" s="3" t="s">
        <v>93</v>
      </c>
      <c r="AB356" t="s">
        <v>92</v>
      </c>
      <c r="AF356" t="s">
        <v>622</v>
      </c>
    </row>
    <row r="357" spans="1:34" ht="15" hidden="1" customHeight="1">
      <c r="A357">
        <v>13460</v>
      </c>
      <c r="B357" s="3" t="s">
        <v>1475</v>
      </c>
      <c r="C357" s="3" t="str">
        <f t="shared" si="23"/>
        <v>faType.IsUsedToClassifyRecords</v>
      </c>
      <c r="D357" s="3">
        <v>209</v>
      </c>
      <c r="E357" s="3" t="str">
        <f t="shared" si="24"/>
        <v>faType</v>
      </c>
      <c r="F357" t="s">
        <v>1288</v>
      </c>
      <c r="G357" s="3" t="s">
        <v>6479</v>
      </c>
      <c r="H357" s="3" t="str">
        <f t="shared" si="25"/>
        <v>Fixed Asset.Type</v>
      </c>
      <c r="I357"/>
      <c r="K357" s="3" t="s">
        <v>26</v>
      </c>
      <c r="M357" s="3" t="s">
        <v>2402</v>
      </c>
      <c r="Q357" s="3" t="s">
        <v>92</v>
      </c>
      <c r="U357" s="3" t="s">
        <v>93</v>
      </c>
      <c r="AB357" t="s">
        <v>92</v>
      </c>
      <c r="AF357" t="s">
        <v>623</v>
      </c>
    </row>
    <row r="358" spans="1:34" ht="15" hidden="1" customHeight="1">
      <c r="A358">
        <v>13470</v>
      </c>
      <c r="B358" s="3" t="s">
        <v>1475</v>
      </c>
      <c r="C358" s="3" t="str">
        <f t="shared" si="23"/>
        <v>faType.ReplacementAmount</v>
      </c>
      <c r="D358" s="3">
        <v>209</v>
      </c>
      <c r="E358" s="3" t="str">
        <f t="shared" si="24"/>
        <v>faType</v>
      </c>
      <c r="F358" t="s">
        <v>320</v>
      </c>
      <c r="G358" s="3" t="s">
        <v>6545</v>
      </c>
      <c r="H358" s="3" t="str">
        <f t="shared" si="25"/>
        <v>Fixed Asset.Type</v>
      </c>
      <c r="I358"/>
      <c r="K358" s="3" t="s">
        <v>418</v>
      </c>
      <c r="M358" s="3" t="s">
        <v>197</v>
      </c>
      <c r="N358" s="3">
        <v>19</v>
      </c>
      <c r="O358" s="3">
        <v>2</v>
      </c>
      <c r="Q358" s="3" t="s">
        <v>92</v>
      </c>
      <c r="U358" s="3" t="s">
        <v>93</v>
      </c>
      <c r="AB358" t="s">
        <v>92</v>
      </c>
      <c r="AF358" t="s">
        <v>630</v>
      </c>
    </row>
    <row r="359" spans="1:34" ht="15" hidden="1" customHeight="1">
      <c r="A359">
        <v>13480</v>
      </c>
      <c r="B359" s="3" t="s">
        <v>1475</v>
      </c>
      <c r="C359" s="3" t="str">
        <f t="shared" si="23"/>
        <v>faType.DisplaySequence</v>
      </c>
      <c r="D359" s="3">
        <v>209</v>
      </c>
      <c r="E359" s="3" t="str">
        <f t="shared" si="24"/>
        <v>faType</v>
      </c>
      <c r="F359" t="s">
        <v>6055</v>
      </c>
      <c r="G359" s="3" t="s">
        <v>6432</v>
      </c>
      <c r="H359" s="3" t="str">
        <f t="shared" si="25"/>
        <v>Fixed Asset.Type</v>
      </c>
      <c r="I359"/>
      <c r="K359" s="3" t="s">
        <v>6297</v>
      </c>
      <c r="M359" s="3" t="s">
        <v>195</v>
      </c>
      <c r="Q359" s="3" t="s">
        <v>92</v>
      </c>
      <c r="U359" s="3" t="s">
        <v>94</v>
      </c>
      <c r="AF359" t="s">
        <v>618</v>
      </c>
    </row>
    <row r="360" spans="1:34" ht="15" hidden="1" customHeight="1">
      <c r="A360">
        <v>13481</v>
      </c>
      <c r="B360" t="s">
        <v>1475</v>
      </c>
      <c r="C360" s="3" t="str">
        <f t="shared" si="23"/>
        <v>faType.TopDownLevel</v>
      </c>
      <c r="D360" s="3">
        <v>209</v>
      </c>
      <c r="E360" s="3" t="str">
        <f t="shared" si="24"/>
        <v>faType</v>
      </c>
      <c r="F360" t="s">
        <v>6020</v>
      </c>
      <c r="G360" s="3" t="s">
        <v>6413</v>
      </c>
      <c r="H360" s="3" t="str">
        <f t="shared" si="25"/>
        <v>Fixed Asset.Type</v>
      </c>
      <c r="I360"/>
      <c r="K360" t="s">
        <v>6032</v>
      </c>
      <c r="L360"/>
      <c r="M360" t="s">
        <v>195</v>
      </c>
      <c r="N360"/>
      <c r="O360"/>
      <c r="P360"/>
      <c r="Q360" t="s">
        <v>92</v>
      </c>
      <c r="R360"/>
      <c r="S360"/>
      <c r="U360" t="s">
        <v>94</v>
      </c>
    </row>
    <row r="361" spans="1:34" ht="15" hidden="1" customHeight="1">
      <c r="A361">
        <v>13482</v>
      </c>
      <c r="B361" t="s">
        <v>1475</v>
      </c>
      <c r="C361" s="3" t="str">
        <f t="shared" si="23"/>
        <v>faType.BottomUpLevel</v>
      </c>
      <c r="D361" s="3">
        <v>209</v>
      </c>
      <c r="E361" s="3" t="str">
        <f t="shared" si="24"/>
        <v>faType</v>
      </c>
      <c r="F361" t="s">
        <v>6021</v>
      </c>
      <c r="G361" s="3" t="s">
        <v>6412</v>
      </c>
      <c r="H361" s="3" t="str">
        <f t="shared" si="25"/>
        <v>Fixed Asset.Type</v>
      </c>
      <c r="I361"/>
      <c r="K361" t="s">
        <v>6033</v>
      </c>
      <c r="L361"/>
      <c r="M361" t="s">
        <v>195</v>
      </c>
      <c r="N361"/>
      <c r="O361"/>
      <c r="P361"/>
      <c r="Q361" t="s">
        <v>92</v>
      </c>
      <c r="R361"/>
      <c r="S361"/>
      <c r="U361" t="s">
        <v>94</v>
      </c>
    </row>
    <row r="362" spans="1:34" ht="15" hidden="1" customHeight="1">
      <c r="A362">
        <v>13490</v>
      </c>
      <c r="B362" s="3" t="s">
        <v>1475</v>
      </c>
      <c r="C362" s="3" t="str">
        <f t="shared" si="23"/>
        <v>faType.Template</v>
      </c>
      <c r="D362" s="3">
        <v>209</v>
      </c>
      <c r="E362" s="3" t="str">
        <f t="shared" si="24"/>
        <v>faType</v>
      </c>
      <c r="F362" t="s">
        <v>273</v>
      </c>
      <c r="G362" s="3" t="s">
        <v>6546</v>
      </c>
      <c r="H362" s="3" t="str">
        <f t="shared" si="25"/>
        <v>Fixed Asset.Type</v>
      </c>
      <c r="I362"/>
      <c r="K362" s="3" t="s">
        <v>273</v>
      </c>
      <c r="M362" s="3" t="s">
        <v>196</v>
      </c>
      <c r="N362"/>
      <c r="Q362" s="3" t="s">
        <v>92</v>
      </c>
      <c r="U362" s="3" t="s">
        <v>93</v>
      </c>
      <c r="AB362" t="s">
        <v>92</v>
      </c>
      <c r="AF362" t="s">
        <v>621</v>
      </c>
    </row>
    <row r="363" spans="1:34" ht="15" hidden="1" customHeight="1">
      <c r="A363">
        <v>13500</v>
      </c>
      <c r="B363" s="3" t="s">
        <v>1475</v>
      </c>
      <c r="C363" s="3" t="str">
        <f t="shared" si="23"/>
        <v>faType.RowStatus</v>
      </c>
      <c r="D363" s="3">
        <v>209</v>
      </c>
      <c r="E363" s="3" t="str">
        <f t="shared" si="24"/>
        <v>faType</v>
      </c>
      <c r="F363" t="s">
        <v>1445</v>
      </c>
      <c r="G363" s="3" t="s">
        <v>6411</v>
      </c>
      <c r="H363" s="3" t="str">
        <f t="shared" si="25"/>
        <v>Fixed Asset.Type</v>
      </c>
      <c r="I363"/>
      <c r="K363" t="s">
        <v>2471</v>
      </c>
      <c r="M363" t="s">
        <v>976</v>
      </c>
      <c r="N363">
        <v>1</v>
      </c>
      <c r="Q363" s="3" t="s">
        <v>919</v>
      </c>
      <c r="U363" s="3" t="s">
        <v>94</v>
      </c>
      <c r="Y363" t="s">
        <v>92</v>
      </c>
    </row>
    <row r="364" spans="1:34" ht="15" hidden="1" customHeight="1">
      <c r="A364">
        <v>13510</v>
      </c>
      <c r="B364" t="s">
        <v>1475</v>
      </c>
      <c r="C364" s="3" t="str">
        <f t="shared" si="23"/>
        <v>faType.sysChangeHistoryID</v>
      </c>
      <c r="D364">
        <v>209</v>
      </c>
      <c r="E364" s="3" t="str">
        <f t="shared" si="24"/>
        <v>faType</v>
      </c>
      <c r="F364" t="s">
        <v>2497</v>
      </c>
      <c r="G364" s="3" t="s">
        <v>6403</v>
      </c>
      <c r="H364" s="3" t="str">
        <f t="shared" si="25"/>
        <v>Fixed Asset.Type</v>
      </c>
      <c r="I364"/>
      <c r="K364" t="s">
        <v>1210</v>
      </c>
      <c r="L364"/>
      <c r="M364" t="s">
        <v>6007</v>
      </c>
      <c r="N364"/>
      <c r="O364"/>
      <c r="P364"/>
      <c r="Q364" t="s">
        <v>92</v>
      </c>
      <c r="R364"/>
      <c r="S364"/>
      <c r="U364" t="s">
        <v>1429</v>
      </c>
      <c r="W364" s="3"/>
      <c r="X364" s="3"/>
    </row>
    <row r="365" spans="1:34" ht="15" hidden="1" customHeight="1">
      <c r="A365">
        <v>13520</v>
      </c>
      <c r="B365" t="s">
        <v>1475</v>
      </c>
      <c r="C365" s="3" t="str">
        <f t="shared" si="23"/>
        <v>glAccount.ID</v>
      </c>
      <c r="D365">
        <v>300</v>
      </c>
      <c r="E365" s="3" t="str">
        <f t="shared" si="24"/>
        <v>glAccount</v>
      </c>
      <c r="F365" t="s">
        <v>0</v>
      </c>
      <c r="G365" s="3" t="s">
        <v>6547</v>
      </c>
      <c r="H365" s="3" t="str">
        <f t="shared" si="25"/>
        <v>General Ledger.GL Account</v>
      </c>
      <c r="I365"/>
      <c r="K365" t="s">
        <v>1172</v>
      </c>
      <c r="L365"/>
      <c r="M365" t="s">
        <v>6007</v>
      </c>
      <c r="N365"/>
      <c r="O365"/>
      <c r="P365"/>
      <c r="Q365" s="3" t="s">
        <v>919</v>
      </c>
      <c r="R365"/>
      <c r="S365"/>
      <c r="U365" s="3" t="s">
        <v>95</v>
      </c>
      <c r="AC365" t="s">
        <v>92</v>
      </c>
    </row>
    <row r="366" spans="1:34" ht="15" hidden="1" customHeight="1">
      <c r="A366">
        <v>13530</v>
      </c>
      <c r="B366" s="3" t="s">
        <v>1475</v>
      </c>
      <c r="C366" s="3" t="str">
        <f t="shared" si="23"/>
        <v>glAccount.glAccountIDParent</v>
      </c>
      <c r="D366" s="3">
        <v>300</v>
      </c>
      <c r="E366" s="3" t="str">
        <f t="shared" si="24"/>
        <v>glAccount</v>
      </c>
      <c r="F366" t="str">
        <f>VLOOKUP(V366,DictionaryTableID,3,FALSE)&amp;"ID"&amp;X366</f>
        <v>glAccountIDParent</v>
      </c>
      <c r="G366" s="3" t="s">
        <v>1278</v>
      </c>
      <c r="H366" s="3" t="str">
        <f t="shared" si="25"/>
        <v>General Ledger.GL Account</v>
      </c>
      <c r="I366"/>
      <c r="K366" s="3" t="s">
        <v>123</v>
      </c>
      <c r="M366" t="s">
        <v>6007</v>
      </c>
      <c r="Q366" s="3" t="s">
        <v>92</v>
      </c>
      <c r="U366" s="3" t="s">
        <v>96</v>
      </c>
      <c r="V366">
        <v>300</v>
      </c>
      <c r="W366" s="3" t="str">
        <f>VLOOKUP(V366,DictionaryTableID,3,FALSE)</f>
        <v>glAccount</v>
      </c>
      <c r="X366" s="3" t="s">
        <v>1220</v>
      </c>
      <c r="AB366" t="s">
        <v>92</v>
      </c>
      <c r="AF366" t="s">
        <v>716</v>
      </c>
      <c r="AH366" t="s">
        <v>92</v>
      </c>
    </row>
    <row r="367" spans="1:34" ht="15" hidden="1" customHeight="1">
      <c r="A367">
        <v>13540</v>
      </c>
      <c r="B367" t="s">
        <v>1475</v>
      </c>
      <c r="C367" s="3" t="str">
        <f t="shared" si="23"/>
        <v>glAccount.glAccountTypeID</v>
      </c>
      <c r="D367">
        <v>300</v>
      </c>
      <c r="E367" s="3" t="str">
        <f t="shared" si="24"/>
        <v>glAccount</v>
      </c>
      <c r="F367" t="str">
        <f>VLOOKUP(V367,DictionaryTableID,3,FALSE)&amp;"ID"&amp;X367</f>
        <v>glAccountTypeID</v>
      </c>
      <c r="G367" s="3" t="s">
        <v>6548</v>
      </c>
      <c r="H367" s="3" t="str">
        <f t="shared" si="25"/>
        <v>General Ledger.GL Account</v>
      </c>
      <c r="I367"/>
      <c r="K367" t="s">
        <v>971</v>
      </c>
      <c r="L367"/>
      <c r="M367" t="s">
        <v>6007</v>
      </c>
      <c r="N367"/>
      <c r="O367"/>
      <c r="P367"/>
      <c r="Q367" s="3" t="s">
        <v>92</v>
      </c>
      <c r="R367"/>
      <c r="S367"/>
      <c r="U367" t="s">
        <v>96</v>
      </c>
      <c r="V367">
        <v>398</v>
      </c>
      <c r="W367" s="3" t="str">
        <f>VLOOKUP(V367,DictionaryTableID,3,FALSE)</f>
        <v>glAccountType</v>
      </c>
      <c r="X367" s="3"/>
      <c r="AB367" t="s">
        <v>92</v>
      </c>
      <c r="AH367" t="s">
        <v>92</v>
      </c>
    </row>
    <row r="368" spans="1:34" ht="15" hidden="1" customHeight="1">
      <c r="A368">
        <v>13550</v>
      </c>
      <c r="B368" t="s">
        <v>1475</v>
      </c>
      <c r="C368" s="3" t="str">
        <f t="shared" si="23"/>
        <v>glAccount.sysMultilinkTableRuleID</v>
      </c>
      <c r="D368">
        <v>300</v>
      </c>
      <c r="E368" s="3" t="str">
        <f t="shared" si="24"/>
        <v>glAccount</v>
      </c>
      <c r="F368" t="str">
        <f>VLOOKUP(V368,DictionaryTableID,3,FALSE)&amp;"ID"&amp;X368</f>
        <v>sysMultilinkTableRuleID</v>
      </c>
      <c r="G368" s="3" t="s">
        <v>7019</v>
      </c>
      <c r="H368" s="3" t="str">
        <f t="shared" si="25"/>
        <v>General Ledger.GL Account</v>
      </c>
      <c r="I368"/>
      <c r="K368" t="s">
        <v>1433</v>
      </c>
      <c r="L368"/>
      <c r="M368" t="s">
        <v>6007</v>
      </c>
      <c r="N368"/>
      <c r="O368"/>
      <c r="P368"/>
      <c r="Q368" t="s">
        <v>92</v>
      </c>
      <c r="R368"/>
      <c r="S368"/>
      <c r="U368" t="s">
        <v>96</v>
      </c>
      <c r="V368">
        <v>42</v>
      </c>
      <c r="W368" s="3" t="str">
        <f>VLOOKUP(V368,DictionaryTableID,3,FALSE)</f>
        <v>sysMultilinkTableRule</v>
      </c>
      <c r="X368" s="3"/>
      <c r="AB368" t="s">
        <v>92</v>
      </c>
      <c r="AH368" t="s">
        <v>92</v>
      </c>
    </row>
    <row r="369" spans="1:34" ht="15" hidden="1" customHeight="1">
      <c r="A369">
        <v>13560</v>
      </c>
      <c r="B369" t="s">
        <v>1475</v>
      </c>
      <c r="C369" s="3" t="str">
        <f t="shared" si="23"/>
        <v>glAccount.BankAccountNumber</v>
      </c>
      <c r="D369">
        <v>300</v>
      </c>
      <c r="E369" s="3" t="str">
        <f t="shared" si="24"/>
        <v>glAccount</v>
      </c>
      <c r="F369" t="s">
        <v>1280</v>
      </c>
      <c r="G369" s="3" t="s">
        <v>6549</v>
      </c>
      <c r="H369" s="3" t="str">
        <f t="shared" si="25"/>
        <v>General Ledger.GL Account</v>
      </c>
      <c r="I369"/>
      <c r="K369" t="s">
        <v>1174</v>
      </c>
      <c r="L369"/>
      <c r="M369" t="s">
        <v>195</v>
      </c>
      <c r="N369"/>
      <c r="O369"/>
      <c r="P369"/>
      <c r="Q369" t="s">
        <v>92</v>
      </c>
      <c r="R369"/>
      <c r="S369"/>
      <c r="U369" t="s">
        <v>93</v>
      </c>
      <c r="AB369" t="s">
        <v>92</v>
      </c>
      <c r="AH369" t="s">
        <v>92</v>
      </c>
    </row>
    <row r="370" spans="1:34" ht="15" hidden="1" customHeight="1">
      <c r="A370">
        <v>13561</v>
      </c>
      <c r="B370" t="s">
        <v>1475</v>
      </c>
      <c r="C370" s="3" t="str">
        <f t="shared" si="23"/>
        <v>glAccount.TopDownLevel</v>
      </c>
      <c r="D370">
        <v>300</v>
      </c>
      <c r="E370" s="3" t="str">
        <f t="shared" si="24"/>
        <v>glAccount</v>
      </c>
      <c r="F370" t="s">
        <v>6020</v>
      </c>
      <c r="G370" s="3" t="s">
        <v>6413</v>
      </c>
      <c r="H370" s="3" t="str">
        <f t="shared" si="25"/>
        <v>General Ledger.GL Account</v>
      </c>
      <c r="I370"/>
      <c r="K370" t="s">
        <v>6032</v>
      </c>
      <c r="L370"/>
      <c r="M370" t="s">
        <v>195</v>
      </c>
      <c r="N370"/>
      <c r="O370"/>
      <c r="P370"/>
      <c r="Q370" t="s">
        <v>92</v>
      </c>
      <c r="R370"/>
      <c r="S370"/>
      <c r="U370" t="s">
        <v>94</v>
      </c>
      <c r="AH370" t="s">
        <v>92</v>
      </c>
    </row>
    <row r="371" spans="1:34" ht="15" hidden="1" customHeight="1">
      <c r="A371">
        <v>13562</v>
      </c>
      <c r="B371" t="s">
        <v>1475</v>
      </c>
      <c r="C371" s="3" t="str">
        <f t="shared" si="23"/>
        <v>glAccount.BottomUpLevel</v>
      </c>
      <c r="D371">
        <v>300</v>
      </c>
      <c r="E371" s="3" t="str">
        <f t="shared" si="24"/>
        <v>glAccount</v>
      </c>
      <c r="F371" t="s">
        <v>6021</v>
      </c>
      <c r="G371" s="3" t="s">
        <v>6412</v>
      </c>
      <c r="H371" s="3" t="str">
        <f t="shared" si="25"/>
        <v>General Ledger.GL Account</v>
      </c>
      <c r="I371"/>
      <c r="K371" t="s">
        <v>6033</v>
      </c>
      <c r="L371"/>
      <c r="M371" t="s">
        <v>195</v>
      </c>
      <c r="N371"/>
      <c r="O371"/>
      <c r="P371"/>
      <c r="Q371" t="s">
        <v>92</v>
      </c>
      <c r="R371"/>
      <c r="S371"/>
      <c r="U371" t="s">
        <v>94</v>
      </c>
      <c r="AH371" t="s">
        <v>92</v>
      </c>
    </row>
    <row r="372" spans="1:34" ht="15" hidden="1" customHeight="1">
      <c r="A372">
        <v>13580</v>
      </c>
      <c r="B372" s="3" t="s">
        <v>1475</v>
      </c>
      <c r="C372" s="3" t="str">
        <f t="shared" si="23"/>
        <v>glAccount.Comments</v>
      </c>
      <c r="D372" s="3">
        <v>300</v>
      </c>
      <c r="E372" s="3" t="str">
        <f t="shared" si="24"/>
        <v>glAccount</v>
      </c>
      <c r="F372" t="s">
        <v>14</v>
      </c>
      <c r="G372" s="3" t="s">
        <v>6421</v>
      </c>
      <c r="H372" s="3" t="str">
        <f t="shared" si="25"/>
        <v>General Ledger.GL Account</v>
      </c>
      <c r="I372"/>
      <c r="K372" s="3" t="s">
        <v>14</v>
      </c>
      <c r="M372" s="3" t="s">
        <v>196</v>
      </c>
      <c r="N372"/>
      <c r="Q372" s="3" t="s">
        <v>92</v>
      </c>
      <c r="U372" s="3" t="s">
        <v>93</v>
      </c>
      <c r="AB372" t="s">
        <v>92</v>
      </c>
      <c r="AF372" t="s">
        <v>717</v>
      </c>
      <c r="AH372" t="s">
        <v>92</v>
      </c>
    </row>
    <row r="373" spans="1:34" ht="15" hidden="1" customHeight="1">
      <c r="A373">
        <v>13600</v>
      </c>
      <c r="B373" t="s">
        <v>1475</v>
      </c>
      <c r="C373" s="3" t="str">
        <f t="shared" si="23"/>
        <v>glAccount.Description</v>
      </c>
      <c r="D373">
        <v>300</v>
      </c>
      <c r="E373" s="3" t="str">
        <f t="shared" si="24"/>
        <v>glAccount</v>
      </c>
      <c r="F373" t="s">
        <v>12</v>
      </c>
      <c r="G373" s="3" t="s">
        <v>7004</v>
      </c>
      <c r="H373" s="3" t="str">
        <f t="shared" si="25"/>
        <v>General Ledger.GL Account</v>
      </c>
      <c r="I373"/>
      <c r="K373" t="s">
        <v>12</v>
      </c>
      <c r="L373"/>
      <c r="M373" t="s">
        <v>196</v>
      </c>
      <c r="N373"/>
      <c r="O373"/>
      <c r="P373"/>
      <c r="Q373" t="s">
        <v>919</v>
      </c>
      <c r="R373"/>
      <c r="S373"/>
      <c r="U373" t="s">
        <v>93</v>
      </c>
      <c r="Y373" t="s">
        <v>92</v>
      </c>
      <c r="AB373" t="s">
        <v>92</v>
      </c>
      <c r="AH373" t="s">
        <v>92</v>
      </c>
    </row>
    <row r="374" spans="1:34" ht="15" hidden="1" customHeight="1">
      <c r="A374">
        <v>13610</v>
      </c>
      <c r="B374" t="s">
        <v>1475</v>
      </c>
      <c r="C374" s="3" t="str">
        <f t="shared" si="23"/>
        <v>glAccount.IsCollapseOnExportRequired</v>
      </c>
      <c r="D374">
        <v>300</v>
      </c>
      <c r="E374" s="3" t="str">
        <f t="shared" si="24"/>
        <v>glAccount</v>
      </c>
      <c r="F374" t="s">
        <v>6024</v>
      </c>
      <c r="G374" s="3" t="s">
        <v>6550</v>
      </c>
      <c r="H374" s="3" t="str">
        <f t="shared" si="25"/>
        <v>General Ledger.GL Account</v>
      </c>
      <c r="I374"/>
      <c r="K374" t="s">
        <v>6022</v>
      </c>
      <c r="L374"/>
      <c r="M374" s="3" t="s">
        <v>2402</v>
      </c>
      <c r="N374"/>
      <c r="O374"/>
      <c r="P374"/>
      <c r="Q374" t="s">
        <v>92</v>
      </c>
      <c r="R374"/>
      <c r="S374" t="b">
        <v>0</v>
      </c>
      <c r="U374" t="s">
        <v>93</v>
      </c>
      <c r="AB374" t="s">
        <v>92</v>
      </c>
      <c r="AH374" t="s">
        <v>92</v>
      </c>
    </row>
    <row r="375" spans="1:34" ht="15" hidden="1" customHeight="1">
      <c r="A375">
        <v>13620</v>
      </c>
      <c r="B375" s="3" t="s">
        <v>1475</v>
      </c>
      <c r="C375" s="3" t="str">
        <f t="shared" si="23"/>
        <v>glAccount.IsUsedToClassifyRecords</v>
      </c>
      <c r="D375" s="3">
        <v>300</v>
      </c>
      <c r="E375" s="3" t="str">
        <f t="shared" si="24"/>
        <v>glAccount</v>
      </c>
      <c r="F375" t="s">
        <v>1288</v>
      </c>
      <c r="G375" s="3" t="s">
        <v>6479</v>
      </c>
      <c r="H375" s="3" t="str">
        <f t="shared" si="25"/>
        <v>General Ledger.GL Account</v>
      </c>
      <c r="I375"/>
      <c r="K375" s="3" t="s">
        <v>26</v>
      </c>
      <c r="M375" s="3" t="s">
        <v>2402</v>
      </c>
      <c r="Q375" s="3" t="s">
        <v>92</v>
      </c>
      <c r="U375" s="3" t="s">
        <v>93</v>
      </c>
      <c r="AB375" t="s">
        <v>92</v>
      </c>
      <c r="AF375" t="s">
        <v>720</v>
      </c>
      <c r="AH375" t="s">
        <v>92</v>
      </c>
    </row>
    <row r="376" spans="1:34" ht="15" hidden="1" customHeight="1">
      <c r="A376">
        <v>13630</v>
      </c>
      <c r="B376" t="s">
        <v>1475</v>
      </c>
      <c r="C376" s="3" t="str">
        <f t="shared" si="23"/>
        <v>glAccount.QuickCode</v>
      </c>
      <c r="D376">
        <v>300</v>
      </c>
      <c r="E376" s="3" t="str">
        <f t="shared" si="24"/>
        <v>glAccount</v>
      </c>
      <c r="F376" t="s">
        <v>1175</v>
      </c>
      <c r="G376" s="3" t="s">
        <v>1176</v>
      </c>
      <c r="H376" s="3" t="str">
        <f t="shared" si="25"/>
        <v>General Ledger.GL Account</v>
      </c>
      <c r="I376"/>
      <c r="K376" t="s">
        <v>1176</v>
      </c>
      <c r="L376"/>
      <c r="M376" t="s">
        <v>196</v>
      </c>
      <c r="O376"/>
      <c r="P376"/>
      <c r="Q376" s="3" t="s">
        <v>92</v>
      </c>
      <c r="R376"/>
      <c r="S376"/>
      <c r="U376" t="s">
        <v>93</v>
      </c>
      <c r="AB376" t="s">
        <v>92</v>
      </c>
      <c r="AC376" t="s">
        <v>92</v>
      </c>
      <c r="AH376" t="s">
        <v>92</v>
      </c>
    </row>
    <row r="377" spans="1:34" ht="15" hidden="1" customHeight="1">
      <c r="A377">
        <v>13640</v>
      </c>
      <c r="B377" t="s">
        <v>1475</v>
      </c>
      <c r="C377" s="3" t="str">
        <f t="shared" si="23"/>
        <v>glAccount.ReferenceNumber</v>
      </c>
      <c r="D377">
        <v>300</v>
      </c>
      <c r="E377" s="3" t="str">
        <f t="shared" si="24"/>
        <v>glAccount</v>
      </c>
      <c r="F377" t="s">
        <v>28</v>
      </c>
      <c r="G377" s="3" t="s">
        <v>102</v>
      </c>
      <c r="H377" s="3" t="str">
        <f t="shared" si="25"/>
        <v>General Ledger.GL Account</v>
      </c>
      <c r="I377"/>
      <c r="K377" t="s">
        <v>102</v>
      </c>
      <c r="L377"/>
      <c r="M377" t="s">
        <v>196</v>
      </c>
      <c r="O377"/>
      <c r="P377"/>
      <c r="Q377" t="s">
        <v>92</v>
      </c>
      <c r="R377"/>
      <c r="S377"/>
      <c r="U377" t="s">
        <v>93</v>
      </c>
      <c r="Y377" t="s">
        <v>92</v>
      </c>
      <c r="AB377" t="s">
        <v>92</v>
      </c>
      <c r="AH377" t="s">
        <v>92</v>
      </c>
    </row>
    <row r="378" spans="1:34" ht="15" hidden="1" customHeight="1">
      <c r="A378">
        <v>13650</v>
      </c>
      <c r="B378" s="3" t="s">
        <v>1475</v>
      </c>
      <c r="C378" s="3" t="str">
        <f t="shared" si="23"/>
        <v>glAccount.DisplaySequence</v>
      </c>
      <c r="D378" s="3">
        <v>300</v>
      </c>
      <c r="E378" s="3" t="str">
        <f t="shared" si="24"/>
        <v>glAccount</v>
      </c>
      <c r="F378" t="s">
        <v>6055</v>
      </c>
      <c r="G378" s="3" t="s">
        <v>6414</v>
      </c>
      <c r="H378" s="3" t="str">
        <f t="shared" si="25"/>
        <v>General Ledger.GL Account</v>
      </c>
      <c r="I378"/>
      <c r="K378" s="3" t="s">
        <v>6297</v>
      </c>
      <c r="M378" s="3" t="s">
        <v>195</v>
      </c>
      <c r="Q378" s="3" t="s">
        <v>92</v>
      </c>
      <c r="U378" s="3" t="s">
        <v>94</v>
      </c>
      <c r="AF378" t="s">
        <v>714</v>
      </c>
      <c r="AH378" t="s">
        <v>92</v>
      </c>
    </row>
    <row r="379" spans="1:34" ht="15" hidden="1" customHeight="1">
      <c r="A379">
        <v>13660</v>
      </c>
      <c r="B379" t="s">
        <v>1475</v>
      </c>
      <c r="C379" s="3" t="str">
        <f t="shared" si="23"/>
        <v>glAccount.RowStatus</v>
      </c>
      <c r="D379">
        <v>300</v>
      </c>
      <c r="E379" s="3" t="str">
        <f t="shared" si="24"/>
        <v>glAccount</v>
      </c>
      <c r="F379" t="s">
        <v>1445</v>
      </c>
      <c r="G379" s="3" t="s">
        <v>6411</v>
      </c>
      <c r="H379" s="3" t="str">
        <f t="shared" si="25"/>
        <v>General Ledger.GL Account</v>
      </c>
      <c r="I379"/>
      <c r="K379" s="3" t="s">
        <v>2471</v>
      </c>
      <c r="L379"/>
      <c r="M379" t="s">
        <v>976</v>
      </c>
      <c r="N379">
        <v>1</v>
      </c>
      <c r="O379"/>
      <c r="P379"/>
      <c r="Q379" t="s">
        <v>919</v>
      </c>
      <c r="R379"/>
      <c r="S379" s="14"/>
      <c r="U379" t="s">
        <v>94</v>
      </c>
    </row>
    <row r="380" spans="1:34" ht="15" hidden="1" customHeight="1">
      <c r="A380">
        <v>13670</v>
      </c>
      <c r="B380" t="s">
        <v>1475</v>
      </c>
      <c r="C380" s="3" t="str">
        <f t="shared" si="23"/>
        <v>glAccount.sysChangeHistoryID</v>
      </c>
      <c r="D380">
        <v>300</v>
      </c>
      <c r="E380" s="3" t="str">
        <f t="shared" si="24"/>
        <v>glAccount</v>
      </c>
      <c r="F380" t="s">
        <v>2497</v>
      </c>
      <c r="G380" s="3" t="s">
        <v>6403</v>
      </c>
      <c r="H380" s="3" t="str">
        <f t="shared" si="25"/>
        <v>General Ledger.GL Account</v>
      </c>
      <c r="I380"/>
      <c r="K380" t="s">
        <v>1210</v>
      </c>
      <c r="L380"/>
      <c r="M380" t="s">
        <v>6007</v>
      </c>
      <c r="N380"/>
      <c r="O380"/>
      <c r="P380"/>
      <c r="Q380" t="s">
        <v>92</v>
      </c>
      <c r="R380"/>
      <c r="S380"/>
      <c r="U380" t="s">
        <v>1429</v>
      </c>
      <c r="W380" s="3"/>
      <c r="X380" s="3"/>
    </row>
    <row r="381" spans="1:34" ht="15" hidden="1" customHeight="1">
      <c r="A381">
        <v>13680</v>
      </c>
      <c r="B381" s="3" t="s">
        <v>1475</v>
      </c>
      <c r="C381" s="3" t="str">
        <f t="shared" si="23"/>
        <v>glAccountBalance.ID</v>
      </c>
      <c r="D381" s="3">
        <v>303</v>
      </c>
      <c r="E381" s="3" t="str">
        <f t="shared" si="24"/>
        <v>glAccountBalance</v>
      </c>
      <c r="F381" t="s">
        <v>0</v>
      </c>
      <c r="G381" s="3" t="s">
        <v>6551</v>
      </c>
      <c r="H381" s="3" t="str">
        <f t="shared" si="25"/>
        <v>General Ledger.Account Balance</v>
      </c>
      <c r="I381"/>
      <c r="K381" s="3" t="s">
        <v>0</v>
      </c>
      <c r="M381" t="s">
        <v>6007</v>
      </c>
      <c r="Q381" s="3" t="s">
        <v>919</v>
      </c>
      <c r="U381" s="3" t="s">
        <v>95</v>
      </c>
      <c r="AF381" t="s">
        <v>737</v>
      </c>
    </row>
    <row r="382" spans="1:34" ht="15" hidden="1" customHeight="1">
      <c r="A382">
        <v>13690</v>
      </c>
      <c r="B382" s="3" t="s">
        <v>1475</v>
      </c>
      <c r="C382" s="3" t="str">
        <f t="shared" si="23"/>
        <v>glAccountBalance.glAccountID</v>
      </c>
      <c r="D382" s="3">
        <v>303</v>
      </c>
      <c r="E382" s="3" t="str">
        <f t="shared" si="24"/>
        <v>glAccountBalance</v>
      </c>
      <c r="F382" t="str">
        <f>VLOOKUP(V382,DictionaryTableID,3,FALSE)&amp;"ID"&amp;X382</f>
        <v>glAccountID</v>
      </c>
      <c r="G382" s="3" t="s">
        <v>6461</v>
      </c>
      <c r="H382" s="3" t="str">
        <f t="shared" si="25"/>
        <v>General Ledger.Account Balance</v>
      </c>
      <c r="I382"/>
      <c r="K382" s="3" t="s">
        <v>123</v>
      </c>
      <c r="M382" t="s">
        <v>6007</v>
      </c>
      <c r="Q382" s="3" t="s">
        <v>919</v>
      </c>
      <c r="U382" s="3" t="s">
        <v>96</v>
      </c>
      <c r="V382">
        <v>300</v>
      </c>
      <c r="W382" s="3" t="str">
        <f>VLOOKUP(V382,DictionaryTableID,3,FALSE)</f>
        <v>glAccount</v>
      </c>
      <c r="X382" s="3" t="s">
        <v>1036</v>
      </c>
      <c r="AF382" t="s">
        <v>738</v>
      </c>
    </row>
    <row r="383" spans="1:34" ht="15" hidden="1" customHeight="1">
      <c r="A383">
        <v>13700</v>
      </c>
      <c r="B383" s="3" t="s">
        <v>1475</v>
      </c>
      <c r="C383" s="3" t="str">
        <f t="shared" si="23"/>
        <v>glAccountBalance.glCostCentreID</v>
      </c>
      <c r="D383" s="3">
        <v>303</v>
      </c>
      <c r="E383" s="3" t="str">
        <f t="shared" si="24"/>
        <v>glAccountBalance</v>
      </c>
      <c r="F383" t="str">
        <f>VLOOKUP(V383,DictionaryTableID,3,FALSE)&amp;"ID"&amp;X383</f>
        <v>glCostCentreID</v>
      </c>
      <c r="G383" s="3" t="s">
        <v>6442</v>
      </c>
      <c r="H383" s="3" t="str">
        <f t="shared" si="25"/>
        <v>General Ledger.Account Balance</v>
      </c>
      <c r="I383"/>
      <c r="K383" s="3" t="s">
        <v>328</v>
      </c>
      <c r="M383" t="s">
        <v>6007</v>
      </c>
      <c r="Q383" s="3" t="s">
        <v>919</v>
      </c>
      <c r="U383" s="3" t="s">
        <v>96</v>
      </c>
      <c r="V383">
        <v>301</v>
      </c>
      <c r="W383" s="3" t="str">
        <f>VLOOKUP(V383,DictionaryTableID,3,FALSE)</f>
        <v>glCostCentre</v>
      </c>
      <c r="X383" s="3" t="s">
        <v>1036</v>
      </c>
      <c r="AF383" t="s">
        <v>739</v>
      </c>
    </row>
    <row r="384" spans="1:34" ht="15" hidden="1" customHeight="1">
      <c r="A384">
        <v>13705</v>
      </c>
      <c r="B384" s="3" t="s">
        <v>1475</v>
      </c>
      <c r="C384" s="3" t="str">
        <f t="shared" si="23"/>
        <v>glAccountBalance.glAccountAmount</v>
      </c>
      <c r="D384" s="3">
        <v>303</v>
      </c>
      <c r="E384" s="3" t="str">
        <f t="shared" si="24"/>
        <v>glAccountBalance</v>
      </c>
      <c r="F384" t="s">
        <v>6016</v>
      </c>
      <c r="G384" s="3" t="s">
        <v>6552</v>
      </c>
      <c r="H384" s="3" t="str">
        <f t="shared" si="25"/>
        <v>General Ledger.Account Balance</v>
      </c>
      <c r="I384"/>
      <c r="K384" s="3" t="s">
        <v>260</v>
      </c>
      <c r="M384" s="3" t="s">
        <v>197</v>
      </c>
      <c r="N384" s="3">
        <v>19</v>
      </c>
      <c r="O384" s="3">
        <v>2</v>
      </c>
      <c r="Q384" s="3" t="s">
        <v>919</v>
      </c>
      <c r="U384" s="3" t="s">
        <v>93</v>
      </c>
      <c r="AF384" t="s">
        <v>741</v>
      </c>
    </row>
    <row r="385" spans="1:34" ht="15" hidden="1" customHeight="1">
      <c r="A385">
        <v>13710</v>
      </c>
      <c r="B385" s="3" t="s">
        <v>1475</v>
      </c>
      <c r="C385" s="3" t="str">
        <f t="shared" si="23"/>
        <v>glAccountBalance.glAccountAmountYTD</v>
      </c>
      <c r="D385" s="3">
        <v>303</v>
      </c>
      <c r="E385" s="3" t="str">
        <f t="shared" si="24"/>
        <v>glAccountBalance</v>
      </c>
      <c r="F385" t="s">
        <v>6025</v>
      </c>
      <c r="G385" s="3" t="s">
        <v>6553</v>
      </c>
      <c r="H385" s="3" t="str">
        <f t="shared" si="25"/>
        <v>General Ledger.Account Balance</v>
      </c>
      <c r="I385"/>
      <c r="K385" s="3" t="s">
        <v>6027</v>
      </c>
      <c r="M385" s="3" t="s">
        <v>197</v>
      </c>
      <c r="N385" s="3">
        <v>19</v>
      </c>
      <c r="O385" s="3">
        <v>2</v>
      </c>
      <c r="Q385" s="3" t="s">
        <v>919</v>
      </c>
      <c r="U385" s="3" t="s">
        <v>93</v>
      </c>
      <c r="AF385" t="s">
        <v>741</v>
      </c>
    </row>
    <row r="386" spans="1:34" ht="15" hidden="1" customHeight="1">
      <c r="A386">
        <v>13715</v>
      </c>
      <c r="B386" s="3" t="s">
        <v>1475</v>
      </c>
      <c r="C386" s="3" t="str">
        <f t="shared" ref="C386:C449" si="26">CONCATENATE(E386,".",F386)</f>
        <v>glAccountBalance.glBudgetAmount</v>
      </c>
      <c r="D386" s="3">
        <v>303</v>
      </c>
      <c r="E386" s="3" t="str">
        <f t="shared" si="24"/>
        <v>glAccountBalance</v>
      </c>
      <c r="F386" t="s">
        <v>6017</v>
      </c>
      <c r="G386" s="3" t="s">
        <v>6554</v>
      </c>
      <c r="H386" s="3" t="str">
        <f t="shared" si="25"/>
        <v>General Ledger.Account Balance</v>
      </c>
      <c r="I386"/>
      <c r="K386" s="3" t="s">
        <v>348</v>
      </c>
      <c r="M386" s="3" t="s">
        <v>197</v>
      </c>
      <c r="N386" s="3">
        <v>19</v>
      </c>
      <c r="O386" s="3">
        <v>2</v>
      </c>
      <c r="Q386" s="3" t="s">
        <v>919</v>
      </c>
      <c r="U386" s="3" t="s">
        <v>93</v>
      </c>
      <c r="AF386" t="s">
        <v>742</v>
      </c>
    </row>
    <row r="387" spans="1:34" ht="15" hidden="1" customHeight="1">
      <c r="A387">
        <v>13720</v>
      </c>
      <c r="B387" s="3" t="s">
        <v>1475</v>
      </c>
      <c r="C387" s="3" t="str">
        <f t="shared" si="26"/>
        <v>glAccountBalance.glBudgetAmountYTD</v>
      </c>
      <c r="D387" s="3">
        <v>303</v>
      </c>
      <c r="E387" s="3" t="str">
        <f t="shared" si="24"/>
        <v>glAccountBalance</v>
      </c>
      <c r="F387" t="s">
        <v>6026</v>
      </c>
      <c r="G387" s="3" t="s">
        <v>6555</v>
      </c>
      <c r="H387" s="3" t="str">
        <f t="shared" si="25"/>
        <v>General Ledger.Account Balance</v>
      </c>
      <c r="I387"/>
      <c r="K387" s="3" t="s">
        <v>6028</v>
      </c>
      <c r="M387" s="3" t="s">
        <v>197</v>
      </c>
      <c r="N387" s="3">
        <v>19</v>
      </c>
      <c r="O387" s="3">
        <v>2</v>
      </c>
      <c r="Q387" s="3" t="s">
        <v>919</v>
      </c>
      <c r="U387" s="3" t="s">
        <v>93</v>
      </c>
      <c r="AF387" t="s">
        <v>742</v>
      </c>
    </row>
    <row r="388" spans="1:34" ht="15" hidden="1" customHeight="1">
      <c r="A388">
        <v>13730</v>
      </c>
      <c r="B388" s="3" t="s">
        <v>1475</v>
      </c>
      <c r="C388" s="3" t="str">
        <f t="shared" si="26"/>
        <v>glAccountBalance.glReportingPeriodAmount</v>
      </c>
      <c r="D388" s="3">
        <v>303</v>
      </c>
      <c r="E388" s="3" t="str">
        <f t="shared" si="24"/>
        <v>glAccountBalance</v>
      </c>
      <c r="F388" t="s">
        <v>6039</v>
      </c>
      <c r="G388" s="3" t="s">
        <v>6556</v>
      </c>
      <c r="H388" s="3" t="str">
        <f t="shared" si="25"/>
        <v>General Ledger.Account Balance</v>
      </c>
      <c r="I388"/>
      <c r="K388" t="s">
        <v>6385</v>
      </c>
      <c r="M388" s="3" t="s">
        <v>197</v>
      </c>
      <c r="N388" s="3">
        <v>19</v>
      </c>
      <c r="O388" s="3">
        <v>2</v>
      </c>
      <c r="Q388" s="3" t="s">
        <v>919</v>
      </c>
      <c r="U388" s="3" t="s">
        <v>93</v>
      </c>
      <c r="AF388" t="s">
        <v>742</v>
      </c>
    </row>
    <row r="389" spans="1:34" ht="15" hidden="1" customHeight="1">
      <c r="A389">
        <v>13740</v>
      </c>
      <c r="B389" s="3" t="s">
        <v>1475</v>
      </c>
      <c r="C389" s="3" t="str">
        <f t="shared" si="26"/>
        <v>glAccountBalance.glReportingPeriodAmountYTD</v>
      </c>
      <c r="D389" s="3">
        <v>303</v>
      </c>
      <c r="E389" s="3" t="str">
        <f t="shared" si="24"/>
        <v>glAccountBalance</v>
      </c>
      <c r="F389" t="s">
        <v>6040</v>
      </c>
      <c r="G389" s="3" t="s">
        <v>6557</v>
      </c>
      <c r="H389" s="3" t="str">
        <f t="shared" si="25"/>
        <v>General Ledger.Account Balance</v>
      </c>
      <c r="I389"/>
      <c r="K389" t="s">
        <v>6386</v>
      </c>
      <c r="M389" s="3" t="s">
        <v>197</v>
      </c>
      <c r="N389" s="3">
        <v>19</v>
      </c>
      <c r="O389" s="3">
        <v>2</v>
      </c>
      <c r="Q389" s="3" t="s">
        <v>919</v>
      </c>
      <c r="U389" s="3" t="s">
        <v>93</v>
      </c>
      <c r="AF389" t="s">
        <v>742</v>
      </c>
    </row>
    <row r="390" spans="1:34" ht="15" hidden="1" customHeight="1">
      <c r="A390">
        <v>13750</v>
      </c>
      <c r="B390" t="s">
        <v>1475</v>
      </c>
      <c r="C390" s="3" t="str">
        <f t="shared" si="26"/>
        <v>glAccountBalance.IsBalanceSheetType</v>
      </c>
      <c r="D390" s="3">
        <v>303</v>
      </c>
      <c r="E390" s="3" t="str">
        <f t="shared" si="24"/>
        <v>glAccountBalance</v>
      </c>
      <c r="F390" t="s">
        <v>6035</v>
      </c>
      <c r="G390" s="3" t="s">
        <v>6558</v>
      </c>
      <c r="H390" s="3" t="str">
        <f t="shared" si="25"/>
        <v>General Ledger.Account Balance</v>
      </c>
      <c r="I390"/>
      <c r="K390" t="s">
        <v>6034</v>
      </c>
      <c r="L390"/>
      <c r="M390" t="s">
        <v>2402</v>
      </c>
      <c r="O390"/>
      <c r="P390"/>
      <c r="Q390" t="s">
        <v>919</v>
      </c>
      <c r="R390"/>
      <c r="S390"/>
      <c r="U390" t="s">
        <v>93</v>
      </c>
    </row>
    <row r="391" spans="1:34" ht="15" hidden="1" customHeight="1">
      <c r="A391">
        <v>13760</v>
      </c>
      <c r="B391" s="3" t="s">
        <v>1475</v>
      </c>
      <c r="C391" s="3" t="str">
        <f t="shared" si="26"/>
        <v>glAccountBalance.SummaryDate</v>
      </c>
      <c r="D391" s="3">
        <v>303</v>
      </c>
      <c r="E391" s="3" t="str">
        <f t="shared" si="24"/>
        <v>glAccountBalance</v>
      </c>
      <c r="F391" t="s">
        <v>6018</v>
      </c>
      <c r="G391" s="3" t="s">
        <v>6559</v>
      </c>
      <c r="H391" s="3" t="str">
        <f t="shared" si="25"/>
        <v>General Ledger.Account Balance</v>
      </c>
      <c r="I391"/>
      <c r="K391" s="3" t="s">
        <v>81</v>
      </c>
      <c r="M391" s="3" t="s">
        <v>81</v>
      </c>
      <c r="Q391" s="3" t="s">
        <v>919</v>
      </c>
      <c r="U391" s="3" t="s">
        <v>93</v>
      </c>
      <c r="AF391" t="s">
        <v>740</v>
      </c>
    </row>
    <row r="392" spans="1:34" ht="15" hidden="1" customHeight="1">
      <c r="A392">
        <v>13770</v>
      </c>
      <c r="B392" t="s">
        <v>1475</v>
      </c>
      <c r="C392" s="3" t="str">
        <f t="shared" si="26"/>
        <v>glAccountBalance.sysChangeHistoryID</v>
      </c>
      <c r="D392">
        <v>303</v>
      </c>
      <c r="E392" s="3" t="str">
        <f t="shared" si="24"/>
        <v>glAccountBalance</v>
      </c>
      <c r="F392" t="s">
        <v>2497</v>
      </c>
      <c r="G392" s="3" t="s">
        <v>6403</v>
      </c>
      <c r="H392" s="3" t="str">
        <f t="shared" si="25"/>
        <v>General Ledger.Account Balance</v>
      </c>
      <c r="I392"/>
      <c r="K392" t="s">
        <v>1210</v>
      </c>
      <c r="L392"/>
      <c r="M392" t="s">
        <v>6007</v>
      </c>
      <c r="N392"/>
      <c r="O392"/>
      <c r="P392"/>
      <c r="Q392" t="s">
        <v>92</v>
      </c>
      <c r="R392"/>
      <c r="S392"/>
      <c r="U392" t="s">
        <v>1429</v>
      </c>
      <c r="W392" s="3"/>
      <c r="X392" s="3"/>
    </row>
    <row r="393" spans="1:34" ht="15" hidden="1" customHeight="1">
      <c r="A393">
        <v>13780</v>
      </c>
      <c r="B393" t="s">
        <v>1475</v>
      </c>
      <c r="C393" s="3" t="str">
        <f t="shared" si="26"/>
        <v>glAccountCostCentre.ID</v>
      </c>
      <c r="D393">
        <v>302</v>
      </c>
      <c r="E393" s="3" t="str">
        <f t="shared" si="24"/>
        <v>glAccountCostCentre</v>
      </c>
      <c r="F393" t="s">
        <v>0</v>
      </c>
      <c r="G393" s="3" t="s">
        <v>6560</v>
      </c>
      <c r="H393" s="3" t="str">
        <f t="shared" si="25"/>
        <v>General Ledger.Account Cost Centre</v>
      </c>
      <c r="I393"/>
      <c r="K393" t="s">
        <v>1198</v>
      </c>
      <c r="L393"/>
      <c r="M393" t="s">
        <v>6007</v>
      </c>
      <c r="N393"/>
      <c r="O393"/>
      <c r="P393"/>
      <c r="Q393" s="3" t="s">
        <v>919</v>
      </c>
      <c r="R393"/>
      <c r="S393"/>
      <c r="U393" s="3" t="s">
        <v>95</v>
      </c>
      <c r="AC393" t="s">
        <v>92</v>
      </c>
    </row>
    <row r="394" spans="1:34" ht="15" hidden="1" customHeight="1">
      <c r="A394">
        <v>13790</v>
      </c>
      <c r="B394" s="3" t="s">
        <v>1475</v>
      </c>
      <c r="C394" s="3" t="str">
        <f t="shared" si="26"/>
        <v>glAccountCostCentre.glAccountID</v>
      </c>
      <c r="D394" s="3">
        <v>302</v>
      </c>
      <c r="E394" s="3" t="str">
        <f t="shared" si="24"/>
        <v>glAccountCostCentre</v>
      </c>
      <c r="F394" t="str">
        <f>VLOOKUP(V394,DictionaryTableID,3,FALSE)&amp;"ID"&amp;X394</f>
        <v>glAccountID</v>
      </c>
      <c r="G394" s="3" t="s">
        <v>6461</v>
      </c>
      <c r="H394" s="3" t="str">
        <f t="shared" si="25"/>
        <v>General Ledger.Account Cost Centre</v>
      </c>
      <c r="I394"/>
      <c r="K394" s="3" t="s">
        <v>123</v>
      </c>
      <c r="M394" t="s">
        <v>6007</v>
      </c>
      <c r="Q394" s="3" t="s">
        <v>919</v>
      </c>
      <c r="U394" s="3" t="s">
        <v>96</v>
      </c>
      <c r="V394">
        <v>300</v>
      </c>
      <c r="W394" s="3" t="str">
        <f>VLOOKUP(V394,DictionaryTableID,3,FALSE)</f>
        <v>glAccount</v>
      </c>
      <c r="X394" s="3" t="s">
        <v>1036</v>
      </c>
      <c r="AB394" t="s">
        <v>92</v>
      </c>
      <c r="AF394" t="s">
        <v>872</v>
      </c>
    </row>
    <row r="395" spans="1:34" ht="15" hidden="1" customHeight="1">
      <c r="A395">
        <v>13800</v>
      </c>
      <c r="B395" s="3" t="s">
        <v>1475</v>
      </c>
      <c r="C395" s="3" t="str">
        <f t="shared" si="26"/>
        <v>glAccountCostCentre.glCostCentreID</v>
      </c>
      <c r="D395" s="3">
        <v>302</v>
      </c>
      <c r="E395" s="3" t="str">
        <f t="shared" ref="E395:E458" si="27">VLOOKUP(D395,DictionaryTableID,3,FALSE)</f>
        <v>glAccountCostCentre</v>
      </c>
      <c r="F395" t="str">
        <f>VLOOKUP(V395,DictionaryTableID,3,FALSE)&amp;"ID"&amp;X395</f>
        <v>glCostCentreID</v>
      </c>
      <c r="G395" s="3" t="s">
        <v>6442</v>
      </c>
      <c r="H395" s="3" t="str">
        <f t="shared" ref="H395:H458" si="28">VLOOKUP(E395,DictionaryTables,14,FALSE)</f>
        <v>General Ledger.Account Cost Centre</v>
      </c>
      <c r="I395"/>
      <c r="K395" s="3" t="s">
        <v>328</v>
      </c>
      <c r="M395" t="s">
        <v>6007</v>
      </c>
      <c r="Q395" s="3" t="s">
        <v>919</v>
      </c>
      <c r="U395" s="3" t="s">
        <v>96</v>
      </c>
      <c r="V395">
        <v>301</v>
      </c>
      <c r="W395" s="3" t="str">
        <f>VLOOKUP(V395,DictionaryTableID,3,FALSE)</f>
        <v>glCostCentre</v>
      </c>
      <c r="X395" s="3" t="s">
        <v>1036</v>
      </c>
      <c r="AB395" t="s">
        <v>92</v>
      </c>
      <c r="AF395" t="s">
        <v>873</v>
      </c>
    </row>
    <row r="396" spans="1:34" ht="15" hidden="1" customHeight="1">
      <c r="A396">
        <v>13810</v>
      </c>
      <c r="B396" t="s">
        <v>1475</v>
      </c>
      <c r="C396" s="3" t="str">
        <f t="shared" si="26"/>
        <v>glAccountCostCentre.RowStatus</v>
      </c>
      <c r="D396">
        <v>302</v>
      </c>
      <c r="E396" s="3" t="str">
        <f t="shared" si="27"/>
        <v>glAccountCostCentre</v>
      </c>
      <c r="F396" t="s">
        <v>1445</v>
      </c>
      <c r="G396" s="3" t="s">
        <v>6411</v>
      </c>
      <c r="H396" s="3" t="str">
        <f t="shared" si="28"/>
        <v>General Ledger.Account Cost Centre</v>
      </c>
      <c r="I396"/>
      <c r="K396" s="3" t="s">
        <v>2471</v>
      </c>
      <c r="L396"/>
      <c r="M396" t="s">
        <v>976</v>
      </c>
      <c r="N396">
        <v>1</v>
      </c>
      <c r="O396"/>
      <c r="P396"/>
      <c r="Q396" t="s">
        <v>919</v>
      </c>
      <c r="R396"/>
      <c r="S396" s="14"/>
      <c r="U396" t="s">
        <v>94</v>
      </c>
    </row>
    <row r="397" spans="1:34" ht="15" hidden="1" customHeight="1">
      <c r="A397">
        <v>13820</v>
      </c>
      <c r="B397" t="s">
        <v>1475</v>
      </c>
      <c r="C397" s="3" t="str">
        <f t="shared" si="26"/>
        <v>glAccountCostCentre.sysChangeHistoryID</v>
      </c>
      <c r="D397">
        <v>302</v>
      </c>
      <c r="E397" s="3" t="str">
        <f t="shared" si="27"/>
        <v>glAccountCostCentre</v>
      </c>
      <c r="F397" t="s">
        <v>2497</v>
      </c>
      <c r="G397" s="3" t="s">
        <v>6403</v>
      </c>
      <c r="H397" s="3" t="str">
        <f t="shared" si="28"/>
        <v>General Ledger.Account Cost Centre</v>
      </c>
      <c r="I397"/>
      <c r="K397" t="s">
        <v>1210</v>
      </c>
      <c r="L397"/>
      <c r="M397" t="s">
        <v>6007</v>
      </c>
      <c r="N397"/>
      <c r="O397"/>
      <c r="P397"/>
      <c r="Q397" t="s">
        <v>92</v>
      </c>
      <c r="R397"/>
      <c r="S397"/>
      <c r="U397" t="s">
        <v>1429</v>
      </c>
      <c r="W397" s="3"/>
      <c r="X397" s="3"/>
    </row>
    <row r="398" spans="1:34" ht="15" hidden="1" customHeight="1">
      <c r="A398">
        <v>13830</v>
      </c>
      <c r="B398" s="3" t="s">
        <v>1475</v>
      </c>
      <c r="C398" s="3" t="str">
        <f t="shared" si="26"/>
        <v>glAccountType.ID</v>
      </c>
      <c r="D398" s="3">
        <v>398</v>
      </c>
      <c r="E398" s="3" t="str">
        <f t="shared" si="27"/>
        <v>glAccountType</v>
      </c>
      <c r="F398" t="s">
        <v>0</v>
      </c>
      <c r="G398" s="3" t="s">
        <v>6561</v>
      </c>
      <c r="H398" s="3" t="str">
        <f t="shared" si="28"/>
        <v>General Ledger.Account Type</v>
      </c>
      <c r="I398"/>
      <c r="K398" t="s">
        <v>0</v>
      </c>
      <c r="M398" t="s">
        <v>6007</v>
      </c>
      <c r="Q398" s="3" t="s">
        <v>919</v>
      </c>
      <c r="U398" s="3" t="s">
        <v>95</v>
      </c>
    </row>
    <row r="399" spans="1:34" ht="15" hidden="1" customHeight="1">
      <c r="A399">
        <v>13840</v>
      </c>
      <c r="B399" s="3" t="s">
        <v>1475</v>
      </c>
      <c r="C399" s="3" t="str">
        <f t="shared" si="26"/>
        <v>glAccountType.Description</v>
      </c>
      <c r="D399" s="3">
        <v>398</v>
      </c>
      <c r="E399" s="3" t="str">
        <f t="shared" si="27"/>
        <v>glAccountType</v>
      </c>
      <c r="F399" t="s">
        <v>12</v>
      </c>
      <c r="G399" s="3" t="s">
        <v>7005</v>
      </c>
      <c r="H399" s="3" t="str">
        <f t="shared" si="28"/>
        <v>General Ledger.Account Type</v>
      </c>
      <c r="I399"/>
      <c r="K399" t="s">
        <v>971</v>
      </c>
      <c r="M399" s="3" t="s">
        <v>196</v>
      </c>
      <c r="Q399" s="3" t="s">
        <v>919</v>
      </c>
      <c r="U399" s="3" t="s">
        <v>93</v>
      </c>
      <c r="W399" s="3"/>
      <c r="Y399" t="s">
        <v>92</v>
      </c>
      <c r="AB399" t="s">
        <v>92</v>
      </c>
      <c r="AH399" t="s">
        <v>92</v>
      </c>
    </row>
    <row r="400" spans="1:34" ht="15" hidden="1" customHeight="1">
      <c r="A400">
        <v>13851</v>
      </c>
      <c r="B400" t="s">
        <v>1475</v>
      </c>
      <c r="C400" s="3" t="str">
        <f t="shared" si="26"/>
        <v>glAccountType.IsBalanceSheetType</v>
      </c>
      <c r="D400" s="3">
        <v>398</v>
      </c>
      <c r="E400" s="3" t="str">
        <f t="shared" si="27"/>
        <v>glAccountType</v>
      </c>
      <c r="F400" t="s">
        <v>6035</v>
      </c>
      <c r="G400" s="3" t="s">
        <v>6558</v>
      </c>
      <c r="H400" s="3" t="str">
        <f t="shared" si="28"/>
        <v>General Ledger.Account Type</v>
      </c>
      <c r="I400"/>
      <c r="K400" t="s">
        <v>6034</v>
      </c>
      <c r="L400"/>
      <c r="M400" t="s">
        <v>2402</v>
      </c>
      <c r="O400"/>
      <c r="P400"/>
      <c r="Q400" t="s">
        <v>919</v>
      </c>
      <c r="R400"/>
      <c r="S400"/>
      <c r="U400" t="s">
        <v>93</v>
      </c>
      <c r="AB400" t="s">
        <v>92</v>
      </c>
    </row>
    <row r="401" spans="1:34" ht="15" hidden="1" customHeight="1">
      <c r="A401">
        <v>13852</v>
      </c>
      <c r="B401" t="s">
        <v>1475</v>
      </c>
      <c r="C401" s="3" t="str">
        <f t="shared" si="26"/>
        <v>glAccountType.NormalizationFactor</v>
      </c>
      <c r="D401" s="3">
        <v>398</v>
      </c>
      <c r="E401" s="3" t="str">
        <f t="shared" si="27"/>
        <v>glAccountType</v>
      </c>
      <c r="F401" t="s">
        <v>6029</v>
      </c>
      <c r="G401" s="3" t="s">
        <v>6562</v>
      </c>
      <c r="H401" s="3" t="str">
        <f t="shared" si="28"/>
        <v>General Ledger.Account Type</v>
      </c>
      <c r="I401"/>
      <c r="K401" t="s">
        <v>6031</v>
      </c>
      <c r="L401"/>
      <c r="M401" t="s">
        <v>6030</v>
      </c>
      <c r="O401"/>
      <c r="P401"/>
      <c r="Q401" t="s">
        <v>919</v>
      </c>
      <c r="R401"/>
      <c r="S401"/>
      <c r="U401" t="s">
        <v>93</v>
      </c>
      <c r="AB401" t="s">
        <v>92</v>
      </c>
    </row>
    <row r="402" spans="1:34" ht="15" hidden="1" customHeight="1">
      <c r="A402">
        <v>13870</v>
      </c>
      <c r="B402" s="3" t="s">
        <v>1475</v>
      </c>
      <c r="C402" s="3" t="str">
        <f t="shared" si="26"/>
        <v>glAccountType.RowStatus</v>
      </c>
      <c r="D402" s="3">
        <v>398</v>
      </c>
      <c r="E402" s="3" t="str">
        <f t="shared" si="27"/>
        <v>glAccountType</v>
      </c>
      <c r="F402" t="s">
        <v>1445</v>
      </c>
      <c r="G402" s="3" t="s">
        <v>6411</v>
      </c>
      <c r="H402" s="3" t="str">
        <f t="shared" si="28"/>
        <v>General Ledger.Account Type</v>
      </c>
      <c r="I402"/>
      <c r="K402" s="3" t="s">
        <v>2471</v>
      </c>
      <c r="M402" t="s">
        <v>976</v>
      </c>
      <c r="N402">
        <v>1</v>
      </c>
      <c r="Q402" s="3" t="s">
        <v>919</v>
      </c>
      <c r="U402" s="3" t="s">
        <v>94</v>
      </c>
    </row>
    <row r="403" spans="1:34" ht="15" hidden="1" customHeight="1">
      <c r="A403">
        <v>13880</v>
      </c>
      <c r="B403" t="s">
        <v>1475</v>
      </c>
      <c r="C403" s="3" t="str">
        <f t="shared" si="26"/>
        <v>glAccountType.sysChangeHistoryID</v>
      </c>
      <c r="D403">
        <v>398</v>
      </c>
      <c r="E403" s="3" t="str">
        <f t="shared" si="27"/>
        <v>glAccountType</v>
      </c>
      <c r="F403" t="s">
        <v>2497</v>
      </c>
      <c r="G403" s="3" t="s">
        <v>6403</v>
      </c>
      <c r="H403" s="3" t="str">
        <f t="shared" si="28"/>
        <v>General Ledger.Account Type</v>
      </c>
      <c r="I403"/>
      <c r="K403" t="s">
        <v>1210</v>
      </c>
      <c r="L403"/>
      <c r="M403" t="s">
        <v>6007</v>
      </c>
      <c r="N403"/>
      <c r="O403"/>
      <c r="P403"/>
      <c r="Q403" t="s">
        <v>92</v>
      </c>
      <c r="R403"/>
      <c r="S403"/>
      <c r="U403" t="s">
        <v>1429</v>
      </c>
      <c r="W403" s="3"/>
      <c r="X403" s="3"/>
    </row>
    <row r="404" spans="1:34" ht="15" hidden="1" customHeight="1">
      <c r="A404">
        <v>13890</v>
      </c>
      <c r="B404" t="s">
        <v>1475</v>
      </c>
      <c r="C404" s="3" t="str">
        <f t="shared" si="26"/>
        <v>glBatch.ID</v>
      </c>
      <c r="D404">
        <v>310</v>
      </c>
      <c r="E404" s="3" t="str">
        <f t="shared" si="27"/>
        <v>glBatch</v>
      </c>
      <c r="F404" t="s">
        <v>0</v>
      </c>
      <c r="G404" s="3" t="s">
        <v>6563</v>
      </c>
      <c r="H404" s="3" t="str">
        <f t="shared" si="28"/>
        <v>General Ledger.GL Batch</v>
      </c>
      <c r="I404"/>
      <c r="K404" t="s">
        <v>1092</v>
      </c>
      <c r="L404"/>
      <c r="M404" t="s">
        <v>6007</v>
      </c>
      <c r="N404"/>
      <c r="O404"/>
      <c r="P404"/>
      <c r="Q404" s="3" t="s">
        <v>919</v>
      </c>
      <c r="R404"/>
      <c r="S404"/>
      <c r="U404" s="3" t="s">
        <v>95</v>
      </c>
      <c r="AC404" t="s">
        <v>92</v>
      </c>
    </row>
    <row r="405" spans="1:34" ht="15" hidden="1" customHeight="1">
      <c r="A405">
        <v>13900</v>
      </c>
      <c r="B405" s="3" t="s">
        <v>1475</v>
      </c>
      <c r="C405" s="3" t="str">
        <f t="shared" si="26"/>
        <v>glBatch.glAccountID</v>
      </c>
      <c r="D405" s="3">
        <v>310</v>
      </c>
      <c r="E405" s="3" t="str">
        <f t="shared" si="27"/>
        <v>glBatch</v>
      </c>
      <c r="F405" t="str">
        <f>VLOOKUP(V405,DictionaryTableID,3,FALSE)&amp;"ID"&amp;X405</f>
        <v>glAccountID</v>
      </c>
      <c r="G405" s="3" t="s">
        <v>6461</v>
      </c>
      <c r="H405" s="3" t="str">
        <f t="shared" si="28"/>
        <v>General Ledger.GL Batch</v>
      </c>
      <c r="I405"/>
      <c r="K405" s="3" t="s">
        <v>123</v>
      </c>
      <c r="M405" t="s">
        <v>6007</v>
      </c>
      <c r="Q405" s="3" t="s">
        <v>92</v>
      </c>
      <c r="U405" s="3" t="s">
        <v>96</v>
      </c>
      <c r="V405">
        <v>300</v>
      </c>
      <c r="W405" s="3" t="str">
        <f>VLOOKUP(V405,DictionaryTableID,3,FALSE)</f>
        <v>glAccount</v>
      </c>
      <c r="X405" s="3" t="s">
        <v>1036</v>
      </c>
      <c r="AB405" t="s">
        <v>92</v>
      </c>
      <c r="AF405" t="s">
        <v>732</v>
      </c>
    </row>
    <row r="406" spans="1:34" ht="15" hidden="1" customHeight="1">
      <c r="A406">
        <v>13910</v>
      </c>
      <c r="B406" t="s">
        <v>1475</v>
      </c>
      <c r="C406" s="3" t="str">
        <f t="shared" si="26"/>
        <v>glBatch.glBatchStatusID</v>
      </c>
      <c r="D406">
        <v>310</v>
      </c>
      <c r="E406" s="8" t="str">
        <f t="shared" si="27"/>
        <v>glBatch</v>
      </c>
      <c r="F406" t="str">
        <f>VLOOKUP(V406,DictionaryTableID,3,FALSE)&amp;"ID"&amp;X406</f>
        <v>glBatchStatusID</v>
      </c>
      <c r="G406" s="3" t="s">
        <v>6564</v>
      </c>
      <c r="H406" t="str">
        <f t="shared" si="28"/>
        <v>General Ledger.GL Batch</v>
      </c>
      <c r="I406"/>
      <c r="J406"/>
      <c r="K406" t="s">
        <v>2112</v>
      </c>
      <c r="L406"/>
      <c r="M406" t="s">
        <v>6007</v>
      </c>
      <c r="N406"/>
      <c r="O406"/>
      <c r="P406"/>
      <c r="Q406" t="s">
        <v>919</v>
      </c>
      <c r="R406"/>
      <c r="S406">
        <v>1</v>
      </c>
      <c r="T406"/>
      <c r="U406" t="s">
        <v>96</v>
      </c>
      <c r="V406">
        <v>390</v>
      </c>
      <c r="W406" s="3" t="str">
        <f>VLOOKUP(V406,DictionaryTableID,3,FALSE)</f>
        <v>glBatchStatus</v>
      </c>
      <c r="Z406" t="s">
        <v>2112</v>
      </c>
      <c r="AB406" s="7" t="s">
        <v>92</v>
      </c>
      <c r="AC406" s="7"/>
      <c r="AD406" s="15"/>
      <c r="AE406" s="7"/>
    </row>
    <row r="407" spans="1:34" ht="15" hidden="1" customHeight="1">
      <c r="A407">
        <v>13920</v>
      </c>
      <c r="B407" t="s">
        <v>1475</v>
      </c>
      <c r="C407" s="3" t="str">
        <f t="shared" si="26"/>
        <v>glBatch.glBatchTypeID</v>
      </c>
      <c r="D407">
        <v>310</v>
      </c>
      <c r="E407" s="3" t="str">
        <f t="shared" si="27"/>
        <v>glBatch</v>
      </c>
      <c r="F407" t="str">
        <f>VLOOKUP(V407,DictionaryTableID,3,FALSE)&amp;"ID"&amp;X407</f>
        <v>glBatchTypeID</v>
      </c>
      <c r="G407" s="3" t="s">
        <v>6565</v>
      </c>
      <c r="H407" s="3" t="str">
        <f t="shared" si="28"/>
        <v>General Ledger.GL Batch</v>
      </c>
      <c r="I407"/>
      <c r="K407" t="s">
        <v>103</v>
      </c>
      <c r="L407"/>
      <c r="M407" t="s">
        <v>6007</v>
      </c>
      <c r="N407"/>
      <c r="O407"/>
      <c r="P407"/>
      <c r="Q407" t="s">
        <v>919</v>
      </c>
      <c r="R407"/>
      <c r="S407"/>
      <c r="U407" t="s">
        <v>96</v>
      </c>
      <c r="V407">
        <v>391</v>
      </c>
      <c r="W407" s="3" t="str">
        <f>VLOOKUP(V407,DictionaryTableID,3,FALSE)</f>
        <v>glBatchType</v>
      </c>
      <c r="X407" s="3"/>
      <c r="AB407" t="s">
        <v>92</v>
      </c>
      <c r="AC407" t="s">
        <v>92</v>
      </c>
    </row>
    <row r="408" spans="1:34" ht="15" hidden="1" customHeight="1">
      <c r="A408">
        <v>13930</v>
      </c>
      <c r="B408" s="3" t="s">
        <v>1475</v>
      </c>
      <c r="C408" s="3" t="str">
        <f t="shared" si="26"/>
        <v>glBatch.glExportBatchID</v>
      </c>
      <c r="D408" s="3">
        <v>310</v>
      </c>
      <c r="E408" s="3" t="str">
        <f t="shared" si="27"/>
        <v>glBatch</v>
      </c>
      <c r="F408" t="str">
        <f>VLOOKUP(V408,DictionaryTableID,3,FALSE)&amp;"ID"&amp;X408</f>
        <v>glExportBatchID</v>
      </c>
      <c r="G408" s="3" t="s">
        <v>6566</v>
      </c>
      <c r="H408" s="3" t="str">
        <f t="shared" si="28"/>
        <v>General Ledger.GL Batch</v>
      </c>
      <c r="I408"/>
      <c r="K408" s="3" t="s">
        <v>6006</v>
      </c>
      <c r="M408" t="s">
        <v>6007</v>
      </c>
      <c r="Q408" s="3" t="s">
        <v>92</v>
      </c>
      <c r="U408" s="3" t="s">
        <v>96</v>
      </c>
      <c r="V408" s="3">
        <v>330</v>
      </c>
      <c r="W408" s="3" t="str">
        <f>VLOOKUP(V408,DictionaryTableID,3,FALSE)</f>
        <v>glExportBatch</v>
      </c>
      <c r="X408" s="3" t="s">
        <v>1036</v>
      </c>
      <c r="AB408" t="s">
        <v>92</v>
      </c>
      <c r="AF408" t="s">
        <v>732</v>
      </c>
    </row>
    <row r="409" spans="1:34" ht="15" hidden="1" customHeight="1">
      <c r="A409">
        <v>13940</v>
      </c>
      <c r="B409" t="s">
        <v>1475</v>
      </c>
      <c r="C409" s="3" t="str">
        <f t="shared" si="26"/>
        <v>glBatch.ApprovalDate</v>
      </c>
      <c r="D409">
        <v>310</v>
      </c>
      <c r="E409" s="3" t="str">
        <f t="shared" si="27"/>
        <v>glBatch</v>
      </c>
      <c r="F409" t="s">
        <v>7</v>
      </c>
      <c r="G409" s="3" t="s">
        <v>6567</v>
      </c>
      <c r="H409" s="3" t="str">
        <f t="shared" si="28"/>
        <v>General Ledger.GL Batch</v>
      </c>
      <c r="I409"/>
      <c r="K409" t="s">
        <v>1093</v>
      </c>
      <c r="L409"/>
      <c r="M409" s="3" t="s">
        <v>81</v>
      </c>
      <c r="N409"/>
      <c r="O409"/>
      <c r="P409"/>
      <c r="Q409" t="s">
        <v>92</v>
      </c>
      <c r="R409"/>
      <c r="S409"/>
      <c r="U409" t="s">
        <v>93</v>
      </c>
      <c r="AB409" t="s">
        <v>92</v>
      </c>
    </row>
    <row r="410" spans="1:34" ht="15" hidden="1" customHeight="1">
      <c r="A410">
        <v>13950</v>
      </c>
      <c r="B410" t="s">
        <v>1475</v>
      </c>
      <c r="C410" s="3" t="str">
        <f t="shared" si="26"/>
        <v>glBatch.CreateDate</v>
      </c>
      <c r="D410">
        <v>310</v>
      </c>
      <c r="E410" s="3" t="str">
        <f t="shared" si="27"/>
        <v>glBatch</v>
      </c>
      <c r="F410" t="s">
        <v>11</v>
      </c>
      <c r="G410" s="3" t="s">
        <v>6568</v>
      </c>
      <c r="H410" s="3" t="str">
        <f t="shared" si="28"/>
        <v>General Ledger.GL Batch</v>
      </c>
      <c r="I410"/>
      <c r="K410" t="s">
        <v>111</v>
      </c>
      <c r="L410"/>
      <c r="M410" s="3" t="s">
        <v>329</v>
      </c>
      <c r="N410"/>
      <c r="O410"/>
      <c r="P410"/>
      <c r="Q410" t="s">
        <v>919</v>
      </c>
      <c r="R410"/>
      <c r="S410" s="3" t="s">
        <v>7045</v>
      </c>
      <c r="U410" t="s">
        <v>93</v>
      </c>
      <c r="AB410" t="s">
        <v>92</v>
      </c>
    </row>
    <row r="411" spans="1:34" ht="15" hidden="1" customHeight="1">
      <c r="A411">
        <v>13960</v>
      </c>
      <c r="B411" t="s">
        <v>1475</v>
      </c>
      <c r="C411" s="3" t="str">
        <f t="shared" si="26"/>
        <v>glBatch.Description</v>
      </c>
      <c r="D411">
        <v>310</v>
      </c>
      <c r="E411" s="3" t="str">
        <f t="shared" si="27"/>
        <v>glBatch</v>
      </c>
      <c r="F411" t="s">
        <v>12</v>
      </c>
      <c r="G411" s="3" t="s">
        <v>6921</v>
      </c>
      <c r="H411" s="3" t="str">
        <f t="shared" si="28"/>
        <v>General Ledger.GL Batch</v>
      </c>
      <c r="I411"/>
      <c r="K411" t="s">
        <v>12</v>
      </c>
      <c r="L411"/>
      <c r="M411" t="s">
        <v>196</v>
      </c>
      <c r="N411"/>
      <c r="O411"/>
      <c r="P411"/>
      <c r="Q411" t="s">
        <v>92</v>
      </c>
      <c r="R411"/>
      <c r="S411"/>
      <c r="U411" t="s">
        <v>93</v>
      </c>
      <c r="AB411" t="s">
        <v>92</v>
      </c>
      <c r="AH411" t="s">
        <v>92</v>
      </c>
    </row>
    <row r="412" spans="1:34" ht="15" hidden="1" customHeight="1">
      <c r="A412">
        <v>13970</v>
      </c>
      <c r="B412" s="3" t="s">
        <v>1475</v>
      </c>
      <c r="C412" s="3" t="str">
        <f t="shared" si="26"/>
        <v>glBatch.FiscalYear</v>
      </c>
      <c r="D412" s="3">
        <v>310</v>
      </c>
      <c r="E412" s="3" t="str">
        <f t="shared" si="27"/>
        <v>glBatch</v>
      </c>
      <c r="F412" t="s">
        <v>2419</v>
      </c>
      <c r="G412" s="3" t="s">
        <v>1313</v>
      </c>
      <c r="H412" s="3" t="str">
        <f t="shared" si="28"/>
        <v>General Ledger.GL Batch</v>
      </c>
      <c r="I412"/>
      <c r="K412" s="3" t="s">
        <v>395</v>
      </c>
      <c r="M412" s="3" t="s">
        <v>195</v>
      </c>
      <c r="Q412" s="3" t="s">
        <v>92</v>
      </c>
      <c r="U412" s="3" t="s">
        <v>93</v>
      </c>
      <c r="AB412" t="s">
        <v>92</v>
      </c>
      <c r="AF412" t="s">
        <v>736</v>
      </c>
    </row>
    <row r="413" spans="1:34" ht="15" hidden="1" customHeight="1">
      <c r="A413">
        <v>13980</v>
      </c>
      <c r="B413" t="s">
        <v>1475</v>
      </c>
      <c r="C413" s="3" t="str">
        <f t="shared" si="26"/>
        <v>glBatch.HasBatchError</v>
      </c>
      <c r="D413">
        <v>310</v>
      </c>
      <c r="E413" s="3" t="str">
        <f t="shared" si="27"/>
        <v>glBatch</v>
      </c>
      <c r="F413" t="s">
        <v>1343</v>
      </c>
      <c r="G413" s="3" t="s">
        <v>6569</v>
      </c>
      <c r="H413" s="3" t="str">
        <f t="shared" si="28"/>
        <v>General Ledger.GL Batch</v>
      </c>
      <c r="I413"/>
      <c r="K413" t="s">
        <v>112</v>
      </c>
      <c r="L413"/>
      <c r="M413" s="3" t="s">
        <v>2402</v>
      </c>
      <c r="N413"/>
      <c r="O413"/>
      <c r="P413"/>
      <c r="Q413" t="s">
        <v>92</v>
      </c>
      <c r="R413"/>
      <c r="S413" s="20"/>
      <c r="U413" t="s">
        <v>93</v>
      </c>
      <c r="AB413" t="s">
        <v>92</v>
      </c>
    </row>
    <row r="414" spans="1:34" ht="15" hidden="1" customHeight="1">
      <c r="A414">
        <v>13990</v>
      </c>
      <c r="B414" t="s">
        <v>1475</v>
      </c>
      <c r="C414" s="3" t="str">
        <f t="shared" si="26"/>
        <v>glBatch.sysChangeHistoryID</v>
      </c>
      <c r="D414">
        <v>310</v>
      </c>
      <c r="E414" s="3" t="str">
        <f t="shared" si="27"/>
        <v>glBatch</v>
      </c>
      <c r="F414" t="s">
        <v>2497</v>
      </c>
      <c r="G414" s="3" t="s">
        <v>6403</v>
      </c>
      <c r="H414" s="3" t="str">
        <f t="shared" si="28"/>
        <v>General Ledger.GL Batch</v>
      </c>
      <c r="I414"/>
      <c r="K414" t="s">
        <v>1210</v>
      </c>
      <c r="L414"/>
      <c r="M414" t="s">
        <v>6007</v>
      </c>
      <c r="N414"/>
      <c r="O414"/>
      <c r="P414"/>
      <c r="Q414" t="s">
        <v>92</v>
      </c>
      <c r="R414"/>
      <c r="S414"/>
      <c r="U414" t="s">
        <v>1429</v>
      </c>
      <c r="W414" s="3"/>
      <c r="X414" s="3"/>
    </row>
    <row r="415" spans="1:34" ht="15" hidden="1" customHeight="1">
      <c r="A415">
        <v>14000</v>
      </c>
      <c r="B415" s="3" t="s">
        <v>1475</v>
      </c>
      <c r="C415" s="3" t="str">
        <f t="shared" si="26"/>
        <v>glBatchStatus.ID</v>
      </c>
      <c r="D415">
        <v>390</v>
      </c>
      <c r="E415" s="3" t="str">
        <f t="shared" si="27"/>
        <v>glBatchStatus</v>
      </c>
      <c r="F415" t="s">
        <v>0</v>
      </c>
      <c r="G415" s="3" t="s">
        <v>6570</v>
      </c>
      <c r="H415" s="3" t="str">
        <f t="shared" si="28"/>
        <v>GL.BatchStatus</v>
      </c>
      <c r="I415"/>
      <c r="K415" s="3" t="s">
        <v>0</v>
      </c>
      <c r="M415" t="s">
        <v>6007</v>
      </c>
      <c r="N415"/>
      <c r="O415"/>
      <c r="Q415" s="3" t="s">
        <v>919</v>
      </c>
      <c r="U415" s="3" t="s">
        <v>95</v>
      </c>
    </row>
    <row r="416" spans="1:34" ht="15" hidden="1" customHeight="1">
      <c r="A416">
        <v>14010</v>
      </c>
      <c r="B416" s="3" t="s">
        <v>1475</v>
      </c>
      <c r="C416" s="3" t="str">
        <f t="shared" si="26"/>
        <v>glBatchStatus.Description</v>
      </c>
      <c r="D416">
        <v>390</v>
      </c>
      <c r="E416" s="3" t="str">
        <f t="shared" si="27"/>
        <v>glBatchStatus</v>
      </c>
      <c r="F416" t="s">
        <v>12</v>
      </c>
      <c r="G416" s="3" t="s">
        <v>6922</v>
      </c>
      <c r="H416" s="3" t="str">
        <f t="shared" si="28"/>
        <v>GL.BatchStatus</v>
      </c>
      <c r="I416"/>
      <c r="K416" s="3" t="s">
        <v>12</v>
      </c>
      <c r="M416" t="s">
        <v>196</v>
      </c>
      <c r="N416"/>
      <c r="O416"/>
      <c r="Q416" s="3" t="s">
        <v>919</v>
      </c>
      <c r="U416" t="s">
        <v>93</v>
      </c>
      <c r="Y416" t="s">
        <v>92</v>
      </c>
      <c r="AB416" t="s">
        <v>92</v>
      </c>
      <c r="AH416" t="s">
        <v>92</v>
      </c>
    </row>
    <row r="417" spans="1:34" ht="15" hidden="1" customHeight="1">
      <c r="A417">
        <v>14020</v>
      </c>
      <c r="B417" s="3" t="s">
        <v>1475</v>
      </c>
      <c r="C417" s="3" t="str">
        <f t="shared" si="26"/>
        <v>glBatchStatus.ShortCode</v>
      </c>
      <c r="D417">
        <v>390</v>
      </c>
      <c r="E417" s="3" t="str">
        <f t="shared" si="27"/>
        <v>glBatchStatus</v>
      </c>
      <c r="F417" t="s">
        <v>16</v>
      </c>
      <c r="G417" s="3" t="s">
        <v>6434</v>
      </c>
      <c r="H417" s="3" t="str">
        <f t="shared" si="28"/>
        <v>GL.BatchStatus</v>
      </c>
      <c r="I417"/>
      <c r="K417" s="3" t="s">
        <v>117</v>
      </c>
      <c r="M417" t="s">
        <v>196</v>
      </c>
      <c r="N417"/>
      <c r="O417"/>
      <c r="Q417" s="3" t="s">
        <v>92</v>
      </c>
      <c r="U417" t="s">
        <v>93</v>
      </c>
      <c r="AB417" t="s">
        <v>92</v>
      </c>
      <c r="AH417" t="s">
        <v>92</v>
      </c>
    </row>
    <row r="418" spans="1:34" ht="15" hidden="1" customHeight="1">
      <c r="A418">
        <v>14030</v>
      </c>
      <c r="B418" s="3" t="s">
        <v>1475</v>
      </c>
      <c r="C418" s="3" t="str">
        <f t="shared" si="26"/>
        <v>glBatchStatus.RowStatus</v>
      </c>
      <c r="D418">
        <v>390</v>
      </c>
      <c r="E418" s="3" t="str">
        <f t="shared" si="27"/>
        <v>glBatchStatus</v>
      </c>
      <c r="F418" t="s">
        <v>1445</v>
      </c>
      <c r="G418" s="3" t="s">
        <v>6411</v>
      </c>
      <c r="H418" s="3" t="str">
        <f t="shared" si="28"/>
        <v>GL.BatchStatus</v>
      </c>
      <c r="I418"/>
      <c r="K418" s="3" t="s">
        <v>2471</v>
      </c>
      <c r="M418" t="s">
        <v>976</v>
      </c>
      <c r="N418">
        <v>1</v>
      </c>
      <c r="O418"/>
      <c r="Q418" s="3" t="s">
        <v>919</v>
      </c>
      <c r="U418" t="s">
        <v>94</v>
      </c>
    </row>
    <row r="419" spans="1:34" ht="15" hidden="1" customHeight="1">
      <c r="A419">
        <v>14040</v>
      </c>
      <c r="B419" t="s">
        <v>1475</v>
      </c>
      <c r="C419" s="3" t="str">
        <f t="shared" si="26"/>
        <v>glBatchStatus.sysChangeHistoryID</v>
      </c>
      <c r="D419">
        <v>390</v>
      </c>
      <c r="E419" s="3" t="str">
        <f t="shared" si="27"/>
        <v>glBatchStatus</v>
      </c>
      <c r="F419" t="s">
        <v>2497</v>
      </c>
      <c r="G419" s="3" t="s">
        <v>6403</v>
      </c>
      <c r="H419" s="3" t="str">
        <f t="shared" si="28"/>
        <v>GL.BatchStatus</v>
      </c>
      <c r="I419"/>
      <c r="K419" t="s">
        <v>1210</v>
      </c>
      <c r="L419"/>
      <c r="M419" t="s">
        <v>6007</v>
      </c>
      <c r="N419"/>
      <c r="O419"/>
      <c r="P419"/>
      <c r="Q419" t="s">
        <v>92</v>
      </c>
      <c r="R419"/>
      <c r="S419"/>
      <c r="U419" t="s">
        <v>1429</v>
      </c>
    </row>
    <row r="420" spans="1:34" ht="15" hidden="1" customHeight="1">
      <c r="A420">
        <v>14050</v>
      </c>
      <c r="B420" s="3" t="s">
        <v>1475</v>
      </c>
      <c r="C420" s="3" t="str">
        <f t="shared" si="26"/>
        <v>glBatchType.ID</v>
      </c>
      <c r="D420">
        <v>391</v>
      </c>
      <c r="E420" s="3" t="str">
        <f t="shared" si="27"/>
        <v>glBatchType</v>
      </c>
      <c r="F420" t="s">
        <v>0</v>
      </c>
      <c r="G420" s="3" t="s">
        <v>6571</v>
      </c>
      <c r="H420" s="3" t="str">
        <f t="shared" si="28"/>
        <v>General Ledger.Batch Type</v>
      </c>
      <c r="I420"/>
      <c r="K420" s="3" t="s">
        <v>0</v>
      </c>
      <c r="M420" t="s">
        <v>6007</v>
      </c>
      <c r="Q420" s="3" t="s">
        <v>919</v>
      </c>
      <c r="U420" s="3" t="s">
        <v>95</v>
      </c>
      <c r="AF420" t="s">
        <v>723</v>
      </c>
    </row>
    <row r="421" spans="1:34" ht="15" hidden="1" customHeight="1">
      <c r="A421">
        <v>14060</v>
      </c>
      <c r="B421" s="3" t="s">
        <v>1475</v>
      </c>
      <c r="C421" s="3" t="str">
        <f t="shared" si="26"/>
        <v>glBatchType.Comments</v>
      </c>
      <c r="D421">
        <v>391</v>
      </c>
      <c r="E421" s="3" t="str">
        <f t="shared" si="27"/>
        <v>glBatchType</v>
      </c>
      <c r="F421" t="s">
        <v>14</v>
      </c>
      <c r="G421" s="3" t="s">
        <v>6421</v>
      </c>
      <c r="H421" s="3" t="str">
        <f t="shared" si="28"/>
        <v>General Ledger.Batch Type</v>
      </c>
      <c r="I421"/>
      <c r="K421" s="3" t="s">
        <v>14</v>
      </c>
      <c r="M421" s="3" t="s">
        <v>196</v>
      </c>
      <c r="N421"/>
      <c r="Q421" s="3" t="s">
        <v>92</v>
      </c>
      <c r="U421" s="3" t="s">
        <v>93</v>
      </c>
      <c r="AB421" t="s">
        <v>92</v>
      </c>
      <c r="AF421" t="s">
        <v>729</v>
      </c>
    </row>
    <row r="422" spans="1:34" ht="15" hidden="1" customHeight="1">
      <c r="A422">
        <v>14070</v>
      </c>
      <c r="B422" s="3" t="s">
        <v>1475</v>
      </c>
      <c r="C422" s="3" t="str">
        <f t="shared" si="26"/>
        <v>glBatchType.Description</v>
      </c>
      <c r="D422">
        <v>391</v>
      </c>
      <c r="E422" s="3" t="str">
        <f t="shared" si="27"/>
        <v>glBatchType</v>
      </c>
      <c r="F422" t="s">
        <v>12</v>
      </c>
      <c r="G422" s="3" t="s">
        <v>6923</v>
      </c>
      <c r="H422" s="3" t="str">
        <f t="shared" si="28"/>
        <v>General Ledger.Batch Type</v>
      </c>
      <c r="I422"/>
      <c r="K422" s="3" t="s">
        <v>12</v>
      </c>
      <c r="M422" s="3" t="s">
        <v>196</v>
      </c>
      <c r="N422"/>
      <c r="Q422" s="3" t="s">
        <v>92</v>
      </c>
      <c r="U422" s="3" t="s">
        <v>93</v>
      </c>
      <c r="Y422" t="s">
        <v>92</v>
      </c>
      <c r="AB422" t="s">
        <v>92</v>
      </c>
      <c r="AF422" t="s">
        <v>724</v>
      </c>
      <c r="AH422" t="s">
        <v>92</v>
      </c>
    </row>
    <row r="423" spans="1:34" ht="15" hidden="1" customHeight="1">
      <c r="A423">
        <v>14080</v>
      </c>
      <c r="B423" t="s">
        <v>1475</v>
      </c>
      <c r="C423" s="3" t="str">
        <f t="shared" si="26"/>
        <v>glBatchType.HasAutomaticApproval</v>
      </c>
      <c r="D423">
        <v>391</v>
      </c>
      <c r="E423" s="8" t="str">
        <f t="shared" si="27"/>
        <v>glBatchType</v>
      </c>
      <c r="F423" s="7" t="s">
        <v>2113</v>
      </c>
      <c r="G423" s="3" t="s">
        <v>6572</v>
      </c>
      <c r="H423" t="str">
        <f t="shared" si="28"/>
        <v>General Ledger.Batch Type</v>
      </c>
      <c r="I423"/>
      <c r="J423"/>
      <c r="K423" t="s">
        <v>2114</v>
      </c>
      <c r="L423"/>
      <c r="M423" s="3" t="s">
        <v>2402</v>
      </c>
      <c r="N423"/>
      <c r="O423"/>
      <c r="P423"/>
      <c r="Q423" t="s">
        <v>92</v>
      </c>
      <c r="R423"/>
      <c r="S423"/>
      <c r="T423"/>
      <c r="U423" t="s">
        <v>93</v>
      </c>
      <c r="V423" s="7"/>
      <c r="W423" s="7"/>
      <c r="X423" s="7"/>
      <c r="Z423" s="7"/>
      <c r="AA423" t="s">
        <v>92</v>
      </c>
      <c r="AB423" t="s">
        <v>92</v>
      </c>
      <c r="AC423" s="7"/>
      <c r="AD423" s="15"/>
      <c r="AE423" s="7"/>
    </row>
    <row r="424" spans="1:34" ht="15" hidden="1" customHeight="1">
      <c r="A424">
        <v>14090</v>
      </c>
      <c r="B424" t="s">
        <v>1475</v>
      </c>
      <c r="C424" s="3" t="str">
        <f t="shared" si="26"/>
        <v>glBatchType.IsAutomated</v>
      </c>
      <c r="D424">
        <v>391</v>
      </c>
      <c r="E424" s="8" t="str">
        <f t="shared" si="27"/>
        <v>glBatchType</v>
      </c>
      <c r="F424" s="7" t="s">
        <v>2115</v>
      </c>
      <c r="G424" s="3" t="s">
        <v>6573</v>
      </c>
      <c r="H424" t="str">
        <f t="shared" si="28"/>
        <v>General Ledger.Batch Type</v>
      </c>
      <c r="I424"/>
      <c r="J424"/>
      <c r="K424" t="s">
        <v>2116</v>
      </c>
      <c r="L424"/>
      <c r="M424" s="3" t="s">
        <v>2402</v>
      </c>
      <c r="N424"/>
      <c r="O424"/>
      <c r="P424"/>
      <c r="Q424" t="s">
        <v>92</v>
      </c>
      <c r="R424"/>
      <c r="S424"/>
      <c r="T424"/>
      <c r="U424" t="s">
        <v>93</v>
      </c>
      <c r="W424" s="3"/>
      <c r="AA424" t="s">
        <v>92</v>
      </c>
      <c r="AB424" t="s">
        <v>92</v>
      </c>
      <c r="AC424" s="7"/>
      <c r="AD424" s="15"/>
      <c r="AE424" s="7"/>
    </row>
    <row r="425" spans="1:34" ht="15" hidden="1" customHeight="1">
      <c r="A425">
        <v>14100</v>
      </c>
      <c r="B425" s="3" t="s">
        <v>1475</v>
      </c>
      <c r="C425" s="3" t="str">
        <f t="shared" si="26"/>
        <v>glBatchType.Shortcode</v>
      </c>
      <c r="D425" s="3">
        <v>391</v>
      </c>
      <c r="E425" s="3" t="str">
        <f t="shared" si="27"/>
        <v>glBatchType</v>
      </c>
      <c r="F425" t="s">
        <v>89</v>
      </c>
      <c r="G425" s="3" t="s">
        <v>6434</v>
      </c>
      <c r="H425" s="3" t="str">
        <f t="shared" si="28"/>
        <v>General Ledger.Batch Type</v>
      </c>
      <c r="I425"/>
      <c r="K425" s="3" t="s">
        <v>117</v>
      </c>
      <c r="M425" s="3" t="s">
        <v>196</v>
      </c>
      <c r="Q425" s="3" t="s">
        <v>92</v>
      </c>
      <c r="U425" s="3" t="s">
        <v>93</v>
      </c>
      <c r="AB425" t="s">
        <v>92</v>
      </c>
      <c r="AF425" t="s">
        <v>725</v>
      </c>
    </row>
    <row r="426" spans="1:34" ht="15" hidden="1" customHeight="1">
      <c r="A426">
        <v>14110</v>
      </c>
      <c r="B426" s="3" t="s">
        <v>1475</v>
      </c>
      <c r="C426" s="3" t="str">
        <f t="shared" si="26"/>
        <v>glBatchType.StartDate</v>
      </c>
      <c r="D426" s="3">
        <v>391</v>
      </c>
      <c r="E426" s="3" t="str">
        <f t="shared" si="27"/>
        <v>glBatchType</v>
      </c>
      <c r="F426" t="s">
        <v>17</v>
      </c>
      <c r="G426" s="3" t="s">
        <v>6424</v>
      </c>
      <c r="H426" s="3" t="str">
        <f t="shared" si="28"/>
        <v>General Ledger.Batch Type</v>
      </c>
      <c r="I426"/>
      <c r="K426" s="3" t="s">
        <v>108</v>
      </c>
      <c r="M426" s="3" t="s">
        <v>81</v>
      </c>
      <c r="Q426" s="3" t="s">
        <v>92</v>
      </c>
      <c r="U426" s="3" t="s">
        <v>93</v>
      </c>
      <c r="AB426" t="s">
        <v>92</v>
      </c>
      <c r="AF426" t="s">
        <v>727</v>
      </c>
    </row>
    <row r="427" spans="1:34" ht="15" hidden="1" customHeight="1">
      <c r="A427">
        <v>14120</v>
      </c>
      <c r="B427" s="3" t="s">
        <v>1475</v>
      </c>
      <c r="C427" s="3" t="str">
        <f t="shared" si="26"/>
        <v>glBatchType.RowStatus</v>
      </c>
      <c r="D427">
        <v>391</v>
      </c>
      <c r="E427" s="3" t="str">
        <f t="shared" si="27"/>
        <v>glBatchType</v>
      </c>
      <c r="F427" t="s">
        <v>1445</v>
      </c>
      <c r="G427" s="3" t="s">
        <v>6411</v>
      </c>
      <c r="H427" s="3" t="str">
        <f t="shared" si="28"/>
        <v>General Ledger.Batch Type</v>
      </c>
      <c r="I427"/>
      <c r="K427" t="s">
        <v>2471</v>
      </c>
      <c r="M427" t="s">
        <v>976</v>
      </c>
      <c r="N427">
        <v>1</v>
      </c>
      <c r="Q427" s="3" t="s">
        <v>919</v>
      </c>
      <c r="U427" s="3" t="s">
        <v>94</v>
      </c>
    </row>
    <row r="428" spans="1:34" ht="15" hidden="1" customHeight="1">
      <c r="A428">
        <v>14130</v>
      </c>
      <c r="B428" t="s">
        <v>1475</v>
      </c>
      <c r="C428" s="3" t="str">
        <f t="shared" si="26"/>
        <v>glBatchType.sysChangeHistoryID</v>
      </c>
      <c r="D428">
        <v>391</v>
      </c>
      <c r="E428" s="3" t="str">
        <f t="shared" si="27"/>
        <v>glBatchType</v>
      </c>
      <c r="F428" t="s">
        <v>2497</v>
      </c>
      <c r="G428" s="3" t="s">
        <v>6403</v>
      </c>
      <c r="H428" s="3" t="str">
        <f t="shared" si="28"/>
        <v>General Ledger.Batch Type</v>
      </c>
      <c r="I428"/>
      <c r="K428" t="s">
        <v>1210</v>
      </c>
      <c r="L428"/>
      <c r="M428" t="s">
        <v>6007</v>
      </c>
      <c r="N428"/>
      <c r="O428"/>
      <c r="P428"/>
      <c r="Q428" t="s">
        <v>92</v>
      </c>
      <c r="R428"/>
      <c r="S428"/>
      <c r="U428" t="s">
        <v>1429</v>
      </c>
      <c r="W428" s="3"/>
      <c r="X428" s="3"/>
    </row>
    <row r="429" spans="1:34" ht="15" hidden="1" customHeight="1">
      <c r="A429">
        <v>14140</v>
      </c>
      <c r="B429" t="s">
        <v>1475</v>
      </c>
      <c r="C429" s="3" t="str">
        <f t="shared" si="26"/>
        <v>glBillingAccount.ID</v>
      </c>
      <c r="D429">
        <v>321</v>
      </c>
      <c r="E429" s="3" t="str">
        <f t="shared" si="27"/>
        <v>glBillingAccount</v>
      </c>
      <c r="F429" t="s">
        <v>0</v>
      </c>
      <c r="G429" s="3" t="s">
        <v>6574</v>
      </c>
      <c r="H429" s="3" t="str">
        <f t="shared" si="28"/>
        <v>General Ledger.Billing Account</v>
      </c>
      <c r="I429"/>
      <c r="K429" t="s">
        <v>1094</v>
      </c>
      <c r="L429"/>
      <c r="M429" t="s">
        <v>6007</v>
      </c>
      <c r="N429"/>
      <c r="O429"/>
      <c r="P429"/>
      <c r="Q429" s="3" t="s">
        <v>919</v>
      </c>
      <c r="R429"/>
      <c r="S429"/>
      <c r="U429" s="3" t="s">
        <v>95</v>
      </c>
      <c r="AC429" t="s">
        <v>92</v>
      </c>
    </row>
    <row r="430" spans="1:34" ht="15" hidden="1" customHeight="1">
      <c r="A430">
        <v>14150</v>
      </c>
      <c r="B430" t="s">
        <v>1475</v>
      </c>
      <c r="C430" s="3" t="str">
        <f t="shared" si="26"/>
        <v>glBillingAccount.crmContactID</v>
      </c>
      <c r="D430">
        <v>321</v>
      </c>
      <c r="E430" s="3" t="str">
        <f t="shared" si="27"/>
        <v>glBillingAccount</v>
      </c>
      <c r="F430" t="str">
        <f>VLOOKUP(V430,DictionaryTableID,3,FALSE)&amp;"ID"&amp;X430</f>
        <v>crmContactID</v>
      </c>
      <c r="G430" s="3" t="s">
        <v>6448</v>
      </c>
      <c r="H430" s="3" t="str">
        <f t="shared" si="28"/>
        <v>General Ledger.Billing Account</v>
      </c>
      <c r="I430"/>
      <c r="K430" t="s">
        <v>29</v>
      </c>
      <c r="L430"/>
      <c r="M430" t="s">
        <v>6007</v>
      </c>
      <c r="N430"/>
      <c r="O430"/>
      <c r="P430"/>
      <c r="Q430" t="s">
        <v>919</v>
      </c>
      <c r="R430"/>
      <c r="S430"/>
      <c r="U430" t="s">
        <v>96</v>
      </c>
      <c r="V430">
        <v>100</v>
      </c>
      <c r="W430" s="3" t="str">
        <f>VLOOKUP(V430,DictionaryTableID,3,FALSE)</f>
        <v>crmContact</v>
      </c>
      <c r="X430" s="3" t="s">
        <v>1036</v>
      </c>
      <c r="AB430" t="s">
        <v>92</v>
      </c>
      <c r="AC430" t="s">
        <v>92</v>
      </c>
    </row>
    <row r="431" spans="1:34" ht="15" hidden="1" customHeight="1">
      <c r="A431">
        <v>14160</v>
      </c>
      <c r="B431" t="s">
        <v>1475</v>
      </c>
      <c r="C431" s="3" t="str">
        <f t="shared" si="26"/>
        <v>glBillingAccount.glAccountID</v>
      </c>
      <c r="D431">
        <v>321</v>
      </c>
      <c r="E431" s="3" t="str">
        <f t="shared" si="27"/>
        <v>glBillingAccount</v>
      </c>
      <c r="F431" t="str">
        <f>VLOOKUP(V431,DictionaryTableID,3,FALSE)&amp;"ID"&amp;X431</f>
        <v>glAccountID</v>
      </c>
      <c r="G431" s="3" t="s">
        <v>6461</v>
      </c>
      <c r="H431" s="3" t="str">
        <f t="shared" si="28"/>
        <v>General Ledger.Billing Account</v>
      </c>
      <c r="I431"/>
      <c r="K431" t="s">
        <v>123</v>
      </c>
      <c r="L431"/>
      <c r="M431" t="s">
        <v>6007</v>
      </c>
      <c r="N431"/>
      <c r="O431"/>
      <c r="P431"/>
      <c r="Q431" t="s">
        <v>919</v>
      </c>
      <c r="R431"/>
      <c r="S431"/>
      <c r="U431" t="s">
        <v>96</v>
      </c>
      <c r="V431">
        <v>300</v>
      </c>
      <c r="W431" s="3" t="str">
        <f>VLOOKUP(V431,DictionaryTableID,3,FALSE)</f>
        <v>glAccount</v>
      </c>
      <c r="X431" s="3" t="s">
        <v>1036</v>
      </c>
      <c r="AB431" t="s">
        <v>92</v>
      </c>
      <c r="AC431" t="s">
        <v>92</v>
      </c>
    </row>
    <row r="432" spans="1:34" ht="15" hidden="1" customHeight="1">
      <c r="A432">
        <v>14170</v>
      </c>
      <c r="B432" t="s">
        <v>1475</v>
      </c>
      <c r="C432" s="3" t="str">
        <f t="shared" si="26"/>
        <v>glBillingAccount.glBillingAccountStatusID</v>
      </c>
      <c r="D432">
        <v>321</v>
      </c>
      <c r="E432" s="3" t="str">
        <f t="shared" si="27"/>
        <v>glBillingAccount</v>
      </c>
      <c r="F432" t="str">
        <f>VLOOKUP(V432,DictionaryTableID,3,FALSE)&amp;"ID"&amp;X432</f>
        <v>glBillingAccountStatusID</v>
      </c>
      <c r="G432" s="3" t="s">
        <v>6575</v>
      </c>
      <c r="H432" s="3" t="str">
        <f t="shared" si="28"/>
        <v>General Ledger.Billing Account</v>
      </c>
      <c r="I432"/>
      <c r="K432" t="s">
        <v>55</v>
      </c>
      <c r="L432"/>
      <c r="M432" t="s">
        <v>6007</v>
      </c>
      <c r="N432"/>
      <c r="O432"/>
      <c r="P432"/>
      <c r="Q432" t="s">
        <v>919</v>
      </c>
      <c r="R432"/>
      <c r="S432"/>
      <c r="U432" t="s">
        <v>96</v>
      </c>
      <c r="V432">
        <v>323</v>
      </c>
      <c r="W432" s="3" t="str">
        <f>VLOOKUP(V432,DictionaryTableID,3,FALSE)</f>
        <v>glBillingAccountStatus</v>
      </c>
      <c r="X432" s="3"/>
      <c r="AB432" t="s">
        <v>92</v>
      </c>
    </row>
    <row r="433" spans="1:34" ht="15" hidden="1" customHeight="1">
      <c r="A433">
        <v>14180</v>
      </c>
      <c r="B433" s="3" t="s">
        <v>1475</v>
      </c>
      <c r="C433" s="3" t="str">
        <f t="shared" si="26"/>
        <v>glBillingAccount.glBillingMethodID</v>
      </c>
      <c r="D433">
        <v>321</v>
      </c>
      <c r="E433" s="3" t="str">
        <f t="shared" si="27"/>
        <v>glBillingAccount</v>
      </c>
      <c r="F433" t="str">
        <f>VLOOKUP(V433,DictionaryTableID,3,FALSE)&amp;"ID"&amp;X433</f>
        <v>glBillingMethodID</v>
      </c>
      <c r="G433" s="3" t="s">
        <v>1322</v>
      </c>
      <c r="H433" s="3" t="str">
        <f t="shared" si="28"/>
        <v>General Ledger.Billing Account</v>
      </c>
      <c r="I433"/>
      <c r="K433" s="3" t="s">
        <v>389</v>
      </c>
      <c r="M433" t="s">
        <v>6007</v>
      </c>
      <c r="Q433" s="3" t="s">
        <v>92</v>
      </c>
      <c r="U433" s="3" t="s">
        <v>96</v>
      </c>
      <c r="V433">
        <v>392</v>
      </c>
      <c r="W433" s="3" t="str">
        <f>VLOOKUP(V433,DictionaryTableID,3,FALSE)</f>
        <v>glBillingMethod</v>
      </c>
      <c r="X433" s="3"/>
      <c r="AB433" t="s">
        <v>92</v>
      </c>
      <c r="AF433" t="s">
        <v>520</v>
      </c>
    </row>
    <row r="434" spans="1:34" ht="15" hidden="1" customHeight="1">
      <c r="A434">
        <v>14190</v>
      </c>
      <c r="B434" t="s">
        <v>1475</v>
      </c>
      <c r="C434" s="3" t="str">
        <f t="shared" si="26"/>
        <v>glBillingAccount.glEFTTypeID</v>
      </c>
      <c r="D434">
        <v>321</v>
      </c>
      <c r="E434" s="3" t="str">
        <f t="shared" si="27"/>
        <v>glBillingAccount</v>
      </c>
      <c r="F434" t="str">
        <f>VLOOKUP(V434,DictionaryTableID,3,FALSE)&amp;"ID"&amp;X434</f>
        <v>glEFTTypeID</v>
      </c>
      <c r="G434" s="3" t="s">
        <v>6576</v>
      </c>
      <c r="H434" s="3" t="str">
        <f t="shared" si="28"/>
        <v>General Ledger.Billing Account</v>
      </c>
      <c r="I434"/>
      <c r="K434" t="s">
        <v>1142</v>
      </c>
      <c r="L434"/>
      <c r="M434" t="s">
        <v>6007</v>
      </c>
      <c r="N434"/>
      <c r="O434"/>
      <c r="P434"/>
      <c r="Q434" t="s">
        <v>92</v>
      </c>
      <c r="R434"/>
      <c r="S434"/>
      <c r="U434" s="3" t="s">
        <v>96</v>
      </c>
      <c r="V434">
        <v>393</v>
      </c>
      <c r="W434" s="3" t="str">
        <f>VLOOKUP(V434,DictionaryTableID,3,FALSE)</f>
        <v>glEFTType</v>
      </c>
      <c r="X434" s="3"/>
      <c r="AB434" t="s">
        <v>92</v>
      </c>
    </row>
    <row r="435" spans="1:34" ht="15" hidden="1" customHeight="1">
      <c r="A435">
        <v>14200</v>
      </c>
      <c r="B435" t="s">
        <v>1475</v>
      </c>
      <c r="C435" s="3" t="str">
        <f t="shared" si="26"/>
        <v>glBillingAccount.AccountNumber</v>
      </c>
      <c r="D435">
        <v>321</v>
      </c>
      <c r="E435" s="3" t="str">
        <f t="shared" si="27"/>
        <v>glBillingAccount</v>
      </c>
      <c r="F435" t="s">
        <v>1101</v>
      </c>
      <c r="G435" s="3" t="s">
        <v>1102</v>
      </c>
      <c r="H435" s="3" t="str">
        <f t="shared" si="28"/>
        <v>General Ledger.Billing Account</v>
      </c>
      <c r="I435"/>
      <c r="K435" t="s">
        <v>1103</v>
      </c>
      <c r="L435"/>
      <c r="M435" t="s">
        <v>196</v>
      </c>
      <c r="N435"/>
      <c r="O435"/>
      <c r="P435"/>
      <c r="Q435" t="s">
        <v>92</v>
      </c>
      <c r="R435"/>
      <c r="S435" s="20"/>
      <c r="U435" t="s">
        <v>93</v>
      </c>
      <c r="AB435" t="s">
        <v>92</v>
      </c>
    </row>
    <row r="436" spans="1:34" ht="15" hidden="1" customHeight="1">
      <c r="A436">
        <v>14210</v>
      </c>
      <c r="B436" t="s">
        <v>1475</v>
      </c>
      <c r="C436" s="3" t="str">
        <f t="shared" si="26"/>
        <v>glBillingAccount.Comments</v>
      </c>
      <c r="D436">
        <v>321</v>
      </c>
      <c r="E436" s="3" t="str">
        <f t="shared" si="27"/>
        <v>glBillingAccount</v>
      </c>
      <c r="F436" t="s">
        <v>14</v>
      </c>
      <c r="G436" s="3" t="s">
        <v>14</v>
      </c>
      <c r="H436" s="3" t="str">
        <f t="shared" si="28"/>
        <v>General Ledger.Billing Account</v>
      </c>
      <c r="I436"/>
      <c r="K436" s="3" t="s">
        <v>14</v>
      </c>
      <c r="L436"/>
      <c r="M436" t="s">
        <v>196</v>
      </c>
      <c r="N436"/>
      <c r="O436"/>
      <c r="P436"/>
      <c r="Q436" t="s">
        <v>92</v>
      </c>
      <c r="R436"/>
      <c r="S436" s="20"/>
      <c r="U436" t="s">
        <v>93</v>
      </c>
      <c r="AB436" t="s">
        <v>92</v>
      </c>
    </row>
    <row r="437" spans="1:34" ht="15" hidden="1" customHeight="1">
      <c r="A437">
        <v>14220</v>
      </c>
      <c r="B437" t="s">
        <v>1475</v>
      </c>
      <c r="C437" s="3" t="str">
        <f t="shared" si="26"/>
        <v>glBillingAccount.CurrentBalance</v>
      </c>
      <c r="D437">
        <v>321</v>
      </c>
      <c r="E437" s="3" t="str">
        <f t="shared" si="27"/>
        <v>glBillingAccount</v>
      </c>
      <c r="F437" t="s">
        <v>1095</v>
      </c>
      <c r="G437" s="3" t="s">
        <v>6577</v>
      </c>
      <c r="H437" s="3" t="str">
        <f t="shared" si="28"/>
        <v>General Ledger.Billing Account</v>
      </c>
      <c r="I437"/>
      <c r="K437" t="s">
        <v>1096</v>
      </c>
      <c r="L437"/>
      <c r="M437" s="3" t="s">
        <v>197</v>
      </c>
      <c r="N437" s="3">
        <v>19</v>
      </c>
      <c r="O437" s="3">
        <v>2</v>
      </c>
      <c r="P437"/>
      <c r="Q437" t="s">
        <v>92</v>
      </c>
      <c r="R437"/>
      <c r="S437"/>
      <c r="U437" t="s">
        <v>93</v>
      </c>
    </row>
    <row r="438" spans="1:34" ht="15" hidden="1" customHeight="1">
      <c r="A438">
        <v>14230</v>
      </c>
      <c r="B438" t="s">
        <v>1475</v>
      </c>
      <c r="C438" s="3" t="str">
        <f t="shared" si="26"/>
        <v>glBillingAccount.DueDate</v>
      </c>
      <c r="D438">
        <v>321</v>
      </c>
      <c r="E438" s="3" t="str">
        <f t="shared" si="27"/>
        <v>glBillingAccount</v>
      </c>
      <c r="F438" t="s">
        <v>1075</v>
      </c>
      <c r="G438" s="3" t="s">
        <v>1104</v>
      </c>
      <c r="H438" s="3" t="str">
        <f t="shared" si="28"/>
        <v>General Ledger.Billing Account</v>
      </c>
      <c r="I438"/>
      <c r="K438" t="s">
        <v>1076</v>
      </c>
      <c r="L438"/>
      <c r="M438" s="3" t="s">
        <v>81</v>
      </c>
      <c r="N438"/>
      <c r="O438"/>
      <c r="P438"/>
      <c r="Q438" t="s">
        <v>92</v>
      </c>
      <c r="R438"/>
      <c r="S438" s="20"/>
      <c r="U438" t="s">
        <v>93</v>
      </c>
      <c r="AB438" t="s">
        <v>92</v>
      </c>
    </row>
    <row r="439" spans="1:34" ht="15" hidden="1" customHeight="1">
      <c r="A439">
        <v>14240</v>
      </c>
      <c r="B439" s="3" t="s">
        <v>1475</v>
      </c>
      <c r="C439" s="3" t="str">
        <f t="shared" si="26"/>
        <v>glBillingAccount.HoursPerDay</v>
      </c>
      <c r="D439">
        <v>321</v>
      </c>
      <c r="E439" s="3" t="str">
        <f t="shared" si="27"/>
        <v>glBillingAccount</v>
      </c>
      <c r="F439" t="s">
        <v>312</v>
      </c>
      <c r="G439" s="3" t="s">
        <v>6578</v>
      </c>
      <c r="H439" s="3" t="str">
        <f t="shared" si="28"/>
        <v>General Ledger.Billing Account</v>
      </c>
      <c r="I439"/>
      <c r="K439" s="3" t="s">
        <v>388</v>
      </c>
      <c r="M439" s="3" t="s">
        <v>197</v>
      </c>
      <c r="N439" s="3">
        <v>9</v>
      </c>
      <c r="O439" s="3">
        <v>2</v>
      </c>
      <c r="Q439" s="3" t="s">
        <v>92</v>
      </c>
      <c r="U439" s="3" t="s">
        <v>93</v>
      </c>
      <c r="AB439" t="s">
        <v>92</v>
      </c>
      <c r="AF439" t="s">
        <v>519</v>
      </c>
    </row>
    <row r="440" spans="1:34" ht="15" hidden="1" customHeight="1">
      <c r="A440">
        <v>14250</v>
      </c>
      <c r="B440" t="s">
        <v>1475</v>
      </c>
      <c r="C440" s="3" t="str">
        <f t="shared" si="26"/>
        <v>glBillingAccount.IsGSTExempt</v>
      </c>
      <c r="D440">
        <v>321</v>
      </c>
      <c r="E440" s="3" t="str">
        <f t="shared" si="27"/>
        <v>glBillingAccount</v>
      </c>
      <c r="F440" t="s">
        <v>1339</v>
      </c>
      <c r="G440" s="3" t="s">
        <v>6579</v>
      </c>
      <c r="H440" s="3" t="str">
        <f t="shared" si="28"/>
        <v>General Ledger.Billing Account</v>
      </c>
      <c r="I440"/>
      <c r="K440" t="s">
        <v>1097</v>
      </c>
      <c r="L440"/>
      <c r="M440" s="3" t="s">
        <v>2402</v>
      </c>
      <c r="N440"/>
      <c r="O440"/>
      <c r="P440"/>
      <c r="Q440" t="s">
        <v>919</v>
      </c>
      <c r="R440"/>
      <c r="S440" t="b">
        <v>0</v>
      </c>
      <c r="U440" t="s">
        <v>93</v>
      </c>
      <c r="AB440" t="s">
        <v>92</v>
      </c>
    </row>
    <row r="441" spans="1:34" ht="15" hidden="1" customHeight="1">
      <c r="A441">
        <v>14260</v>
      </c>
      <c r="B441" t="s">
        <v>1475</v>
      </c>
      <c r="C441" s="3" t="str">
        <f t="shared" si="26"/>
        <v>glBillingAccount.IsHSTExempt</v>
      </c>
      <c r="D441">
        <v>321</v>
      </c>
      <c r="E441" s="3" t="str">
        <f t="shared" si="27"/>
        <v>glBillingAccount</v>
      </c>
      <c r="F441" t="s">
        <v>1340</v>
      </c>
      <c r="G441" s="3" t="s">
        <v>6580</v>
      </c>
      <c r="H441" s="3" t="str">
        <f t="shared" si="28"/>
        <v>General Ledger.Billing Account</v>
      </c>
      <c r="I441"/>
      <c r="K441" t="s">
        <v>1098</v>
      </c>
      <c r="L441"/>
      <c r="M441" s="3" t="s">
        <v>2402</v>
      </c>
      <c r="N441"/>
      <c r="O441"/>
      <c r="P441"/>
      <c r="Q441" t="s">
        <v>92</v>
      </c>
      <c r="R441"/>
      <c r="S441"/>
      <c r="U441" t="s">
        <v>93</v>
      </c>
      <c r="AB441" t="s">
        <v>92</v>
      </c>
    </row>
    <row r="442" spans="1:34" ht="15" hidden="1" customHeight="1">
      <c r="A442">
        <v>14270</v>
      </c>
      <c r="B442" t="s">
        <v>1475</v>
      </c>
      <c r="C442" s="3" t="str">
        <f t="shared" si="26"/>
        <v>glBillingAccount.IsPremiumTaxExempt</v>
      </c>
      <c r="D442">
        <v>321</v>
      </c>
      <c r="E442" s="3" t="str">
        <f t="shared" si="27"/>
        <v>glBillingAccount</v>
      </c>
      <c r="F442" t="s">
        <v>1341</v>
      </c>
      <c r="G442" s="3" t="s">
        <v>6581</v>
      </c>
      <c r="H442" s="3" t="str">
        <f t="shared" si="28"/>
        <v>General Ledger.Billing Account</v>
      </c>
      <c r="I442"/>
      <c r="K442" t="s">
        <v>1099</v>
      </c>
      <c r="L442"/>
      <c r="M442" s="3" t="s">
        <v>2402</v>
      </c>
      <c r="N442"/>
      <c r="O442"/>
      <c r="P442"/>
      <c r="Q442" t="s">
        <v>92</v>
      </c>
      <c r="R442"/>
      <c r="S442"/>
      <c r="U442" t="s">
        <v>93</v>
      </c>
      <c r="AB442" t="s">
        <v>92</v>
      </c>
    </row>
    <row r="443" spans="1:34" ht="15" hidden="1" customHeight="1">
      <c r="A443">
        <v>14280</v>
      </c>
      <c r="B443" t="s">
        <v>1475</v>
      </c>
      <c r="C443" s="3" t="str">
        <f t="shared" si="26"/>
        <v>glBillingAccount.IsPSTExempt</v>
      </c>
      <c r="D443">
        <v>321</v>
      </c>
      <c r="E443" s="3" t="str">
        <f t="shared" si="27"/>
        <v>glBillingAccount</v>
      </c>
      <c r="F443" t="s">
        <v>1342</v>
      </c>
      <c r="G443" s="3" t="s">
        <v>6582</v>
      </c>
      <c r="H443" s="3" t="str">
        <f t="shared" si="28"/>
        <v>General Ledger.Billing Account</v>
      </c>
      <c r="I443"/>
      <c r="K443" t="s">
        <v>1100</v>
      </c>
      <c r="L443"/>
      <c r="M443" s="3" t="s">
        <v>2402</v>
      </c>
      <c r="N443"/>
      <c r="O443"/>
      <c r="P443"/>
      <c r="Q443" t="s">
        <v>92</v>
      </c>
      <c r="R443"/>
      <c r="S443"/>
      <c r="U443" t="s">
        <v>93</v>
      </c>
      <c r="AB443" t="s">
        <v>92</v>
      </c>
    </row>
    <row r="444" spans="1:34" ht="15" hidden="1" customHeight="1">
      <c r="A444">
        <v>14290</v>
      </c>
      <c r="B444" t="s">
        <v>1475</v>
      </c>
      <c r="C444" s="3" t="str">
        <f t="shared" si="26"/>
        <v>glBillingAccount.ManualAmount</v>
      </c>
      <c r="D444">
        <v>321</v>
      </c>
      <c r="E444" s="3" t="str">
        <f t="shared" si="27"/>
        <v>glBillingAccount</v>
      </c>
      <c r="F444" t="s">
        <v>1105</v>
      </c>
      <c r="G444" s="3" t="s">
        <v>1106</v>
      </c>
      <c r="H444" s="3" t="str">
        <f t="shared" si="28"/>
        <v>General Ledger.Billing Account</v>
      </c>
      <c r="I444"/>
      <c r="K444" t="s">
        <v>1107</v>
      </c>
      <c r="L444"/>
      <c r="M444" s="3" t="s">
        <v>197</v>
      </c>
      <c r="N444" s="3">
        <v>19</v>
      </c>
      <c r="O444" s="3">
        <v>2</v>
      </c>
      <c r="P444"/>
      <c r="Q444" t="s">
        <v>92</v>
      </c>
      <c r="R444"/>
      <c r="S444" s="20"/>
      <c r="U444" t="s">
        <v>93</v>
      </c>
      <c r="AB444" t="s">
        <v>92</v>
      </c>
    </row>
    <row r="445" spans="1:34" ht="15" hidden="1" customHeight="1">
      <c r="A445">
        <v>14300</v>
      </c>
      <c r="B445" t="s">
        <v>1475</v>
      </c>
      <c r="C445" s="3" t="str">
        <f t="shared" si="26"/>
        <v>glBillingAccount.Name</v>
      </c>
      <c r="D445">
        <v>321</v>
      </c>
      <c r="E445" s="3" t="str">
        <f t="shared" si="27"/>
        <v>glBillingAccount</v>
      </c>
      <c r="F445" t="s">
        <v>22</v>
      </c>
      <c r="G445" s="3" t="s">
        <v>6924</v>
      </c>
      <c r="H445" s="3" t="str">
        <f t="shared" si="28"/>
        <v>General Ledger.Billing Account</v>
      </c>
      <c r="I445"/>
      <c r="K445" t="s">
        <v>22</v>
      </c>
      <c r="L445"/>
      <c r="M445" t="s">
        <v>196</v>
      </c>
      <c r="N445"/>
      <c r="O445"/>
      <c r="P445"/>
      <c r="Q445" t="s">
        <v>919</v>
      </c>
      <c r="R445"/>
      <c r="S445"/>
      <c r="U445" t="s">
        <v>93</v>
      </c>
      <c r="AB445" t="s">
        <v>92</v>
      </c>
      <c r="AH445" t="s">
        <v>92</v>
      </c>
    </row>
    <row r="446" spans="1:34" ht="15" hidden="1" customHeight="1">
      <c r="A446">
        <v>14310</v>
      </c>
      <c r="B446" t="s">
        <v>1475</v>
      </c>
      <c r="C446" s="3" t="str">
        <f t="shared" si="26"/>
        <v>glBillingAccount.PaymentTerms</v>
      </c>
      <c r="D446">
        <v>321</v>
      </c>
      <c r="E446" s="3" t="str">
        <f t="shared" si="27"/>
        <v>glBillingAccount</v>
      </c>
      <c r="F446" t="s">
        <v>1108</v>
      </c>
      <c r="G446" s="3" t="s">
        <v>6583</v>
      </c>
      <c r="H446" s="3" t="str">
        <f t="shared" si="28"/>
        <v>General Ledger.Billing Account</v>
      </c>
      <c r="I446"/>
      <c r="K446" t="s">
        <v>1109</v>
      </c>
      <c r="L446"/>
      <c r="M446" t="s">
        <v>195</v>
      </c>
      <c r="N446"/>
      <c r="O446"/>
      <c r="P446"/>
      <c r="Q446" t="s">
        <v>92</v>
      </c>
      <c r="R446"/>
      <c r="S446" s="20"/>
      <c r="U446" t="s">
        <v>93</v>
      </c>
      <c r="AB446" t="s">
        <v>92</v>
      </c>
    </row>
    <row r="447" spans="1:34" ht="15" hidden="1" customHeight="1">
      <c r="A447">
        <v>14320</v>
      </c>
      <c r="B447" t="s">
        <v>1475</v>
      </c>
      <c r="C447" s="3" t="str">
        <f t="shared" si="26"/>
        <v>glBillingAccount.TransitNumber</v>
      </c>
      <c r="D447">
        <v>321</v>
      </c>
      <c r="E447" s="3" t="str">
        <f t="shared" si="27"/>
        <v>glBillingAccount</v>
      </c>
      <c r="F447" t="s">
        <v>1282</v>
      </c>
      <c r="G447" s="3" t="s">
        <v>6584</v>
      </c>
      <c r="H447" s="3" t="str">
        <f t="shared" si="28"/>
        <v>General Ledger.Billing Account</v>
      </c>
      <c r="I447"/>
      <c r="K447" t="s">
        <v>1147</v>
      </c>
      <c r="L447"/>
      <c r="M447" t="s">
        <v>196</v>
      </c>
      <c r="N447"/>
      <c r="O447"/>
      <c r="P447"/>
      <c r="Q447" t="s">
        <v>92</v>
      </c>
      <c r="R447"/>
      <c r="S447"/>
      <c r="U447" t="s">
        <v>93</v>
      </c>
      <c r="AB447" t="s">
        <v>92</v>
      </c>
    </row>
    <row r="448" spans="1:34" ht="15" hidden="1" customHeight="1">
      <c r="A448">
        <v>14330</v>
      </c>
      <c r="B448" t="s">
        <v>1475</v>
      </c>
      <c r="C448" s="3" t="str">
        <f t="shared" si="26"/>
        <v>glBillingAccount.TypeID</v>
      </c>
      <c r="D448">
        <v>321</v>
      </c>
      <c r="E448" s="3" t="str">
        <f t="shared" si="27"/>
        <v>glBillingAccount</v>
      </c>
      <c r="F448" t="s">
        <v>1026</v>
      </c>
      <c r="G448" s="3" t="s">
        <v>6585</v>
      </c>
      <c r="H448" s="3" t="str">
        <f t="shared" si="28"/>
        <v>General Ledger.Billing Account</v>
      </c>
      <c r="I448"/>
      <c r="K448" t="s">
        <v>40</v>
      </c>
      <c r="L448"/>
      <c r="M448" t="s">
        <v>195</v>
      </c>
      <c r="N448"/>
      <c r="O448"/>
      <c r="P448"/>
      <c r="Q448" t="s">
        <v>92</v>
      </c>
      <c r="R448"/>
      <c r="S448"/>
      <c r="U448" t="s">
        <v>93</v>
      </c>
      <c r="AB448" t="s">
        <v>92</v>
      </c>
    </row>
    <row r="449" spans="1:34" ht="15" hidden="1" customHeight="1">
      <c r="A449">
        <v>14340</v>
      </c>
      <c r="B449" t="s">
        <v>1475</v>
      </c>
      <c r="C449" s="3" t="str">
        <f t="shared" si="26"/>
        <v>glBillingAccount.RowStatus</v>
      </c>
      <c r="D449">
        <v>321</v>
      </c>
      <c r="E449" s="3" t="str">
        <f t="shared" si="27"/>
        <v>glBillingAccount</v>
      </c>
      <c r="F449" t="s">
        <v>1445</v>
      </c>
      <c r="G449" s="3" t="s">
        <v>6411</v>
      </c>
      <c r="H449" s="3" t="str">
        <f t="shared" si="28"/>
        <v>General Ledger.Billing Account</v>
      </c>
      <c r="I449"/>
      <c r="K449" s="3" t="s">
        <v>2471</v>
      </c>
      <c r="L449"/>
      <c r="M449" t="s">
        <v>976</v>
      </c>
      <c r="N449">
        <v>1</v>
      </c>
      <c r="O449"/>
      <c r="P449"/>
      <c r="Q449" t="s">
        <v>919</v>
      </c>
      <c r="R449"/>
      <c r="S449" s="14"/>
      <c r="U449" t="s">
        <v>94</v>
      </c>
    </row>
    <row r="450" spans="1:34" ht="15" hidden="1" customHeight="1">
      <c r="A450">
        <v>14350</v>
      </c>
      <c r="B450" t="s">
        <v>1475</v>
      </c>
      <c r="C450" s="3" t="str">
        <f t="shared" ref="C450:C513" si="29">CONCATENATE(E450,".",F450)</f>
        <v>glBillingAccount.sysChangeHistoryID</v>
      </c>
      <c r="D450">
        <v>321</v>
      </c>
      <c r="E450" s="3" t="str">
        <f t="shared" si="27"/>
        <v>glBillingAccount</v>
      </c>
      <c r="F450" t="s">
        <v>2497</v>
      </c>
      <c r="G450" s="3" t="s">
        <v>6403</v>
      </c>
      <c r="H450" s="3" t="str">
        <f t="shared" si="28"/>
        <v>General Ledger.Billing Account</v>
      </c>
      <c r="I450"/>
      <c r="K450" t="s">
        <v>1210</v>
      </c>
      <c r="L450"/>
      <c r="M450" t="s">
        <v>6007</v>
      </c>
      <c r="N450"/>
      <c r="O450"/>
      <c r="P450"/>
      <c r="Q450" t="s">
        <v>92</v>
      </c>
      <c r="R450"/>
      <c r="S450"/>
      <c r="U450" t="s">
        <v>1429</v>
      </c>
      <c r="W450" s="3"/>
      <c r="X450" s="3"/>
    </row>
    <row r="451" spans="1:34" ht="15" hidden="1" customHeight="1">
      <c r="A451">
        <v>14360</v>
      </c>
      <c r="B451" s="3" t="s">
        <v>1475</v>
      </c>
      <c r="C451" s="3" t="str">
        <f t="shared" si="29"/>
        <v>glBillingAccountBalance.ID</v>
      </c>
      <c r="D451" s="3">
        <v>322</v>
      </c>
      <c r="E451" s="3" t="str">
        <f t="shared" si="27"/>
        <v>glBillingAccountBalance</v>
      </c>
      <c r="F451" t="s">
        <v>0</v>
      </c>
      <c r="G451" s="3" t="s">
        <v>6586</v>
      </c>
      <c r="H451" s="3" t="str">
        <f t="shared" si="28"/>
        <v>General Ledger.Billing Account Balance</v>
      </c>
      <c r="I451"/>
      <c r="K451" s="3" t="s">
        <v>0</v>
      </c>
      <c r="M451" t="s">
        <v>6007</v>
      </c>
      <c r="Q451" s="3" t="s">
        <v>919</v>
      </c>
      <c r="U451" s="3" t="s">
        <v>95</v>
      </c>
      <c r="AF451" t="s">
        <v>859</v>
      </c>
    </row>
    <row r="452" spans="1:34" ht="15" hidden="1" customHeight="1">
      <c r="A452">
        <v>14370</v>
      </c>
      <c r="B452" s="3" t="s">
        <v>1475</v>
      </c>
      <c r="C452" s="3" t="str">
        <f t="shared" si="29"/>
        <v>glBillingAccountBalance.glAccountID</v>
      </c>
      <c r="D452" s="3">
        <v>322</v>
      </c>
      <c r="E452" s="3" t="str">
        <f t="shared" si="27"/>
        <v>glBillingAccountBalance</v>
      </c>
      <c r="F452" t="str">
        <f>VLOOKUP(V452,DictionaryTableID,3,FALSE)&amp;"ID"&amp;X452</f>
        <v>glAccountID</v>
      </c>
      <c r="G452" s="3" t="s">
        <v>6461</v>
      </c>
      <c r="H452" s="3" t="str">
        <f t="shared" si="28"/>
        <v>General Ledger.Billing Account Balance</v>
      </c>
      <c r="I452"/>
      <c r="K452" s="3" t="s">
        <v>123</v>
      </c>
      <c r="M452" t="s">
        <v>6007</v>
      </c>
      <c r="Q452" s="3" t="s">
        <v>919</v>
      </c>
      <c r="U452" s="3" t="s">
        <v>96</v>
      </c>
      <c r="V452">
        <v>300</v>
      </c>
      <c r="W452" s="3" t="str">
        <f>VLOOKUP(V452,DictionaryTableID,3,FALSE)</f>
        <v>glAccount</v>
      </c>
      <c r="X452" s="3" t="s">
        <v>1036</v>
      </c>
      <c r="AF452" t="s">
        <v>862</v>
      </c>
    </row>
    <row r="453" spans="1:34" ht="15" customHeight="1">
      <c r="A453">
        <v>14380</v>
      </c>
      <c r="B453" s="3" t="s">
        <v>1475</v>
      </c>
      <c r="C453" s="3" t="str">
        <f t="shared" si="29"/>
        <v>glBillingAccountBalance.sysDictionaryTableIDAppliesTo</v>
      </c>
      <c r="D453" s="3">
        <v>322</v>
      </c>
      <c r="E453" s="3" t="str">
        <f t="shared" si="27"/>
        <v>glBillingAccountBalance</v>
      </c>
      <c r="F453" t="str">
        <f>"sysDictionaryTableID"&amp;X453</f>
        <v>sysDictionaryTableIDAppliesTo</v>
      </c>
      <c r="G453" s="3" t="s">
        <v>6471</v>
      </c>
      <c r="H453" s="3" t="str">
        <f t="shared" si="28"/>
        <v>General Ledger.Billing Account Balance</v>
      </c>
      <c r="I453"/>
      <c r="K453" t="s">
        <v>6389</v>
      </c>
      <c r="M453" t="s">
        <v>6007</v>
      </c>
      <c r="N453"/>
      <c r="Q453" s="3" t="s">
        <v>919</v>
      </c>
      <c r="S453" s="19">
        <v>321</v>
      </c>
      <c r="U453" t="s">
        <v>1072</v>
      </c>
      <c r="V453">
        <v>1</v>
      </c>
      <c r="W453" s="3" t="str">
        <f>VLOOKUP(V453,DictionaryTableID,3,FALSE)</f>
        <v>sysDictionaryTable</v>
      </c>
      <c r="X453" s="3" t="s">
        <v>1453</v>
      </c>
      <c r="AF453" t="s">
        <v>860</v>
      </c>
    </row>
    <row r="454" spans="1:34" ht="15" customHeight="1">
      <c r="A454">
        <v>14390</v>
      </c>
      <c r="B454" s="3" t="s">
        <v>1475</v>
      </c>
      <c r="C454" s="3" t="str">
        <f t="shared" si="29"/>
        <v>glBillingAccountBalance.RowIDAppliesTo</v>
      </c>
      <c r="D454" s="3">
        <v>322</v>
      </c>
      <c r="E454" s="3" t="str">
        <f t="shared" si="27"/>
        <v>glBillingAccountBalance</v>
      </c>
      <c r="F454" t="s">
        <v>6150</v>
      </c>
      <c r="G454" s="3" t="s">
        <v>6587</v>
      </c>
      <c r="H454" s="3" t="str">
        <f t="shared" si="28"/>
        <v>General Ledger.Billing Account Balance</v>
      </c>
      <c r="I454"/>
      <c r="K454" s="3" t="s">
        <v>19</v>
      </c>
      <c r="M454" t="s">
        <v>6007</v>
      </c>
      <c r="Q454" s="3" t="s">
        <v>919</v>
      </c>
      <c r="U454" t="s">
        <v>1072</v>
      </c>
      <c r="W454" s="3"/>
      <c r="X454" s="3" t="s">
        <v>1453</v>
      </c>
      <c r="AF454" t="s">
        <v>861</v>
      </c>
    </row>
    <row r="455" spans="1:34" ht="15" hidden="1" customHeight="1">
      <c r="A455">
        <v>14400</v>
      </c>
      <c r="B455" s="3" t="s">
        <v>1475</v>
      </c>
      <c r="C455" s="3" t="str">
        <f t="shared" si="29"/>
        <v>glBillingAccountBalance.Balance</v>
      </c>
      <c r="D455" s="3">
        <v>322</v>
      </c>
      <c r="E455" s="3" t="str">
        <f t="shared" si="27"/>
        <v>glBillingAccountBalance</v>
      </c>
      <c r="F455" t="s">
        <v>260</v>
      </c>
      <c r="G455" s="3" t="s">
        <v>6552</v>
      </c>
      <c r="H455" s="3" t="str">
        <f t="shared" si="28"/>
        <v>General Ledger.Billing Account Balance</v>
      </c>
      <c r="I455"/>
      <c r="K455" s="3" t="s">
        <v>260</v>
      </c>
      <c r="M455" s="3" t="s">
        <v>197</v>
      </c>
      <c r="N455" s="3">
        <v>19</v>
      </c>
      <c r="O455" s="3">
        <v>2</v>
      </c>
      <c r="Q455" s="3" t="s">
        <v>919</v>
      </c>
      <c r="U455" s="3" t="s">
        <v>93</v>
      </c>
      <c r="AF455" t="s">
        <v>863</v>
      </c>
    </row>
    <row r="456" spans="1:34" ht="15" hidden="1" customHeight="1">
      <c r="A456">
        <v>14410</v>
      </c>
      <c r="B456" s="3" t="s">
        <v>1475</v>
      </c>
      <c r="C456" s="3" t="str">
        <f t="shared" si="29"/>
        <v>glBillingAccountBalance.RowStatus</v>
      </c>
      <c r="D456" s="3">
        <v>322</v>
      </c>
      <c r="E456" s="3" t="str">
        <f t="shared" si="27"/>
        <v>glBillingAccountBalance</v>
      </c>
      <c r="F456" t="s">
        <v>1445</v>
      </c>
      <c r="G456" s="3" t="s">
        <v>6411</v>
      </c>
      <c r="H456" s="3" t="str">
        <f t="shared" si="28"/>
        <v>General Ledger.Billing Account Balance</v>
      </c>
      <c r="I456"/>
      <c r="K456" s="3" t="s">
        <v>2471</v>
      </c>
      <c r="M456" t="s">
        <v>976</v>
      </c>
      <c r="N456">
        <v>1</v>
      </c>
      <c r="Q456" s="3" t="s">
        <v>919</v>
      </c>
      <c r="U456" s="3" t="s">
        <v>94</v>
      </c>
    </row>
    <row r="457" spans="1:34" ht="15" hidden="1" customHeight="1">
      <c r="A457">
        <v>14420</v>
      </c>
      <c r="B457" t="s">
        <v>1475</v>
      </c>
      <c r="C457" s="3" t="str">
        <f t="shared" si="29"/>
        <v>glBillingAccountBalance.sysChangeHistoryID</v>
      </c>
      <c r="D457">
        <v>322</v>
      </c>
      <c r="E457" s="3" t="str">
        <f t="shared" si="27"/>
        <v>glBillingAccountBalance</v>
      </c>
      <c r="F457" t="s">
        <v>2497</v>
      </c>
      <c r="G457" s="3" t="s">
        <v>6403</v>
      </c>
      <c r="H457" s="3" t="str">
        <f t="shared" si="28"/>
        <v>General Ledger.Billing Account Balance</v>
      </c>
      <c r="I457"/>
      <c r="K457" t="s">
        <v>1210</v>
      </c>
      <c r="L457"/>
      <c r="M457" t="s">
        <v>6007</v>
      </c>
      <c r="N457"/>
      <c r="O457"/>
      <c r="P457"/>
      <c r="Q457" t="s">
        <v>92</v>
      </c>
      <c r="R457"/>
      <c r="S457"/>
      <c r="U457" t="s">
        <v>1429</v>
      </c>
      <c r="W457" s="3"/>
      <c r="X457" s="3"/>
    </row>
    <row r="458" spans="1:34" ht="15" hidden="1" customHeight="1">
      <c r="A458">
        <v>14430</v>
      </c>
      <c r="B458" s="3" t="s">
        <v>1475</v>
      </c>
      <c r="C458" s="3" t="str">
        <f t="shared" si="29"/>
        <v>glBillingAccountStatus.ID</v>
      </c>
      <c r="D458" s="3">
        <v>323</v>
      </c>
      <c r="E458" s="3" t="str">
        <f t="shared" si="27"/>
        <v>glBillingAccountStatus</v>
      </c>
      <c r="F458" t="s">
        <v>0</v>
      </c>
      <c r="G458" s="3" t="s">
        <v>6588</v>
      </c>
      <c r="H458" s="3" t="str">
        <f t="shared" si="28"/>
        <v>General Ledger.Billing Account Status</v>
      </c>
      <c r="I458"/>
      <c r="K458" t="s">
        <v>0</v>
      </c>
      <c r="M458" t="s">
        <v>6007</v>
      </c>
      <c r="Q458" s="3" t="s">
        <v>919</v>
      </c>
      <c r="U458" s="3" t="s">
        <v>95</v>
      </c>
    </row>
    <row r="459" spans="1:34" ht="15" hidden="1" customHeight="1">
      <c r="A459">
        <v>14440</v>
      </c>
      <c r="B459" s="3" t="s">
        <v>1475</v>
      </c>
      <c r="C459" s="3" t="str">
        <f t="shared" si="29"/>
        <v>glBillingAccountStatus.Description</v>
      </c>
      <c r="D459" s="3">
        <v>323</v>
      </c>
      <c r="E459" s="3" t="str">
        <f t="shared" ref="E459:E522" si="30">VLOOKUP(D459,DictionaryTableID,3,FALSE)</f>
        <v>glBillingAccountStatus</v>
      </c>
      <c r="F459" t="s">
        <v>12</v>
      </c>
      <c r="G459" s="3" t="s">
        <v>6925</v>
      </c>
      <c r="H459" s="3" t="str">
        <f t="shared" ref="H459:H522" si="31">VLOOKUP(E459,DictionaryTables,14,FALSE)</f>
        <v>General Ledger.Billing Account Status</v>
      </c>
      <c r="I459"/>
      <c r="K459" t="s">
        <v>912</v>
      </c>
      <c r="L459" s="3" t="s">
        <v>973</v>
      </c>
      <c r="M459" s="3" t="s">
        <v>196</v>
      </c>
      <c r="Q459" s="3" t="s">
        <v>919</v>
      </c>
      <c r="U459" s="3" t="s">
        <v>93</v>
      </c>
      <c r="W459" s="3"/>
      <c r="Y459" t="s">
        <v>92</v>
      </c>
      <c r="AB459" t="s">
        <v>92</v>
      </c>
      <c r="AH459" t="s">
        <v>92</v>
      </c>
    </row>
    <row r="460" spans="1:34" ht="15" hidden="1" customHeight="1">
      <c r="A460">
        <v>14450</v>
      </c>
      <c r="B460" s="3" t="s">
        <v>1475</v>
      </c>
      <c r="C460" s="3" t="str">
        <f t="shared" si="29"/>
        <v>glBillingAccountStatus.DisplaySequence</v>
      </c>
      <c r="D460" s="3">
        <v>323</v>
      </c>
      <c r="E460" s="3" t="str">
        <f t="shared" si="30"/>
        <v>glBillingAccountStatus</v>
      </c>
      <c r="F460" t="s">
        <v>6055</v>
      </c>
      <c r="G460" s="3" t="s">
        <v>6432</v>
      </c>
      <c r="H460" s="3" t="str">
        <f t="shared" si="31"/>
        <v>General Ledger.Billing Account Status</v>
      </c>
      <c r="I460"/>
      <c r="K460" s="3" t="s">
        <v>6297</v>
      </c>
      <c r="M460" s="3" t="s">
        <v>195</v>
      </c>
      <c r="U460" s="3" t="s">
        <v>93</v>
      </c>
    </row>
    <row r="461" spans="1:34" ht="15" hidden="1" customHeight="1">
      <c r="A461">
        <v>14460</v>
      </c>
      <c r="B461" s="3" t="s">
        <v>1475</v>
      </c>
      <c r="C461" s="3" t="str">
        <f t="shared" si="29"/>
        <v>glBillingAccountStatus.ShortCode</v>
      </c>
      <c r="D461" s="3">
        <v>323</v>
      </c>
      <c r="E461" s="3" t="str">
        <f t="shared" si="30"/>
        <v>glBillingAccountStatus</v>
      </c>
      <c r="F461" t="s">
        <v>16</v>
      </c>
      <c r="G461" s="3" t="s">
        <v>6434</v>
      </c>
      <c r="H461" s="3" t="str">
        <f t="shared" si="31"/>
        <v>General Ledger.Billing Account Status</v>
      </c>
      <c r="I461"/>
      <c r="K461" s="3" t="s">
        <v>117</v>
      </c>
      <c r="L461" s="3" t="s">
        <v>274</v>
      </c>
      <c r="M461" s="3" t="s">
        <v>196</v>
      </c>
      <c r="Q461" s="3" t="s">
        <v>92</v>
      </c>
      <c r="U461" s="3" t="s">
        <v>93</v>
      </c>
      <c r="AB461" t="s">
        <v>92</v>
      </c>
      <c r="AH461" t="s">
        <v>92</v>
      </c>
    </row>
    <row r="462" spans="1:34" ht="15" hidden="1" customHeight="1">
      <c r="A462">
        <v>14470</v>
      </c>
      <c r="B462" s="3" t="s">
        <v>1475</v>
      </c>
      <c r="C462" s="3" t="str">
        <f t="shared" si="29"/>
        <v>glBillingAccountStatus.RowStatus</v>
      </c>
      <c r="D462" s="3">
        <v>323</v>
      </c>
      <c r="E462" s="3" t="str">
        <f t="shared" si="30"/>
        <v>glBillingAccountStatus</v>
      </c>
      <c r="F462" t="s">
        <v>1445</v>
      </c>
      <c r="G462" s="3" t="s">
        <v>6411</v>
      </c>
      <c r="H462" s="3" t="str">
        <f t="shared" si="31"/>
        <v>General Ledger.Billing Account Status</v>
      </c>
      <c r="I462"/>
      <c r="K462" s="3" t="s">
        <v>2471</v>
      </c>
      <c r="M462" t="s">
        <v>976</v>
      </c>
      <c r="N462">
        <v>1</v>
      </c>
      <c r="Q462" s="3" t="s">
        <v>919</v>
      </c>
      <c r="U462" s="3" t="s">
        <v>94</v>
      </c>
    </row>
    <row r="463" spans="1:34" ht="15" hidden="1" customHeight="1">
      <c r="A463">
        <v>14480</v>
      </c>
      <c r="B463" t="s">
        <v>1475</v>
      </c>
      <c r="C463" s="3" t="str">
        <f t="shared" si="29"/>
        <v>glBillingAccountStatus.sysChangeHistoryID</v>
      </c>
      <c r="D463">
        <v>323</v>
      </c>
      <c r="E463" s="3" t="str">
        <f t="shared" si="30"/>
        <v>glBillingAccountStatus</v>
      </c>
      <c r="F463" t="s">
        <v>2497</v>
      </c>
      <c r="G463" s="3" t="s">
        <v>6403</v>
      </c>
      <c r="H463" s="3" t="str">
        <f t="shared" si="31"/>
        <v>General Ledger.Billing Account Status</v>
      </c>
      <c r="I463"/>
      <c r="K463" t="s">
        <v>1210</v>
      </c>
      <c r="L463"/>
      <c r="M463" t="s">
        <v>6007</v>
      </c>
      <c r="N463"/>
      <c r="O463"/>
      <c r="P463"/>
      <c r="Q463" t="s">
        <v>92</v>
      </c>
      <c r="R463"/>
      <c r="S463"/>
      <c r="U463" t="s">
        <v>1429</v>
      </c>
      <c r="W463" s="3"/>
      <c r="X463" s="3"/>
    </row>
    <row r="464" spans="1:34" ht="15" hidden="1" customHeight="1">
      <c r="A464">
        <v>14490</v>
      </c>
      <c r="B464" s="3" t="s">
        <v>1475</v>
      </c>
      <c r="C464" s="3" t="str">
        <f t="shared" si="29"/>
        <v>glBillingMethod.ID</v>
      </c>
      <c r="D464">
        <v>392</v>
      </c>
      <c r="E464" s="3" t="str">
        <f t="shared" si="30"/>
        <v>glBillingMethod</v>
      </c>
      <c r="F464" t="s">
        <v>0</v>
      </c>
      <c r="G464" s="3" t="s">
        <v>6589</v>
      </c>
      <c r="H464" s="3" t="str">
        <f t="shared" si="31"/>
        <v>General Ledger.Billing Method</v>
      </c>
      <c r="I464"/>
      <c r="K464" s="3" t="s">
        <v>0</v>
      </c>
      <c r="M464" t="s">
        <v>6007</v>
      </c>
      <c r="N464"/>
      <c r="O464"/>
      <c r="Q464" s="3" t="s">
        <v>919</v>
      </c>
      <c r="U464" s="3" t="s">
        <v>95</v>
      </c>
    </row>
    <row r="465" spans="1:34" ht="15" hidden="1" customHeight="1">
      <c r="A465">
        <v>14500</v>
      </c>
      <c r="B465" s="3" t="s">
        <v>1475</v>
      </c>
      <c r="C465" s="3" t="str">
        <f t="shared" si="29"/>
        <v>glBillingMethod.Description</v>
      </c>
      <c r="D465">
        <v>392</v>
      </c>
      <c r="E465" s="3" t="str">
        <f t="shared" si="30"/>
        <v>glBillingMethod</v>
      </c>
      <c r="F465" t="s">
        <v>12</v>
      </c>
      <c r="G465" s="3" t="s">
        <v>6893</v>
      </c>
      <c r="H465" s="3" t="str">
        <f t="shared" si="31"/>
        <v>General Ledger.Billing Method</v>
      </c>
      <c r="I465"/>
      <c r="K465" s="3" t="s">
        <v>12</v>
      </c>
      <c r="M465" t="s">
        <v>196</v>
      </c>
      <c r="N465"/>
      <c r="O465"/>
      <c r="Q465" s="3" t="s">
        <v>919</v>
      </c>
      <c r="U465" t="s">
        <v>93</v>
      </c>
      <c r="Y465" t="s">
        <v>92</v>
      </c>
      <c r="AB465" t="s">
        <v>92</v>
      </c>
      <c r="AH465" t="s">
        <v>92</v>
      </c>
    </row>
    <row r="466" spans="1:34" ht="15" hidden="1" customHeight="1">
      <c r="A466">
        <v>14510</v>
      </c>
      <c r="B466" s="3" t="s">
        <v>1475</v>
      </c>
      <c r="C466" s="3" t="str">
        <f t="shared" si="29"/>
        <v>glBillingMethod.ShortCode</v>
      </c>
      <c r="D466">
        <v>392</v>
      </c>
      <c r="E466" s="3" t="str">
        <f t="shared" si="30"/>
        <v>glBillingMethod</v>
      </c>
      <c r="F466" t="s">
        <v>16</v>
      </c>
      <c r="G466" s="3" t="s">
        <v>6434</v>
      </c>
      <c r="H466" s="3" t="str">
        <f t="shared" si="31"/>
        <v>General Ledger.Billing Method</v>
      </c>
      <c r="I466"/>
      <c r="K466" s="3" t="s">
        <v>117</v>
      </c>
      <c r="M466" t="s">
        <v>196</v>
      </c>
      <c r="N466"/>
      <c r="O466"/>
      <c r="Q466" s="3" t="s">
        <v>92</v>
      </c>
      <c r="U466" t="s">
        <v>93</v>
      </c>
      <c r="AB466" t="s">
        <v>92</v>
      </c>
      <c r="AH466" t="s">
        <v>92</v>
      </c>
    </row>
    <row r="467" spans="1:34" ht="15" hidden="1" customHeight="1">
      <c r="A467">
        <v>14520</v>
      </c>
      <c r="B467" s="3" t="s">
        <v>1475</v>
      </c>
      <c r="C467" s="3" t="str">
        <f t="shared" si="29"/>
        <v>glBillingMethod.RowStatus</v>
      </c>
      <c r="D467">
        <v>392</v>
      </c>
      <c r="E467" s="3" t="str">
        <f t="shared" si="30"/>
        <v>glBillingMethod</v>
      </c>
      <c r="F467" t="s">
        <v>1445</v>
      </c>
      <c r="G467" s="3" t="s">
        <v>6411</v>
      </c>
      <c r="H467" s="3" t="str">
        <f t="shared" si="31"/>
        <v>General Ledger.Billing Method</v>
      </c>
      <c r="I467"/>
      <c r="K467" s="3" t="s">
        <v>2471</v>
      </c>
      <c r="M467" t="s">
        <v>976</v>
      </c>
      <c r="N467">
        <v>1</v>
      </c>
      <c r="O467"/>
      <c r="Q467" s="3" t="s">
        <v>919</v>
      </c>
      <c r="U467" t="s">
        <v>94</v>
      </c>
    </row>
    <row r="468" spans="1:34" ht="15" hidden="1" customHeight="1">
      <c r="A468">
        <v>14530</v>
      </c>
      <c r="B468" t="s">
        <v>1475</v>
      </c>
      <c r="C468" s="3" t="str">
        <f t="shared" si="29"/>
        <v>glBillingMethod.sysChangeHistoryID</v>
      </c>
      <c r="D468">
        <v>392</v>
      </c>
      <c r="E468" s="3" t="str">
        <f t="shared" si="30"/>
        <v>glBillingMethod</v>
      </c>
      <c r="F468" t="s">
        <v>2497</v>
      </c>
      <c r="G468" s="3" t="s">
        <v>6403</v>
      </c>
      <c r="H468" s="3" t="str">
        <f t="shared" si="31"/>
        <v>General Ledger.Billing Method</v>
      </c>
      <c r="I468"/>
      <c r="K468" t="s">
        <v>1210</v>
      </c>
      <c r="L468"/>
      <c r="M468" t="s">
        <v>6007</v>
      </c>
      <c r="N468"/>
      <c r="O468"/>
      <c r="P468"/>
      <c r="Q468" t="s">
        <v>92</v>
      </c>
      <c r="R468"/>
      <c r="S468"/>
      <c r="U468" t="s">
        <v>1429</v>
      </c>
    </row>
    <row r="469" spans="1:34" ht="15" hidden="1" customHeight="1">
      <c r="A469">
        <v>14540</v>
      </c>
      <c r="B469" s="3" t="s">
        <v>1475</v>
      </c>
      <c r="C469" s="3" t="str">
        <f t="shared" si="29"/>
        <v>glBudget.ID</v>
      </c>
      <c r="D469" s="3">
        <v>350</v>
      </c>
      <c r="E469" s="3" t="str">
        <f t="shared" si="30"/>
        <v>glBudget</v>
      </c>
      <c r="F469" t="s">
        <v>0</v>
      </c>
      <c r="G469" s="3" t="s">
        <v>6590</v>
      </c>
      <c r="H469" s="3" t="str">
        <f t="shared" si="31"/>
        <v>General Ledger.Budget Detail</v>
      </c>
      <c r="I469"/>
      <c r="K469" s="3" t="s">
        <v>0</v>
      </c>
      <c r="M469" t="s">
        <v>6007</v>
      </c>
      <c r="Q469" s="3" t="s">
        <v>919</v>
      </c>
      <c r="U469" s="3" t="s">
        <v>95</v>
      </c>
      <c r="AF469" t="s">
        <v>788</v>
      </c>
    </row>
    <row r="470" spans="1:34" ht="15" hidden="1" customHeight="1">
      <c r="A470">
        <v>14550</v>
      </c>
      <c r="B470" s="3" t="s">
        <v>1475</v>
      </c>
      <c r="C470" s="3" t="str">
        <f t="shared" si="29"/>
        <v>glBudget.glAccountID</v>
      </c>
      <c r="D470" s="3">
        <v>350</v>
      </c>
      <c r="E470" s="3" t="str">
        <f t="shared" si="30"/>
        <v>glBudget</v>
      </c>
      <c r="F470" t="str">
        <f>VLOOKUP(V470,DictionaryTableID,3,FALSE)&amp;"ID"&amp;X470</f>
        <v>glAccountID</v>
      </c>
      <c r="G470" s="3" t="s">
        <v>6461</v>
      </c>
      <c r="H470" s="3" t="str">
        <f t="shared" si="31"/>
        <v>General Ledger.Budget Detail</v>
      </c>
      <c r="I470"/>
      <c r="K470" s="3" t="s">
        <v>123</v>
      </c>
      <c r="M470" t="s">
        <v>6007</v>
      </c>
      <c r="Q470" s="3" t="s">
        <v>919</v>
      </c>
      <c r="U470" s="3" t="s">
        <v>96</v>
      </c>
      <c r="V470">
        <v>300</v>
      </c>
      <c r="W470" s="3" t="str">
        <f>VLOOKUP(V470,DictionaryTableID,3,FALSE)</f>
        <v>glAccount</v>
      </c>
      <c r="X470" s="3" t="s">
        <v>1036</v>
      </c>
      <c r="AB470" t="s">
        <v>92</v>
      </c>
      <c r="AF470" t="s">
        <v>789</v>
      </c>
    </row>
    <row r="471" spans="1:34" ht="15" hidden="1" customHeight="1">
      <c r="A471">
        <v>14560</v>
      </c>
      <c r="B471" s="3" t="s">
        <v>1475</v>
      </c>
      <c r="C471" s="3" t="str">
        <f t="shared" si="29"/>
        <v>glBudget.glCostCentreID</v>
      </c>
      <c r="D471" s="3">
        <v>350</v>
      </c>
      <c r="E471" s="3" t="str">
        <f t="shared" si="30"/>
        <v>glBudget</v>
      </c>
      <c r="F471" t="str">
        <f>VLOOKUP(V471,DictionaryTableID,3,FALSE)&amp;"ID"&amp;X471</f>
        <v>glCostCentreID</v>
      </c>
      <c r="G471" s="3" t="s">
        <v>6442</v>
      </c>
      <c r="H471" s="3" t="str">
        <f t="shared" si="31"/>
        <v>General Ledger.Budget Detail</v>
      </c>
      <c r="I471"/>
      <c r="K471" s="3" t="s">
        <v>328</v>
      </c>
      <c r="M471" t="s">
        <v>6007</v>
      </c>
      <c r="Q471" s="3" t="s">
        <v>919</v>
      </c>
      <c r="U471" s="3" t="s">
        <v>96</v>
      </c>
      <c r="V471">
        <v>301</v>
      </c>
      <c r="W471" s="3" t="str">
        <f>VLOOKUP(V471,DictionaryTableID,3,FALSE)</f>
        <v>glCostCentre</v>
      </c>
      <c r="X471" s="3" t="s">
        <v>1036</v>
      </c>
      <c r="AB471" t="s">
        <v>92</v>
      </c>
      <c r="AF471" t="s">
        <v>790</v>
      </c>
    </row>
    <row r="472" spans="1:34" ht="15" hidden="1" customHeight="1">
      <c r="A472">
        <v>14570</v>
      </c>
      <c r="B472" s="3" t="s">
        <v>1475</v>
      </c>
      <c r="C472" s="3" t="str">
        <f t="shared" si="29"/>
        <v>glBudget.Amount</v>
      </c>
      <c r="D472" s="3">
        <v>350</v>
      </c>
      <c r="E472" s="3" t="str">
        <f t="shared" si="30"/>
        <v>glBudget</v>
      </c>
      <c r="F472" t="s">
        <v>49</v>
      </c>
      <c r="G472" s="3" t="s">
        <v>6591</v>
      </c>
      <c r="H472" s="3" t="str">
        <f t="shared" si="31"/>
        <v>General Ledger.Budget Detail</v>
      </c>
      <c r="I472"/>
      <c r="K472" s="3" t="s">
        <v>49</v>
      </c>
      <c r="M472" s="3" t="s">
        <v>197</v>
      </c>
      <c r="N472" s="3">
        <v>19</v>
      </c>
      <c r="O472" s="3">
        <v>2</v>
      </c>
      <c r="Q472" s="3" t="s">
        <v>919</v>
      </c>
      <c r="U472" s="3" t="s">
        <v>93</v>
      </c>
      <c r="W472" s="3"/>
      <c r="AB472" t="s">
        <v>92</v>
      </c>
      <c r="AF472" t="s">
        <v>793</v>
      </c>
    </row>
    <row r="473" spans="1:34" ht="15" hidden="1" customHeight="1">
      <c r="A473">
        <v>14580</v>
      </c>
      <c r="B473" s="3" t="s">
        <v>1475</v>
      </c>
      <c r="C473" s="3" t="str">
        <f t="shared" si="29"/>
        <v>glBudget.Comments</v>
      </c>
      <c r="D473" s="3">
        <v>350</v>
      </c>
      <c r="E473" s="3" t="str">
        <f t="shared" si="30"/>
        <v>glBudget</v>
      </c>
      <c r="F473" t="s">
        <v>14</v>
      </c>
      <c r="G473" s="3" t="s">
        <v>6421</v>
      </c>
      <c r="H473" s="3" t="str">
        <f t="shared" si="31"/>
        <v>General Ledger.Budget Detail</v>
      </c>
      <c r="I473"/>
      <c r="K473" s="3" t="s">
        <v>14</v>
      </c>
      <c r="M473" s="3" t="s">
        <v>196</v>
      </c>
      <c r="N473"/>
      <c r="Q473" s="3" t="s">
        <v>92</v>
      </c>
      <c r="U473" s="3" t="s">
        <v>93</v>
      </c>
      <c r="W473" s="3"/>
      <c r="AB473" t="s">
        <v>92</v>
      </c>
      <c r="AF473" t="s">
        <v>794</v>
      </c>
    </row>
    <row r="474" spans="1:34" ht="15" hidden="1" customHeight="1">
      <c r="A474">
        <v>14590</v>
      </c>
      <c r="B474" s="3" t="s">
        <v>1475</v>
      </c>
      <c r="C474" s="3" t="str">
        <f t="shared" si="29"/>
        <v>glBudget.BudgetDate</v>
      </c>
      <c r="D474" s="3">
        <v>350</v>
      </c>
      <c r="E474" s="3" t="str">
        <f t="shared" si="30"/>
        <v>glBudget</v>
      </c>
      <c r="F474" t="s">
        <v>6019</v>
      </c>
      <c r="G474" s="3" t="s">
        <v>6559</v>
      </c>
      <c r="H474" s="3" t="str">
        <f t="shared" si="31"/>
        <v>General Ledger.Budget Detail</v>
      </c>
      <c r="I474"/>
      <c r="K474" s="3" t="s">
        <v>81</v>
      </c>
      <c r="M474" s="3" t="s">
        <v>81</v>
      </c>
      <c r="Q474" s="3" t="s">
        <v>919</v>
      </c>
      <c r="U474" s="3" t="s">
        <v>93</v>
      </c>
      <c r="W474" s="3"/>
      <c r="AB474" t="s">
        <v>92</v>
      </c>
      <c r="AF474" t="s">
        <v>791</v>
      </c>
    </row>
    <row r="475" spans="1:34" ht="15" hidden="1" customHeight="1">
      <c r="A475">
        <v>14600</v>
      </c>
      <c r="B475" s="3" t="s">
        <v>1475</v>
      </c>
      <c r="C475" s="3" t="str">
        <f t="shared" si="29"/>
        <v>glBudget.RollupAmount</v>
      </c>
      <c r="D475" s="3">
        <v>350</v>
      </c>
      <c r="E475" s="3" t="str">
        <f t="shared" si="30"/>
        <v>glBudget</v>
      </c>
      <c r="F475" t="s">
        <v>59</v>
      </c>
      <c r="G475" s="3" t="s">
        <v>6592</v>
      </c>
      <c r="H475" s="3" t="str">
        <f t="shared" si="31"/>
        <v>General Ledger.Budget Detail</v>
      </c>
      <c r="I475"/>
      <c r="K475" s="3" t="s">
        <v>349</v>
      </c>
      <c r="M475" s="3" t="s">
        <v>197</v>
      </c>
      <c r="N475" s="3">
        <v>19</v>
      </c>
      <c r="O475" s="3">
        <v>2</v>
      </c>
      <c r="Q475" s="3" t="s">
        <v>92</v>
      </c>
      <c r="U475" s="3" t="s">
        <v>93</v>
      </c>
      <c r="W475" s="3"/>
      <c r="AB475" t="s">
        <v>92</v>
      </c>
      <c r="AF475" t="s">
        <v>792</v>
      </c>
    </row>
    <row r="476" spans="1:34" ht="15" hidden="1" customHeight="1">
      <c r="A476">
        <v>14610</v>
      </c>
      <c r="B476" s="3" t="s">
        <v>1475</v>
      </c>
      <c r="C476" s="3" t="str">
        <f t="shared" si="29"/>
        <v>glBudget.RowStatus</v>
      </c>
      <c r="D476" s="3">
        <v>350</v>
      </c>
      <c r="E476" s="3" t="str">
        <f t="shared" si="30"/>
        <v>glBudget</v>
      </c>
      <c r="F476" t="s">
        <v>1445</v>
      </c>
      <c r="G476" s="3" t="s">
        <v>6411</v>
      </c>
      <c r="H476" s="3" t="str">
        <f t="shared" si="31"/>
        <v>General Ledger.Budget Detail</v>
      </c>
      <c r="I476"/>
      <c r="K476" s="3" t="s">
        <v>2471</v>
      </c>
      <c r="M476" t="s">
        <v>976</v>
      </c>
      <c r="N476">
        <v>1</v>
      </c>
      <c r="Q476" s="3" t="s">
        <v>919</v>
      </c>
      <c r="U476" s="3" t="s">
        <v>94</v>
      </c>
      <c r="W476" s="3"/>
    </row>
    <row r="477" spans="1:34" ht="15" hidden="1" customHeight="1">
      <c r="A477">
        <v>14620</v>
      </c>
      <c r="B477" t="s">
        <v>1475</v>
      </c>
      <c r="C477" s="3" t="str">
        <f t="shared" si="29"/>
        <v>glBudget.sysChangeHistoryID</v>
      </c>
      <c r="D477">
        <v>350</v>
      </c>
      <c r="E477" s="3" t="str">
        <f t="shared" si="30"/>
        <v>glBudget</v>
      </c>
      <c r="F477" t="s">
        <v>2497</v>
      </c>
      <c r="G477" s="3" t="s">
        <v>6403</v>
      </c>
      <c r="H477" s="3" t="str">
        <f t="shared" si="31"/>
        <v>General Ledger.Budget Detail</v>
      </c>
      <c r="I477"/>
      <c r="K477" t="s">
        <v>1210</v>
      </c>
      <c r="L477"/>
      <c r="M477" t="s">
        <v>6007</v>
      </c>
      <c r="N477"/>
      <c r="O477"/>
      <c r="P477"/>
      <c r="Q477" t="s">
        <v>92</v>
      </c>
      <c r="R477"/>
      <c r="S477"/>
      <c r="U477" t="s">
        <v>1429</v>
      </c>
      <c r="W477" s="3"/>
      <c r="X477" s="3"/>
    </row>
    <row r="478" spans="1:34" ht="15" hidden="1" customHeight="1">
      <c r="A478">
        <v>14630</v>
      </c>
      <c r="B478" s="3" t="s">
        <v>1475</v>
      </c>
      <c r="C478" s="3" t="str">
        <f t="shared" si="29"/>
        <v>glCostCentre.ID</v>
      </c>
      <c r="D478" s="3">
        <v>301</v>
      </c>
      <c r="E478" s="3" t="str">
        <f t="shared" si="30"/>
        <v>glCostCentre</v>
      </c>
      <c r="F478" t="s">
        <v>0</v>
      </c>
      <c r="G478" s="3" t="s">
        <v>6593</v>
      </c>
      <c r="H478" s="3" t="str">
        <f t="shared" si="31"/>
        <v>General Ledger.Cost Centre</v>
      </c>
      <c r="I478"/>
      <c r="K478" s="3" t="s">
        <v>0</v>
      </c>
      <c r="M478" t="s">
        <v>6007</v>
      </c>
      <c r="Q478" s="3" t="s">
        <v>919</v>
      </c>
      <c r="U478" s="3" t="s">
        <v>95</v>
      </c>
      <c r="AF478" t="s">
        <v>864</v>
      </c>
    </row>
    <row r="479" spans="1:34" ht="15" hidden="1" customHeight="1">
      <c r="A479">
        <v>14640</v>
      </c>
      <c r="B479" s="3" t="s">
        <v>1475</v>
      </c>
      <c r="C479" s="3" t="str">
        <f t="shared" si="29"/>
        <v>glCostCentre.glCostCentreIDParent</v>
      </c>
      <c r="D479" s="3">
        <v>301</v>
      </c>
      <c r="E479" s="3" t="str">
        <f t="shared" si="30"/>
        <v>glCostCentre</v>
      </c>
      <c r="F479" t="str">
        <f>VLOOKUP(V479,DictionaryTableID,3,FALSE)&amp;"ID"&amp;X479</f>
        <v>glCostCentreIDParent</v>
      </c>
      <c r="G479" s="3" t="s">
        <v>6442</v>
      </c>
      <c r="H479" s="3" t="str">
        <f t="shared" si="31"/>
        <v>General Ledger.Cost Centre</v>
      </c>
      <c r="I479"/>
      <c r="K479" s="3" t="s">
        <v>328</v>
      </c>
      <c r="M479" t="s">
        <v>6007</v>
      </c>
      <c r="Q479" s="3" t="s">
        <v>92</v>
      </c>
      <c r="U479" s="3" t="s">
        <v>96</v>
      </c>
      <c r="V479">
        <v>301</v>
      </c>
      <c r="W479" s="3" t="str">
        <f>VLOOKUP(V479,DictionaryTableID,3,FALSE)</f>
        <v>glCostCentre</v>
      </c>
      <c r="X479" s="3" t="s">
        <v>1220</v>
      </c>
      <c r="AB479" t="s">
        <v>92</v>
      </c>
      <c r="AF479" t="s">
        <v>867</v>
      </c>
      <c r="AH479" t="s">
        <v>92</v>
      </c>
    </row>
    <row r="480" spans="1:34" ht="15" hidden="1" customHeight="1">
      <c r="A480">
        <v>14650</v>
      </c>
      <c r="B480" s="3" t="s">
        <v>1475</v>
      </c>
      <c r="C480" s="3" t="str">
        <f t="shared" si="29"/>
        <v>glCostCentre.Comments</v>
      </c>
      <c r="D480" s="3">
        <v>301</v>
      </c>
      <c r="E480" s="3" t="str">
        <f t="shared" si="30"/>
        <v>glCostCentre</v>
      </c>
      <c r="F480" t="s">
        <v>14</v>
      </c>
      <c r="G480" s="3" t="s">
        <v>6421</v>
      </c>
      <c r="H480" s="3" t="str">
        <f t="shared" si="31"/>
        <v>General Ledger.Cost Centre</v>
      </c>
      <c r="I480"/>
      <c r="K480" s="3" t="s">
        <v>14</v>
      </c>
      <c r="M480" s="3" t="s">
        <v>196</v>
      </c>
      <c r="N480"/>
      <c r="Q480" s="3" t="s">
        <v>92</v>
      </c>
      <c r="U480" s="3" t="s">
        <v>93</v>
      </c>
      <c r="AB480" t="s">
        <v>92</v>
      </c>
      <c r="AF480" t="s">
        <v>868</v>
      </c>
      <c r="AH480" t="s">
        <v>92</v>
      </c>
    </row>
    <row r="481" spans="1:34" ht="15" hidden="1" customHeight="1">
      <c r="A481">
        <v>14660</v>
      </c>
      <c r="B481" s="3" t="s">
        <v>1475</v>
      </c>
      <c r="C481" s="3" t="str">
        <f t="shared" si="29"/>
        <v>glCostCentre.Description</v>
      </c>
      <c r="D481" s="3">
        <v>301</v>
      </c>
      <c r="E481" s="3" t="str">
        <f t="shared" si="30"/>
        <v>glCostCentre</v>
      </c>
      <c r="F481" t="s">
        <v>12</v>
      </c>
      <c r="G481" s="3" t="s">
        <v>6926</v>
      </c>
      <c r="H481" s="3" t="str">
        <f t="shared" si="31"/>
        <v>General Ledger.Cost Centre</v>
      </c>
      <c r="I481"/>
      <c r="K481" s="3" t="s">
        <v>12</v>
      </c>
      <c r="M481" s="3" t="s">
        <v>196</v>
      </c>
      <c r="N481"/>
      <c r="Q481" s="3" t="s">
        <v>919</v>
      </c>
      <c r="U481" s="3" t="s">
        <v>93</v>
      </c>
      <c r="Y481" t="s">
        <v>92</v>
      </c>
      <c r="AB481" t="s">
        <v>92</v>
      </c>
      <c r="AF481" t="s">
        <v>866</v>
      </c>
      <c r="AH481" t="s">
        <v>92</v>
      </c>
    </row>
    <row r="482" spans="1:34" ht="15" hidden="1" customHeight="1">
      <c r="A482">
        <v>14661</v>
      </c>
      <c r="B482" t="s">
        <v>1475</v>
      </c>
      <c r="C482" s="3" t="str">
        <f t="shared" si="29"/>
        <v>glCostCentre.TopDownLevel</v>
      </c>
      <c r="D482" s="3">
        <v>301</v>
      </c>
      <c r="E482" s="3" t="str">
        <f t="shared" si="30"/>
        <v>glCostCentre</v>
      </c>
      <c r="F482" t="s">
        <v>6020</v>
      </c>
      <c r="G482" s="3" t="s">
        <v>6413</v>
      </c>
      <c r="H482" s="3" t="str">
        <f t="shared" si="31"/>
        <v>General Ledger.Cost Centre</v>
      </c>
      <c r="I482"/>
      <c r="K482" t="s">
        <v>6032</v>
      </c>
      <c r="L482"/>
      <c r="M482" t="s">
        <v>195</v>
      </c>
      <c r="N482"/>
      <c r="O482"/>
      <c r="P482"/>
      <c r="Q482" t="s">
        <v>92</v>
      </c>
      <c r="R482"/>
      <c r="S482"/>
      <c r="U482" t="s">
        <v>94</v>
      </c>
      <c r="AH482" t="s">
        <v>92</v>
      </c>
    </row>
    <row r="483" spans="1:34" hidden="1">
      <c r="A483">
        <v>14662</v>
      </c>
      <c r="B483" t="s">
        <v>1475</v>
      </c>
      <c r="C483" s="3" t="str">
        <f t="shared" si="29"/>
        <v>glCostCentre.BottomUpLevel</v>
      </c>
      <c r="D483" s="3">
        <v>301</v>
      </c>
      <c r="E483" s="3" t="str">
        <f t="shared" si="30"/>
        <v>glCostCentre</v>
      </c>
      <c r="F483" t="s">
        <v>6021</v>
      </c>
      <c r="G483" s="3" t="s">
        <v>6412</v>
      </c>
      <c r="H483" s="3" t="str">
        <f t="shared" si="31"/>
        <v>General Ledger.Cost Centre</v>
      </c>
      <c r="I483"/>
      <c r="K483" t="s">
        <v>6033</v>
      </c>
      <c r="L483"/>
      <c r="M483" t="s">
        <v>195</v>
      </c>
      <c r="N483"/>
      <c r="O483"/>
      <c r="P483"/>
      <c r="Q483" t="s">
        <v>92</v>
      </c>
      <c r="R483"/>
      <c r="S483"/>
      <c r="U483" t="s">
        <v>94</v>
      </c>
      <c r="AH483" t="s">
        <v>92</v>
      </c>
    </row>
    <row r="484" spans="1:34" ht="15" hidden="1" customHeight="1">
      <c r="A484">
        <v>14670</v>
      </c>
      <c r="B484" s="3" t="s">
        <v>1475</v>
      </c>
      <c r="C484" s="3" t="str">
        <f t="shared" si="29"/>
        <v>glCostCentre.IsUsedToClassifyRecords</v>
      </c>
      <c r="D484" s="3">
        <v>301</v>
      </c>
      <c r="E484" s="3" t="str">
        <f t="shared" si="30"/>
        <v>glCostCentre</v>
      </c>
      <c r="F484" t="s">
        <v>1288</v>
      </c>
      <c r="G484" s="3" t="s">
        <v>6479</v>
      </c>
      <c r="H484" s="3" t="str">
        <f t="shared" si="31"/>
        <v>General Ledger.Cost Centre</v>
      </c>
      <c r="I484"/>
      <c r="K484" s="3" t="s">
        <v>26</v>
      </c>
      <c r="M484" s="3" t="s">
        <v>2402</v>
      </c>
      <c r="Q484" s="3" t="s">
        <v>919</v>
      </c>
      <c r="U484" s="3" t="s">
        <v>93</v>
      </c>
      <c r="AB484" t="s">
        <v>92</v>
      </c>
      <c r="AF484" t="s">
        <v>870</v>
      </c>
      <c r="AH484" t="s">
        <v>92</v>
      </c>
    </row>
    <row r="485" spans="1:34" ht="15" hidden="1" customHeight="1">
      <c r="A485">
        <v>14680</v>
      </c>
      <c r="B485" s="3" t="s">
        <v>1475</v>
      </c>
      <c r="C485" s="3" t="str">
        <f t="shared" si="29"/>
        <v>glCostCentre.ReferenceNumber</v>
      </c>
      <c r="D485" s="3">
        <v>301</v>
      </c>
      <c r="E485" s="3" t="str">
        <f t="shared" si="30"/>
        <v>glCostCentre</v>
      </c>
      <c r="F485" t="s">
        <v>28</v>
      </c>
      <c r="G485" s="3" t="s">
        <v>6446</v>
      </c>
      <c r="H485" s="3" t="str">
        <f t="shared" si="31"/>
        <v>General Ledger.Cost Centre</v>
      </c>
      <c r="I485"/>
      <c r="K485" s="3" t="s">
        <v>102</v>
      </c>
      <c r="M485" s="3" t="s">
        <v>196</v>
      </c>
      <c r="Q485" s="3" t="s">
        <v>92</v>
      </c>
      <c r="U485" s="3" t="s">
        <v>93</v>
      </c>
      <c r="Y485" t="s">
        <v>92</v>
      </c>
      <c r="AB485" t="s">
        <v>92</v>
      </c>
      <c r="AF485" t="s">
        <v>869</v>
      </c>
      <c r="AH485" t="s">
        <v>92</v>
      </c>
    </row>
    <row r="486" spans="1:34" ht="15" hidden="1" customHeight="1">
      <c r="A486">
        <v>14690</v>
      </c>
      <c r="B486" s="3" t="s">
        <v>1475</v>
      </c>
      <c r="C486" s="3" t="str">
        <f t="shared" si="29"/>
        <v>glCostCentre.DisplaySequence</v>
      </c>
      <c r="D486" s="3">
        <v>301</v>
      </c>
      <c r="E486" s="3" t="str">
        <f t="shared" si="30"/>
        <v>glCostCentre</v>
      </c>
      <c r="F486" t="s">
        <v>6055</v>
      </c>
      <c r="G486" s="3" t="s">
        <v>6414</v>
      </c>
      <c r="H486" s="3" t="str">
        <f t="shared" si="31"/>
        <v>General Ledger.Cost Centre</v>
      </c>
      <c r="I486"/>
      <c r="K486" s="3" t="s">
        <v>6297</v>
      </c>
      <c r="M486" s="3" t="s">
        <v>195</v>
      </c>
      <c r="Q486" s="3" t="s">
        <v>92</v>
      </c>
      <c r="U486" t="s">
        <v>94</v>
      </c>
      <c r="AF486" t="s">
        <v>865</v>
      </c>
      <c r="AH486" t="s">
        <v>92</v>
      </c>
    </row>
    <row r="487" spans="1:34" ht="15" hidden="1" customHeight="1">
      <c r="A487">
        <v>14700</v>
      </c>
      <c r="B487" s="3" t="s">
        <v>1475</v>
      </c>
      <c r="C487" s="3" t="str">
        <f t="shared" si="29"/>
        <v>glCostCentre.RowStatus</v>
      </c>
      <c r="D487" s="3">
        <v>301</v>
      </c>
      <c r="E487" s="3" t="str">
        <f t="shared" si="30"/>
        <v>glCostCentre</v>
      </c>
      <c r="F487" t="s">
        <v>1445</v>
      </c>
      <c r="G487" s="3" t="s">
        <v>6411</v>
      </c>
      <c r="H487" s="3" t="str">
        <f t="shared" si="31"/>
        <v>General Ledger.Cost Centre</v>
      </c>
      <c r="I487"/>
      <c r="K487" s="3" t="s">
        <v>2471</v>
      </c>
      <c r="M487" t="s">
        <v>976</v>
      </c>
      <c r="N487">
        <v>1</v>
      </c>
      <c r="Q487" s="3" t="s">
        <v>919</v>
      </c>
      <c r="U487" s="3" t="s">
        <v>94</v>
      </c>
    </row>
    <row r="488" spans="1:34" ht="15" hidden="1" customHeight="1">
      <c r="A488">
        <v>14710</v>
      </c>
      <c r="B488" t="s">
        <v>1475</v>
      </c>
      <c r="C488" s="3" t="str">
        <f t="shared" si="29"/>
        <v>glCostCentre.sysChangeHistoryID</v>
      </c>
      <c r="D488">
        <v>301</v>
      </c>
      <c r="E488" s="3" t="str">
        <f t="shared" si="30"/>
        <v>glCostCentre</v>
      </c>
      <c r="F488" t="s">
        <v>2497</v>
      </c>
      <c r="G488" s="3" t="s">
        <v>6403</v>
      </c>
      <c r="H488" s="3" t="str">
        <f t="shared" si="31"/>
        <v>General Ledger.Cost Centre</v>
      </c>
      <c r="I488"/>
      <c r="K488" t="s">
        <v>1210</v>
      </c>
      <c r="L488"/>
      <c r="M488" t="s">
        <v>6007</v>
      </c>
      <c r="N488"/>
      <c r="O488"/>
      <c r="P488"/>
      <c r="Q488" t="s">
        <v>92</v>
      </c>
      <c r="R488"/>
      <c r="S488"/>
      <c r="U488" t="s">
        <v>1429</v>
      </c>
      <c r="W488" s="3"/>
      <c r="X488" s="3"/>
    </row>
    <row r="489" spans="1:34" ht="15" hidden="1" customHeight="1">
      <c r="A489">
        <v>14720</v>
      </c>
      <c r="B489" t="s">
        <v>1475</v>
      </c>
      <c r="C489" s="3" t="str">
        <f t="shared" si="29"/>
        <v>glDeposit.Id</v>
      </c>
      <c r="D489" s="3">
        <v>340</v>
      </c>
      <c r="E489" s="3" t="str">
        <f t="shared" si="30"/>
        <v>glDeposit</v>
      </c>
      <c r="F489" s="3" t="s">
        <v>1539</v>
      </c>
      <c r="G489" s="3" t="s">
        <v>6594</v>
      </c>
      <c r="H489" s="3" t="str">
        <f t="shared" si="31"/>
        <v>GL.Deposit</v>
      </c>
      <c r="I489"/>
      <c r="K489" s="3" t="s">
        <v>0</v>
      </c>
      <c r="M489" t="s">
        <v>6007</v>
      </c>
      <c r="Q489" s="3" t="s">
        <v>919</v>
      </c>
      <c r="U489" t="s">
        <v>95</v>
      </c>
    </row>
    <row r="490" spans="1:34" ht="15" hidden="1" customHeight="1">
      <c r="A490">
        <v>14730</v>
      </c>
      <c r="B490" t="s">
        <v>1475</v>
      </c>
      <c r="C490" s="3" t="str">
        <f t="shared" si="29"/>
        <v>glDeposit.crmContactID</v>
      </c>
      <c r="D490" s="3">
        <v>340</v>
      </c>
      <c r="E490" s="3" t="str">
        <f t="shared" si="30"/>
        <v>glDeposit</v>
      </c>
      <c r="F490" t="str">
        <f>VLOOKUP(V490,DictionaryTableID,3,FALSE)&amp;"ID"&amp;X490</f>
        <v>crmContactID</v>
      </c>
      <c r="G490" s="3" t="s">
        <v>6482</v>
      </c>
      <c r="H490" s="3" t="str">
        <f t="shared" si="31"/>
        <v>GL.Deposit</v>
      </c>
      <c r="I490"/>
      <c r="K490" s="3" t="s">
        <v>41</v>
      </c>
      <c r="M490" t="s">
        <v>6007</v>
      </c>
      <c r="Q490" s="3" t="s">
        <v>92</v>
      </c>
      <c r="U490" t="s">
        <v>96</v>
      </c>
      <c r="V490">
        <v>100</v>
      </c>
      <c r="W490" s="3" t="str">
        <f>VLOOKUP(V490,DictionaryTableID,3,FALSE)</f>
        <v>crmContact</v>
      </c>
      <c r="AA490" t="s">
        <v>92</v>
      </c>
      <c r="AB490" t="s">
        <v>92</v>
      </c>
    </row>
    <row r="491" spans="1:34" ht="15" hidden="1" customHeight="1">
      <c r="A491">
        <v>14740</v>
      </c>
      <c r="B491" t="s">
        <v>1475</v>
      </c>
      <c r="C491" s="3" t="str">
        <f t="shared" si="29"/>
        <v>glDeposit.glDepositStatusID</v>
      </c>
      <c r="D491" s="3">
        <v>340</v>
      </c>
      <c r="E491" s="3" t="str">
        <f t="shared" si="30"/>
        <v>glDeposit</v>
      </c>
      <c r="F491" t="str">
        <f>VLOOKUP(V491,DictionaryTableID,3,FALSE)&amp;"ID"&amp;X491</f>
        <v>glDepositStatusID</v>
      </c>
      <c r="G491" s="3" t="s">
        <v>6595</v>
      </c>
      <c r="H491" s="3" t="str">
        <f t="shared" si="31"/>
        <v>GL.Deposit</v>
      </c>
      <c r="I491"/>
      <c r="K491" s="3" t="s">
        <v>2132</v>
      </c>
      <c r="M491" t="s">
        <v>6007</v>
      </c>
      <c r="Q491" s="3" t="s">
        <v>919</v>
      </c>
      <c r="U491" t="s">
        <v>96</v>
      </c>
      <c r="V491">
        <v>341</v>
      </c>
      <c r="W491" s="3" t="str">
        <f>VLOOKUP(V491,DictionaryTableID,3,FALSE)</f>
        <v>glDepositStatus</v>
      </c>
      <c r="Z491" t="s">
        <v>2133</v>
      </c>
      <c r="AA491" t="s">
        <v>92</v>
      </c>
      <c r="AB491" t="s">
        <v>92</v>
      </c>
    </row>
    <row r="492" spans="1:34" ht="15" hidden="1" customHeight="1">
      <c r="A492">
        <v>14750</v>
      </c>
      <c r="B492" t="s">
        <v>1475</v>
      </c>
      <c r="C492" s="3" t="str">
        <f t="shared" si="29"/>
        <v>glDeposit.Comments</v>
      </c>
      <c r="D492" s="3">
        <v>340</v>
      </c>
      <c r="E492" s="3" t="str">
        <f t="shared" si="30"/>
        <v>glDeposit</v>
      </c>
      <c r="F492" s="3" t="s">
        <v>14</v>
      </c>
      <c r="G492" s="3" t="s">
        <v>6421</v>
      </c>
      <c r="H492" s="3" t="str">
        <f t="shared" si="31"/>
        <v>GL.Deposit</v>
      </c>
      <c r="I492"/>
      <c r="K492" s="3" t="s">
        <v>14</v>
      </c>
      <c r="M492" s="3" t="s">
        <v>1405</v>
      </c>
      <c r="N492" s="3">
        <v>16</v>
      </c>
      <c r="Q492" s="3" t="s">
        <v>92</v>
      </c>
      <c r="U492" t="s">
        <v>93</v>
      </c>
      <c r="AB492" t="s">
        <v>92</v>
      </c>
    </row>
    <row r="493" spans="1:34" ht="15" hidden="1" customHeight="1">
      <c r="A493">
        <v>14760</v>
      </c>
      <c r="B493" t="s">
        <v>1475</v>
      </c>
      <c r="C493" s="3" t="str">
        <f t="shared" si="29"/>
        <v>glDeposit.DepositDate</v>
      </c>
      <c r="D493" s="3">
        <v>340</v>
      </c>
      <c r="E493" s="3" t="str">
        <f t="shared" si="30"/>
        <v>glDeposit</v>
      </c>
      <c r="F493" s="3" t="s">
        <v>2130</v>
      </c>
      <c r="G493" s="3" t="s">
        <v>6596</v>
      </c>
      <c r="H493" s="3" t="str">
        <f t="shared" si="31"/>
        <v>GL.Deposit</v>
      </c>
      <c r="I493"/>
      <c r="K493" s="3" t="s">
        <v>2131</v>
      </c>
      <c r="M493" s="3" t="s">
        <v>1074</v>
      </c>
      <c r="Q493" s="3" t="s">
        <v>919</v>
      </c>
      <c r="U493" t="s">
        <v>93</v>
      </c>
      <c r="AA493" t="s">
        <v>92</v>
      </c>
      <c r="AB493" t="s">
        <v>92</v>
      </c>
    </row>
    <row r="494" spans="1:34" ht="15" hidden="1" customHeight="1">
      <c r="A494">
        <v>14770</v>
      </c>
      <c r="B494" t="s">
        <v>1475</v>
      </c>
      <c r="C494" s="3" t="str">
        <f t="shared" si="29"/>
        <v>glDeposit.RowStatus</v>
      </c>
      <c r="D494" s="3">
        <v>340</v>
      </c>
      <c r="E494" s="3" t="str">
        <f t="shared" si="30"/>
        <v>glDeposit</v>
      </c>
      <c r="F494" s="3" t="s">
        <v>1445</v>
      </c>
      <c r="G494" s="3" t="s">
        <v>6411</v>
      </c>
      <c r="H494" s="3" t="str">
        <f t="shared" si="31"/>
        <v>GL.Deposit</v>
      </c>
      <c r="I494"/>
      <c r="K494" s="3" t="s">
        <v>2471</v>
      </c>
      <c r="M494" s="3" t="s">
        <v>2111</v>
      </c>
      <c r="N494" s="3">
        <v>1</v>
      </c>
      <c r="Q494" s="3" t="s">
        <v>919</v>
      </c>
      <c r="S494" s="14"/>
      <c r="U494" t="s">
        <v>94</v>
      </c>
    </row>
    <row r="495" spans="1:34" ht="15" hidden="1" customHeight="1">
      <c r="A495">
        <v>14780</v>
      </c>
      <c r="B495" t="s">
        <v>1475</v>
      </c>
      <c r="C495" s="3" t="str">
        <f t="shared" si="29"/>
        <v>glDeposit.sysChangeHistoryId</v>
      </c>
      <c r="D495" s="3">
        <v>340</v>
      </c>
      <c r="E495" s="3" t="str">
        <f t="shared" si="30"/>
        <v>glDeposit</v>
      </c>
      <c r="F495" s="3" t="s">
        <v>2861</v>
      </c>
      <c r="G495" s="3" t="s">
        <v>6403</v>
      </c>
      <c r="H495" s="3" t="str">
        <f t="shared" si="31"/>
        <v>GL.Deposit</v>
      </c>
      <c r="I495"/>
      <c r="K495" s="3" t="s">
        <v>1210</v>
      </c>
      <c r="M495" t="s">
        <v>6007</v>
      </c>
      <c r="Q495" s="3" t="s">
        <v>919</v>
      </c>
      <c r="S495" s="14"/>
      <c r="U495" t="s">
        <v>1429</v>
      </c>
    </row>
    <row r="496" spans="1:34" ht="15" hidden="1" customHeight="1">
      <c r="A496">
        <v>14790</v>
      </c>
      <c r="B496" s="3" t="s">
        <v>1475</v>
      </c>
      <c r="C496" s="3" t="str">
        <f t="shared" si="29"/>
        <v>glDepositStatus.ID</v>
      </c>
      <c r="D496">
        <v>341</v>
      </c>
      <c r="E496" s="3" t="str">
        <f t="shared" si="30"/>
        <v>glDepositStatus</v>
      </c>
      <c r="F496" t="s">
        <v>0</v>
      </c>
      <c r="G496" s="3" t="s">
        <v>6597</v>
      </c>
      <c r="H496" s="3" t="str">
        <f t="shared" si="31"/>
        <v>GL.DepositStatus</v>
      </c>
      <c r="I496"/>
      <c r="K496" s="3" t="s">
        <v>0</v>
      </c>
      <c r="M496" t="s">
        <v>6007</v>
      </c>
      <c r="N496"/>
      <c r="O496"/>
      <c r="Q496" s="3" t="s">
        <v>919</v>
      </c>
      <c r="U496" s="3" t="s">
        <v>95</v>
      </c>
    </row>
    <row r="497" spans="1:34" ht="15" hidden="1" customHeight="1">
      <c r="A497">
        <v>14800</v>
      </c>
      <c r="B497" s="3" t="s">
        <v>1475</v>
      </c>
      <c r="C497" s="3" t="str">
        <f t="shared" si="29"/>
        <v>glDepositStatus.Description</v>
      </c>
      <c r="D497">
        <v>341</v>
      </c>
      <c r="E497" s="3" t="str">
        <f t="shared" si="30"/>
        <v>glDepositStatus</v>
      </c>
      <c r="F497" t="s">
        <v>12</v>
      </c>
      <c r="G497" s="3" t="s">
        <v>6927</v>
      </c>
      <c r="H497" s="3" t="str">
        <f t="shared" si="31"/>
        <v>GL.DepositStatus</v>
      </c>
      <c r="I497"/>
      <c r="K497" s="3" t="s">
        <v>12</v>
      </c>
      <c r="M497" t="s">
        <v>196</v>
      </c>
      <c r="N497"/>
      <c r="O497"/>
      <c r="Q497" s="3" t="s">
        <v>919</v>
      </c>
      <c r="U497" t="s">
        <v>93</v>
      </c>
      <c r="Y497" t="s">
        <v>92</v>
      </c>
      <c r="AB497" t="s">
        <v>92</v>
      </c>
      <c r="AH497" t="s">
        <v>92</v>
      </c>
    </row>
    <row r="498" spans="1:34" ht="15" hidden="1" customHeight="1">
      <c r="A498">
        <v>14810</v>
      </c>
      <c r="B498" s="3" t="s">
        <v>1475</v>
      </c>
      <c r="C498" s="3" t="str">
        <f t="shared" si="29"/>
        <v>glDepositStatus.ShortCode</v>
      </c>
      <c r="D498">
        <v>341</v>
      </c>
      <c r="E498" s="3" t="str">
        <f t="shared" si="30"/>
        <v>glDepositStatus</v>
      </c>
      <c r="F498" t="s">
        <v>16</v>
      </c>
      <c r="G498" s="3" t="s">
        <v>6434</v>
      </c>
      <c r="H498" s="3" t="str">
        <f t="shared" si="31"/>
        <v>GL.DepositStatus</v>
      </c>
      <c r="I498"/>
      <c r="K498" s="3" t="s">
        <v>117</v>
      </c>
      <c r="M498" t="s">
        <v>196</v>
      </c>
      <c r="N498"/>
      <c r="O498"/>
      <c r="Q498" s="3" t="s">
        <v>92</v>
      </c>
      <c r="U498" t="s">
        <v>93</v>
      </c>
      <c r="AB498" t="s">
        <v>92</v>
      </c>
      <c r="AH498" t="s">
        <v>92</v>
      </c>
    </row>
    <row r="499" spans="1:34" ht="15" hidden="1" customHeight="1">
      <c r="A499">
        <v>14820</v>
      </c>
      <c r="B499" s="3" t="s">
        <v>1475</v>
      </c>
      <c r="C499" s="3" t="str">
        <f t="shared" si="29"/>
        <v>glDepositStatus.RowStatus</v>
      </c>
      <c r="D499">
        <v>341</v>
      </c>
      <c r="E499" s="3" t="str">
        <f t="shared" si="30"/>
        <v>glDepositStatus</v>
      </c>
      <c r="F499" t="s">
        <v>1445</v>
      </c>
      <c r="G499" s="3" t="s">
        <v>6411</v>
      </c>
      <c r="H499" s="3" t="str">
        <f t="shared" si="31"/>
        <v>GL.DepositStatus</v>
      </c>
      <c r="I499"/>
      <c r="K499" s="3" t="s">
        <v>2471</v>
      </c>
      <c r="M499" t="s">
        <v>976</v>
      </c>
      <c r="N499">
        <v>1</v>
      </c>
      <c r="O499"/>
      <c r="Q499" s="3" t="s">
        <v>919</v>
      </c>
      <c r="U499" t="s">
        <v>94</v>
      </c>
    </row>
    <row r="500" spans="1:34" ht="15" hidden="1" customHeight="1">
      <c r="A500">
        <v>14830</v>
      </c>
      <c r="B500" t="s">
        <v>1475</v>
      </c>
      <c r="C500" s="3" t="str">
        <f t="shared" si="29"/>
        <v>glDepositStatus.sysChangeHistoryID</v>
      </c>
      <c r="D500">
        <v>341</v>
      </c>
      <c r="E500" s="3" t="str">
        <f t="shared" si="30"/>
        <v>glDepositStatus</v>
      </c>
      <c r="F500" t="s">
        <v>2497</v>
      </c>
      <c r="G500" s="3" t="s">
        <v>6403</v>
      </c>
      <c r="H500" s="3" t="str">
        <f t="shared" si="31"/>
        <v>GL.DepositStatus</v>
      </c>
      <c r="I500"/>
      <c r="K500" t="s">
        <v>1210</v>
      </c>
      <c r="L500"/>
      <c r="M500" t="s">
        <v>6007</v>
      </c>
      <c r="N500"/>
      <c r="O500"/>
      <c r="P500"/>
      <c r="Q500" t="s">
        <v>92</v>
      </c>
      <c r="R500"/>
      <c r="S500"/>
      <c r="U500" t="s">
        <v>1429</v>
      </c>
    </row>
    <row r="501" spans="1:34" ht="15" hidden="1" customHeight="1">
      <c r="A501">
        <v>14840</v>
      </c>
      <c r="B501" s="3" t="s">
        <v>1475</v>
      </c>
      <c r="C501" s="3" t="str">
        <f t="shared" si="29"/>
        <v>glEFTType.ID</v>
      </c>
      <c r="D501">
        <v>393</v>
      </c>
      <c r="E501" s="3" t="str">
        <f t="shared" si="30"/>
        <v>glEFTType</v>
      </c>
      <c r="F501" t="s">
        <v>0</v>
      </c>
      <c r="G501" s="3" t="s">
        <v>6598</v>
      </c>
      <c r="H501" s="3" t="str">
        <f t="shared" si="31"/>
        <v>General Ledger.EFT Type</v>
      </c>
      <c r="I501"/>
      <c r="K501" s="3" t="s">
        <v>0</v>
      </c>
      <c r="M501" t="s">
        <v>6007</v>
      </c>
      <c r="N501"/>
      <c r="O501"/>
      <c r="Q501" s="3" t="s">
        <v>919</v>
      </c>
      <c r="U501" s="3" t="s">
        <v>95</v>
      </c>
    </row>
    <row r="502" spans="1:34" ht="15" hidden="1" customHeight="1">
      <c r="A502">
        <v>14850</v>
      </c>
      <c r="B502" s="3" t="s">
        <v>1475</v>
      </c>
      <c r="C502" s="3" t="str">
        <f t="shared" si="29"/>
        <v>glEFTType.Description</v>
      </c>
      <c r="D502">
        <v>393</v>
      </c>
      <c r="E502" s="3" t="str">
        <f t="shared" si="30"/>
        <v>glEFTType</v>
      </c>
      <c r="F502" t="s">
        <v>12</v>
      </c>
      <c r="G502" s="3" t="s">
        <v>7006</v>
      </c>
      <c r="H502" s="3" t="str">
        <f t="shared" si="31"/>
        <v>General Ledger.EFT Type</v>
      </c>
      <c r="I502"/>
      <c r="K502" s="3" t="s">
        <v>12</v>
      </c>
      <c r="M502" t="s">
        <v>196</v>
      </c>
      <c r="N502"/>
      <c r="O502"/>
      <c r="Q502" s="3" t="s">
        <v>919</v>
      </c>
      <c r="U502" t="s">
        <v>93</v>
      </c>
      <c r="Y502" t="s">
        <v>92</v>
      </c>
      <c r="AB502" t="s">
        <v>92</v>
      </c>
      <c r="AH502" t="s">
        <v>92</v>
      </c>
    </row>
    <row r="503" spans="1:34" ht="15" hidden="1" customHeight="1">
      <c r="A503">
        <v>14860</v>
      </c>
      <c r="B503" s="3" t="s">
        <v>1475</v>
      </c>
      <c r="C503" s="3" t="str">
        <f t="shared" si="29"/>
        <v>glEFTType.ShortCode</v>
      </c>
      <c r="D503">
        <v>393</v>
      </c>
      <c r="E503" s="3" t="str">
        <f t="shared" si="30"/>
        <v>glEFTType</v>
      </c>
      <c r="F503" t="s">
        <v>16</v>
      </c>
      <c r="G503" s="3" t="s">
        <v>6434</v>
      </c>
      <c r="H503" s="3" t="str">
        <f t="shared" si="31"/>
        <v>General Ledger.EFT Type</v>
      </c>
      <c r="I503"/>
      <c r="K503" s="3" t="s">
        <v>117</v>
      </c>
      <c r="M503" t="s">
        <v>196</v>
      </c>
      <c r="N503"/>
      <c r="O503"/>
      <c r="Q503" s="3" t="s">
        <v>92</v>
      </c>
      <c r="U503" t="s">
        <v>93</v>
      </c>
      <c r="AB503" t="s">
        <v>92</v>
      </c>
      <c r="AH503" t="s">
        <v>92</v>
      </c>
    </row>
    <row r="504" spans="1:34" ht="15" hidden="1" customHeight="1">
      <c r="A504">
        <v>14870</v>
      </c>
      <c r="B504" s="3" t="s">
        <v>1475</v>
      </c>
      <c r="C504" s="3" t="str">
        <f t="shared" si="29"/>
        <v>glEFTType.RowStatus</v>
      </c>
      <c r="D504">
        <v>393</v>
      </c>
      <c r="E504" s="3" t="str">
        <f t="shared" si="30"/>
        <v>glEFTType</v>
      </c>
      <c r="F504" t="s">
        <v>1445</v>
      </c>
      <c r="G504" s="3" t="s">
        <v>6411</v>
      </c>
      <c r="H504" s="3" t="str">
        <f t="shared" si="31"/>
        <v>General Ledger.EFT Type</v>
      </c>
      <c r="I504"/>
      <c r="K504" s="3" t="s">
        <v>2471</v>
      </c>
      <c r="M504" t="s">
        <v>976</v>
      </c>
      <c r="N504">
        <v>1</v>
      </c>
      <c r="O504"/>
      <c r="Q504" s="3" t="s">
        <v>919</v>
      </c>
      <c r="U504" t="s">
        <v>94</v>
      </c>
    </row>
    <row r="505" spans="1:34" ht="15" hidden="1" customHeight="1">
      <c r="A505">
        <v>14880</v>
      </c>
      <c r="B505" t="s">
        <v>1475</v>
      </c>
      <c r="C505" s="3" t="str">
        <f t="shared" si="29"/>
        <v>glEFTType.sysChangeHistoryID</v>
      </c>
      <c r="D505">
        <v>393</v>
      </c>
      <c r="E505" s="3" t="str">
        <f t="shared" si="30"/>
        <v>glEFTType</v>
      </c>
      <c r="F505" t="s">
        <v>2497</v>
      </c>
      <c r="G505" s="3" t="s">
        <v>6403</v>
      </c>
      <c r="H505" s="3" t="str">
        <f t="shared" si="31"/>
        <v>General Ledger.EFT Type</v>
      </c>
      <c r="I505"/>
      <c r="K505" t="s">
        <v>1210</v>
      </c>
      <c r="L505"/>
      <c r="M505" t="s">
        <v>6007</v>
      </c>
      <c r="N505"/>
      <c r="O505"/>
      <c r="P505"/>
      <c r="Q505" t="s">
        <v>92</v>
      </c>
      <c r="R505"/>
      <c r="S505"/>
      <c r="U505" t="s">
        <v>1429</v>
      </c>
      <c r="W505" s="3"/>
      <c r="X505" s="3"/>
    </row>
    <row r="506" spans="1:34" ht="15" hidden="1" customHeight="1">
      <c r="A506">
        <v>14890</v>
      </c>
      <c r="B506" t="s">
        <v>1475</v>
      </c>
      <c r="C506" s="3" t="str">
        <f t="shared" si="29"/>
        <v>glEntry.ID</v>
      </c>
      <c r="D506">
        <v>316</v>
      </c>
      <c r="E506" s="3" t="str">
        <f t="shared" si="30"/>
        <v>glEntry</v>
      </c>
      <c r="F506" t="s">
        <v>0</v>
      </c>
      <c r="G506" s="3" t="s">
        <v>6599</v>
      </c>
      <c r="H506" s="3" t="str">
        <f t="shared" si="31"/>
        <v>General Ledger.Entry</v>
      </c>
      <c r="I506"/>
      <c r="K506" t="s">
        <v>1177</v>
      </c>
      <c r="L506"/>
      <c r="M506" t="s">
        <v>6007</v>
      </c>
      <c r="N506"/>
      <c r="O506"/>
      <c r="P506"/>
      <c r="Q506" s="3" t="s">
        <v>919</v>
      </c>
      <c r="R506"/>
      <c r="S506"/>
      <c r="U506" s="3" t="s">
        <v>95</v>
      </c>
      <c r="AC506" t="s">
        <v>92</v>
      </c>
    </row>
    <row r="507" spans="1:34" ht="15" hidden="1" customHeight="1">
      <c r="A507">
        <v>14900</v>
      </c>
      <c r="B507" t="s">
        <v>1475</v>
      </c>
      <c r="C507" s="3" t="str">
        <f t="shared" si="29"/>
        <v>glEntry.glAccountID</v>
      </c>
      <c r="D507">
        <v>316</v>
      </c>
      <c r="E507" s="3" t="str">
        <f t="shared" si="30"/>
        <v>glEntry</v>
      </c>
      <c r="F507" t="str">
        <f>VLOOKUP(V507,DictionaryTableID,3,FALSE)&amp;"ID"&amp;X507</f>
        <v>glAccountID</v>
      </c>
      <c r="G507" s="3" t="s">
        <v>6461</v>
      </c>
      <c r="H507" s="3" t="str">
        <f t="shared" si="31"/>
        <v>General Ledger.Entry</v>
      </c>
      <c r="I507"/>
      <c r="K507" t="s">
        <v>123</v>
      </c>
      <c r="L507"/>
      <c r="M507" t="s">
        <v>6007</v>
      </c>
      <c r="N507"/>
      <c r="O507"/>
      <c r="P507"/>
      <c r="Q507" t="s">
        <v>919</v>
      </c>
      <c r="R507"/>
      <c r="S507"/>
      <c r="U507" t="s">
        <v>96</v>
      </c>
      <c r="V507">
        <v>300</v>
      </c>
      <c r="W507" s="3" t="str">
        <f>VLOOKUP(V507,DictionaryTableID,3,FALSE)</f>
        <v>glAccount</v>
      </c>
      <c r="X507" s="3" t="s">
        <v>1036</v>
      </c>
      <c r="AB507" t="s">
        <v>92</v>
      </c>
      <c r="AC507" t="s">
        <v>92</v>
      </c>
    </row>
    <row r="508" spans="1:34" ht="15" hidden="1" customHeight="1">
      <c r="A508">
        <v>14910</v>
      </c>
      <c r="B508" s="3" t="s">
        <v>1475</v>
      </c>
      <c r="C508" s="3" t="str">
        <f t="shared" si="29"/>
        <v>glEntry.glCostCentreID</v>
      </c>
      <c r="D508" s="3">
        <v>316</v>
      </c>
      <c r="E508" s="3" t="str">
        <f t="shared" si="30"/>
        <v>glEntry</v>
      </c>
      <c r="F508" t="str">
        <f>VLOOKUP(V508,DictionaryTableID,3,FALSE)&amp;"ID"&amp;X508</f>
        <v>glCostCentreID</v>
      </c>
      <c r="G508" s="3" t="s">
        <v>6442</v>
      </c>
      <c r="H508" s="3" t="str">
        <f t="shared" si="31"/>
        <v>General Ledger.Entry</v>
      </c>
      <c r="I508"/>
      <c r="K508" s="3" t="s">
        <v>328</v>
      </c>
      <c r="M508" t="s">
        <v>6007</v>
      </c>
      <c r="Q508" s="3" t="s">
        <v>919</v>
      </c>
      <c r="U508" s="3" t="s">
        <v>96</v>
      </c>
      <c r="V508">
        <v>301</v>
      </c>
      <c r="W508" s="3" t="str">
        <f>VLOOKUP(V508,DictionaryTableID,3,FALSE)</f>
        <v>glCostCentre</v>
      </c>
      <c r="X508" s="3" t="s">
        <v>1036</v>
      </c>
      <c r="AB508" t="s">
        <v>92</v>
      </c>
      <c r="AF508" t="s">
        <v>703</v>
      </c>
    </row>
    <row r="509" spans="1:34" ht="15" hidden="1" customHeight="1">
      <c r="A509">
        <v>14920</v>
      </c>
      <c r="B509" t="s">
        <v>1475</v>
      </c>
      <c r="C509" s="3" t="str">
        <f t="shared" si="29"/>
        <v>glEntry.glEntryTypeID</v>
      </c>
      <c r="D509" s="3">
        <v>316</v>
      </c>
      <c r="E509" s="3" t="str">
        <f t="shared" si="30"/>
        <v>glEntry</v>
      </c>
      <c r="F509" t="str">
        <f>VLOOKUP(V509,DictionaryTableID,3,FALSE)&amp;"ID"&amp;X509</f>
        <v>glEntryTypeID</v>
      </c>
      <c r="G509" s="3" t="s">
        <v>6600</v>
      </c>
      <c r="H509" s="3" t="str">
        <f t="shared" si="31"/>
        <v>General Ledger.Entry</v>
      </c>
      <c r="I509"/>
      <c r="K509" s="3" t="s">
        <v>40</v>
      </c>
      <c r="M509" t="s">
        <v>6007</v>
      </c>
      <c r="Q509" s="3" t="s">
        <v>92</v>
      </c>
      <c r="U509" t="s">
        <v>96</v>
      </c>
      <c r="V509">
        <v>317</v>
      </c>
      <c r="W509" s="3" t="str">
        <f>VLOOKUP(V509,DictionaryTableID,3,FALSE)</f>
        <v>glEntryType</v>
      </c>
      <c r="AA509" t="s">
        <v>92</v>
      </c>
      <c r="AB509" t="s">
        <v>92</v>
      </c>
    </row>
    <row r="510" spans="1:34" ht="15" hidden="1" customHeight="1">
      <c r="A510">
        <v>14940</v>
      </c>
      <c r="B510" t="s">
        <v>1475</v>
      </c>
      <c r="C510" s="3" t="str">
        <f t="shared" si="29"/>
        <v>glEntry.glTransactionID</v>
      </c>
      <c r="D510">
        <v>316</v>
      </c>
      <c r="E510" s="3" t="str">
        <f t="shared" si="30"/>
        <v>glEntry</v>
      </c>
      <c r="F510" t="str">
        <f>VLOOKUP(V510,DictionaryTableID,3,FALSE)&amp;"ID"&amp;X510</f>
        <v>glTransactionID</v>
      </c>
      <c r="G510" s="3" t="s">
        <v>6428</v>
      </c>
      <c r="H510" s="3" t="str">
        <f t="shared" si="31"/>
        <v>General Ledger.Entry</v>
      </c>
      <c r="I510"/>
      <c r="K510" t="s">
        <v>120</v>
      </c>
      <c r="L510"/>
      <c r="M510" t="s">
        <v>6007</v>
      </c>
      <c r="N510"/>
      <c r="O510"/>
      <c r="P510"/>
      <c r="Q510" t="s">
        <v>919</v>
      </c>
      <c r="R510"/>
      <c r="S510"/>
      <c r="U510" t="s">
        <v>96</v>
      </c>
      <c r="V510">
        <v>311</v>
      </c>
      <c r="W510" s="3" t="str">
        <f>VLOOKUP(V510,DictionaryTableID,3,FALSE)</f>
        <v>glTransaction</v>
      </c>
      <c r="X510" s="3"/>
      <c r="AB510" t="s">
        <v>92</v>
      </c>
      <c r="AD510" s="4"/>
      <c r="AE510" s="4"/>
    </row>
    <row r="511" spans="1:34" ht="15" customHeight="1">
      <c r="A511">
        <v>14950</v>
      </c>
      <c r="B511" s="3" t="s">
        <v>1475</v>
      </c>
      <c r="C511" s="3" t="str">
        <f t="shared" si="29"/>
        <v>glEntry.sysDictionaryTableIDChargedTo</v>
      </c>
      <c r="D511" s="3">
        <v>316</v>
      </c>
      <c r="E511" s="3" t="str">
        <f t="shared" si="30"/>
        <v>glEntry</v>
      </c>
      <c r="F511" t="str">
        <f>"sysDictionaryTableID"&amp;X511</f>
        <v>sysDictionaryTableIDChargedTo</v>
      </c>
      <c r="G511" s="3" t="s">
        <v>6471</v>
      </c>
      <c r="H511" s="3" t="str">
        <f t="shared" si="31"/>
        <v>General Ledger.Entry</v>
      </c>
      <c r="I511"/>
      <c r="K511" t="s">
        <v>6389</v>
      </c>
      <c r="M511" t="s">
        <v>6007</v>
      </c>
      <c r="N511"/>
      <c r="Q511" s="3" t="s">
        <v>92</v>
      </c>
      <c r="S511" s="19"/>
      <c r="U511" t="s">
        <v>1072</v>
      </c>
      <c r="V511">
        <v>1</v>
      </c>
      <c r="W511" s="3" t="str">
        <f>VLOOKUP(V511,DictionaryTableID,3,FALSE)</f>
        <v>sysDictionaryTable</v>
      </c>
      <c r="X511" s="3" t="s">
        <v>1454</v>
      </c>
      <c r="AB511" t="s">
        <v>92</v>
      </c>
      <c r="AF511" t="s">
        <v>697</v>
      </c>
    </row>
    <row r="512" spans="1:34" ht="15" customHeight="1">
      <c r="A512">
        <v>14960</v>
      </c>
      <c r="B512" s="3" t="s">
        <v>1475</v>
      </c>
      <c r="C512" s="3" t="str">
        <f t="shared" si="29"/>
        <v>glEntry.RowIDChargedTo</v>
      </c>
      <c r="D512" s="3">
        <v>316</v>
      </c>
      <c r="E512" s="3" t="str">
        <f t="shared" si="30"/>
        <v>glEntry</v>
      </c>
      <c r="F512" t="s">
        <v>6152</v>
      </c>
      <c r="G512" s="3" t="s">
        <v>6601</v>
      </c>
      <c r="H512" s="3" t="str">
        <f t="shared" si="31"/>
        <v>General Ledger.Entry</v>
      </c>
      <c r="I512"/>
      <c r="K512" s="3" t="s">
        <v>1454</v>
      </c>
      <c r="M512" t="s">
        <v>6007</v>
      </c>
      <c r="Q512" s="3" t="s">
        <v>92</v>
      </c>
      <c r="U512" t="s">
        <v>1072</v>
      </c>
      <c r="W512" s="3"/>
      <c r="X512" s="3" t="s">
        <v>1454</v>
      </c>
      <c r="AB512" t="s">
        <v>92</v>
      </c>
      <c r="AF512" t="s">
        <v>698</v>
      </c>
    </row>
    <row r="513" spans="1:34" ht="15" hidden="1" customHeight="1">
      <c r="A513">
        <v>14970</v>
      </c>
      <c r="B513" t="s">
        <v>1475</v>
      </c>
      <c r="C513" s="3" t="str">
        <f t="shared" si="29"/>
        <v>glEntry.Amount</v>
      </c>
      <c r="D513">
        <v>316</v>
      </c>
      <c r="E513" s="3" t="str">
        <f t="shared" si="30"/>
        <v>glEntry</v>
      </c>
      <c r="F513" t="s">
        <v>49</v>
      </c>
      <c r="G513" s="3" t="s">
        <v>6591</v>
      </c>
      <c r="H513" s="3" t="str">
        <f t="shared" si="31"/>
        <v>General Ledger.Entry</v>
      </c>
      <c r="I513"/>
      <c r="K513" t="s">
        <v>49</v>
      </c>
      <c r="L513"/>
      <c r="M513" s="3" t="s">
        <v>197</v>
      </c>
      <c r="N513" s="3">
        <v>19</v>
      </c>
      <c r="O513" s="3">
        <v>2</v>
      </c>
      <c r="P513"/>
      <c r="Q513" t="s">
        <v>919</v>
      </c>
      <c r="R513"/>
      <c r="S513"/>
      <c r="U513" t="s">
        <v>93</v>
      </c>
      <c r="AB513" t="s">
        <v>92</v>
      </c>
    </row>
    <row r="514" spans="1:34" ht="15" hidden="1" customHeight="1">
      <c r="A514">
        <v>14980</v>
      </c>
      <c r="B514" s="3" t="s">
        <v>1475</v>
      </c>
      <c r="C514" s="3" t="str">
        <f t="shared" ref="C514:C577" si="32">CONCATENATE(E514,".",F514)</f>
        <v>glEntry.BankReconciliationDate</v>
      </c>
      <c r="D514" s="3">
        <v>316</v>
      </c>
      <c r="E514" s="3" t="str">
        <f t="shared" si="30"/>
        <v>glEntry</v>
      </c>
      <c r="F514" t="s">
        <v>1233</v>
      </c>
      <c r="G514" s="3" t="s">
        <v>6999</v>
      </c>
      <c r="H514" s="3" t="str">
        <f t="shared" si="31"/>
        <v>General Ledger.Entry</v>
      </c>
      <c r="I514"/>
      <c r="K514" s="3" t="s">
        <v>1234</v>
      </c>
      <c r="M514" s="3" t="s">
        <v>81</v>
      </c>
      <c r="Q514" s="3" t="s">
        <v>92</v>
      </c>
      <c r="U514" s="3" t="s">
        <v>93</v>
      </c>
      <c r="AB514" t="s">
        <v>92</v>
      </c>
      <c r="AF514" t="s">
        <v>706</v>
      </c>
    </row>
    <row r="515" spans="1:34" ht="15" hidden="1" customHeight="1">
      <c r="A515">
        <v>14990</v>
      </c>
      <c r="B515" t="s">
        <v>1475</v>
      </c>
      <c r="C515" s="3" t="str">
        <f t="shared" si="32"/>
        <v>glEntry.Comments</v>
      </c>
      <c r="D515">
        <v>316</v>
      </c>
      <c r="E515" s="3" t="str">
        <f t="shared" si="30"/>
        <v>glEntry</v>
      </c>
      <c r="F515" t="s">
        <v>14</v>
      </c>
      <c r="G515" s="3" t="s">
        <v>6421</v>
      </c>
      <c r="H515" s="3" t="str">
        <f t="shared" si="31"/>
        <v>General Ledger.Entry</v>
      </c>
      <c r="I515"/>
      <c r="K515" s="3" t="s">
        <v>14</v>
      </c>
      <c r="L515"/>
      <c r="M515" t="s">
        <v>196</v>
      </c>
      <c r="N515"/>
      <c r="O515"/>
      <c r="P515"/>
      <c r="Q515" t="s">
        <v>92</v>
      </c>
      <c r="R515"/>
      <c r="S515" s="20"/>
      <c r="U515" t="s">
        <v>93</v>
      </c>
      <c r="AB515" t="s">
        <v>92</v>
      </c>
    </row>
    <row r="516" spans="1:34" ht="15" hidden="1" customHeight="1">
      <c r="A516">
        <v>15000</v>
      </c>
      <c r="B516" t="s">
        <v>1475</v>
      </c>
      <c r="C516" s="3" t="str">
        <f t="shared" si="32"/>
        <v>glEntry.Description</v>
      </c>
      <c r="D516">
        <v>316</v>
      </c>
      <c r="E516" s="3" t="str">
        <f t="shared" si="30"/>
        <v>glEntry</v>
      </c>
      <c r="F516" t="s">
        <v>12</v>
      </c>
      <c r="G516" s="3" t="s">
        <v>7007</v>
      </c>
      <c r="H516" s="3" t="str">
        <f t="shared" si="31"/>
        <v>General Ledger.Entry</v>
      </c>
      <c r="I516"/>
      <c r="K516" t="s">
        <v>12</v>
      </c>
      <c r="L516"/>
      <c r="M516" t="s">
        <v>196</v>
      </c>
      <c r="N516"/>
      <c r="O516"/>
      <c r="P516"/>
      <c r="Q516" t="s">
        <v>92</v>
      </c>
      <c r="R516"/>
      <c r="S516"/>
      <c r="U516" t="s">
        <v>93</v>
      </c>
      <c r="AB516" t="s">
        <v>92</v>
      </c>
      <c r="AH516" t="s">
        <v>92</v>
      </c>
    </row>
    <row r="517" spans="1:34" ht="15" hidden="1" customHeight="1">
      <c r="A517">
        <v>15010</v>
      </c>
      <c r="B517" t="s">
        <v>1475</v>
      </c>
      <c r="C517" s="3" t="str">
        <f t="shared" si="32"/>
        <v>glEntry.ReconciliationBalance</v>
      </c>
      <c r="D517">
        <v>316</v>
      </c>
      <c r="E517" s="3" t="str">
        <f t="shared" si="30"/>
        <v>glEntry</v>
      </c>
      <c r="F517" t="s">
        <v>1178</v>
      </c>
      <c r="G517" s="3" t="s">
        <v>6602</v>
      </c>
      <c r="H517" s="3" t="str">
        <f t="shared" si="31"/>
        <v>General Ledger.Entry</v>
      </c>
      <c r="I517"/>
      <c r="K517" t="s">
        <v>1179</v>
      </c>
      <c r="L517"/>
      <c r="M517" s="3" t="s">
        <v>197</v>
      </c>
      <c r="N517" s="3">
        <v>19</v>
      </c>
      <c r="O517" s="3">
        <v>2</v>
      </c>
      <c r="P517"/>
      <c r="Q517" t="s">
        <v>92</v>
      </c>
      <c r="R517"/>
      <c r="S517"/>
      <c r="U517" t="s">
        <v>93</v>
      </c>
      <c r="AB517" t="s">
        <v>92</v>
      </c>
    </row>
    <row r="518" spans="1:34" ht="15" hidden="1" customHeight="1">
      <c r="A518">
        <v>15020</v>
      </c>
      <c r="B518" t="s">
        <v>1475</v>
      </c>
      <c r="C518" s="3" t="str">
        <f t="shared" si="32"/>
        <v>glEntry.ReferenceNumber</v>
      </c>
      <c r="D518">
        <v>316</v>
      </c>
      <c r="E518" s="3" t="str">
        <f t="shared" si="30"/>
        <v>glEntry</v>
      </c>
      <c r="F518" t="s">
        <v>28</v>
      </c>
      <c r="G518" s="3" t="s">
        <v>6446</v>
      </c>
      <c r="H518" s="3" t="str">
        <f t="shared" si="31"/>
        <v>General Ledger.Entry</v>
      </c>
      <c r="I518"/>
      <c r="K518" t="s">
        <v>102</v>
      </c>
      <c r="L518"/>
      <c r="M518" t="s">
        <v>196</v>
      </c>
      <c r="O518"/>
      <c r="P518"/>
      <c r="Q518" t="s">
        <v>92</v>
      </c>
      <c r="R518"/>
      <c r="S518" s="20"/>
      <c r="U518" t="s">
        <v>93</v>
      </c>
      <c r="AB518" t="s">
        <v>92</v>
      </c>
    </row>
    <row r="519" spans="1:34" ht="15" hidden="1" customHeight="1">
      <c r="A519">
        <v>15025</v>
      </c>
      <c r="B519" s="3" t="s">
        <v>1475</v>
      </c>
      <c r="C519" s="3" t="str">
        <f t="shared" si="32"/>
        <v>glEntry.ReportingPeriodDate</v>
      </c>
      <c r="D519" s="3">
        <v>316</v>
      </c>
      <c r="E519" s="3" t="str">
        <f t="shared" si="30"/>
        <v>glEntry</v>
      </c>
      <c r="F519" t="s">
        <v>6036</v>
      </c>
      <c r="G519" s="3" t="s">
        <v>6037</v>
      </c>
      <c r="H519" s="3" t="str">
        <f t="shared" si="31"/>
        <v>General Ledger.Entry</v>
      </c>
      <c r="I519"/>
      <c r="K519" t="s">
        <v>6387</v>
      </c>
      <c r="M519" s="3" t="s">
        <v>81</v>
      </c>
      <c r="Q519" s="3" t="s">
        <v>92</v>
      </c>
      <c r="U519" s="3" t="s">
        <v>93</v>
      </c>
      <c r="AB519" t="s">
        <v>92</v>
      </c>
      <c r="AF519" t="s">
        <v>706</v>
      </c>
    </row>
    <row r="520" spans="1:34" ht="15" hidden="1" customHeight="1">
      <c r="A520">
        <v>15030</v>
      </c>
      <c r="B520" s="3" t="s">
        <v>1475</v>
      </c>
      <c r="C520" s="3" t="str">
        <f t="shared" si="32"/>
        <v>glEntry.RollupAmount</v>
      </c>
      <c r="D520" s="3">
        <v>316</v>
      </c>
      <c r="E520" s="3" t="str">
        <f t="shared" si="30"/>
        <v>glEntry</v>
      </c>
      <c r="F520" t="s">
        <v>59</v>
      </c>
      <c r="G520" s="3" t="s">
        <v>6038</v>
      </c>
      <c r="H520" s="3" t="str">
        <f t="shared" si="31"/>
        <v>General Ledger.Entry</v>
      </c>
      <c r="I520"/>
      <c r="K520" s="3" t="s">
        <v>349</v>
      </c>
      <c r="M520" s="3" t="s">
        <v>197</v>
      </c>
      <c r="N520" s="3">
        <v>19</v>
      </c>
      <c r="O520" s="3">
        <v>2</v>
      </c>
      <c r="Q520" s="3" t="s">
        <v>92</v>
      </c>
      <c r="U520" s="3" t="s">
        <v>93</v>
      </c>
      <c r="AF520" t="s">
        <v>704</v>
      </c>
    </row>
    <row r="521" spans="1:34" ht="15" hidden="1" customHeight="1">
      <c r="A521">
        <v>15040</v>
      </c>
      <c r="B521" t="s">
        <v>1475</v>
      </c>
      <c r="C521" s="3" t="str">
        <f t="shared" si="32"/>
        <v>glEntry.sysChangeHistoryID</v>
      </c>
      <c r="D521">
        <v>316</v>
      </c>
      <c r="E521" s="3" t="str">
        <f t="shared" si="30"/>
        <v>glEntry</v>
      </c>
      <c r="F521" t="s">
        <v>2497</v>
      </c>
      <c r="G521" s="3" t="s">
        <v>6403</v>
      </c>
      <c r="H521" s="3" t="str">
        <f t="shared" si="31"/>
        <v>General Ledger.Entry</v>
      </c>
      <c r="I521"/>
      <c r="K521" t="s">
        <v>1210</v>
      </c>
      <c r="L521"/>
      <c r="M521" t="s">
        <v>6007</v>
      </c>
      <c r="N521"/>
      <c r="O521"/>
      <c r="P521"/>
      <c r="Q521" t="s">
        <v>92</v>
      </c>
      <c r="R521"/>
      <c r="S521"/>
      <c r="U521" t="s">
        <v>1429</v>
      </c>
      <c r="W521" s="3"/>
      <c r="X521" s="3"/>
    </row>
    <row r="522" spans="1:34" ht="15" hidden="1" customHeight="1">
      <c r="A522">
        <v>15050</v>
      </c>
      <c r="B522" s="3" t="s">
        <v>1475</v>
      </c>
      <c r="C522" s="3" t="str">
        <f t="shared" si="32"/>
        <v>glEntryType.ID</v>
      </c>
      <c r="D522">
        <v>317</v>
      </c>
      <c r="E522" s="3" t="str">
        <f t="shared" si="30"/>
        <v>glEntryType</v>
      </c>
      <c r="F522" t="s">
        <v>0</v>
      </c>
      <c r="G522" s="3" t="s">
        <v>6603</v>
      </c>
      <c r="H522" s="3" t="str">
        <f t="shared" si="31"/>
        <v>General Ledger.Entry Type</v>
      </c>
      <c r="I522"/>
      <c r="K522" s="3" t="s">
        <v>0</v>
      </c>
      <c r="M522" t="s">
        <v>6007</v>
      </c>
      <c r="N522"/>
      <c r="O522"/>
      <c r="Q522" s="3" t="s">
        <v>919</v>
      </c>
      <c r="U522" s="3" t="s">
        <v>95</v>
      </c>
    </row>
    <row r="523" spans="1:34" ht="15" hidden="1" customHeight="1">
      <c r="A523">
        <v>15060</v>
      </c>
      <c r="B523" s="3" t="s">
        <v>1475</v>
      </c>
      <c r="C523" s="3" t="str">
        <f t="shared" si="32"/>
        <v>glEntryType.Description</v>
      </c>
      <c r="D523">
        <v>317</v>
      </c>
      <c r="E523" s="3" t="str">
        <f t="shared" ref="E523:E586" si="33">VLOOKUP(D523,DictionaryTableID,3,FALSE)</f>
        <v>glEntryType</v>
      </c>
      <c r="F523" t="s">
        <v>12</v>
      </c>
      <c r="G523" s="3" t="s">
        <v>7008</v>
      </c>
      <c r="H523" s="3" t="str">
        <f t="shared" ref="H523:H586" si="34">VLOOKUP(E523,DictionaryTables,14,FALSE)</f>
        <v>General Ledger.Entry Type</v>
      </c>
      <c r="I523"/>
      <c r="K523" s="3" t="s">
        <v>12</v>
      </c>
      <c r="M523" t="s">
        <v>196</v>
      </c>
      <c r="N523"/>
      <c r="O523"/>
      <c r="Q523" s="3" t="s">
        <v>919</v>
      </c>
      <c r="U523" t="s">
        <v>93</v>
      </c>
      <c r="Y523" t="s">
        <v>92</v>
      </c>
      <c r="AB523" t="s">
        <v>92</v>
      </c>
      <c r="AH523" t="s">
        <v>92</v>
      </c>
    </row>
    <row r="524" spans="1:34" ht="15" hidden="1" customHeight="1">
      <c r="A524">
        <v>15070</v>
      </c>
      <c r="B524" s="3" t="s">
        <v>1475</v>
      </c>
      <c r="C524" s="3" t="str">
        <f t="shared" si="32"/>
        <v>glEntryType.DisplaySequence</v>
      </c>
      <c r="D524">
        <v>317</v>
      </c>
      <c r="E524" s="3" t="str">
        <f t="shared" si="33"/>
        <v>glEntryType</v>
      </c>
      <c r="F524" t="s">
        <v>6055</v>
      </c>
      <c r="G524" s="3" t="s">
        <v>6432</v>
      </c>
      <c r="H524" s="3" t="str">
        <f t="shared" si="34"/>
        <v>General Ledger.Entry Type</v>
      </c>
      <c r="I524"/>
      <c r="K524" s="3" t="s">
        <v>6297</v>
      </c>
      <c r="M524" t="s">
        <v>195</v>
      </c>
      <c r="N524"/>
      <c r="O524"/>
      <c r="Q524" s="3" t="s">
        <v>919</v>
      </c>
      <c r="U524" t="s">
        <v>93</v>
      </c>
    </row>
    <row r="525" spans="1:34" ht="15" hidden="1" customHeight="1">
      <c r="A525">
        <v>15080</v>
      </c>
      <c r="B525" s="3" t="s">
        <v>1475</v>
      </c>
      <c r="C525" s="3" t="str">
        <f t="shared" si="32"/>
        <v>glEntryType.ShortCode</v>
      </c>
      <c r="D525">
        <v>317</v>
      </c>
      <c r="E525" s="3" t="str">
        <f t="shared" si="33"/>
        <v>glEntryType</v>
      </c>
      <c r="F525" t="s">
        <v>16</v>
      </c>
      <c r="G525" s="3" t="s">
        <v>6434</v>
      </c>
      <c r="H525" s="3" t="str">
        <f t="shared" si="34"/>
        <v>General Ledger.Entry Type</v>
      </c>
      <c r="I525"/>
      <c r="K525" s="3" t="s">
        <v>117</v>
      </c>
      <c r="M525" t="s">
        <v>196</v>
      </c>
      <c r="N525"/>
      <c r="O525"/>
      <c r="Q525" s="3" t="s">
        <v>92</v>
      </c>
      <c r="U525" t="s">
        <v>93</v>
      </c>
      <c r="AB525" t="s">
        <v>92</v>
      </c>
      <c r="AH525" t="s">
        <v>92</v>
      </c>
    </row>
    <row r="526" spans="1:34" ht="15" hidden="1" customHeight="1">
      <c r="A526">
        <v>15090</v>
      </c>
      <c r="B526" s="3" t="s">
        <v>1475</v>
      </c>
      <c r="C526" s="3" t="str">
        <f t="shared" si="32"/>
        <v>glEntryType.RowStatus</v>
      </c>
      <c r="D526">
        <v>317</v>
      </c>
      <c r="E526" s="3" t="str">
        <f t="shared" si="33"/>
        <v>glEntryType</v>
      </c>
      <c r="F526" t="s">
        <v>1445</v>
      </c>
      <c r="G526" s="3" t="s">
        <v>6411</v>
      </c>
      <c r="H526" s="3" t="str">
        <f t="shared" si="34"/>
        <v>General Ledger.Entry Type</v>
      </c>
      <c r="I526"/>
      <c r="K526" s="3" t="s">
        <v>2471</v>
      </c>
      <c r="M526" t="s">
        <v>976</v>
      </c>
      <c r="N526">
        <v>1</v>
      </c>
      <c r="O526"/>
      <c r="Q526" s="3" t="s">
        <v>919</v>
      </c>
      <c r="U526" t="s">
        <v>94</v>
      </c>
    </row>
    <row r="527" spans="1:34" ht="15" hidden="1" customHeight="1">
      <c r="A527">
        <v>15100</v>
      </c>
      <c r="B527" t="s">
        <v>1475</v>
      </c>
      <c r="C527" s="3" t="str">
        <f t="shared" si="32"/>
        <v>glEntryType.sysChangeHistoryID</v>
      </c>
      <c r="D527">
        <v>317</v>
      </c>
      <c r="E527" s="3" t="str">
        <f t="shared" si="33"/>
        <v>glEntryType</v>
      </c>
      <c r="F527" t="s">
        <v>2497</v>
      </c>
      <c r="G527" s="3" t="s">
        <v>6403</v>
      </c>
      <c r="H527" s="3" t="str">
        <f t="shared" si="34"/>
        <v>General Ledger.Entry Type</v>
      </c>
      <c r="I527"/>
      <c r="K527" t="s">
        <v>1210</v>
      </c>
      <c r="L527"/>
      <c r="M527" t="s">
        <v>6007</v>
      </c>
      <c r="N527"/>
      <c r="O527"/>
      <c r="P527"/>
      <c r="Q527" t="s">
        <v>92</v>
      </c>
      <c r="R527"/>
      <c r="S527"/>
      <c r="U527" t="s">
        <v>1429</v>
      </c>
      <c r="W527" s="3"/>
      <c r="X527" s="3"/>
    </row>
    <row r="528" spans="1:34" ht="15" hidden="1" customHeight="1">
      <c r="A528">
        <v>15110</v>
      </c>
      <c r="B528" t="s">
        <v>1475</v>
      </c>
      <c r="C528" s="3" t="str">
        <f t="shared" si="32"/>
        <v>glExportBatch.Id</v>
      </c>
      <c r="D528" s="3">
        <v>330</v>
      </c>
      <c r="E528" s="3" t="str">
        <f t="shared" si="33"/>
        <v>glExportBatch</v>
      </c>
      <c r="F528" s="3" t="s">
        <v>1539</v>
      </c>
      <c r="G528" s="3" t="s">
        <v>6604</v>
      </c>
      <c r="H528" s="3" t="str">
        <f t="shared" si="34"/>
        <v>gl.ExportBatch</v>
      </c>
      <c r="I528"/>
      <c r="K528" s="3" t="s">
        <v>0</v>
      </c>
      <c r="M528" t="s">
        <v>6007</v>
      </c>
      <c r="Q528" s="3" t="s">
        <v>919</v>
      </c>
      <c r="U528" t="s">
        <v>95</v>
      </c>
    </row>
    <row r="529" spans="1:34" ht="15" hidden="1" customHeight="1">
      <c r="A529">
        <v>15120</v>
      </c>
      <c r="B529" t="s">
        <v>1475</v>
      </c>
      <c r="C529" s="3" t="str">
        <f t="shared" si="32"/>
        <v>glExportBatch.ExportDate</v>
      </c>
      <c r="D529" s="3">
        <v>330</v>
      </c>
      <c r="E529" s="3" t="str">
        <f t="shared" si="33"/>
        <v>glExportBatch</v>
      </c>
      <c r="F529" s="3" t="s">
        <v>5995</v>
      </c>
      <c r="G529" s="3" t="s">
        <v>6559</v>
      </c>
      <c r="H529" s="3" t="str">
        <f t="shared" si="34"/>
        <v>gl.ExportBatch</v>
      </c>
      <c r="I529"/>
      <c r="K529" s="3" t="s">
        <v>81</v>
      </c>
      <c r="M529" s="3" t="s">
        <v>1074</v>
      </c>
      <c r="Q529" s="3" t="s">
        <v>919</v>
      </c>
      <c r="U529" t="s">
        <v>93</v>
      </c>
      <c r="AA529" t="s">
        <v>92</v>
      </c>
    </row>
    <row r="530" spans="1:34" ht="15" hidden="1" customHeight="1">
      <c r="A530">
        <v>15130</v>
      </c>
      <c r="B530" t="s">
        <v>1475</v>
      </c>
      <c r="C530" s="3" t="str">
        <f t="shared" si="32"/>
        <v>glExportBatch.sysChangeHistoryID</v>
      </c>
      <c r="D530" s="3">
        <v>330</v>
      </c>
      <c r="E530" s="3" t="str">
        <f t="shared" si="33"/>
        <v>glExportBatch</v>
      </c>
      <c r="F530" t="s">
        <v>2497</v>
      </c>
      <c r="G530" s="3" t="s">
        <v>6403</v>
      </c>
      <c r="H530" s="3" t="str">
        <f t="shared" si="34"/>
        <v>gl.ExportBatch</v>
      </c>
      <c r="I530"/>
      <c r="K530" t="s">
        <v>1210</v>
      </c>
      <c r="L530"/>
      <c r="M530" t="s">
        <v>6007</v>
      </c>
      <c r="N530"/>
      <c r="O530"/>
      <c r="P530"/>
      <c r="Q530" t="s">
        <v>92</v>
      </c>
      <c r="R530"/>
      <c r="S530"/>
      <c r="U530" t="s">
        <v>1429</v>
      </c>
      <c r="W530" s="3"/>
      <c r="X530" s="3"/>
    </row>
    <row r="531" spans="1:34" ht="15" hidden="1" customHeight="1">
      <c r="A531">
        <v>15140</v>
      </c>
      <c r="B531" t="s">
        <v>1475</v>
      </c>
      <c r="C531" s="3" t="str">
        <f t="shared" si="32"/>
        <v>glExportEntry.Id</v>
      </c>
      <c r="D531" s="3">
        <v>331</v>
      </c>
      <c r="E531" s="3" t="str">
        <f t="shared" si="33"/>
        <v>glExportEntry</v>
      </c>
      <c r="F531" s="3" t="s">
        <v>1539</v>
      </c>
      <c r="G531" s="3" t="s">
        <v>6605</v>
      </c>
      <c r="H531" s="3" t="str">
        <f t="shared" si="34"/>
        <v>gl.ExportEntry</v>
      </c>
      <c r="I531"/>
      <c r="K531" s="3" t="s">
        <v>0</v>
      </c>
      <c r="M531" t="s">
        <v>6007</v>
      </c>
      <c r="Q531" s="3" t="s">
        <v>919</v>
      </c>
      <c r="U531" t="s">
        <v>95</v>
      </c>
    </row>
    <row r="532" spans="1:34" ht="15" hidden="1" customHeight="1">
      <c r="A532">
        <v>15150</v>
      </c>
      <c r="B532" t="s">
        <v>1475</v>
      </c>
      <c r="C532" s="3" t="str">
        <f t="shared" si="32"/>
        <v>glExportEntry.glExportTransactionID</v>
      </c>
      <c r="D532" s="3">
        <v>331</v>
      </c>
      <c r="E532" s="3" t="str">
        <f t="shared" si="33"/>
        <v>glExportEntry</v>
      </c>
      <c r="F532" t="str">
        <f>VLOOKUP(V532,DictionaryTableID,3,FALSE)&amp;"ID"&amp;X532</f>
        <v>glExportTransactionID</v>
      </c>
      <c r="G532" s="3" t="s">
        <v>6606</v>
      </c>
      <c r="H532" s="3" t="str">
        <f t="shared" si="34"/>
        <v>gl.ExportEntry</v>
      </c>
      <c r="I532"/>
      <c r="K532" s="3" t="s">
        <v>2139</v>
      </c>
      <c r="M532" t="s">
        <v>6007</v>
      </c>
      <c r="Q532" s="3" t="s">
        <v>919</v>
      </c>
      <c r="U532" t="s">
        <v>96</v>
      </c>
      <c r="V532" s="3">
        <v>332</v>
      </c>
      <c r="W532" s="3" t="str">
        <f>VLOOKUP(V532,DictionaryTableID,3,FALSE)</f>
        <v>glExportTransaction</v>
      </c>
      <c r="AA532" t="s">
        <v>92</v>
      </c>
    </row>
    <row r="533" spans="1:34" ht="15" hidden="1" customHeight="1">
      <c r="A533">
        <v>15160</v>
      </c>
      <c r="B533" t="s">
        <v>1475</v>
      </c>
      <c r="C533" s="3" t="str">
        <f t="shared" si="32"/>
        <v>glExportEntry.AccountNumber</v>
      </c>
      <c r="D533" s="3">
        <v>331</v>
      </c>
      <c r="E533" s="3" t="str">
        <f t="shared" si="33"/>
        <v>glExportEntry</v>
      </c>
      <c r="F533" s="3" t="s">
        <v>1101</v>
      </c>
      <c r="G533" s="3" t="s">
        <v>6607</v>
      </c>
      <c r="H533" s="3" t="str">
        <f t="shared" si="34"/>
        <v>gl.ExportEntry</v>
      </c>
      <c r="I533"/>
      <c r="K533" s="3" t="s">
        <v>1101</v>
      </c>
      <c r="M533" s="3" t="s">
        <v>1073</v>
      </c>
      <c r="Q533" s="3" t="s">
        <v>919</v>
      </c>
      <c r="U533" t="s">
        <v>93</v>
      </c>
      <c r="AA533" t="s">
        <v>92</v>
      </c>
    </row>
    <row r="534" spans="1:34" ht="15" hidden="1" customHeight="1">
      <c r="A534">
        <v>15170</v>
      </c>
      <c r="B534" t="s">
        <v>1475</v>
      </c>
      <c r="C534" s="3" t="str">
        <f t="shared" si="32"/>
        <v>glExportEntry.Amount</v>
      </c>
      <c r="D534" s="3">
        <v>331</v>
      </c>
      <c r="E534" s="3" t="str">
        <f t="shared" si="33"/>
        <v>glExportEntry</v>
      </c>
      <c r="F534" s="3" t="s">
        <v>49</v>
      </c>
      <c r="G534" s="3" t="s">
        <v>6591</v>
      </c>
      <c r="H534" s="3" t="str">
        <f t="shared" si="34"/>
        <v>gl.ExportEntry</v>
      </c>
      <c r="I534"/>
      <c r="K534" s="3" t="s">
        <v>49</v>
      </c>
      <c r="M534" s="3" t="s">
        <v>2110</v>
      </c>
      <c r="Q534" s="3" t="s">
        <v>919</v>
      </c>
      <c r="U534" t="s">
        <v>93</v>
      </c>
      <c r="AA534" t="s">
        <v>92</v>
      </c>
    </row>
    <row r="535" spans="1:34" ht="15" hidden="1" customHeight="1">
      <c r="A535">
        <v>15180</v>
      </c>
      <c r="B535" t="s">
        <v>1475</v>
      </c>
      <c r="C535" s="3" t="str">
        <f t="shared" si="32"/>
        <v>glExportEntry.Description</v>
      </c>
      <c r="D535" s="3">
        <v>331</v>
      </c>
      <c r="E535" s="3" t="str">
        <f t="shared" si="33"/>
        <v>glExportEntry</v>
      </c>
      <c r="F535" s="3" t="s">
        <v>12</v>
      </c>
      <c r="G535" s="3" t="s">
        <v>7009</v>
      </c>
      <c r="H535" s="3" t="str">
        <f t="shared" si="34"/>
        <v>gl.ExportEntry</v>
      </c>
      <c r="I535"/>
      <c r="K535" s="3" t="s">
        <v>12</v>
      </c>
      <c r="M535" s="3" t="s">
        <v>1073</v>
      </c>
      <c r="Q535" s="3" t="s">
        <v>919</v>
      </c>
      <c r="U535" t="s">
        <v>93</v>
      </c>
      <c r="AA535" t="s">
        <v>92</v>
      </c>
      <c r="AH535" t="s">
        <v>92</v>
      </c>
    </row>
    <row r="536" spans="1:34" ht="15" hidden="1" customHeight="1">
      <c r="A536">
        <v>15190</v>
      </c>
      <c r="B536" t="s">
        <v>1475</v>
      </c>
      <c r="C536" s="3" t="str">
        <f t="shared" si="32"/>
        <v>glExportTransaction.Id</v>
      </c>
      <c r="D536" s="3">
        <v>332</v>
      </c>
      <c r="E536" s="3" t="str">
        <f t="shared" si="33"/>
        <v>glExportTransaction</v>
      </c>
      <c r="F536" s="3" t="s">
        <v>1539</v>
      </c>
      <c r="G536" s="3" t="s">
        <v>6608</v>
      </c>
      <c r="H536" s="3" t="str">
        <f t="shared" si="34"/>
        <v>gl.ExportTransaction</v>
      </c>
      <c r="I536"/>
      <c r="K536" s="3" t="s">
        <v>0</v>
      </c>
      <c r="M536" t="s">
        <v>6007</v>
      </c>
      <c r="Q536" s="3" t="s">
        <v>919</v>
      </c>
      <c r="U536" t="s">
        <v>95</v>
      </c>
    </row>
    <row r="537" spans="1:34" ht="15" hidden="1" customHeight="1">
      <c r="A537">
        <v>15200</v>
      </c>
      <c r="B537" t="s">
        <v>1475</v>
      </c>
      <c r="C537" s="3" t="str">
        <f t="shared" si="32"/>
        <v>glExportTransaction.glBatchID</v>
      </c>
      <c r="D537" s="3">
        <v>332</v>
      </c>
      <c r="E537" s="3" t="str">
        <f t="shared" si="33"/>
        <v>glExportTransaction</v>
      </c>
      <c r="F537" t="str">
        <f>VLOOKUP(V537,DictionaryTableID,3,FALSE)&amp;"ID"&amp;X537</f>
        <v>glBatchID</v>
      </c>
      <c r="G537" s="3" t="s">
        <v>6609</v>
      </c>
      <c r="H537" s="3" t="str">
        <f t="shared" si="34"/>
        <v>gl.ExportTransaction</v>
      </c>
      <c r="I537"/>
      <c r="K537" s="3" t="s">
        <v>6</v>
      </c>
      <c r="M537" t="s">
        <v>6007</v>
      </c>
      <c r="Q537" s="3" t="s">
        <v>919</v>
      </c>
      <c r="U537" t="s">
        <v>96</v>
      </c>
      <c r="V537">
        <v>310</v>
      </c>
      <c r="W537" s="3" t="str">
        <f>VLOOKUP(V537,DictionaryTableID,3,FALSE)</f>
        <v>glBatch</v>
      </c>
      <c r="AA537" t="s">
        <v>92</v>
      </c>
    </row>
    <row r="538" spans="1:34" ht="15" hidden="1" customHeight="1">
      <c r="A538">
        <v>15210</v>
      </c>
      <c r="B538" t="s">
        <v>1475</v>
      </c>
      <c r="C538" s="3" t="str">
        <f t="shared" si="32"/>
        <v>glExportTransaction.glExportBatchID</v>
      </c>
      <c r="D538" s="3">
        <v>332</v>
      </c>
      <c r="E538" s="3" t="str">
        <f t="shared" si="33"/>
        <v>glExportTransaction</v>
      </c>
      <c r="F538" t="str">
        <f>VLOOKUP(V538,DictionaryTableID,3,FALSE)&amp;"ID"&amp;X538</f>
        <v>glExportBatchID</v>
      </c>
      <c r="G538" s="3" t="s">
        <v>6610</v>
      </c>
      <c r="H538" s="3" t="str">
        <f t="shared" si="34"/>
        <v>gl.ExportTransaction</v>
      </c>
      <c r="I538"/>
      <c r="K538" s="3" t="s">
        <v>6005</v>
      </c>
      <c r="M538" t="s">
        <v>6007</v>
      </c>
      <c r="Q538" s="3" t="s">
        <v>919</v>
      </c>
      <c r="U538" t="s">
        <v>96</v>
      </c>
      <c r="V538" s="3">
        <v>330</v>
      </c>
      <c r="W538" s="3" t="str">
        <f>VLOOKUP(V538,DictionaryTableID,3,FALSE)</f>
        <v>glExportBatch</v>
      </c>
      <c r="AA538" t="s">
        <v>92</v>
      </c>
    </row>
    <row r="539" spans="1:34" ht="15" hidden="1" customHeight="1">
      <c r="A539">
        <v>15220</v>
      </c>
      <c r="B539" t="s">
        <v>1475</v>
      </c>
      <c r="C539" s="3" t="str">
        <f t="shared" si="32"/>
        <v>glExportTransaction.Description</v>
      </c>
      <c r="D539" s="3">
        <v>332</v>
      </c>
      <c r="E539" s="3" t="str">
        <f t="shared" si="33"/>
        <v>glExportTransaction</v>
      </c>
      <c r="F539" s="3" t="s">
        <v>12</v>
      </c>
      <c r="G539" s="3" t="s">
        <v>7010</v>
      </c>
      <c r="H539" s="3" t="str">
        <f t="shared" si="34"/>
        <v>gl.ExportTransaction</v>
      </c>
      <c r="I539"/>
      <c r="K539" s="3" t="s">
        <v>12</v>
      </c>
      <c r="M539" s="3" t="s">
        <v>1073</v>
      </c>
      <c r="Q539" s="3" t="s">
        <v>919</v>
      </c>
      <c r="U539" t="s">
        <v>93</v>
      </c>
      <c r="AA539" t="s">
        <v>92</v>
      </c>
      <c r="AH539" t="s">
        <v>92</v>
      </c>
    </row>
    <row r="540" spans="1:34" ht="15" hidden="1" customHeight="1">
      <c r="A540">
        <v>15230</v>
      </c>
      <c r="B540" t="s">
        <v>1475</v>
      </c>
      <c r="C540" s="3" t="str">
        <f t="shared" si="32"/>
        <v>glExportTransaction.TransactionDate</v>
      </c>
      <c r="D540" s="3">
        <v>332</v>
      </c>
      <c r="E540" s="3" t="str">
        <f t="shared" si="33"/>
        <v>glExportTransaction</v>
      </c>
      <c r="F540" s="3" t="s">
        <v>1199</v>
      </c>
      <c r="G540" s="3" t="s">
        <v>6559</v>
      </c>
      <c r="H540" s="3" t="str">
        <f t="shared" si="34"/>
        <v>gl.ExportTransaction</v>
      </c>
      <c r="I540"/>
      <c r="K540" s="3" t="s">
        <v>81</v>
      </c>
      <c r="M540" s="3" t="s">
        <v>1074</v>
      </c>
      <c r="Q540" s="3" t="s">
        <v>919</v>
      </c>
      <c r="U540" t="s">
        <v>93</v>
      </c>
      <c r="AA540" t="s">
        <v>92</v>
      </c>
    </row>
    <row r="541" spans="1:34" ht="15" hidden="1" customHeight="1">
      <c r="A541">
        <v>15370</v>
      </c>
      <c r="B541" s="3" t="s">
        <v>1475</v>
      </c>
      <c r="C541" s="3" t="str">
        <f t="shared" si="32"/>
        <v>glPaymentMethod.ID</v>
      </c>
      <c r="D541">
        <v>394</v>
      </c>
      <c r="E541" s="3" t="str">
        <f t="shared" si="33"/>
        <v>glPaymentMethod</v>
      </c>
      <c r="F541" t="s">
        <v>0</v>
      </c>
      <c r="G541" s="3" t="s">
        <v>6611</v>
      </c>
      <c r="H541" s="3" t="str">
        <f t="shared" si="34"/>
        <v>GL.PaymentMethod</v>
      </c>
      <c r="I541"/>
      <c r="K541" s="3" t="s">
        <v>0</v>
      </c>
      <c r="M541" t="s">
        <v>6007</v>
      </c>
      <c r="N541"/>
      <c r="O541"/>
      <c r="Q541" s="3" t="s">
        <v>919</v>
      </c>
      <c r="U541" s="3" t="s">
        <v>95</v>
      </c>
    </row>
    <row r="542" spans="1:34" ht="15" hidden="1" customHeight="1">
      <c r="A542">
        <v>15380</v>
      </c>
      <c r="B542" s="3" t="s">
        <v>1475</v>
      </c>
      <c r="C542" s="3" t="str">
        <f t="shared" si="32"/>
        <v>glPaymentMethod.Description</v>
      </c>
      <c r="D542">
        <v>394</v>
      </c>
      <c r="E542" s="3" t="str">
        <f t="shared" si="33"/>
        <v>glPaymentMethod</v>
      </c>
      <c r="F542" t="s">
        <v>12</v>
      </c>
      <c r="G542" s="3" t="s">
        <v>6928</v>
      </c>
      <c r="H542" s="3" t="str">
        <f t="shared" si="34"/>
        <v>GL.PaymentMethod</v>
      </c>
      <c r="I542"/>
      <c r="K542" s="3" t="s">
        <v>12</v>
      </c>
      <c r="M542" t="s">
        <v>196</v>
      </c>
      <c r="N542"/>
      <c r="O542"/>
      <c r="Q542" s="3" t="s">
        <v>919</v>
      </c>
      <c r="U542" t="s">
        <v>93</v>
      </c>
      <c r="Y542" t="s">
        <v>92</v>
      </c>
      <c r="AB542" t="s">
        <v>92</v>
      </c>
      <c r="AH542" t="s">
        <v>92</v>
      </c>
    </row>
    <row r="543" spans="1:34" ht="15" hidden="1" customHeight="1">
      <c r="A543">
        <v>15390</v>
      </c>
      <c r="B543" s="3" t="s">
        <v>1475</v>
      </c>
      <c r="C543" s="3" t="str">
        <f t="shared" si="32"/>
        <v>glPaymentMethod.ShortCode</v>
      </c>
      <c r="D543">
        <v>394</v>
      </c>
      <c r="E543" s="3" t="str">
        <f t="shared" si="33"/>
        <v>glPaymentMethod</v>
      </c>
      <c r="F543" t="s">
        <v>16</v>
      </c>
      <c r="G543" s="3" t="s">
        <v>6083</v>
      </c>
      <c r="H543" s="3" t="str">
        <f t="shared" si="34"/>
        <v>GL.PaymentMethod</v>
      </c>
      <c r="I543"/>
      <c r="K543" s="3" t="s">
        <v>117</v>
      </c>
      <c r="M543" t="s">
        <v>196</v>
      </c>
      <c r="N543"/>
      <c r="O543"/>
      <c r="Q543" s="3" t="s">
        <v>92</v>
      </c>
      <c r="U543" t="s">
        <v>93</v>
      </c>
      <c r="AB543" t="s">
        <v>92</v>
      </c>
      <c r="AH543" t="s">
        <v>92</v>
      </c>
    </row>
    <row r="544" spans="1:34" ht="15" hidden="1" customHeight="1">
      <c r="A544">
        <v>15400</v>
      </c>
      <c r="B544" s="3" t="s">
        <v>1475</v>
      </c>
      <c r="C544" s="3" t="str">
        <f t="shared" si="32"/>
        <v>glPaymentMethod.RowStatus</v>
      </c>
      <c r="D544">
        <v>394</v>
      </c>
      <c r="E544" s="3" t="str">
        <f t="shared" si="33"/>
        <v>glPaymentMethod</v>
      </c>
      <c r="F544" t="s">
        <v>1445</v>
      </c>
      <c r="G544" s="3" t="s">
        <v>6411</v>
      </c>
      <c r="H544" s="3" t="str">
        <f t="shared" si="34"/>
        <v>GL.PaymentMethod</v>
      </c>
      <c r="I544"/>
      <c r="K544" s="3" t="s">
        <v>2471</v>
      </c>
      <c r="M544" t="s">
        <v>976</v>
      </c>
      <c r="N544">
        <v>1</v>
      </c>
      <c r="O544"/>
      <c r="Q544" s="3" t="s">
        <v>919</v>
      </c>
      <c r="U544" t="s">
        <v>94</v>
      </c>
    </row>
    <row r="545" spans="1:34" ht="15" hidden="1" customHeight="1">
      <c r="A545">
        <v>15410</v>
      </c>
      <c r="B545" t="s">
        <v>1475</v>
      </c>
      <c r="C545" s="3" t="str">
        <f t="shared" si="32"/>
        <v>glPaymentMethod.sysChangeHistoryID</v>
      </c>
      <c r="D545">
        <v>394</v>
      </c>
      <c r="E545" s="3" t="str">
        <f t="shared" si="33"/>
        <v>glPaymentMethod</v>
      </c>
      <c r="F545" t="s">
        <v>2497</v>
      </c>
      <c r="G545" s="3" t="s">
        <v>6403</v>
      </c>
      <c r="H545" s="3" t="str">
        <f t="shared" si="34"/>
        <v>GL.PaymentMethod</v>
      </c>
      <c r="I545"/>
      <c r="K545" t="s">
        <v>1210</v>
      </c>
      <c r="L545"/>
      <c r="M545" t="s">
        <v>6007</v>
      </c>
      <c r="N545"/>
      <c r="O545"/>
      <c r="P545"/>
      <c r="Q545" t="s">
        <v>92</v>
      </c>
      <c r="R545"/>
      <c r="S545"/>
      <c r="U545" t="s">
        <v>1429</v>
      </c>
    </row>
    <row r="546" spans="1:34" ht="15" hidden="1" customHeight="1">
      <c r="A546">
        <v>15420</v>
      </c>
      <c r="B546" t="s">
        <v>1475</v>
      </c>
      <c r="C546" s="3" t="str">
        <f t="shared" si="32"/>
        <v>glPostingStatus.ID</v>
      </c>
      <c r="D546">
        <v>395</v>
      </c>
      <c r="E546" s="3" t="str">
        <f t="shared" si="33"/>
        <v>glPostingStatus</v>
      </c>
      <c r="F546" t="s">
        <v>0</v>
      </c>
      <c r="G546" s="3" t="s">
        <v>6612</v>
      </c>
      <c r="H546" s="3" t="str">
        <f t="shared" si="34"/>
        <v>General Ledger.Posting Status</v>
      </c>
      <c r="I546"/>
      <c r="K546" t="s">
        <v>1198</v>
      </c>
      <c r="L546"/>
      <c r="M546" t="s">
        <v>6007</v>
      </c>
      <c r="N546"/>
      <c r="O546"/>
      <c r="P546"/>
      <c r="Q546" s="3" t="s">
        <v>919</v>
      </c>
      <c r="R546"/>
      <c r="S546"/>
      <c r="U546" s="3" t="s">
        <v>95</v>
      </c>
      <c r="AC546" t="s">
        <v>92</v>
      </c>
    </row>
    <row r="547" spans="1:34" ht="15" hidden="1" customHeight="1">
      <c r="A547">
        <v>15430</v>
      </c>
      <c r="B547" s="3" t="s">
        <v>1475</v>
      </c>
      <c r="C547" s="3" t="str">
        <f t="shared" si="32"/>
        <v>glPostingStatus.Description</v>
      </c>
      <c r="D547">
        <v>395</v>
      </c>
      <c r="E547" s="3" t="str">
        <f t="shared" si="33"/>
        <v>glPostingStatus</v>
      </c>
      <c r="F547" t="s">
        <v>12</v>
      </c>
      <c r="G547" s="3" t="s">
        <v>6929</v>
      </c>
      <c r="H547" s="3" t="str">
        <f t="shared" si="34"/>
        <v>General Ledger.Posting Status</v>
      </c>
      <c r="I547"/>
      <c r="K547" s="3" t="s">
        <v>12</v>
      </c>
      <c r="M547" t="s">
        <v>196</v>
      </c>
      <c r="N547"/>
      <c r="O547"/>
      <c r="Q547" s="3" t="s">
        <v>919</v>
      </c>
      <c r="U547" t="s">
        <v>93</v>
      </c>
      <c r="Y547" t="s">
        <v>92</v>
      </c>
      <c r="AB547" t="s">
        <v>92</v>
      </c>
      <c r="AH547" t="s">
        <v>92</v>
      </c>
    </row>
    <row r="548" spans="1:34" ht="15" hidden="1" customHeight="1">
      <c r="A548">
        <v>15440</v>
      </c>
      <c r="B548" s="3" t="s">
        <v>1475</v>
      </c>
      <c r="C548" s="3" t="str">
        <f t="shared" si="32"/>
        <v>glPostingStatus.ShortCode</v>
      </c>
      <c r="D548">
        <v>395</v>
      </c>
      <c r="E548" s="3" t="str">
        <f t="shared" si="33"/>
        <v>glPostingStatus</v>
      </c>
      <c r="F548" t="s">
        <v>16</v>
      </c>
      <c r="G548" s="3" t="s">
        <v>6434</v>
      </c>
      <c r="H548" s="3" t="str">
        <f t="shared" si="34"/>
        <v>General Ledger.Posting Status</v>
      </c>
      <c r="I548"/>
      <c r="K548" s="3" t="s">
        <v>117</v>
      </c>
      <c r="M548" t="s">
        <v>196</v>
      </c>
      <c r="N548"/>
      <c r="O548"/>
      <c r="Q548" s="3" t="s">
        <v>92</v>
      </c>
      <c r="U548" t="s">
        <v>93</v>
      </c>
      <c r="AB548" t="s">
        <v>92</v>
      </c>
      <c r="AH548" t="s">
        <v>92</v>
      </c>
    </row>
    <row r="549" spans="1:34" ht="15" hidden="1" customHeight="1">
      <c r="A549">
        <v>15450</v>
      </c>
      <c r="B549" t="s">
        <v>1475</v>
      </c>
      <c r="C549" s="3" t="str">
        <f t="shared" si="32"/>
        <v>glPostingStatus.RowStatus</v>
      </c>
      <c r="D549">
        <v>395</v>
      </c>
      <c r="E549" s="3" t="str">
        <f t="shared" si="33"/>
        <v>glPostingStatus</v>
      </c>
      <c r="F549" t="s">
        <v>1445</v>
      </c>
      <c r="G549" s="3" t="s">
        <v>6411</v>
      </c>
      <c r="H549" s="3" t="str">
        <f t="shared" si="34"/>
        <v>General Ledger.Posting Status</v>
      </c>
      <c r="I549"/>
      <c r="K549" s="3" t="s">
        <v>2471</v>
      </c>
      <c r="L549"/>
      <c r="M549" t="s">
        <v>976</v>
      </c>
      <c r="N549">
        <v>1</v>
      </c>
      <c r="O549"/>
      <c r="P549"/>
      <c r="Q549" t="s">
        <v>919</v>
      </c>
      <c r="R549"/>
      <c r="S549" s="14"/>
      <c r="U549" t="s">
        <v>94</v>
      </c>
    </row>
    <row r="550" spans="1:34" ht="15" hidden="1" customHeight="1">
      <c r="A550">
        <v>15460</v>
      </c>
      <c r="B550" t="s">
        <v>1475</v>
      </c>
      <c r="C550" s="3" t="str">
        <f t="shared" si="32"/>
        <v>glPostingStatus.sysChangeHistoryID</v>
      </c>
      <c r="D550">
        <v>395</v>
      </c>
      <c r="E550" s="3" t="str">
        <f t="shared" si="33"/>
        <v>glPostingStatus</v>
      </c>
      <c r="F550" t="s">
        <v>2497</v>
      </c>
      <c r="G550" s="3" t="s">
        <v>6403</v>
      </c>
      <c r="H550" s="3" t="str">
        <f t="shared" si="34"/>
        <v>General Ledger.Posting Status</v>
      </c>
      <c r="I550"/>
      <c r="K550" t="s">
        <v>1210</v>
      </c>
      <c r="L550"/>
      <c r="M550" t="s">
        <v>6007</v>
      </c>
      <c r="N550"/>
      <c r="O550"/>
      <c r="P550"/>
      <c r="Q550" t="s">
        <v>92</v>
      </c>
      <c r="R550"/>
      <c r="S550"/>
      <c r="U550" t="s">
        <v>1429</v>
      </c>
      <c r="W550" s="3"/>
      <c r="X550" s="3"/>
    </row>
    <row r="551" spans="1:34" ht="15" hidden="1" customHeight="1">
      <c r="A551">
        <v>15470</v>
      </c>
      <c r="B551" t="s">
        <v>1475</v>
      </c>
      <c r="C551" s="3" t="str">
        <f t="shared" si="32"/>
        <v>glRate.ID</v>
      </c>
      <c r="D551">
        <v>396</v>
      </c>
      <c r="E551" s="3" t="str">
        <f t="shared" si="33"/>
        <v>glRate</v>
      </c>
      <c r="F551" t="s">
        <v>0</v>
      </c>
      <c r="G551" s="3" t="s">
        <v>6613</v>
      </c>
      <c r="H551" s="3" t="str">
        <f t="shared" si="34"/>
        <v>General Ledger.GL Rate</v>
      </c>
      <c r="I551"/>
      <c r="K551" t="s">
        <v>1079</v>
      </c>
      <c r="L551"/>
      <c r="M551" t="s">
        <v>6007</v>
      </c>
      <c r="N551"/>
      <c r="O551"/>
      <c r="P551"/>
      <c r="Q551" s="3" t="s">
        <v>919</v>
      </c>
      <c r="R551"/>
      <c r="S551"/>
      <c r="U551" s="3" t="s">
        <v>95</v>
      </c>
      <c r="AC551" t="s">
        <v>92</v>
      </c>
    </row>
    <row r="552" spans="1:34" ht="15" hidden="1" customHeight="1">
      <c r="A552">
        <v>15480</v>
      </c>
      <c r="B552" t="s">
        <v>1475</v>
      </c>
      <c r="C552" s="3" t="str">
        <f t="shared" si="32"/>
        <v>glRate.comProvinceStateID</v>
      </c>
      <c r="D552">
        <v>396</v>
      </c>
      <c r="E552" s="3" t="str">
        <f t="shared" si="33"/>
        <v>glRate</v>
      </c>
      <c r="F552" t="str">
        <f>VLOOKUP(V552,DictionaryTableID,3,FALSE)&amp;"ID"&amp;X552</f>
        <v>comProvinceStateID</v>
      </c>
      <c r="G552" s="3" t="s">
        <v>6467</v>
      </c>
      <c r="H552" s="3" t="str">
        <f t="shared" si="34"/>
        <v>General Ledger.GL Rate</v>
      </c>
      <c r="I552"/>
      <c r="K552" t="s">
        <v>3</v>
      </c>
      <c r="L552"/>
      <c r="M552" t="s">
        <v>6007</v>
      </c>
      <c r="N552"/>
      <c r="O552"/>
      <c r="P552"/>
      <c r="Q552" t="s">
        <v>92</v>
      </c>
      <c r="R552"/>
      <c r="S552"/>
      <c r="U552" t="s">
        <v>96</v>
      </c>
      <c r="V552">
        <v>501</v>
      </c>
      <c r="W552" s="3" t="str">
        <f>VLOOKUP(V552,DictionaryTableID,3,FALSE)</f>
        <v>comProvinceState</v>
      </c>
      <c r="X552" s="3" t="s">
        <v>1036</v>
      </c>
      <c r="AB552" t="s">
        <v>92</v>
      </c>
    </row>
    <row r="553" spans="1:34" ht="15" hidden="1" customHeight="1">
      <c r="A553">
        <v>15490</v>
      </c>
      <c r="B553" t="s">
        <v>1475</v>
      </c>
      <c r="C553" s="3" t="str">
        <f t="shared" si="32"/>
        <v>glRate.glRateTypeID</v>
      </c>
      <c r="D553">
        <v>396</v>
      </c>
      <c r="E553" s="3" t="str">
        <f t="shared" si="33"/>
        <v>glRate</v>
      </c>
      <c r="F553" t="str">
        <f>VLOOKUP(V553,DictionaryTableID,3,FALSE)&amp;"ID"&amp;X553</f>
        <v>glRateTypeID</v>
      </c>
      <c r="G553" s="3" t="s">
        <v>6614</v>
      </c>
      <c r="H553" s="3" t="str">
        <f t="shared" si="34"/>
        <v>General Ledger.GL Rate</v>
      </c>
      <c r="I553"/>
      <c r="K553" t="s">
        <v>2493</v>
      </c>
      <c r="L553"/>
      <c r="M553" t="s">
        <v>6007</v>
      </c>
      <c r="N553"/>
      <c r="O553"/>
      <c r="P553"/>
      <c r="Q553" t="s">
        <v>919</v>
      </c>
      <c r="R553"/>
      <c r="S553"/>
      <c r="U553" t="s">
        <v>96</v>
      </c>
      <c r="V553">
        <v>397</v>
      </c>
      <c r="W553" s="3" t="str">
        <f>VLOOKUP(V553,DictionaryTableID,3,FALSE)</f>
        <v>glRateType</v>
      </c>
      <c r="X553" s="3" t="s">
        <v>1036</v>
      </c>
      <c r="AB553" t="s">
        <v>92</v>
      </c>
      <c r="AH553" t="s">
        <v>92</v>
      </c>
    </row>
    <row r="554" spans="1:34" ht="15" hidden="1" customHeight="1">
      <c r="A554">
        <v>15500</v>
      </c>
      <c r="B554" s="3" t="s">
        <v>1475</v>
      </c>
      <c r="C554" s="3" t="str">
        <f t="shared" si="32"/>
        <v>glRate.Description</v>
      </c>
      <c r="D554">
        <v>396</v>
      </c>
      <c r="E554" s="3" t="str">
        <f t="shared" si="33"/>
        <v>glRate</v>
      </c>
      <c r="F554" t="s">
        <v>12</v>
      </c>
      <c r="G554" s="3" t="s">
        <v>6930</v>
      </c>
      <c r="H554" s="3" t="str">
        <f t="shared" si="34"/>
        <v>General Ledger.GL Rate</v>
      </c>
      <c r="I554"/>
      <c r="K554" s="3" t="s">
        <v>12</v>
      </c>
      <c r="M554" t="s">
        <v>196</v>
      </c>
      <c r="N554"/>
      <c r="O554"/>
      <c r="Q554" s="3" t="s">
        <v>919</v>
      </c>
      <c r="U554" t="s">
        <v>93</v>
      </c>
      <c r="AB554" t="s">
        <v>92</v>
      </c>
      <c r="AH554" t="s">
        <v>92</v>
      </c>
    </row>
    <row r="555" spans="1:34" ht="15" hidden="1" customHeight="1">
      <c r="A555">
        <v>15510</v>
      </c>
      <c r="B555" t="s">
        <v>1475</v>
      </c>
      <c r="C555" s="3" t="str">
        <f t="shared" si="32"/>
        <v>glRate.Rate</v>
      </c>
      <c r="D555">
        <v>396</v>
      </c>
      <c r="E555" s="3" t="str">
        <f t="shared" si="33"/>
        <v>glRate</v>
      </c>
      <c r="F555" t="s">
        <v>50</v>
      </c>
      <c r="G555" s="3" t="s">
        <v>6453</v>
      </c>
      <c r="H555" s="3" t="str">
        <f t="shared" si="34"/>
        <v>General Ledger.GL Rate</v>
      </c>
      <c r="I555"/>
      <c r="K555" t="s">
        <v>50</v>
      </c>
      <c r="L555"/>
      <c r="M555" s="3" t="s">
        <v>197</v>
      </c>
      <c r="N555" s="3">
        <v>9</v>
      </c>
      <c r="O555" s="3">
        <v>4</v>
      </c>
      <c r="P555"/>
      <c r="Q555" t="s">
        <v>919</v>
      </c>
      <c r="R555"/>
      <c r="S555"/>
      <c r="U555" t="s">
        <v>93</v>
      </c>
      <c r="AB555" t="s">
        <v>92</v>
      </c>
      <c r="AH555" t="s">
        <v>92</v>
      </c>
    </row>
    <row r="556" spans="1:34" ht="15" hidden="1" customHeight="1">
      <c r="A556">
        <v>15525</v>
      </c>
      <c r="B556" t="s">
        <v>1475</v>
      </c>
      <c r="C556" s="3" t="str">
        <f t="shared" si="32"/>
        <v>glRate.TemporalStartDate</v>
      </c>
      <c r="D556">
        <v>396</v>
      </c>
      <c r="E556" s="3" t="str">
        <f t="shared" si="33"/>
        <v>glRate</v>
      </c>
      <c r="F556" t="s">
        <v>1250</v>
      </c>
      <c r="G556" s="3" t="s">
        <v>6409</v>
      </c>
      <c r="H556" s="3" t="str">
        <f t="shared" si="34"/>
        <v>General Ledger.GL Rate</v>
      </c>
      <c r="I556"/>
      <c r="K556" t="s">
        <v>108</v>
      </c>
      <c r="L556"/>
      <c r="M556" s="3" t="s">
        <v>81</v>
      </c>
      <c r="N556"/>
      <c r="O556"/>
      <c r="P556"/>
      <c r="Q556" t="s">
        <v>919</v>
      </c>
      <c r="R556"/>
      <c r="S556" s="14"/>
      <c r="U556" t="s">
        <v>1080</v>
      </c>
    </row>
    <row r="557" spans="1:34" ht="15" hidden="1" customHeight="1">
      <c r="A557">
        <v>15530</v>
      </c>
      <c r="B557" t="s">
        <v>1475</v>
      </c>
      <c r="C557" s="3" t="str">
        <f t="shared" si="32"/>
        <v>glRate.TemporalEndDate</v>
      </c>
      <c r="D557">
        <v>396</v>
      </c>
      <c r="E557" s="3" t="str">
        <f t="shared" si="33"/>
        <v>glRate</v>
      </c>
      <c r="F557" t="s">
        <v>1249</v>
      </c>
      <c r="G557" s="3" t="s">
        <v>6410</v>
      </c>
      <c r="H557" s="3" t="str">
        <f t="shared" si="34"/>
        <v>General Ledger.GL Rate</v>
      </c>
      <c r="I557"/>
      <c r="K557" t="s">
        <v>1091</v>
      </c>
      <c r="L557"/>
      <c r="M557" s="3" t="s">
        <v>81</v>
      </c>
      <c r="N557"/>
      <c r="O557"/>
      <c r="P557"/>
      <c r="Q557" t="s">
        <v>919</v>
      </c>
      <c r="R557"/>
      <c r="S557" s="14"/>
      <c r="U557" t="s">
        <v>1080</v>
      </c>
    </row>
    <row r="558" spans="1:34" ht="15" hidden="1" customHeight="1">
      <c r="A558">
        <v>15550</v>
      </c>
      <c r="B558" t="s">
        <v>1475</v>
      </c>
      <c r="C558" s="3" t="str">
        <f t="shared" si="32"/>
        <v>glRate.RowStatus</v>
      </c>
      <c r="D558">
        <v>396</v>
      </c>
      <c r="E558" s="3" t="str">
        <f t="shared" si="33"/>
        <v>glRate</v>
      </c>
      <c r="F558" t="s">
        <v>1445</v>
      </c>
      <c r="G558" s="3" t="s">
        <v>6411</v>
      </c>
      <c r="H558" s="3" t="str">
        <f t="shared" si="34"/>
        <v>General Ledger.GL Rate</v>
      </c>
      <c r="I558"/>
      <c r="K558" s="3" t="s">
        <v>2471</v>
      </c>
      <c r="L558"/>
      <c r="M558" t="s">
        <v>976</v>
      </c>
      <c r="N558">
        <v>1</v>
      </c>
      <c r="O558"/>
      <c r="P558"/>
      <c r="Q558" t="s">
        <v>919</v>
      </c>
      <c r="R558"/>
      <c r="S558" s="14"/>
      <c r="U558" t="s">
        <v>94</v>
      </c>
    </row>
    <row r="559" spans="1:34" ht="15" hidden="1" customHeight="1">
      <c r="A559">
        <v>15560</v>
      </c>
      <c r="B559" t="s">
        <v>1475</v>
      </c>
      <c r="C559" s="3" t="str">
        <f t="shared" si="32"/>
        <v>glRate.sysChangeHistoryID</v>
      </c>
      <c r="D559">
        <v>396</v>
      </c>
      <c r="E559" s="3" t="str">
        <f t="shared" si="33"/>
        <v>glRate</v>
      </c>
      <c r="F559" t="s">
        <v>2497</v>
      </c>
      <c r="G559" s="3" t="s">
        <v>6403</v>
      </c>
      <c r="H559" s="3" t="str">
        <f t="shared" si="34"/>
        <v>General Ledger.GL Rate</v>
      </c>
      <c r="I559"/>
      <c r="K559" t="s">
        <v>1210</v>
      </c>
      <c r="L559"/>
      <c r="M559" t="s">
        <v>6007</v>
      </c>
      <c r="N559"/>
      <c r="O559"/>
      <c r="P559"/>
      <c r="Q559" t="s">
        <v>92</v>
      </c>
      <c r="R559"/>
      <c r="S559"/>
      <c r="U559" t="s">
        <v>1429</v>
      </c>
    </row>
    <row r="560" spans="1:34" ht="15" hidden="1" customHeight="1">
      <c r="A560">
        <v>15570</v>
      </c>
      <c r="B560" s="3" t="s">
        <v>1475</v>
      </c>
      <c r="C560" s="3" t="str">
        <f t="shared" si="32"/>
        <v>glRateType.ID</v>
      </c>
      <c r="D560">
        <v>397</v>
      </c>
      <c r="E560" s="3" t="str">
        <f t="shared" si="33"/>
        <v>glRateType</v>
      </c>
      <c r="F560" t="s">
        <v>0</v>
      </c>
      <c r="G560" s="3" t="s">
        <v>6615</v>
      </c>
      <c r="H560" s="3" t="str">
        <f t="shared" si="34"/>
        <v>General Ledger.GL Rate Type</v>
      </c>
      <c r="I560"/>
      <c r="K560" s="3" t="s">
        <v>0</v>
      </c>
      <c r="M560" t="s">
        <v>6007</v>
      </c>
      <c r="N560"/>
      <c r="O560"/>
      <c r="Q560" s="3" t="s">
        <v>919</v>
      </c>
      <c r="U560" s="3" t="s">
        <v>95</v>
      </c>
    </row>
    <row r="561" spans="1:34" ht="15" hidden="1" customHeight="1">
      <c r="A561">
        <v>15580</v>
      </c>
      <c r="B561" s="3" t="s">
        <v>1475</v>
      </c>
      <c r="C561" s="3" t="str">
        <f t="shared" si="32"/>
        <v>glRateType.Description</v>
      </c>
      <c r="D561">
        <v>397</v>
      </c>
      <c r="E561" s="3" t="str">
        <f t="shared" si="33"/>
        <v>glRateType</v>
      </c>
      <c r="F561" t="s">
        <v>12</v>
      </c>
      <c r="G561" s="3" t="s">
        <v>6931</v>
      </c>
      <c r="H561" s="3" t="str">
        <f t="shared" si="34"/>
        <v>General Ledger.GL Rate Type</v>
      </c>
      <c r="I561"/>
      <c r="K561" s="3" t="s">
        <v>12</v>
      </c>
      <c r="M561" t="s">
        <v>196</v>
      </c>
      <c r="N561"/>
      <c r="O561"/>
      <c r="Q561" s="3" t="s">
        <v>919</v>
      </c>
      <c r="U561" t="s">
        <v>93</v>
      </c>
      <c r="Y561" t="s">
        <v>92</v>
      </c>
      <c r="AB561" t="s">
        <v>92</v>
      </c>
      <c r="AH561" t="s">
        <v>92</v>
      </c>
    </row>
    <row r="562" spans="1:34" ht="15" hidden="1" customHeight="1">
      <c r="A562">
        <v>15590</v>
      </c>
      <c r="B562" s="3" t="s">
        <v>1475</v>
      </c>
      <c r="C562" s="3" t="str">
        <f t="shared" si="32"/>
        <v>glRateType.ShortCode</v>
      </c>
      <c r="D562">
        <v>397</v>
      </c>
      <c r="E562" s="3" t="str">
        <f t="shared" si="33"/>
        <v>glRateType</v>
      </c>
      <c r="F562" t="s">
        <v>16</v>
      </c>
      <c r="G562" s="3" t="s">
        <v>6434</v>
      </c>
      <c r="H562" s="3" t="str">
        <f t="shared" si="34"/>
        <v>General Ledger.GL Rate Type</v>
      </c>
      <c r="I562"/>
      <c r="K562" s="3" t="s">
        <v>117</v>
      </c>
      <c r="M562" t="s">
        <v>196</v>
      </c>
      <c r="N562"/>
      <c r="O562"/>
      <c r="Q562" s="3" t="s">
        <v>92</v>
      </c>
      <c r="U562" t="s">
        <v>93</v>
      </c>
      <c r="AB562" t="s">
        <v>92</v>
      </c>
      <c r="AH562" t="s">
        <v>92</v>
      </c>
    </row>
    <row r="563" spans="1:34" ht="15" hidden="1" customHeight="1">
      <c r="A563">
        <v>15600</v>
      </c>
      <c r="B563" s="3" t="s">
        <v>1475</v>
      </c>
      <c r="C563" s="3" t="str">
        <f t="shared" si="32"/>
        <v>glRateType.RowStatus</v>
      </c>
      <c r="D563">
        <v>397</v>
      </c>
      <c r="E563" s="3" t="str">
        <f t="shared" si="33"/>
        <v>glRateType</v>
      </c>
      <c r="F563" t="s">
        <v>1445</v>
      </c>
      <c r="G563" s="3" t="s">
        <v>6411</v>
      </c>
      <c r="H563" s="3" t="str">
        <f t="shared" si="34"/>
        <v>General Ledger.GL Rate Type</v>
      </c>
      <c r="I563"/>
      <c r="K563" s="3" t="s">
        <v>2471</v>
      </c>
      <c r="M563" t="s">
        <v>976</v>
      </c>
      <c r="N563">
        <v>1</v>
      </c>
      <c r="O563"/>
      <c r="Q563" s="3" t="s">
        <v>919</v>
      </c>
      <c r="U563" t="s">
        <v>94</v>
      </c>
    </row>
    <row r="564" spans="1:34" ht="15" hidden="1" customHeight="1">
      <c r="A564">
        <v>15610</v>
      </c>
      <c r="B564" t="s">
        <v>1475</v>
      </c>
      <c r="C564" s="3" t="str">
        <f t="shared" si="32"/>
        <v>glRateType.sysChangeHistoryID</v>
      </c>
      <c r="D564">
        <v>397</v>
      </c>
      <c r="E564" s="3" t="str">
        <f t="shared" si="33"/>
        <v>glRateType</v>
      </c>
      <c r="F564" t="s">
        <v>2497</v>
      </c>
      <c r="G564" s="3" t="s">
        <v>6403</v>
      </c>
      <c r="H564" s="3" t="str">
        <f t="shared" si="34"/>
        <v>General Ledger.GL Rate Type</v>
      </c>
      <c r="I564"/>
      <c r="K564" t="s">
        <v>1210</v>
      </c>
      <c r="L564"/>
      <c r="M564" t="s">
        <v>6007</v>
      </c>
      <c r="N564"/>
      <c r="O564"/>
      <c r="P564"/>
      <c r="Q564" t="s">
        <v>92</v>
      </c>
      <c r="R564"/>
      <c r="S564"/>
      <c r="U564" t="s">
        <v>1429</v>
      </c>
      <c r="W564" s="3"/>
      <c r="X564" s="3"/>
    </row>
    <row r="565" spans="1:34" ht="15" hidden="1" customHeight="1">
      <c r="A565">
        <v>15620</v>
      </c>
      <c r="B565" t="s">
        <v>1475</v>
      </c>
      <c r="C565" s="3" t="str">
        <f t="shared" si="32"/>
        <v>glReconciliation.ID</v>
      </c>
      <c r="D565">
        <v>318</v>
      </c>
      <c r="E565" s="3" t="str">
        <f t="shared" si="33"/>
        <v>glReconciliation</v>
      </c>
      <c r="F565" t="s">
        <v>0</v>
      </c>
      <c r="G565" s="3" t="s">
        <v>6616</v>
      </c>
      <c r="H565" s="3" t="str">
        <f t="shared" si="34"/>
        <v>General Ledger.Reconciliation</v>
      </c>
      <c r="I565"/>
      <c r="K565" t="s">
        <v>1198</v>
      </c>
      <c r="L565"/>
      <c r="M565" t="s">
        <v>6007</v>
      </c>
      <c r="N565"/>
      <c r="O565"/>
      <c r="P565"/>
      <c r="Q565" s="3" t="s">
        <v>919</v>
      </c>
      <c r="R565"/>
      <c r="S565"/>
      <c r="U565" s="3" t="s">
        <v>95</v>
      </c>
      <c r="AC565" t="s">
        <v>92</v>
      </c>
    </row>
    <row r="566" spans="1:34" ht="15" hidden="1" customHeight="1">
      <c r="A566">
        <v>15630</v>
      </c>
      <c r="B566" t="s">
        <v>1475</v>
      </c>
      <c r="C566" s="3" t="str">
        <f t="shared" si="32"/>
        <v>glReconciliation.glEntryIDFrom</v>
      </c>
      <c r="D566">
        <v>318</v>
      </c>
      <c r="E566" s="3" t="str">
        <f t="shared" si="33"/>
        <v>glReconciliation</v>
      </c>
      <c r="F566" t="str">
        <f>VLOOKUP(V566,DictionaryTableID,3,FALSE)&amp;"ID"&amp;X566</f>
        <v>glEntryIDFrom</v>
      </c>
      <c r="G566" s="3" t="s">
        <v>2135</v>
      </c>
      <c r="H566" s="3" t="str">
        <f t="shared" si="34"/>
        <v>General Ledger.Reconciliation</v>
      </c>
      <c r="I566"/>
      <c r="K566" s="3" t="s">
        <v>2136</v>
      </c>
      <c r="M566" t="s">
        <v>6007</v>
      </c>
      <c r="Q566" s="3" t="s">
        <v>919</v>
      </c>
      <c r="U566" t="s">
        <v>96</v>
      </c>
      <c r="V566">
        <v>316</v>
      </c>
      <c r="W566" s="3" t="str">
        <f>VLOOKUP(V566,DictionaryTableID,3,FALSE)</f>
        <v>glEntry</v>
      </c>
      <c r="X566" t="s">
        <v>2137</v>
      </c>
      <c r="AB566" s="7"/>
    </row>
    <row r="567" spans="1:34" ht="15" hidden="1" customHeight="1">
      <c r="A567">
        <v>15640</v>
      </c>
      <c r="B567" t="s">
        <v>1475</v>
      </c>
      <c r="C567" s="3" t="str">
        <f t="shared" si="32"/>
        <v>glReconciliation.glEntryIDTo</v>
      </c>
      <c r="D567">
        <v>318</v>
      </c>
      <c r="E567" s="3" t="str">
        <f t="shared" si="33"/>
        <v>glReconciliation</v>
      </c>
      <c r="F567" t="str">
        <f>VLOOKUP(V567,DictionaryTableID,3,FALSE)&amp;"ID"&amp;X567</f>
        <v>glEntryIDTo</v>
      </c>
      <c r="G567" s="3" t="s">
        <v>6617</v>
      </c>
      <c r="H567" s="3" t="str">
        <f t="shared" si="34"/>
        <v>General Ledger.Reconciliation</v>
      </c>
      <c r="I567"/>
      <c r="K567" t="s">
        <v>1193</v>
      </c>
      <c r="L567"/>
      <c r="M567" t="s">
        <v>6007</v>
      </c>
      <c r="N567"/>
      <c r="O567"/>
      <c r="P567"/>
      <c r="Q567" t="s">
        <v>919</v>
      </c>
      <c r="R567"/>
      <c r="S567"/>
      <c r="U567" t="s">
        <v>96</v>
      </c>
      <c r="V567">
        <v>316</v>
      </c>
      <c r="W567" s="3" t="str">
        <f>VLOOKUP(V567,DictionaryTableID,3,FALSE)</f>
        <v>glEntry</v>
      </c>
      <c r="X567" s="3" t="s">
        <v>1214</v>
      </c>
    </row>
    <row r="568" spans="1:34" ht="15" hidden="1" customHeight="1">
      <c r="A568">
        <v>15650</v>
      </c>
      <c r="B568" t="s">
        <v>1475</v>
      </c>
      <c r="C568" s="3" t="str">
        <f t="shared" si="32"/>
        <v>glReconciliation.Amount</v>
      </c>
      <c r="D568">
        <v>318</v>
      </c>
      <c r="E568" s="3" t="str">
        <f t="shared" si="33"/>
        <v>glReconciliation</v>
      </c>
      <c r="F568" t="s">
        <v>49</v>
      </c>
      <c r="G568" t="s">
        <v>49</v>
      </c>
      <c r="H568" s="3" t="str">
        <f t="shared" si="34"/>
        <v>General Ledger.Reconciliation</v>
      </c>
      <c r="I568"/>
      <c r="K568" t="s">
        <v>49</v>
      </c>
      <c r="L568"/>
      <c r="M568" t="s">
        <v>1430</v>
      </c>
      <c r="N568">
        <v>19</v>
      </c>
      <c r="O568">
        <v>2</v>
      </c>
      <c r="P568"/>
      <c r="Q568" t="s">
        <v>919</v>
      </c>
      <c r="R568"/>
      <c r="S568"/>
      <c r="U568" t="s">
        <v>93</v>
      </c>
      <c r="AD568" s="4"/>
      <c r="AE568" s="4"/>
    </row>
    <row r="569" spans="1:34" ht="15" hidden="1" customHeight="1">
      <c r="A569">
        <v>15660</v>
      </c>
      <c r="B569" t="s">
        <v>1475</v>
      </c>
      <c r="C569" s="3" t="str">
        <f t="shared" si="32"/>
        <v>glReconciliation.sysChangeHistoryID</v>
      </c>
      <c r="D569">
        <v>318</v>
      </c>
      <c r="E569" s="3" t="str">
        <f t="shared" si="33"/>
        <v>glReconciliation</v>
      </c>
      <c r="F569" t="s">
        <v>2497</v>
      </c>
      <c r="G569" s="3" t="s">
        <v>6403</v>
      </c>
      <c r="H569" s="3" t="str">
        <f t="shared" si="34"/>
        <v>General Ledger.Reconciliation</v>
      </c>
      <c r="I569"/>
      <c r="K569" t="s">
        <v>1210</v>
      </c>
      <c r="L569"/>
      <c r="M569" t="s">
        <v>6007</v>
      </c>
      <c r="N569"/>
      <c r="O569"/>
      <c r="P569"/>
      <c r="Q569" t="s">
        <v>92</v>
      </c>
      <c r="R569"/>
      <c r="S569"/>
      <c r="U569" t="s">
        <v>1429</v>
      </c>
      <c r="W569" s="3"/>
      <c r="X569" s="3"/>
    </row>
    <row r="570" spans="1:34" ht="15" hidden="1" customHeight="1">
      <c r="A570">
        <v>15670</v>
      </c>
      <c r="B570" t="s">
        <v>1475</v>
      </c>
      <c r="C570" s="3" t="str">
        <f t="shared" si="32"/>
        <v>glSetUp.ID</v>
      </c>
      <c r="D570">
        <v>320</v>
      </c>
      <c r="E570" s="3" t="str">
        <f t="shared" si="33"/>
        <v>glSetUp</v>
      </c>
      <c r="F570" t="s">
        <v>0</v>
      </c>
      <c r="G570" s="3" t="s">
        <v>6618</v>
      </c>
      <c r="H570" s="3" t="str">
        <f t="shared" si="34"/>
        <v>General Ledger.Set Up</v>
      </c>
      <c r="I570"/>
      <c r="K570" t="s">
        <v>0</v>
      </c>
      <c r="L570"/>
      <c r="M570" t="s">
        <v>6007</v>
      </c>
      <c r="N570"/>
      <c r="O570"/>
      <c r="P570"/>
      <c r="Q570" s="3" t="s">
        <v>919</v>
      </c>
      <c r="R570"/>
      <c r="S570"/>
      <c r="U570" s="3" t="s">
        <v>95</v>
      </c>
      <c r="AC570" t="s">
        <v>92</v>
      </c>
    </row>
    <row r="571" spans="1:34" ht="15" hidden="1" customHeight="1">
      <c r="A571">
        <v>15680</v>
      </c>
      <c r="B571" s="3" t="s">
        <v>1475</v>
      </c>
      <c r="C571" s="3" t="str">
        <f t="shared" si="32"/>
        <v>glSetUp.AccountLabel</v>
      </c>
      <c r="D571" s="3">
        <v>320</v>
      </c>
      <c r="E571" s="3" t="str">
        <f t="shared" si="33"/>
        <v>glSetUp</v>
      </c>
      <c r="F571" t="s">
        <v>324</v>
      </c>
      <c r="G571" s="3" t="s">
        <v>6619</v>
      </c>
      <c r="H571" s="3" t="str">
        <f t="shared" si="34"/>
        <v>General Ledger.Set Up</v>
      </c>
      <c r="I571"/>
      <c r="K571" s="3" t="s">
        <v>391</v>
      </c>
      <c r="L571"/>
      <c r="M571" s="3" t="s">
        <v>196</v>
      </c>
      <c r="Q571" t="s">
        <v>92</v>
      </c>
      <c r="U571" s="3" t="s">
        <v>93</v>
      </c>
      <c r="AB571" t="s">
        <v>92</v>
      </c>
      <c r="AF571" t="s">
        <v>769</v>
      </c>
    </row>
    <row r="572" spans="1:34" ht="15" hidden="1" customHeight="1">
      <c r="A572">
        <v>15690</v>
      </c>
      <c r="B572" s="3" t="s">
        <v>1475</v>
      </c>
      <c r="C572" s="3" t="str">
        <f t="shared" si="32"/>
        <v>glSetUp.CostCentreLabel</v>
      </c>
      <c r="D572" s="3">
        <v>320</v>
      </c>
      <c r="E572" s="3" t="str">
        <f t="shared" si="33"/>
        <v>glSetUp</v>
      </c>
      <c r="F572" t="s">
        <v>230</v>
      </c>
      <c r="G572" s="3" t="s">
        <v>6620</v>
      </c>
      <c r="H572" s="3" t="str">
        <f t="shared" si="34"/>
        <v>General Ledger.Set Up</v>
      </c>
      <c r="I572"/>
      <c r="K572" s="3" t="s">
        <v>392</v>
      </c>
      <c r="L572"/>
      <c r="M572" s="3" t="s">
        <v>196</v>
      </c>
      <c r="Q572" t="s">
        <v>92</v>
      </c>
      <c r="U572" s="3" t="s">
        <v>93</v>
      </c>
      <c r="AB572" t="s">
        <v>92</v>
      </c>
      <c r="AF572" t="s">
        <v>770</v>
      </c>
    </row>
    <row r="573" spans="1:34" ht="15" hidden="1" customHeight="1">
      <c r="A573">
        <v>15700</v>
      </c>
      <c r="B573" t="s">
        <v>1475</v>
      </c>
      <c r="C573" s="3" t="str">
        <f t="shared" si="32"/>
        <v>glSetUp.crmContactIDCompany</v>
      </c>
      <c r="D573">
        <v>320</v>
      </c>
      <c r="E573" s="3" t="str">
        <f t="shared" si="33"/>
        <v>glSetUp</v>
      </c>
      <c r="F573" t="str">
        <f>VLOOKUP(V573,DictionaryTableID,3,FALSE)&amp;"ID"&amp;X573</f>
        <v>crmContactIDCompany</v>
      </c>
      <c r="G573" s="3" t="s">
        <v>6621</v>
      </c>
      <c r="H573" s="3" t="str">
        <f t="shared" si="34"/>
        <v>General Ledger.Set Up</v>
      </c>
      <c r="I573"/>
      <c r="K573" t="s">
        <v>6104</v>
      </c>
      <c r="L573"/>
      <c r="M573" t="s">
        <v>6007</v>
      </c>
      <c r="N573"/>
      <c r="O573"/>
      <c r="P573"/>
      <c r="Q573" t="s">
        <v>92</v>
      </c>
      <c r="R573"/>
      <c r="S573"/>
      <c r="U573" t="s">
        <v>96</v>
      </c>
      <c r="V573">
        <v>100</v>
      </c>
      <c r="W573" s="3" t="str">
        <f>VLOOKUP(V573,DictionaryTableID,3,FALSE)</f>
        <v>crmContact</v>
      </c>
      <c r="X573" s="3" t="s">
        <v>6104</v>
      </c>
      <c r="AB573" t="s">
        <v>92</v>
      </c>
    </row>
    <row r="574" spans="1:34" ht="15" hidden="1" customHeight="1">
      <c r="A574">
        <v>15710</v>
      </c>
      <c r="B574" t="s">
        <v>1475</v>
      </c>
      <c r="C574" s="3" t="str">
        <f t="shared" si="32"/>
        <v>glSetUp.FiscalEndDate</v>
      </c>
      <c r="D574">
        <v>320</v>
      </c>
      <c r="E574" s="3" t="str">
        <f t="shared" si="33"/>
        <v>glSetUp</v>
      </c>
      <c r="F574" t="s">
        <v>2977</v>
      </c>
      <c r="G574" s="3" t="s">
        <v>1158</v>
      </c>
      <c r="H574" s="3" t="str">
        <f t="shared" si="34"/>
        <v>General Ledger.Set Up</v>
      </c>
      <c r="I574"/>
      <c r="K574" t="s">
        <v>2978</v>
      </c>
      <c r="L574"/>
      <c r="M574" s="3" t="s">
        <v>81</v>
      </c>
      <c r="N574"/>
      <c r="O574"/>
      <c r="P574"/>
      <c r="Q574" t="s">
        <v>92</v>
      </c>
      <c r="R574"/>
      <c r="S574"/>
      <c r="U574" t="s">
        <v>93</v>
      </c>
      <c r="AB574" t="s">
        <v>92</v>
      </c>
    </row>
    <row r="575" spans="1:34" ht="15" hidden="1" customHeight="1">
      <c r="A575">
        <v>15720</v>
      </c>
      <c r="B575" t="s">
        <v>1475</v>
      </c>
      <c r="C575" s="3" t="str">
        <f t="shared" si="32"/>
        <v>glSetUp.FiscalStartDate</v>
      </c>
      <c r="D575">
        <v>320</v>
      </c>
      <c r="E575" s="3" t="str">
        <f t="shared" si="33"/>
        <v>glSetUp</v>
      </c>
      <c r="F575" t="s">
        <v>2980</v>
      </c>
      <c r="G575" s="3" t="s">
        <v>1158</v>
      </c>
      <c r="H575" s="3" t="str">
        <f t="shared" si="34"/>
        <v>General Ledger.Set Up</v>
      </c>
      <c r="I575"/>
      <c r="K575" t="s">
        <v>2979</v>
      </c>
      <c r="L575"/>
      <c r="M575" s="3" t="s">
        <v>81</v>
      </c>
      <c r="N575"/>
      <c r="O575"/>
      <c r="P575"/>
      <c r="Q575" t="s">
        <v>92</v>
      </c>
      <c r="R575"/>
      <c r="S575"/>
      <c r="U575" t="s">
        <v>93</v>
      </c>
      <c r="AB575" t="s">
        <v>92</v>
      </c>
    </row>
    <row r="576" spans="1:34" ht="15" hidden="1" customHeight="1">
      <c r="A576">
        <v>15730</v>
      </c>
      <c r="B576" s="3" t="s">
        <v>1475</v>
      </c>
      <c r="C576" s="3" t="str">
        <f t="shared" si="32"/>
        <v>glSetUp.FiscalYearIncrement</v>
      </c>
      <c r="D576" s="3">
        <v>320</v>
      </c>
      <c r="E576" s="3" t="str">
        <f t="shared" si="33"/>
        <v>glSetUp</v>
      </c>
      <c r="F576" t="s">
        <v>308</v>
      </c>
      <c r="G576" s="3" t="s">
        <v>6622</v>
      </c>
      <c r="H576" s="3" t="str">
        <f t="shared" si="34"/>
        <v>General Ledger.Set Up</v>
      </c>
      <c r="I576"/>
      <c r="K576" s="3" t="s">
        <v>394</v>
      </c>
      <c r="L576"/>
      <c r="M576" s="3" t="s">
        <v>195</v>
      </c>
      <c r="Q576" t="s">
        <v>92</v>
      </c>
      <c r="U576" s="3" t="s">
        <v>93</v>
      </c>
      <c r="AB576" t="s">
        <v>92</v>
      </c>
      <c r="AF576" t="s">
        <v>772</v>
      </c>
    </row>
    <row r="577" spans="1:32" ht="15" hidden="1" customHeight="1">
      <c r="A577">
        <v>15740</v>
      </c>
      <c r="B577" t="s">
        <v>1475</v>
      </c>
      <c r="C577" s="3" t="str">
        <f t="shared" si="32"/>
        <v>glSetUp.glAccountIDCash</v>
      </c>
      <c r="D577">
        <v>320</v>
      </c>
      <c r="E577" s="3" t="str">
        <f t="shared" si="33"/>
        <v>glSetUp</v>
      </c>
      <c r="F577" t="str">
        <f t="shared" ref="F577:F585" si="35">VLOOKUP(V577,DictionaryTableID,3,FALSE)&amp;"ID"&amp;X577</f>
        <v>glAccountIDCash</v>
      </c>
      <c r="G577" s="3" t="s">
        <v>6623</v>
      </c>
      <c r="H577" s="3" t="str">
        <f t="shared" si="34"/>
        <v>General Ledger.Set Up</v>
      </c>
      <c r="I577"/>
      <c r="K577" t="s">
        <v>6108</v>
      </c>
      <c r="L577"/>
      <c r="M577" t="s">
        <v>6007</v>
      </c>
      <c r="N577"/>
      <c r="O577"/>
      <c r="P577"/>
      <c r="Q577" t="s">
        <v>92</v>
      </c>
      <c r="R577"/>
      <c r="S577"/>
      <c r="U577" t="s">
        <v>96</v>
      </c>
      <c r="V577">
        <v>300</v>
      </c>
      <c r="W577" s="3" t="str">
        <f t="shared" ref="W577:W585" si="36">VLOOKUP(V577,DictionaryTableID,3,FALSE)</f>
        <v>glAccount</v>
      </c>
      <c r="X577" t="s">
        <v>3480</v>
      </c>
      <c r="AB577" t="s">
        <v>92</v>
      </c>
    </row>
    <row r="578" spans="1:32" ht="15" hidden="1" customHeight="1">
      <c r="A578">
        <v>15750</v>
      </c>
      <c r="B578" t="s">
        <v>1475</v>
      </c>
      <c r="C578" s="3" t="str">
        <f t="shared" ref="C578:C641" si="37">CONCATENATE(E578,".",F578)</f>
        <v>glSetUp.glAccountIDDisbursement</v>
      </c>
      <c r="D578">
        <v>320</v>
      </c>
      <c r="E578" s="3" t="str">
        <f t="shared" si="33"/>
        <v>glSetUp</v>
      </c>
      <c r="F578" t="str">
        <f t="shared" si="35"/>
        <v>glAccountIDDisbursement</v>
      </c>
      <c r="G578" s="3" t="s">
        <v>6624</v>
      </c>
      <c r="H578" s="3" t="str">
        <f t="shared" si="34"/>
        <v>General Ledger.Set Up</v>
      </c>
      <c r="I578"/>
      <c r="K578" t="s">
        <v>1154</v>
      </c>
      <c r="L578"/>
      <c r="M578" t="s">
        <v>6007</v>
      </c>
      <c r="N578"/>
      <c r="O578"/>
      <c r="P578"/>
      <c r="Q578" t="s">
        <v>92</v>
      </c>
      <c r="R578"/>
      <c r="S578"/>
      <c r="U578" t="s">
        <v>96</v>
      </c>
      <c r="V578">
        <v>300</v>
      </c>
      <c r="W578" s="3" t="str">
        <f t="shared" si="36"/>
        <v>glAccount</v>
      </c>
      <c r="X578" t="s">
        <v>6103</v>
      </c>
      <c r="AB578" t="s">
        <v>92</v>
      </c>
    </row>
    <row r="579" spans="1:32" ht="15" hidden="1" customHeight="1">
      <c r="A579">
        <v>15760</v>
      </c>
      <c r="B579" t="s">
        <v>1475</v>
      </c>
      <c r="C579" s="3" t="str">
        <f t="shared" si="37"/>
        <v>glSetUp.glAccountIDGST</v>
      </c>
      <c r="D579">
        <v>320</v>
      </c>
      <c r="E579" s="3" t="str">
        <f t="shared" si="33"/>
        <v>glSetUp</v>
      </c>
      <c r="F579" t="str">
        <f t="shared" si="35"/>
        <v>glAccountIDGST</v>
      </c>
      <c r="G579" s="3" t="s">
        <v>6625</v>
      </c>
      <c r="H579" s="3" t="str">
        <f t="shared" si="34"/>
        <v>General Ledger.Set Up</v>
      </c>
      <c r="I579"/>
      <c r="K579" t="s">
        <v>1162</v>
      </c>
      <c r="L579"/>
      <c r="M579" t="s">
        <v>6007</v>
      </c>
      <c r="N579"/>
      <c r="O579"/>
      <c r="P579"/>
      <c r="Q579" t="s">
        <v>92</v>
      </c>
      <c r="R579"/>
      <c r="S579"/>
      <c r="U579" t="s">
        <v>96</v>
      </c>
      <c r="V579">
        <v>300</v>
      </c>
      <c r="W579" s="3" t="str">
        <f t="shared" si="36"/>
        <v>glAccount</v>
      </c>
      <c r="X579" t="s">
        <v>6101</v>
      </c>
      <c r="AB579" t="s">
        <v>92</v>
      </c>
    </row>
    <row r="580" spans="1:32" ht="15" hidden="1" customHeight="1">
      <c r="A580">
        <v>15770</v>
      </c>
      <c r="B580" t="s">
        <v>1475</v>
      </c>
      <c r="C580" s="3" t="str">
        <f t="shared" si="37"/>
        <v>glSetUp.glAccountIDHST</v>
      </c>
      <c r="D580">
        <v>320</v>
      </c>
      <c r="E580" s="3" t="str">
        <f t="shared" si="33"/>
        <v>glSetUp</v>
      </c>
      <c r="F580" t="str">
        <f t="shared" si="35"/>
        <v>glAccountIDHST</v>
      </c>
      <c r="G580" s="3" t="s">
        <v>6626</v>
      </c>
      <c r="H580" s="3" t="str">
        <f t="shared" si="34"/>
        <v>General Ledger.Set Up</v>
      </c>
      <c r="I580"/>
      <c r="K580" t="s">
        <v>1164</v>
      </c>
      <c r="L580"/>
      <c r="M580" t="s">
        <v>6007</v>
      </c>
      <c r="N580"/>
      <c r="O580"/>
      <c r="P580"/>
      <c r="Q580" t="s">
        <v>92</v>
      </c>
      <c r="R580"/>
      <c r="S580"/>
      <c r="U580" t="s">
        <v>96</v>
      </c>
      <c r="V580">
        <v>300</v>
      </c>
      <c r="W580" s="3" t="str">
        <f t="shared" si="36"/>
        <v>glAccount</v>
      </c>
      <c r="X580" t="s">
        <v>6102</v>
      </c>
      <c r="AB580" t="s">
        <v>92</v>
      </c>
    </row>
    <row r="581" spans="1:32" ht="15" hidden="1" customHeight="1">
      <c r="A581">
        <v>15780</v>
      </c>
      <c r="B581" t="s">
        <v>1475</v>
      </c>
      <c r="C581" s="3" t="str">
        <f t="shared" si="37"/>
        <v>glSetUp.glAccountIDPayable</v>
      </c>
      <c r="D581">
        <v>320</v>
      </c>
      <c r="E581" s="3" t="str">
        <f t="shared" si="33"/>
        <v>glSetUp</v>
      </c>
      <c r="F581" t="str">
        <f t="shared" si="35"/>
        <v>glAccountIDPayable</v>
      </c>
      <c r="G581" s="3" t="s">
        <v>6627</v>
      </c>
      <c r="H581" s="3" t="str">
        <f t="shared" si="34"/>
        <v>General Ledger.Set Up</v>
      </c>
      <c r="I581"/>
      <c r="K581" t="s">
        <v>1149</v>
      </c>
      <c r="L581"/>
      <c r="M581" t="s">
        <v>6007</v>
      </c>
      <c r="N581"/>
      <c r="O581"/>
      <c r="P581"/>
      <c r="Q581" t="s">
        <v>92</v>
      </c>
      <c r="R581"/>
      <c r="S581"/>
      <c r="U581" t="s">
        <v>96</v>
      </c>
      <c r="V581">
        <v>300</v>
      </c>
      <c r="W581" s="3" t="str">
        <f t="shared" si="36"/>
        <v>glAccount</v>
      </c>
      <c r="X581" t="s">
        <v>3485</v>
      </c>
      <c r="AB581" t="s">
        <v>92</v>
      </c>
    </row>
    <row r="582" spans="1:32" ht="15" hidden="1" customHeight="1">
      <c r="A582">
        <v>15790</v>
      </c>
      <c r="B582" t="s">
        <v>1475</v>
      </c>
      <c r="C582" s="3" t="str">
        <f t="shared" si="37"/>
        <v>glSetUp.glAccountIDPST</v>
      </c>
      <c r="D582">
        <v>320</v>
      </c>
      <c r="E582" s="3" t="str">
        <f t="shared" si="33"/>
        <v>glSetUp</v>
      </c>
      <c r="F582" t="str">
        <f t="shared" si="35"/>
        <v>glAccountIDPST</v>
      </c>
      <c r="G582" s="3" t="s">
        <v>6628</v>
      </c>
      <c r="H582" s="3" t="str">
        <f t="shared" si="34"/>
        <v>General Ledger.Set Up</v>
      </c>
      <c r="I582"/>
      <c r="K582" t="s">
        <v>1167</v>
      </c>
      <c r="L582"/>
      <c r="M582" t="s">
        <v>6007</v>
      </c>
      <c r="N582"/>
      <c r="O582"/>
      <c r="P582"/>
      <c r="Q582" t="s">
        <v>92</v>
      </c>
      <c r="R582"/>
      <c r="S582"/>
      <c r="U582" t="s">
        <v>96</v>
      </c>
      <c r="V582">
        <v>300</v>
      </c>
      <c r="W582" s="3" t="str">
        <f t="shared" si="36"/>
        <v>glAccount</v>
      </c>
      <c r="X582" t="s">
        <v>4234</v>
      </c>
      <c r="AB582" t="s">
        <v>92</v>
      </c>
    </row>
    <row r="583" spans="1:32" ht="15" hidden="1" customHeight="1">
      <c r="A583">
        <v>15800</v>
      </c>
      <c r="B583" t="s">
        <v>1475</v>
      </c>
      <c r="C583" s="3" t="str">
        <f t="shared" si="37"/>
        <v>glSetUp.glAccountIDReceivable</v>
      </c>
      <c r="D583">
        <v>320</v>
      </c>
      <c r="E583" s="3" t="str">
        <f t="shared" si="33"/>
        <v>glSetUp</v>
      </c>
      <c r="F583" t="str">
        <f t="shared" si="35"/>
        <v>glAccountIDReceivable</v>
      </c>
      <c r="G583" s="3" t="s">
        <v>6629</v>
      </c>
      <c r="H583" s="3" t="str">
        <f t="shared" si="34"/>
        <v>General Ledger.Set Up</v>
      </c>
      <c r="I583"/>
      <c r="K583" t="s">
        <v>1151</v>
      </c>
      <c r="L583"/>
      <c r="M583" t="s">
        <v>6007</v>
      </c>
      <c r="N583"/>
      <c r="O583"/>
      <c r="P583"/>
      <c r="Q583" t="s">
        <v>92</v>
      </c>
      <c r="R583"/>
      <c r="S583"/>
      <c r="U583" t="s">
        <v>96</v>
      </c>
      <c r="V583">
        <v>300</v>
      </c>
      <c r="W583" s="3" t="str">
        <f t="shared" si="36"/>
        <v>glAccount</v>
      </c>
      <c r="X583" t="s">
        <v>3486</v>
      </c>
      <c r="AB583" t="s">
        <v>92</v>
      </c>
    </row>
    <row r="584" spans="1:32" ht="15" hidden="1" customHeight="1">
      <c r="A584">
        <v>15810</v>
      </c>
      <c r="B584" t="s">
        <v>1475</v>
      </c>
      <c r="C584" s="3" t="str">
        <f t="shared" si="37"/>
        <v>glSetUp.glAccountIDWriteoff</v>
      </c>
      <c r="D584">
        <v>320</v>
      </c>
      <c r="E584" s="3" t="str">
        <f t="shared" si="33"/>
        <v>glSetUp</v>
      </c>
      <c r="F584" t="str">
        <f t="shared" si="35"/>
        <v>glAccountIDWriteoff</v>
      </c>
      <c r="G584" s="3" t="s">
        <v>6110</v>
      </c>
      <c r="H584" s="3" t="str">
        <f t="shared" si="34"/>
        <v>General Ledger.Set Up</v>
      </c>
      <c r="I584"/>
      <c r="K584" t="s">
        <v>6224</v>
      </c>
      <c r="L584"/>
      <c r="M584" t="s">
        <v>6007</v>
      </c>
      <c r="N584"/>
      <c r="O584"/>
      <c r="P584"/>
      <c r="Q584" t="s">
        <v>92</v>
      </c>
      <c r="R584"/>
      <c r="S584"/>
      <c r="U584" t="s">
        <v>96</v>
      </c>
      <c r="V584">
        <v>300</v>
      </c>
      <c r="W584" s="3" t="str">
        <f t="shared" si="36"/>
        <v>glAccount</v>
      </c>
      <c r="X584" t="s">
        <v>6106</v>
      </c>
      <c r="AB584" t="s">
        <v>92</v>
      </c>
    </row>
    <row r="585" spans="1:32" ht="15" hidden="1" customHeight="1">
      <c r="A585">
        <v>15811</v>
      </c>
      <c r="B585" t="s">
        <v>1475</v>
      </c>
      <c r="C585" s="3" t="str">
        <f t="shared" si="37"/>
        <v>glSetUp.glCostCentreIDWriteoff</v>
      </c>
      <c r="D585">
        <v>320</v>
      </c>
      <c r="E585" s="3" t="str">
        <f t="shared" si="33"/>
        <v>glSetUp</v>
      </c>
      <c r="F585" t="str">
        <f t="shared" si="35"/>
        <v>glCostCentreIDWriteoff</v>
      </c>
      <c r="G585" s="3" t="s">
        <v>6126</v>
      </c>
      <c r="H585" s="3" t="str">
        <f t="shared" si="34"/>
        <v>General Ledger.Set Up</v>
      </c>
      <c r="I585"/>
      <c r="K585" t="s">
        <v>6225</v>
      </c>
      <c r="L585"/>
      <c r="M585" t="s">
        <v>6007</v>
      </c>
      <c r="N585"/>
      <c r="O585"/>
      <c r="P585"/>
      <c r="Q585" t="s">
        <v>92</v>
      </c>
      <c r="R585"/>
      <c r="S585"/>
      <c r="U585" t="s">
        <v>96</v>
      </c>
      <c r="V585">
        <v>301</v>
      </c>
      <c r="W585" s="3" t="str">
        <f t="shared" si="36"/>
        <v>glCostCentre</v>
      </c>
      <c r="X585" t="s">
        <v>6106</v>
      </c>
      <c r="AB585" t="s">
        <v>92</v>
      </c>
    </row>
    <row r="586" spans="1:32" ht="15" hidden="1" customHeight="1">
      <c r="A586">
        <v>15815</v>
      </c>
      <c r="B586" t="s">
        <v>1475</v>
      </c>
      <c r="C586" s="3" t="str">
        <f t="shared" si="37"/>
        <v>glSetUp.WriteOffAmount</v>
      </c>
      <c r="D586">
        <v>320</v>
      </c>
      <c r="E586" s="3" t="str">
        <f t="shared" si="33"/>
        <v>glSetUp</v>
      </c>
      <c r="F586" t="s">
        <v>2128</v>
      </c>
      <c r="G586" s="3" t="s">
        <v>6127</v>
      </c>
      <c r="H586" s="3" t="str">
        <f t="shared" si="34"/>
        <v>General Ledger.Set Up</v>
      </c>
      <c r="I586"/>
      <c r="K586" t="s">
        <v>6111</v>
      </c>
      <c r="L586"/>
      <c r="M586" t="s">
        <v>197</v>
      </c>
      <c r="N586">
        <v>9</v>
      </c>
      <c r="O586">
        <v>2</v>
      </c>
      <c r="P586"/>
      <c r="Q586" t="s">
        <v>92</v>
      </c>
      <c r="R586"/>
      <c r="S586"/>
      <c r="U586" t="s">
        <v>93</v>
      </c>
      <c r="W586" s="3"/>
      <c r="AB586" t="s">
        <v>92</v>
      </c>
    </row>
    <row r="587" spans="1:32" ht="15" hidden="1" customHeight="1">
      <c r="A587">
        <v>15820</v>
      </c>
      <c r="B587" t="s">
        <v>1475</v>
      </c>
      <c r="C587" s="3" t="str">
        <f t="shared" si="37"/>
        <v>glSetUp.GSTNumber</v>
      </c>
      <c r="D587">
        <v>320</v>
      </c>
      <c r="E587" s="3" t="str">
        <f t="shared" ref="E587:E650" si="38">VLOOKUP(D587,DictionaryTableID,3,FALSE)</f>
        <v>glSetUp</v>
      </c>
      <c r="F587" t="s">
        <v>1283</v>
      </c>
      <c r="G587" s="3" t="s">
        <v>6630</v>
      </c>
      <c r="H587" s="3" t="str">
        <f t="shared" ref="H587:H607" si="39">VLOOKUP(E587,DictionaryTables,14,FALSE)</f>
        <v>General Ledger.Set Up</v>
      </c>
      <c r="I587"/>
      <c r="K587" t="s">
        <v>6107</v>
      </c>
      <c r="L587"/>
      <c r="M587" t="s">
        <v>196</v>
      </c>
      <c r="O587"/>
      <c r="P587"/>
      <c r="Q587" t="s">
        <v>92</v>
      </c>
      <c r="R587"/>
      <c r="S587"/>
      <c r="U587" t="s">
        <v>93</v>
      </c>
      <c r="AB587" t="s">
        <v>92</v>
      </c>
    </row>
    <row r="588" spans="1:32" ht="15" hidden="1" customHeight="1">
      <c r="A588">
        <v>15830</v>
      </c>
      <c r="B588" t="s">
        <v>1475</v>
      </c>
      <c r="C588" s="3" t="str">
        <f t="shared" si="37"/>
        <v>glSetUp.GstRate</v>
      </c>
      <c r="D588">
        <v>320</v>
      </c>
      <c r="E588" s="3" t="str">
        <f t="shared" si="38"/>
        <v>glSetUp</v>
      </c>
      <c r="F588" t="s">
        <v>62</v>
      </c>
      <c r="G588" s="3" t="s">
        <v>1168</v>
      </c>
      <c r="H588" s="3" t="str">
        <f t="shared" si="39"/>
        <v>General Ledger.Set Up</v>
      </c>
      <c r="I588"/>
      <c r="K588" t="s">
        <v>396</v>
      </c>
      <c r="L588"/>
      <c r="M588" s="3" t="s">
        <v>197</v>
      </c>
      <c r="N588" s="3">
        <v>9</v>
      </c>
      <c r="O588" s="3">
        <v>4</v>
      </c>
      <c r="P588"/>
      <c r="Q588" t="s">
        <v>92</v>
      </c>
      <c r="R588"/>
      <c r="S588" s="20"/>
      <c r="U588" t="s">
        <v>93</v>
      </c>
      <c r="AB588" t="s">
        <v>92</v>
      </c>
    </row>
    <row r="589" spans="1:32" ht="15" hidden="1" customHeight="1">
      <c r="A589">
        <v>15840</v>
      </c>
      <c r="B589" s="3" t="s">
        <v>1475</v>
      </c>
      <c r="C589" s="3" t="str">
        <f t="shared" si="37"/>
        <v>glSetUp.HoursPerDay</v>
      </c>
      <c r="D589" s="3">
        <v>320</v>
      </c>
      <c r="E589" s="3" t="str">
        <f t="shared" si="38"/>
        <v>glSetUp</v>
      </c>
      <c r="F589" t="s">
        <v>312</v>
      </c>
      <c r="G589" s="3" t="s">
        <v>6578</v>
      </c>
      <c r="H589" s="3" t="str">
        <f t="shared" si="39"/>
        <v>General Ledger.Set Up</v>
      </c>
      <c r="I589"/>
      <c r="K589" s="3" t="s">
        <v>388</v>
      </c>
      <c r="L589"/>
      <c r="M589" s="3" t="s">
        <v>197</v>
      </c>
      <c r="N589" s="3">
        <v>9</v>
      </c>
      <c r="O589" s="3">
        <v>2</v>
      </c>
      <c r="Q589" s="3" t="s">
        <v>92</v>
      </c>
      <c r="U589" s="3" t="s">
        <v>93</v>
      </c>
      <c r="W589" s="3"/>
      <c r="AB589" t="s">
        <v>92</v>
      </c>
      <c r="AF589" t="s">
        <v>786</v>
      </c>
    </row>
    <row r="590" spans="1:32" ht="15" hidden="1" customHeight="1">
      <c r="A590">
        <v>15850</v>
      </c>
      <c r="B590" s="3" t="s">
        <v>1475</v>
      </c>
      <c r="C590" s="3" t="str">
        <f t="shared" si="37"/>
        <v>glSetUp.IsCostCentreUsed</v>
      </c>
      <c r="D590" s="3">
        <v>320</v>
      </c>
      <c r="E590" s="3" t="str">
        <f t="shared" si="38"/>
        <v>glSetUp</v>
      </c>
      <c r="F590" t="s">
        <v>1291</v>
      </c>
      <c r="G590" s="3" t="s">
        <v>6631</v>
      </c>
      <c r="H590" s="3" t="str">
        <f t="shared" si="39"/>
        <v>General Ledger.Set Up</v>
      </c>
      <c r="I590"/>
      <c r="K590" s="3" t="s">
        <v>6109</v>
      </c>
      <c r="L590"/>
      <c r="M590" s="3" t="s">
        <v>2402</v>
      </c>
      <c r="Q590" t="s">
        <v>92</v>
      </c>
      <c r="U590" s="3" t="s">
        <v>93</v>
      </c>
      <c r="AB590" t="s">
        <v>92</v>
      </c>
      <c r="AF590" t="s">
        <v>785</v>
      </c>
    </row>
    <row r="591" spans="1:32" ht="15" hidden="1" customHeight="1">
      <c r="A591">
        <v>15860</v>
      </c>
      <c r="B591" s="3" t="s">
        <v>1475</v>
      </c>
      <c r="C591" s="3" t="str">
        <f t="shared" si="37"/>
        <v>glSetUp.IsForceBalanceUsed</v>
      </c>
      <c r="D591" s="3">
        <v>320</v>
      </c>
      <c r="E591" s="3" t="str">
        <f t="shared" si="38"/>
        <v>glSetUp</v>
      </c>
      <c r="F591" t="s">
        <v>1336</v>
      </c>
      <c r="G591" s="3" t="s">
        <v>6632</v>
      </c>
      <c r="H591" s="3" t="str">
        <f t="shared" si="39"/>
        <v>General Ledger.Set Up</v>
      </c>
      <c r="I591"/>
      <c r="K591" s="3" t="s">
        <v>397</v>
      </c>
      <c r="L591"/>
      <c r="M591" s="3" t="s">
        <v>2402</v>
      </c>
      <c r="Q591" t="s">
        <v>92</v>
      </c>
      <c r="U591" s="3" t="s">
        <v>93</v>
      </c>
      <c r="AB591" t="s">
        <v>92</v>
      </c>
      <c r="AF591" t="s">
        <v>775</v>
      </c>
    </row>
    <row r="592" spans="1:32" ht="15" hidden="1" customHeight="1">
      <c r="A592">
        <v>15870</v>
      </c>
      <c r="B592" s="3" t="s">
        <v>1475</v>
      </c>
      <c r="C592" s="3" t="str">
        <f t="shared" si="37"/>
        <v>glSetUp.RowStatus</v>
      </c>
      <c r="D592" s="3">
        <v>320</v>
      </c>
      <c r="E592" s="3" t="str">
        <f t="shared" si="38"/>
        <v>glSetUp</v>
      </c>
      <c r="F592" t="s">
        <v>1445</v>
      </c>
      <c r="G592" s="3" t="s">
        <v>6411</v>
      </c>
      <c r="H592" s="3" t="str">
        <f t="shared" si="39"/>
        <v>General Ledger.Set Up</v>
      </c>
      <c r="I592"/>
      <c r="K592" s="3" t="s">
        <v>2471</v>
      </c>
      <c r="L592"/>
      <c r="M592" t="s">
        <v>976</v>
      </c>
      <c r="N592">
        <v>1</v>
      </c>
      <c r="Q592" s="3" t="s">
        <v>919</v>
      </c>
      <c r="U592" s="3" t="s">
        <v>94</v>
      </c>
    </row>
    <row r="593" spans="1:34" ht="15" hidden="1" customHeight="1">
      <c r="A593">
        <v>15880</v>
      </c>
      <c r="B593" t="s">
        <v>1475</v>
      </c>
      <c r="C593" s="3" t="str">
        <f t="shared" si="37"/>
        <v>glSetUp.sysChangeHistoryID</v>
      </c>
      <c r="D593">
        <v>320</v>
      </c>
      <c r="E593" s="3" t="str">
        <f t="shared" si="38"/>
        <v>glSetUp</v>
      </c>
      <c r="F593" t="s">
        <v>2497</v>
      </c>
      <c r="G593" s="3" t="s">
        <v>6403</v>
      </c>
      <c r="H593" s="3" t="str">
        <f t="shared" si="39"/>
        <v>General Ledger.Set Up</v>
      </c>
      <c r="I593"/>
      <c r="K593" t="s">
        <v>1210</v>
      </c>
      <c r="L593"/>
      <c r="M593" t="s">
        <v>6007</v>
      </c>
      <c r="N593"/>
      <c r="O593"/>
      <c r="P593"/>
      <c r="Q593" t="s">
        <v>92</v>
      </c>
      <c r="R593"/>
      <c r="S593"/>
      <c r="U593" t="s">
        <v>1429</v>
      </c>
      <c r="W593" s="3"/>
      <c r="X593" s="3"/>
    </row>
    <row r="594" spans="1:34" ht="15" hidden="1" customHeight="1">
      <c r="A594">
        <v>15980</v>
      </c>
      <c r="B594" t="s">
        <v>1475</v>
      </c>
      <c r="C594" s="3" t="str">
        <f t="shared" si="37"/>
        <v>glTransaction.ID</v>
      </c>
      <c r="D594">
        <v>311</v>
      </c>
      <c r="E594" s="3" t="str">
        <f t="shared" si="38"/>
        <v>glTransaction</v>
      </c>
      <c r="F594" t="s">
        <v>0</v>
      </c>
      <c r="G594" s="3" t="s">
        <v>6633</v>
      </c>
      <c r="H594" s="3" t="str">
        <f t="shared" si="39"/>
        <v>General Ledger.GL Transaction</v>
      </c>
      <c r="I594"/>
      <c r="K594" t="s">
        <v>0</v>
      </c>
      <c r="L594"/>
      <c r="M594" t="s">
        <v>6007</v>
      </c>
      <c r="N594"/>
      <c r="O594"/>
      <c r="P594"/>
      <c r="Q594" s="3" t="s">
        <v>919</v>
      </c>
      <c r="R594"/>
      <c r="S594"/>
      <c r="U594" s="3" t="s">
        <v>95</v>
      </c>
      <c r="AC594" t="s">
        <v>92</v>
      </c>
    </row>
    <row r="595" spans="1:34" ht="15" hidden="1" customHeight="1">
      <c r="A595">
        <v>15990</v>
      </c>
      <c r="B595" t="s">
        <v>1475</v>
      </c>
      <c r="C595" s="3" t="str">
        <f t="shared" si="37"/>
        <v>glTransaction.glBatchID</v>
      </c>
      <c r="D595">
        <v>311</v>
      </c>
      <c r="E595" s="3" t="str">
        <f t="shared" si="38"/>
        <v>glTransaction</v>
      </c>
      <c r="F595" t="str">
        <f t="shared" ref="F595:F600" si="40">VLOOKUP(V595,DictionaryTableID,3,FALSE)&amp;"ID"&amp;X595</f>
        <v>glBatchID</v>
      </c>
      <c r="G595" s="3" t="s">
        <v>6609</v>
      </c>
      <c r="H595" s="3" t="str">
        <f t="shared" si="39"/>
        <v>General Ledger.GL Transaction</v>
      </c>
      <c r="I595"/>
      <c r="K595" t="s">
        <v>6</v>
      </c>
      <c r="L595"/>
      <c r="M595" t="s">
        <v>6007</v>
      </c>
      <c r="N595"/>
      <c r="O595"/>
      <c r="P595"/>
      <c r="Q595" t="s">
        <v>92</v>
      </c>
      <c r="R595"/>
      <c r="S595"/>
      <c r="U595" t="s">
        <v>96</v>
      </c>
      <c r="V595">
        <v>310</v>
      </c>
      <c r="W595" s="3" t="str">
        <f t="shared" ref="W595:W600" si="41">VLOOKUP(V595,DictionaryTableID,3,FALSE)</f>
        <v>glBatch</v>
      </c>
      <c r="X595" s="3" t="s">
        <v>1036</v>
      </c>
      <c r="AB595" t="s">
        <v>92</v>
      </c>
      <c r="AC595" t="s">
        <v>92</v>
      </c>
    </row>
    <row r="596" spans="1:34" ht="15" hidden="1" customHeight="1">
      <c r="A596">
        <v>16000</v>
      </c>
      <c r="B596" s="3" t="s">
        <v>1475</v>
      </c>
      <c r="C596" s="3" t="str">
        <f t="shared" si="37"/>
        <v>glTransaction.glEntryIDMain</v>
      </c>
      <c r="D596" s="3">
        <v>311</v>
      </c>
      <c r="E596" s="3" t="str">
        <f t="shared" si="38"/>
        <v>glTransaction</v>
      </c>
      <c r="F596" t="str">
        <f t="shared" si="40"/>
        <v>glEntryIDMain</v>
      </c>
      <c r="G596" s="3" t="s">
        <v>6634</v>
      </c>
      <c r="H596" s="3" t="str">
        <f t="shared" si="39"/>
        <v>General Ledger.GL Transaction</v>
      </c>
      <c r="I596"/>
      <c r="K596" s="3" t="s">
        <v>442</v>
      </c>
      <c r="M596" t="s">
        <v>6007</v>
      </c>
      <c r="Q596" s="3" t="s">
        <v>92</v>
      </c>
      <c r="U596" s="3" t="s">
        <v>96</v>
      </c>
      <c r="V596">
        <v>316</v>
      </c>
      <c r="W596" s="3" t="str">
        <f t="shared" si="41"/>
        <v>glEntry</v>
      </c>
      <c r="X596" s="3" t="s">
        <v>1219</v>
      </c>
      <c r="AB596" t="s">
        <v>92</v>
      </c>
      <c r="AF596" t="s">
        <v>858</v>
      </c>
    </row>
    <row r="597" spans="1:34" ht="15" hidden="1" customHeight="1">
      <c r="A597">
        <v>16010</v>
      </c>
      <c r="B597" s="3" t="s">
        <v>1475</v>
      </c>
      <c r="C597" s="3" t="str">
        <f t="shared" si="37"/>
        <v>glTransaction.glPostingStatusID</v>
      </c>
      <c r="D597" s="3">
        <v>311</v>
      </c>
      <c r="E597" s="3" t="str">
        <f t="shared" si="38"/>
        <v>glTransaction</v>
      </c>
      <c r="F597" t="str">
        <f t="shared" si="40"/>
        <v>glPostingStatusID</v>
      </c>
      <c r="G597" s="3" t="s">
        <v>6635</v>
      </c>
      <c r="H597" s="3" t="str">
        <f t="shared" si="39"/>
        <v>General Ledger.GL Transaction</v>
      </c>
      <c r="I597"/>
      <c r="K597" s="3" t="s">
        <v>55</v>
      </c>
      <c r="M597" t="s">
        <v>6007</v>
      </c>
      <c r="Q597" s="3" t="s">
        <v>919</v>
      </c>
      <c r="U597" s="3" t="s">
        <v>96</v>
      </c>
      <c r="V597">
        <v>395</v>
      </c>
      <c r="W597" s="3" t="str">
        <f t="shared" si="41"/>
        <v>glPostingStatus</v>
      </c>
      <c r="X597" s="3"/>
      <c r="AB597" t="s">
        <v>92</v>
      </c>
      <c r="AF597" t="s">
        <v>855</v>
      </c>
      <c r="AH597" t="s">
        <v>92</v>
      </c>
    </row>
    <row r="598" spans="1:34" ht="15" hidden="1" customHeight="1">
      <c r="A598">
        <v>16020</v>
      </c>
      <c r="B598" t="s">
        <v>1475</v>
      </c>
      <c r="C598" s="3" t="str">
        <f t="shared" si="37"/>
        <v>glTransaction.glTransactionIDReversed</v>
      </c>
      <c r="D598">
        <v>311</v>
      </c>
      <c r="E598" s="3" t="str">
        <f t="shared" si="38"/>
        <v>glTransaction</v>
      </c>
      <c r="F598" t="str">
        <f t="shared" si="40"/>
        <v>glTransactionIDReversed</v>
      </c>
      <c r="G598" s="3" t="s">
        <v>6636</v>
      </c>
      <c r="H598" s="3" t="str">
        <f t="shared" si="39"/>
        <v>General Ledger.GL Transaction</v>
      </c>
      <c r="I598"/>
      <c r="K598" t="s">
        <v>5987</v>
      </c>
      <c r="L598"/>
      <c r="M598" t="s">
        <v>6007</v>
      </c>
      <c r="N598"/>
      <c r="O598"/>
      <c r="P598"/>
      <c r="Q598" t="s">
        <v>92</v>
      </c>
      <c r="R598"/>
      <c r="S598"/>
      <c r="U598" t="s">
        <v>96</v>
      </c>
      <c r="V598">
        <v>311</v>
      </c>
      <c r="W598" s="3" t="str">
        <f t="shared" si="41"/>
        <v>glTransaction</v>
      </c>
      <c r="X598" s="3" t="s">
        <v>1223</v>
      </c>
      <c r="AB598" t="s">
        <v>92</v>
      </c>
    </row>
    <row r="599" spans="1:34" ht="15" hidden="1" customHeight="1">
      <c r="A599">
        <v>16030</v>
      </c>
      <c r="B599" t="s">
        <v>1475</v>
      </c>
      <c r="C599" s="3" t="str">
        <f t="shared" si="37"/>
        <v>glTransaction.glTransactionTypeID</v>
      </c>
      <c r="D599">
        <v>311</v>
      </c>
      <c r="E599" s="3" t="str">
        <f t="shared" si="38"/>
        <v>glTransaction</v>
      </c>
      <c r="F599" t="str">
        <f t="shared" si="40"/>
        <v>glTransactionTypeID</v>
      </c>
      <c r="G599" s="3" t="s">
        <v>6637</v>
      </c>
      <c r="H599" s="3" t="str">
        <f t="shared" si="39"/>
        <v>General Ledger.GL Transaction</v>
      </c>
      <c r="I599"/>
      <c r="K599" t="s">
        <v>40</v>
      </c>
      <c r="L599"/>
      <c r="M599" t="s">
        <v>6007</v>
      </c>
      <c r="N599"/>
      <c r="O599"/>
      <c r="P599"/>
      <c r="Q599" t="s">
        <v>919</v>
      </c>
      <c r="R599"/>
      <c r="S599"/>
      <c r="U599" t="s">
        <v>96</v>
      </c>
      <c r="V599">
        <v>315</v>
      </c>
      <c r="W599" s="3" t="str">
        <f t="shared" si="41"/>
        <v>glTransactionType</v>
      </c>
      <c r="X599" s="3"/>
      <c r="AB599" t="s">
        <v>92</v>
      </c>
      <c r="AH599" t="s">
        <v>92</v>
      </c>
    </row>
    <row r="600" spans="1:34" ht="15" hidden="1" customHeight="1">
      <c r="A600">
        <v>16040</v>
      </c>
      <c r="B600" s="3" t="s">
        <v>1475</v>
      </c>
      <c r="C600" s="3" t="str">
        <f t="shared" si="37"/>
        <v>glTransaction.sysDictionaryTableIDSubType</v>
      </c>
      <c r="D600" s="3">
        <v>311</v>
      </c>
      <c r="E600" s="3" t="str">
        <f t="shared" si="38"/>
        <v>glTransaction</v>
      </c>
      <c r="F600" t="str">
        <f t="shared" si="40"/>
        <v>sysDictionaryTableIDSubType</v>
      </c>
      <c r="G600" s="3" t="s">
        <v>6638</v>
      </c>
      <c r="H600" s="3" t="str">
        <f t="shared" si="39"/>
        <v>General Ledger.GL Transaction</v>
      </c>
      <c r="I600"/>
      <c r="K600" s="3" t="s">
        <v>974</v>
      </c>
      <c r="M600" t="s">
        <v>6007</v>
      </c>
      <c r="N600"/>
      <c r="Q600" s="3" t="s">
        <v>92</v>
      </c>
      <c r="U600" s="3" t="s">
        <v>96</v>
      </c>
      <c r="V600">
        <v>1</v>
      </c>
      <c r="W600" s="3" t="str">
        <f t="shared" si="41"/>
        <v>sysDictionaryTable</v>
      </c>
      <c r="X600" t="s">
        <v>252</v>
      </c>
      <c r="AB600" t="s">
        <v>92</v>
      </c>
      <c r="AF600" t="s">
        <v>852</v>
      </c>
    </row>
    <row r="601" spans="1:34" ht="15" hidden="1" customHeight="1">
      <c r="A601">
        <v>16050</v>
      </c>
      <c r="B601" s="3" t="s">
        <v>1475</v>
      </c>
      <c r="C601" s="3" t="str">
        <f t="shared" si="37"/>
        <v>glTransaction.CreateDate</v>
      </c>
      <c r="D601" s="3">
        <v>311</v>
      </c>
      <c r="E601" s="3" t="str">
        <f t="shared" si="38"/>
        <v>glTransaction</v>
      </c>
      <c r="F601" t="s">
        <v>11</v>
      </c>
      <c r="G601" s="3" t="s">
        <v>6568</v>
      </c>
      <c r="H601" s="3" t="str">
        <f t="shared" si="39"/>
        <v>General Ledger.GL Transaction</v>
      </c>
      <c r="I601"/>
      <c r="K601" s="3" t="s">
        <v>111</v>
      </c>
      <c r="M601" s="3" t="s">
        <v>329</v>
      </c>
      <c r="Q601" s="3" t="s">
        <v>919</v>
      </c>
      <c r="S601" s="3" t="s">
        <v>7045</v>
      </c>
      <c r="U601" s="3" t="s">
        <v>93</v>
      </c>
      <c r="AB601" t="s">
        <v>92</v>
      </c>
      <c r="AF601" t="s">
        <v>856</v>
      </c>
      <c r="AH601" t="s">
        <v>92</v>
      </c>
    </row>
    <row r="602" spans="1:34" ht="15" hidden="1" customHeight="1">
      <c r="A602">
        <v>16060</v>
      </c>
      <c r="B602" t="s">
        <v>1475</v>
      </c>
      <c r="C602" s="3" t="str">
        <f t="shared" si="37"/>
        <v>glTransaction.Description</v>
      </c>
      <c r="D602">
        <v>311</v>
      </c>
      <c r="E602" s="3" t="str">
        <f t="shared" si="38"/>
        <v>glTransaction</v>
      </c>
      <c r="F602" t="s">
        <v>12</v>
      </c>
      <c r="G602" s="3" t="s">
        <v>6932</v>
      </c>
      <c r="H602" s="3" t="str">
        <f t="shared" si="39"/>
        <v>General Ledger.GL Transaction</v>
      </c>
      <c r="I602"/>
      <c r="K602" t="s">
        <v>12</v>
      </c>
      <c r="L602"/>
      <c r="M602" t="s">
        <v>196</v>
      </c>
      <c r="N602"/>
      <c r="O602"/>
      <c r="P602"/>
      <c r="Q602" t="s">
        <v>919</v>
      </c>
      <c r="R602"/>
      <c r="S602"/>
      <c r="U602" t="s">
        <v>93</v>
      </c>
      <c r="AB602" t="s">
        <v>92</v>
      </c>
      <c r="AH602" t="s">
        <v>92</v>
      </c>
    </row>
    <row r="603" spans="1:34" ht="15" hidden="1" customHeight="1">
      <c r="A603">
        <v>16070</v>
      </c>
      <c r="B603" t="s">
        <v>1475</v>
      </c>
      <c r="C603" s="3" t="str">
        <f t="shared" si="37"/>
        <v>glTransaction.DueDate</v>
      </c>
      <c r="D603">
        <v>311</v>
      </c>
      <c r="E603" s="3" t="str">
        <f t="shared" si="38"/>
        <v>glTransaction</v>
      </c>
      <c r="F603" t="s">
        <v>1075</v>
      </c>
      <c r="G603" s="3" t="s">
        <v>1076</v>
      </c>
      <c r="H603" s="3" t="str">
        <f t="shared" si="39"/>
        <v>General Ledger.GL Transaction</v>
      </c>
      <c r="I603"/>
      <c r="K603" t="s">
        <v>1076</v>
      </c>
      <c r="L603"/>
      <c r="M603" s="3" t="s">
        <v>81</v>
      </c>
      <c r="N603"/>
      <c r="O603"/>
      <c r="P603"/>
      <c r="Q603" t="s">
        <v>92</v>
      </c>
      <c r="R603"/>
      <c r="S603" s="20"/>
      <c r="U603" t="s">
        <v>93</v>
      </c>
      <c r="AB603" t="s">
        <v>92</v>
      </c>
    </row>
    <row r="604" spans="1:34" ht="15" hidden="1" customHeight="1">
      <c r="A604">
        <v>16080</v>
      </c>
      <c r="B604" t="s">
        <v>1475</v>
      </c>
      <c r="C604" s="3" t="str">
        <f t="shared" si="37"/>
        <v>glTransaction.ReferenceNumber</v>
      </c>
      <c r="D604">
        <v>311</v>
      </c>
      <c r="E604" s="3" t="str">
        <f t="shared" si="38"/>
        <v>glTransaction</v>
      </c>
      <c r="F604" t="s">
        <v>28</v>
      </c>
      <c r="G604" s="3" t="s">
        <v>102</v>
      </c>
      <c r="H604" s="3" t="str">
        <f t="shared" si="39"/>
        <v>General Ledger.GL Transaction</v>
      </c>
      <c r="I604"/>
      <c r="K604" t="s">
        <v>102</v>
      </c>
      <c r="L604"/>
      <c r="M604" t="s">
        <v>196</v>
      </c>
      <c r="O604"/>
      <c r="P604"/>
      <c r="Q604" t="s">
        <v>92</v>
      </c>
      <c r="R604"/>
      <c r="S604" s="20"/>
      <c r="U604" t="s">
        <v>93</v>
      </c>
      <c r="AB604" t="s">
        <v>92</v>
      </c>
    </row>
    <row r="605" spans="1:34" ht="15" hidden="1" customHeight="1">
      <c r="A605">
        <v>16090</v>
      </c>
      <c r="B605" t="s">
        <v>1475</v>
      </c>
      <c r="C605" s="3" t="str">
        <f t="shared" si="37"/>
        <v>glTransaction.TransactionDate</v>
      </c>
      <c r="D605">
        <v>311</v>
      </c>
      <c r="E605" s="3" t="str">
        <f t="shared" si="38"/>
        <v>glTransaction</v>
      </c>
      <c r="F605" t="s">
        <v>1199</v>
      </c>
      <c r="G605" s="3" t="s">
        <v>1200</v>
      </c>
      <c r="H605" s="3" t="str">
        <f t="shared" si="39"/>
        <v>General Ledger.GL Transaction</v>
      </c>
      <c r="I605"/>
      <c r="K605" t="s">
        <v>1201</v>
      </c>
      <c r="L605"/>
      <c r="M605" s="3" t="s">
        <v>81</v>
      </c>
      <c r="N605"/>
      <c r="O605"/>
      <c r="P605"/>
      <c r="Q605" t="s">
        <v>919</v>
      </c>
      <c r="R605"/>
      <c r="S605"/>
      <c r="U605" t="s">
        <v>93</v>
      </c>
      <c r="AB605" t="s">
        <v>92</v>
      </c>
      <c r="AC605" t="s">
        <v>92</v>
      </c>
      <c r="AH605" t="s">
        <v>92</v>
      </c>
    </row>
    <row r="606" spans="1:34" ht="15" hidden="1" customHeight="1">
      <c r="A606">
        <v>16100</v>
      </c>
      <c r="B606" t="s">
        <v>1475</v>
      </c>
      <c r="C606" s="3" t="str">
        <f t="shared" si="37"/>
        <v>glTransaction.sysChangeHistoryID</v>
      </c>
      <c r="D606">
        <v>311</v>
      </c>
      <c r="E606" s="3" t="str">
        <f t="shared" si="38"/>
        <v>glTransaction</v>
      </c>
      <c r="F606" t="s">
        <v>2497</v>
      </c>
      <c r="G606" s="3" t="s">
        <v>6403</v>
      </c>
      <c r="H606" s="3" t="str">
        <f t="shared" si="39"/>
        <v>General Ledger.GL Transaction</v>
      </c>
      <c r="I606"/>
      <c r="K606" t="s">
        <v>1210</v>
      </c>
      <c r="L606"/>
      <c r="M606" t="s">
        <v>6007</v>
      </c>
      <c r="N606"/>
      <c r="O606"/>
      <c r="P606"/>
      <c r="Q606" t="s">
        <v>92</v>
      </c>
      <c r="R606"/>
      <c r="S606"/>
      <c r="U606" t="s">
        <v>1429</v>
      </c>
      <c r="W606" s="3"/>
      <c r="X606" s="3"/>
    </row>
    <row r="607" spans="1:34" ht="15" hidden="1" customHeight="1">
      <c r="A607">
        <v>16110</v>
      </c>
      <c r="B607" t="s">
        <v>1475</v>
      </c>
      <c r="C607" s="3" t="str">
        <f t="shared" si="37"/>
        <v>glTransactionSubTypeCashReceipt.ID</v>
      </c>
      <c r="D607">
        <v>312</v>
      </c>
      <c r="E607" s="3" t="str">
        <f t="shared" si="38"/>
        <v>glTransactionSubTypeCashReceipt</v>
      </c>
      <c r="F607" t="s">
        <v>0</v>
      </c>
      <c r="G607" s="3" t="s">
        <v>6639</v>
      </c>
      <c r="H607" s="3" t="str">
        <f t="shared" si="39"/>
        <v>General Ledger.Cash Receipt Detail</v>
      </c>
      <c r="I607"/>
      <c r="K607" t="s">
        <v>0</v>
      </c>
      <c r="L607"/>
      <c r="M607" t="s">
        <v>6007</v>
      </c>
      <c r="N607"/>
      <c r="O607"/>
      <c r="P607"/>
      <c r="Q607" s="3" t="s">
        <v>919</v>
      </c>
      <c r="R607"/>
      <c r="S607"/>
      <c r="U607" s="3" t="s">
        <v>95</v>
      </c>
      <c r="AC607" t="s">
        <v>92</v>
      </c>
    </row>
    <row r="608" spans="1:34" ht="15" hidden="1" customHeight="1">
      <c r="A608">
        <v>16115</v>
      </c>
      <c r="B608" t="s">
        <v>1475</v>
      </c>
      <c r="C608" t="str">
        <f t="shared" si="37"/>
        <v>glTransactionSubTypeCashReceipt.glTransactionID</v>
      </c>
      <c r="D608">
        <v>312</v>
      </c>
      <c r="E608" s="3" t="s">
        <v>2780</v>
      </c>
      <c r="F608" t="str">
        <f>VLOOKUP(V608,DictionaryTableID,3,FALSE)&amp;"ID"&amp;X608</f>
        <v>glTransactionID</v>
      </c>
      <c r="G608" s="3" t="s">
        <v>7076</v>
      </c>
      <c r="H608" s="3" t="s">
        <v>7053</v>
      </c>
      <c r="I608"/>
      <c r="K608" t="s">
        <v>120</v>
      </c>
      <c r="L608"/>
      <c r="M608" t="s">
        <v>6007</v>
      </c>
      <c r="N608"/>
      <c r="O608"/>
      <c r="P608"/>
      <c r="Q608" s="3" t="s">
        <v>919</v>
      </c>
      <c r="R608"/>
      <c r="S608"/>
      <c r="U608" s="3" t="s">
        <v>96</v>
      </c>
      <c r="V608">
        <v>311</v>
      </c>
      <c r="W608" s="3" t="str">
        <f>VLOOKUP(V608,DictionaryTableID,3,FALSE)</f>
        <v>glTransaction</v>
      </c>
      <c r="Y608" t="s">
        <v>92</v>
      </c>
      <c r="AB608" t="s">
        <v>92</v>
      </c>
      <c r="AC608" t="s">
        <v>92</v>
      </c>
    </row>
    <row r="609" spans="1:34" ht="15" hidden="1" customHeight="1">
      <c r="A609">
        <v>16120</v>
      </c>
      <c r="B609" t="s">
        <v>1475</v>
      </c>
      <c r="C609" s="3" t="str">
        <f t="shared" si="37"/>
        <v>glTransactionSubTypeCashReceipt.crmContactIDEnteredBy</v>
      </c>
      <c r="D609">
        <v>312</v>
      </c>
      <c r="E609" s="3" t="str">
        <f t="shared" ref="E609:E625" si="42">VLOOKUP(D609,DictionaryTableID,3,FALSE)</f>
        <v>glTransactionSubTypeCashReceipt</v>
      </c>
      <c r="F609" t="str">
        <f>VLOOKUP(V609,DictionaryTableID,3,FALSE)&amp;"ID"&amp;X609</f>
        <v>crmContactIDEnteredBy</v>
      </c>
      <c r="G609" s="3" t="s">
        <v>6640</v>
      </c>
      <c r="H609" s="3" t="str">
        <f t="shared" ref="H609:H625" si="43">VLOOKUP(E609,DictionaryTables,14,FALSE)</f>
        <v>General Ledger.Cash Receipt Detail</v>
      </c>
      <c r="I609"/>
      <c r="K609" t="s">
        <v>1111</v>
      </c>
      <c r="L609"/>
      <c r="M609" t="s">
        <v>6007</v>
      </c>
      <c r="N609"/>
      <c r="O609"/>
      <c r="P609"/>
      <c r="Q609" t="s">
        <v>92</v>
      </c>
      <c r="R609"/>
      <c r="S609"/>
      <c r="U609" t="s">
        <v>96</v>
      </c>
      <c r="V609">
        <v>100</v>
      </c>
      <c r="W609" s="3" t="str">
        <f>VLOOKUP(V609,DictionaryTableID,3,FALSE)</f>
        <v>crmContact</v>
      </c>
      <c r="X609" s="3" t="s">
        <v>1222</v>
      </c>
      <c r="AB609" t="s">
        <v>92</v>
      </c>
    </row>
    <row r="610" spans="1:34" ht="15" hidden="1" customHeight="1">
      <c r="A610">
        <v>16130</v>
      </c>
      <c r="B610" t="s">
        <v>1475</v>
      </c>
      <c r="C610" s="3" t="str">
        <f t="shared" si="37"/>
        <v>glTransactionSubTypeCashReceipt.crmContactIDPaidFor</v>
      </c>
      <c r="D610">
        <v>312</v>
      </c>
      <c r="E610" s="3" t="str">
        <f t="shared" si="42"/>
        <v>glTransactionSubTypeCashReceipt</v>
      </c>
      <c r="F610" t="str">
        <f>VLOOKUP(V610,DictionaryTableID,3,FALSE)&amp;"ID"&amp;X610</f>
        <v>crmContactIDPaidFor</v>
      </c>
      <c r="G610" s="3" t="s">
        <v>6641</v>
      </c>
      <c r="H610" s="3" t="str">
        <f t="shared" si="43"/>
        <v>General Ledger.Cash Receipt Detail</v>
      </c>
      <c r="I610"/>
      <c r="K610" t="s">
        <v>1110</v>
      </c>
      <c r="L610"/>
      <c r="M610" t="s">
        <v>6007</v>
      </c>
      <c r="N610"/>
      <c r="O610"/>
      <c r="P610"/>
      <c r="Q610" t="s">
        <v>92</v>
      </c>
      <c r="R610"/>
      <c r="S610"/>
      <c r="U610" t="s">
        <v>96</v>
      </c>
      <c r="V610">
        <v>100</v>
      </c>
      <c r="W610" s="3" t="str">
        <f>VLOOKUP(V610,DictionaryTableID,3,FALSE)</f>
        <v>crmContact</v>
      </c>
      <c r="X610" s="3" t="s">
        <v>6119</v>
      </c>
      <c r="AB610" t="s">
        <v>92</v>
      </c>
    </row>
    <row r="611" spans="1:34" ht="15" hidden="1" customHeight="1">
      <c r="A611">
        <v>16140</v>
      </c>
      <c r="B611" t="s">
        <v>1475</v>
      </c>
      <c r="C611" s="3" t="str">
        <f t="shared" si="37"/>
        <v>glTransactionSubTypeCashReceipt.glDepositID</v>
      </c>
      <c r="D611">
        <v>312</v>
      </c>
      <c r="E611" s="8" t="str">
        <f t="shared" si="42"/>
        <v>glTransactionSubTypeCashReceipt</v>
      </c>
      <c r="F611" t="str">
        <f>VLOOKUP(V611,DictionaryTableID,3,FALSE)&amp;"ID"&amp;X611</f>
        <v>glDepositID</v>
      </c>
      <c r="G611" s="3" t="s">
        <v>6642</v>
      </c>
      <c r="H611" t="str">
        <f t="shared" si="43"/>
        <v>General Ledger.Cash Receipt Detail</v>
      </c>
      <c r="I611"/>
      <c r="J611"/>
      <c r="K611" t="s">
        <v>2120</v>
      </c>
      <c r="L611"/>
      <c r="M611" t="s">
        <v>6007</v>
      </c>
      <c r="N611"/>
      <c r="O611"/>
      <c r="P611"/>
      <c r="Q611" t="s">
        <v>92</v>
      </c>
      <c r="R611"/>
      <c r="S611"/>
      <c r="T611"/>
      <c r="U611" t="s">
        <v>96</v>
      </c>
      <c r="V611" s="7">
        <v>340</v>
      </c>
      <c r="W611" s="3" t="str">
        <f>VLOOKUP(V611,DictionaryTableID,3,FALSE)</f>
        <v>glDeposit</v>
      </c>
      <c r="X611" s="7"/>
      <c r="Z611" s="7"/>
      <c r="AA611" t="s">
        <v>92</v>
      </c>
      <c r="AB611" s="7" t="s">
        <v>92</v>
      </c>
      <c r="AC611" s="7"/>
      <c r="AD611" s="15"/>
      <c r="AE611" s="7"/>
    </row>
    <row r="612" spans="1:34" ht="15" hidden="1" customHeight="1">
      <c r="A612">
        <v>16160</v>
      </c>
      <c r="B612" t="s">
        <v>1475</v>
      </c>
      <c r="C612" s="3" t="str">
        <f t="shared" si="37"/>
        <v>glTransactionSubTypeCashReceipt.glPaymentMethodID</v>
      </c>
      <c r="D612">
        <v>312</v>
      </c>
      <c r="E612" s="3" t="str">
        <f t="shared" si="42"/>
        <v>glTransactionSubTypeCashReceipt</v>
      </c>
      <c r="F612" t="str">
        <f>VLOOKUP(V612,DictionaryTableID,3,FALSE)&amp;"ID"&amp;X612</f>
        <v>glPaymentMethodID</v>
      </c>
      <c r="G612" s="3" t="s">
        <v>6643</v>
      </c>
      <c r="H612" s="3" t="str">
        <f t="shared" si="43"/>
        <v>General Ledger.Cash Receipt Detail</v>
      </c>
      <c r="I612"/>
      <c r="K612" s="3" t="s">
        <v>2124</v>
      </c>
      <c r="M612" t="s">
        <v>6007</v>
      </c>
      <c r="Q612" s="3" t="s">
        <v>92</v>
      </c>
      <c r="U612" t="s">
        <v>96</v>
      </c>
      <c r="V612">
        <v>394</v>
      </c>
      <c r="W612" s="3" t="str">
        <f>VLOOKUP(V612,DictionaryTableID,3,FALSE)</f>
        <v>glPaymentMethod</v>
      </c>
      <c r="Z612" t="s">
        <v>2125</v>
      </c>
      <c r="AA612" t="s">
        <v>92</v>
      </c>
      <c r="AB612" s="7" t="s">
        <v>92</v>
      </c>
    </row>
    <row r="613" spans="1:34" ht="15" hidden="1" customHeight="1">
      <c r="A613">
        <v>16180</v>
      </c>
      <c r="B613" t="s">
        <v>1475</v>
      </c>
      <c r="C613" s="3" t="str">
        <f t="shared" si="37"/>
        <v>glTransactionSubTypeCashReceipt.Address</v>
      </c>
      <c r="D613">
        <v>312</v>
      </c>
      <c r="E613" s="3" t="str">
        <f t="shared" si="42"/>
        <v>glTransactionSubTypeCashReceipt</v>
      </c>
      <c r="F613" t="s">
        <v>1029</v>
      </c>
      <c r="G613" s="3" t="s">
        <v>1113</v>
      </c>
      <c r="H613" s="3" t="str">
        <f t="shared" si="43"/>
        <v>General Ledger.Cash Receipt Detail</v>
      </c>
      <c r="I613"/>
      <c r="K613" t="s">
        <v>113</v>
      </c>
      <c r="L613"/>
      <c r="M613" t="s">
        <v>196</v>
      </c>
      <c r="O613"/>
      <c r="P613"/>
      <c r="Q613" t="s">
        <v>92</v>
      </c>
      <c r="R613"/>
      <c r="S613" s="20"/>
      <c r="U613" t="s">
        <v>93</v>
      </c>
      <c r="AB613" t="s">
        <v>92</v>
      </c>
    </row>
    <row r="614" spans="1:34" ht="15" hidden="1" customHeight="1">
      <c r="A614">
        <v>16190</v>
      </c>
      <c r="B614" t="s">
        <v>1475</v>
      </c>
      <c r="C614" s="3" t="str">
        <f t="shared" si="37"/>
        <v>glTransactionSubTypeCashReceipt.Amount</v>
      </c>
      <c r="D614">
        <v>312</v>
      </c>
      <c r="E614" s="3" t="str">
        <f t="shared" si="42"/>
        <v>glTransactionSubTypeCashReceipt</v>
      </c>
      <c r="F614" t="s">
        <v>49</v>
      </c>
      <c r="G614" s="3" t="s">
        <v>6591</v>
      </c>
      <c r="H614" s="3" t="str">
        <f t="shared" si="43"/>
        <v>General Ledger.Cash Receipt Detail</v>
      </c>
      <c r="I614"/>
      <c r="K614" t="s">
        <v>49</v>
      </c>
      <c r="L614"/>
      <c r="M614" s="3" t="s">
        <v>197</v>
      </c>
      <c r="N614" s="3">
        <v>19</v>
      </c>
      <c r="O614" s="3">
        <v>2</v>
      </c>
      <c r="P614"/>
      <c r="Q614" t="s">
        <v>919</v>
      </c>
      <c r="R614"/>
      <c r="S614"/>
      <c r="U614" t="s">
        <v>93</v>
      </c>
      <c r="AB614" t="s">
        <v>92</v>
      </c>
    </row>
    <row r="615" spans="1:34" ht="15" hidden="1" customHeight="1">
      <c r="A615">
        <v>16200</v>
      </c>
      <c r="B615" t="s">
        <v>1475</v>
      </c>
      <c r="C615" s="3" t="str">
        <f t="shared" si="37"/>
        <v>glTransactionSubTypeCashReceipt.AuthorizationNumber</v>
      </c>
      <c r="D615">
        <v>312</v>
      </c>
      <c r="E615" s="8" t="str">
        <f t="shared" si="42"/>
        <v>glTransactionSubTypeCashReceipt</v>
      </c>
      <c r="F615" s="7" t="s">
        <v>6124</v>
      </c>
      <c r="G615" t="s">
        <v>2118</v>
      </c>
      <c r="H615" t="str">
        <f t="shared" si="43"/>
        <v>General Ledger.Cash Receipt Detail</v>
      </c>
      <c r="I615"/>
      <c r="J615"/>
      <c r="K615" t="s">
        <v>2119</v>
      </c>
      <c r="L615"/>
      <c r="M615" t="s">
        <v>1073</v>
      </c>
      <c r="N615"/>
      <c r="O615"/>
      <c r="P615"/>
      <c r="Q615" t="s">
        <v>92</v>
      </c>
      <c r="R615"/>
      <c r="S615"/>
      <c r="T615"/>
      <c r="U615" t="s">
        <v>93</v>
      </c>
      <c r="AA615" t="s">
        <v>92</v>
      </c>
      <c r="AB615" s="7" t="s">
        <v>92</v>
      </c>
      <c r="AC615" s="7"/>
      <c r="AD615" s="15"/>
      <c r="AE615" s="7"/>
    </row>
    <row r="616" spans="1:34" ht="15" hidden="1" customHeight="1">
      <c r="A616">
        <v>16210</v>
      </c>
      <c r="B616" t="s">
        <v>1475</v>
      </c>
      <c r="C616" s="3" t="str">
        <f t="shared" si="37"/>
        <v>glTransactionSubTypeCashReceipt.CareOf</v>
      </c>
      <c r="D616">
        <v>312</v>
      </c>
      <c r="E616" s="3" t="str">
        <f t="shared" si="42"/>
        <v>glTransactionSubTypeCashReceipt</v>
      </c>
      <c r="F616" t="s">
        <v>1114</v>
      </c>
      <c r="G616" s="3" t="s">
        <v>1115</v>
      </c>
      <c r="H616" s="3" t="str">
        <f t="shared" si="43"/>
        <v>General Ledger.Cash Receipt Detail</v>
      </c>
      <c r="I616"/>
      <c r="K616" t="s">
        <v>1084</v>
      </c>
      <c r="L616"/>
      <c r="M616" t="s">
        <v>196</v>
      </c>
      <c r="O616"/>
      <c r="P616"/>
      <c r="Q616" t="s">
        <v>92</v>
      </c>
      <c r="R616"/>
      <c r="S616" s="20"/>
      <c r="U616" t="s">
        <v>93</v>
      </c>
      <c r="AB616" t="s">
        <v>92</v>
      </c>
    </row>
    <row r="617" spans="1:34" ht="15" hidden="1" customHeight="1">
      <c r="A617">
        <v>16230</v>
      </c>
      <c r="B617" t="s">
        <v>1475</v>
      </c>
      <c r="C617" s="3" t="str">
        <f t="shared" si="37"/>
        <v>glTransactionSubTypeCashReceipt.InvoiceNumber</v>
      </c>
      <c r="D617">
        <v>312</v>
      </c>
      <c r="E617" s="3" t="str">
        <f t="shared" si="42"/>
        <v>glTransactionSubTypeCashReceipt</v>
      </c>
      <c r="F617" t="s">
        <v>1281</v>
      </c>
      <c r="G617" s="3" t="s">
        <v>6644</v>
      </c>
      <c r="H617" s="3" t="str">
        <f t="shared" si="43"/>
        <v>General Ledger.Cash Receipt Detail</v>
      </c>
      <c r="I617"/>
      <c r="K617" t="s">
        <v>6125</v>
      </c>
      <c r="L617"/>
      <c r="M617" t="s">
        <v>196</v>
      </c>
      <c r="O617"/>
      <c r="P617"/>
      <c r="Q617" t="s">
        <v>92</v>
      </c>
      <c r="R617"/>
      <c r="S617"/>
      <c r="U617" t="s">
        <v>93</v>
      </c>
      <c r="AB617" t="s">
        <v>92</v>
      </c>
    </row>
    <row r="618" spans="1:34" ht="15" hidden="1" customHeight="1">
      <c r="A618">
        <v>16240</v>
      </c>
      <c r="B618" t="s">
        <v>1475</v>
      </c>
      <c r="C618" s="3" t="str">
        <f t="shared" si="37"/>
        <v>glTransactionSubTypeCashReceipt.IsPrintReceipt</v>
      </c>
      <c r="D618">
        <v>312</v>
      </c>
      <c r="E618" s="3" t="str">
        <f t="shared" si="42"/>
        <v>glTransactionSubTypeCashReceipt</v>
      </c>
      <c r="F618" t="s">
        <v>1338</v>
      </c>
      <c r="G618" s="3" t="s">
        <v>6645</v>
      </c>
      <c r="H618" s="3" t="str">
        <f t="shared" si="43"/>
        <v>General Ledger.Cash Receipt Detail</v>
      </c>
      <c r="I618"/>
      <c r="K618" t="s">
        <v>1112</v>
      </c>
      <c r="L618"/>
      <c r="M618" s="3" t="s">
        <v>2402</v>
      </c>
      <c r="N618"/>
      <c r="O618"/>
      <c r="P618"/>
      <c r="Q618" t="s">
        <v>92</v>
      </c>
      <c r="R618"/>
      <c r="S618"/>
      <c r="U618" t="s">
        <v>93</v>
      </c>
      <c r="AB618" t="s">
        <v>92</v>
      </c>
    </row>
    <row r="619" spans="1:34" ht="15" hidden="1" customHeight="1">
      <c r="A619">
        <v>16250</v>
      </c>
      <c r="B619" t="s">
        <v>1475</v>
      </c>
      <c r="C619" s="3" t="str">
        <f t="shared" si="37"/>
        <v>glTransactionSubTypeCashReceipt.Name</v>
      </c>
      <c r="D619">
        <v>312</v>
      </c>
      <c r="E619" s="3" t="str">
        <f t="shared" si="42"/>
        <v>glTransactionSubTypeCashReceipt</v>
      </c>
      <c r="F619" t="s">
        <v>22</v>
      </c>
      <c r="G619" s="3" t="s">
        <v>6933</v>
      </c>
      <c r="H619" s="3" t="str">
        <f t="shared" si="43"/>
        <v>General Ledger.Cash Receipt Detail</v>
      </c>
      <c r="I619"/>
      <c r="K619" t="s">
        <v>22</v>
      </c>
      <c r="L619"/>
      <c r="M619" t="s">
        <v>196</v>
      </c>
      <c r="N619"/>
      <c r="O619"/>
      <c r="P619"/>
      <c r="Q619" t="s">
        <v>92</v>
      </c>
      <c r="R619"/>
      <c r="S619" s="20"/>
      <c r="U619" t="s">
        <v>93</v>
      </c>
      <c r="AB619" t="s">
        <v>92</v>
      </c>
      <c r="AH619" t="s">
        <v>92</v>
      </c>
    </row>
    <row r="620" spans="1:34" ht="15" hidden="1" customHeight="1">
      <c r="A620">
        <v>16260</v>
      </c>
      <c r="B620" t="s">
        <v>1475</v>
      </c>
      <c r="C620" s="3" t="str">
        <f t="shared" si="37"/>
        <v>glTransactionSubTypeCashReceipt.OrderId</v>
      </c>
      <c r="D620">
        <v>312</v>
      </c>
      <c r="E620" s="3" t="str">
        <f t="shared" si="42"/>
        <v>glTransactionSubTypeCashReceipt</v>
      </c>
      <c r="F620" s="3" t="s">
        <v>2121</v>
      </c>
      <c r="G620" s="3" t="s">
        <v>6646</v>
      </c>
      <c r="H620" s="3" t="str">
        <f t="shared" si="43"/>
        <v>General Ledger.Cash Receipt Detail</v>
      </c>
      <c r="I620"/>
      <c r="J620" s="3" t="s">
        <v>2122</v>
      </c>
      <c r="K620" s="3" t="s">
        <v>2123</v>
      </c>
      <c r="M620" s="3" t="s">
        <v>1073</v>
      </c>
      <c r="Q620" s="3" t="s">
        <v>92</v>
      </c>
      <c r="U620" t="s">
        <v>93</v>
      </c>
      <c r="AB620" t="s">
        <v>92</v>
      </c>
    </row>
    <row r="621" spans="1:34" ht="15" hidden="1" customHeight="1">
      <c r="A621">
        <v>16290</v>
      </c>
      <c r="B621" t="s">
        <v>1475</v>
      </c>
      <c r="C621" s="3" t="str">
        <f t="shared" si="37"/>
        <v>glTransactionSubTypeCashReceipt.ReferenceNumber</v>
      </c>
      <c r="D621">
        <v>312</v>
      </c>
      <c r="E621" s="3" t="str">
        <f t="shared" si="42"/>
        <v>glTransactionSubTypeCashReceipt</v>
      </c>
      <c r="F621" t="s">
        <v>28</v>
      </c>
      <c r="G621" s="3" t="s">
        <v>6446</v>
      </c>
      <c r="H621" s="3" t="str">
        <f t="shared" si="43"/>
        <v>General Ledger.Cash Receipt Detail</v>
      </c>
      <c r="I621"/>
      <c r="K621" t="s">
        <v>102</v>
      </c>
      <c r="L621"/>
      <c r="M621" t="s">
        <v>196</v>
      </c>
      <c r="O621"/>
      <c r="P621"/>
      <c r="Q621" t="s">
        <v>92</v>
      </c>
      <c r="R621"/>
      <c r="S621"/>
      <c r="U621" t="s">
        <v>93</v>
      </c>
      <c r="AB621" t="s">
        <v>92</v>
      </c>
    </row>
    <row r="622" spans="1:34" ht="15" hidden="1" customHeight="1">
      <c r="A622">
        <v>16300</v>
      </c>
      <c r="B622" t="s">
        <v>1475</v>
      </c>
      <c r="C622" s="3" t="str">
        <f t="shared" si="37"/>
        <v>glTransactionSubTypeCashReceipt.TransactionTag</v>
      </c>
      <c r="D622">
        <v>312</v>
      </c>
      <c r="E622" s="3" t="str">
        <f t="shared" si="42"/>
        <v>glTransactionSubTypeCashReceipt</v>
      </c>
      <c r="F622" s="3" t="s">
        <v>2126</v>
      </c>
      <c r="G622" s="3" t="s">
        <v>6647</v>
      </c>
      <c r="H622" s="3" t="str">
        <f t="shared" si="43"/>
        <v>General Ledger.Cash Receipt Detail</v>
      </c>
      <c r="I622"/>
      <c r="J622" s="3" t="s">
        <v>2126</v>
      </c>
      <c r="K622" s="3" t="s">
        <v>2127</v>
      </c>
      <c r="M622" s="3" t="s">
        <v>1073</v>
      </c>
      <c r="N622"/>
      <c r="Q622" s="3" t="s">
        <v>92</v>
      </c>
      <c r="U622" t="s">
        <v>93</v>
      </c>
      <c r="AB622" t="s">
        <v>92</v>
      </c>
    </row>
    <row r="623" spans="1:34" ht="15" hidden="1" customHeight="1">
      <c r="A623">
        <v>16310</v>
      </c>
      <c r="B623" t="s">
        <v>1475</v>
      </c>
      <c r="C623" s="3" t="str">
        <f t="shared" si="37"/>
        <v>glTransactionSubTypeCashReceipt.WriteOffAmount</v>
      </c>
      <c r="D623">
        <v>312</v>
      </c>
      <c r="E623" s="3" t="str">
        <f t="shared" si="42"/>
        <v>glTransactionSubTypeCashReceipt</v>
      </c>
      <c r="F623" s="3" t="s">
        <v>2128</v>
      </c>
      <c r="G623" s="3" t="s">
        <v>6648</v>
      </c>
      <c r="H623" s="3" t="str">
        <f t="shared" si="43"/>
        <v>General Ledger.Cash Receipt Detail</v>
      </c>
      <c r="I623"/>
      <c r="K623" s="3" t="s">
        <v>2129</v>
      </c>
      <c r="M623" s="3" t="s">
        <v>2110</v>
      </c>
      <c r="Q623" s="3" t="s">
        <v>92</v>
      </c>
      <c r="U623" t="s">
        <v>93</v>
      </c>
      <c r="AA623" t="s">
        <v>92</v>
      </c>
      <c r="AB623" s="7" t="s">
        <v>92</v>
      </c>
    </row>
    <row r="624" spans="1:34" ht="15" hidden="1" customHeight="1">
      <c r="A624">
        <v>16320</v>
      </c>
      <c r="B624" t="s">
        <v>1475</v>
      </c>
      <c r="C624" s="3" t="str">
        <f t="shared" si="37"/>
        <v>glTransactionSubTypeCashReceipt.sysChangeHistoryID</v>
      </c>
      <c r="D624">
        <v>312</v>
      </c>
      <c r="E624" s="3" t="str">
        <f t="shared" si="42"/>
        <v>glTransactionSubTypeCashReceipt</v>
      </c>
      <c r="F624" t="s">
        <v>2497</v>
      </c>
      <c r="G624" s="3" t="s">
        <v>6403</v>
      </c>
      <c r="H624" s="3" t="str">
        <f t="shared" si="43"/>
        <v>General Ledger.Cash Receipt Detail</v>
      </c>
      <c r="I624"/>
      <c r="K624" t="s">
        <v>1210</v>
      </c>
      <c r="L624"/>
      <c r="M624" t="s">
        <v>6007</v>
      </c>
      <c r="N624"/>
      <c r="O624"/>
      <c r="P624"/>
      <c r="Q624" t="s">
        <v>92</v>
      </c>
      <c r="R624"/>
      <c r="S624"/>
      <c r="U624" t="s">
        <v>1429</v>
      </c>
      <c r="W624" s="3"/>
      <c r="X624" s="3"/>
    </row>
    <row r="625" spans="1:34" ht="15" hidden="1" customHeight="1">
      <c r="A625">
        <v>16330</v>
      </c>
      <c r="B625" s="3" t="s">
        <v>1475</v>
      </c>
      <c r="C625" s="3" t="str">
        <f t="shared" si="37"/>
        <v>glTransactionSubTypeCheque.ID</v>
      </c>
      <c r="D625" s="3">
        <v>313</v>
      </c>
      <c r="E625" s="3" t="str">
        <f t="shared" si="42"/>
        <v>glTransactionSubTypeCheque</v>
      </c>
      <c r="F625" t="s">
        <v>0</v>
      </c>
      <c r="G625" s="3" t="s">
        <v>6649</v>
      </c>
      <c r="H625" s="3" t="str">
        <f t="shared" si="43"/>
        <v>General Ledger.Cheque Detail</v>
      </c>
      <c r="I625"/>
      <c r="K625" s="3" t="s">
        <v>0</v>
      </c>
      <c r="M625" t="s">
        <v>6007</v>
      </c>
      <c r="Q625" s="3" t="s">
        <v>919</v>
      </c>
      <c r="U625" s="3" t="s">
        <v>95</v>
      </c>
      <c r="W625" s="3"/>
      <c r="AF625" t="s">
        <v>839</v>
      </c>
    </row>
    <row r="626" spans="1:34" ht="15" hidden="1" customHeight="1">
      <c r="A626">
        <v>16335</v>
      </c>
      <c r="B626" s="3" t="s">
        <v>1475</v>
      </c>
      <c r="C626" t="str">
        <f t="shared" si="37"/>
        <v>glTransactionSubTypeCheque.glTransactionID</v>
      </c>
      <c r="D626" s="3">
        <v>313</v>
      </c>
      <c r="E626" s="3" t="s">
        <v>2781</v>
      </c>
      <c r="F626" t="str">
        <f>VLOOKUP(V626,DictionaryTableID,3,FALSE)&amp;"ID"&amp;X626</f>
        <v>glTransactionID</v>
      </c>
      <c r="G626" s="3" t="s">
        <v>7077</v>
      </c>
      <c r="H626" s="3" t="s">
        <v>7054</v>
      </c>
      <c r="I626"/>
      <c r="K626" t="s">
        <v>120</v>
      </c>
      <c r="M626" t="s">
        <v>6007</v>
      </c>
      <c r="Q626" s="3" t="s">
        <v>919</v>
      </c>
      <c r="U626" s="3" t="s">
        <v>96</v>
      </c>
      <c r="V626">
        <v>311</v>
      </c>
      <c r="W626" s="3" t="str">
        <f>VLOOKUP(V626,DictionaryTableID,3,FALSE)</f>
        <v>glTransaction</v>
      </c>
      <c r="Y626" t="s">
        <v>92</v>
      </c>
      <c r="AB626" t="s">
        <v>92</v>
      </c>
      <c r="AC626" t="s">
        <v>92</v>
      </c>
      <c r="AF626" t="s">
        <v>839</v>
      </c>
    </row>
    <row r="627" spans="1:34" ht="15" hidden="1" customHeight="1">
      <c r="A627">
        <v>16340</v>
      </c>
      <c r="B627" s="3" t="s">
        <v>1475</v>
      </c>
      <c r="C627" s="3" t="str">
        <f t="shared" si="37"/>
        <v>glTransactionSubTypeCheque.glBillingAccountID</v>
      </c>
      <c r="D627" s="3">
        <v>313</v>
      </c>
      <c r="E627" s="3" t="str">
        <f t="shared" ref="E627:E637" si="44">VLOOKUP(D627,DictionaryTableID,3,FALSE)</f>
        <v>glTransactionSubTypeCheque</v>
      </c>
      <c r="F627" t="str">
        <f>VLOOKUP(V627,DictionaryTableID,3,FALSE)&amp;"ID"&amp;X627</f>
        <v>glBillingAccountID</v>
      </c>
      <c r="G627" s="3" t="s">
        <v>6650</v>
      </c>
      <c r="H627" s="3" t="str">
        <f t="shared" ref="H627:H637" si="45">VLOOKUP(E627,DictionaryTables,14,FALSE)</f>
        <v>General Ledger.Cheque Detail</v>
      </c>
      <c r="I627"/>
      <c r="K627" s="3" t="s">
        <v>101</v>
      </c>
      <c r="M627" t="s">
        <v>6007</v>
      </c>
      <c r="Q627" s="3" t="s">
        <v>92</v>
      </c>
      <c r="U627" s="3" t="s">
        <v>96</v>
      </c>
      <c r="V627">
        <v>321</v>
      </c>
      <c r="W627" s="3" t="str">
        <f>VLOOKUP(V627,DictionaryTableID,3,FALSE)</f>
        <v>glBillingAccount</v>
      </c>
      <c r="X627" s="3"/>
      <c r="AB627" t="s">
        <v>92</v>
      </c>
      <c r="AF627" t="s">
        <v>848</v>
      </c>
    </row>
    <row r="628" spans="1:34" ht="15" hidden="1" customHeight="1">
      <c r="A628">
        <v>16350</v>
      </c>
      <c r="B628" s="3" t="s">
        <v>1475</v>
      </c>
      <c r="C628" s="3" t="str">
        <f t="shared" si="37"/>
        <v>glTransactionSubTypeCheque.Address1</v>
      </c>
      <c r="D628" s="3">
        <v>313</v>
      </c>
      <c r="E628" s="3" t="str">
        <f t="shared" si="44"/>
        <v>glTransactionSubTypeCheque</v>
      </c>
      <c r="F628" t="s">
        <v>1</v>
      </c>
      <c r="G628" s="3" t="s">
        <v>6651</v>
      </c>
      <c r="H628" s="3" t="str">
        <f t="shared" si="45"/>
        <v>General Ledger.Cheque Detail</v>
      </c>
      <c r="I628"/>
      <c r="K628" s="3" t="s">
        <v>1</v>
      </c>
      <c r="M628" s="3" t="s">
        <v>196</v>
      </c>
      <c r="Q628" s="3" t="s">
        <v>92</v>
      </c>
      <c r="U628" s="3" t="s">
        <v>93</v>
      </c>
      <c r="AB628" t="s">
        <v>92</v>
      </c>
      <c r="AF628" t="s">
        <v>2422</v>
      </c>
    </row>
    <row r="629" spans="1:34" ht="15" hidden="1" customHeight="1">
      <c r="A629">
        <v>16360</v>
      </c>
      <c r="B629" s="3" t="s">
        <v>1475</v>
      </c>
      <c r="C629" s="3" t="str">
        <f t="shared" si="37"/>
        <v>glTransactionSubTypeCheque.Address2</v>
      </c>
      <c r="D629" s="3">
        <v>313</v>
      </c>
      <c r="E629" s="3" t="str">
        <f t="shared" si="44"/>
        <v>glTransactionSubTypeCheque</v>
      </c>
      <c r="F629" t="s">
        <v>2</v>
      </c>
      <c r="G629" s="3" t="s">
        <v>6652</v>
      </c>
      <c r="H629" s="3" t="str">
        <f t="shared" si="45"/>
        <v>General Ledger.Cheque Detail</v>
      </c>
      <c r="I629"/>
      <c r="K629" s="3" t="s">
        <v>2</v>
      </c>
      <c r="M629" s="3" t="s">
        <v>196</v>
      </c>
      <c r="Q629" s="3" t="s">
        <v>92</v>
      </c>
      <c r="U629" s="3" t="s">
        <v>93</v>
      </c>
      <c r="AB629" t="s">
        <v>92</v>
      </c>
      <c r="AF629" t="s">
        <v>2423</v>
      </c>
    </row>
    <row r="630" spans="1:34" ht="15" hidden="1" customHeight="1">
      <c r="A630">
        <v>16370</v>
      </c>
      <c r="B630" s="3" t="s">
        <v>1475</v>
      </c>
      <c r="C630" s="3" t="str">
        <f t="shared" si="37"/>
        <v>glTransactionSubTypeCheque.CityText</v>
      </c>
      <c r="D630" s="3">
        <v>313</v>
      </c>
      <c r="E630" s="3" t="str">
        <f t="shared" si="44"/>
        <v>glTransactionSubTypeCheque</v>
      </c>
      <c r="F630" t="s">
        <v>2494</v>
      </c>
      <c r="G630" s="3" t="s">
        <v>6493</v>
      </c>
      <c r="H630" s="3" t="str">
        <f t="shared" si="45"/>
        <v>General Ledger.Cheque Detail</v>
      </c>
      <c r="I630"/>
      <c r="K630" s="3" t="s">
        <v>24</v>
      </c>
      <c r="M630" s="3" t="s">
        <v>196</v>
      </c>
      <c r="Q630" s="3" t="s">
        <v>92</v>
      </c>
      <c r="U630" s="3" t="s">
        <v>93</v>
      </c>
      <c r="AB630" t="s">
        <v>92</v>
      </c>
      <c r="AF630" t="s">
        <v>844</v>
      </c>
    </row>
    <row r="631" spans="1:34" ht="15" hidden="1" customHeight="1">
      <c r="A631">
        <v>16380</v>
      </c>
      <c r="B631" s="3" t="s">
        <v>1475</v>
      </c>
      <c r="C631" s="3" t="str">
        <f t="shared" si="37"/>
        <v>glTransactionSubTypeCheque.IsManual</v>
      </c>
      <c r="D631" s="3">
        <v>313</v>
      </c>
      <c r="E631" s="3" t="str">
        <f t="shared" si="44"/>
        <v>glTransactionSubTypeCheque</v>
      </c>
      <c r="F631" t="s">
        <v>1328</v>
      </c>
      <c r="G631" s="3" t="s">
        <v>1321</v>
      </c>
      <c r="H631" s="3" t="str">
        <f t="shared" si="45"/>
        <v>General Ledger.Cheque Detail</v>
      </c>
      <c r="I631"/>
      <c r="K631" s="3" t="s">
        <v>1328</v>
      </c>
      <c r="M631" s="3" t="s">
        <v>2402</v>
      </c>
      <c r="Q631" s="3" t="s">
        <v>92</v>
      </c>
      <c r="U631" s="3" t="s">
        <v>93</v>
      </c>
      <c r="AB631" t="s">
        <v>92</v>
      </c>
      <c r="AF631" t="s">
        <v>840</v>
      </c>
    </row>
    <row r="632" spans="1:34" ht="15" hidden="1" customHeight="1">
      <c r="A632">
        <v>16390</v>
      </c>
      <c r="B632" s="3" t="s">
        <v>1475</v>
      </c>
      <c r="C632" s="3" t="str">
        <f t="shared" si="37"/>
        <v>glTransactionSubTypeCheque.Name</v>
      </c>
      <c r="D632" s="3">
        <v>313</v>
      </c>
      <c r="E632" s="3" t="str">
        <f t="shared" si="44"/>
        <v>glTransactionSubTypeCheque</v>
      </c>
      <c r="F632" t="s">
        <v>22</v>
      </c>
      <c r="G632" s="3" t="s">
        <v>6934</v>
      </c>
      <c r="H632" s="3" t="str">
        <f t="shared" si="45"/>
        <v>General Ledger.Cheque Detail</v>
      </c>
      <c r="I632"/>
      <c r="K632" s="3" t="s">
        <v>22</v>
      </c>
      <c r="M632" s="3" t="s">
        <v>196</v>
      </c>
      <c r="Q632" s="3" t="s">
        <v>92</v>
      </c>
      <c r="U632" s="3" t="s">
        <v>93</v>
      </c>
      <c r="AB632" t="s">
        <v>92</v>
      </c>
      <c r="AF632" t="s">
        <v>841</v>
      </c>
      <c r="AH632" t="s">
        <v>92</v>
      </c>
    </row>
    <row r="633" spans="1:34" ht="15" hidden="1" customHeight="1">
      <c r="A633">
        <v>16400</v>
      </c>
      <c r="B633" s="3" t="s">
        <v>1475</v>
      </c>
      <c r="C633" s="3" t="str">
        <f t="shared" si="37"/>
        <v>glTransactionSubTypeCheque.PostalZip</v>
      </c>
      <c r="D633" s="3">
        <v>313</v>
      </c>
      <c r="E633" s="3" t="str">
        <f t="shared" si="44"/>
        <v>glTransactionSubTypeCheque</v>
      </c>
      <c r="F633" t="s">
        <v>1311</v>
      </c>
      <c r="G633" s="3" t="s">
        <v>6653</v>
      </c>
      <c r="H633" s="3" t="str">
        <f t="shared" si="45"/>
        <v>General Ledger.Cheque Detail</v>
      </c>
      <c r="I633"/>
      <c r="K633" s="3" t="s">
        <v>1317</v>
      </c>
      <c r="M633" s="3" t="s">
        <v>196</v>
      </c>
      <c r="Q633" s="3" t="s">
        <v>92</v>
      </c>
      <c r="U633" s="3" t="s">
        <v>93</v>
      </c>
      <c r="AB633" t="s">
        <v>92</v>
      </c>
      <c r="AF633" t="s">
        <v>846</v>
      </c>
    </row>
    <row r="634" spans="1:34" ht="15" hidden="1" customHeight="1">
      <c r="A634">
        <v>16410</v>
      </c>
      <c r="B634" s="3" t="s">
        <v>1475</v>
      </c>
      <c r="C634" s="3" t="str">
        <f t="shared" si="37"/>
        <v>glTransactionSubTypeCheque.PrintCnt</v>
      </c>
      <c r="D634" s="3">
        <v>313</v>
      </c>
      <c r="E634" s="3" t="str">
        <f t="shared" si="44"/>
        <v>glTransactionSubTypeCheque</v>
      </c>
      <c r="F634" t="s">
        <v>248</v>
      </c>
      <c r="G634" s="3" t="s">
        <v>6654</v>
      </c>
      <c r="H634" s="3" t="str">
        <f t="shared" si="45"/>
        <v>General Ledger.Cheque Detail</v>
      </c>
      <c r="I634"/>
      <c r="K634" s="3" t="s">
        <v>429</v>
      </c>
      <c r="M634" s="3" t="s">
        <v>195</v>
      </c>
      <c r="Q634" s="3" t="s">
        <v>92</v>
      </c>
      <c r="U634" s="3" t="s">
        <v>93</v>
      </c>
      <c r="AB634" t="s">
        <v>92</v>
      </c>
      <c r="AF634" t="s">
        <v>847</v>
      </c>
    </row>
    <row r="635" spans="1:34" ht="15" hidden="1" customHeight="1">
      <c r="A635">
        <v>16420</v>
      </c>
      <c r="B635" s="3" t="s">
        <v>1475</v>
      </c>
      <c r="C635" s="3" t="str">
        <f t="shared" si="37"/>
        <v>glTransactionSubTypeCheque.Province</v>
      </c>
      <c r="D635" s="3">
        <v>313</v>
      </c>
      <c r="E635" s="3" t="str">
        <f t="shared" si="44"/>
        <v>glTransactionSubTypeCheque</v>
      </c>
      <c r="F635" t="s">
        <v>3</v>
      </c>
      <c r="G635" s="3" t="s">
        <v>6484</v>
      </c>
      <c r="H635" s="3" t="str">
        <f t="shared" si="45"/>
        <v>General Ledger.Cheque Detail</v>
      </c>
      <c r="I635"/>
      <c r="K635" s="3" t="s">
        <v>3</v>
      </c>
      <c r="M635" s="3" t="s">
        <v>196</v>
      </c>
      <c r="Q635" s="3" t="s">
        <v>92</v>
      </c>
      <c r="U635" s="3" t="s">
        <v>93</v>
      </c>
      <c r="AB635" t="s">
        <v>92</v>
      </c>
      <c r="AF635" t="s">
        <v>845</v>
      </c>
    </row>
    <row r="636" spans="1:34" ht="15" hidden="1" customHeight="1">
      <c r="A636">
        <v>16430</v>
      </c>
      <c r="B636" t="s">
        <v>1475</v>
      </c>
      <c r="C636" s="3" t="str">
        <f t="shared" si="37"/>
        <v>glTransactionSubTypeCheque.sysChangeHistoryID</v>
      </c>
      <c r="D636">
        <v>313</v>
      </c>
      <c r="E636" s="3" t="str">
        <f t="shared" si="44"/>
        <v>glTransactionSubTypeCheque</v>
      </c>
      <c r="F636" t="s">
        <v>2497</v>
      </c>
      <c r="G636" s="3" t="s">
        <v>6403</v>
      </c>
      <c r="H636" s="3" t="str">
        <f t="shared" si="45"/>
        <v>General Ledger.Cheque Detail</v>
      </c>
      <c r="I636"/>
      <c r="K636" t="s">
        <v>1210</v>
      </c>
      <c r="L636"/>
      <c r="M636" t="s">
        <v>6007</v>
      </c>
      <c r="N636"/>
      <c r="O636"/>
      <c r="P636"/>
      <c r="Q636" t="s">
        <v>92</v>
      </c>
      <c r="R636"/>
      <c r="S636"/>
      <c r="U636" t="s">
        <v>1429</v>
      </c>
      <c r="W636" s="3"/>
      <c r="X636" s="3"/>
    </row>
    <row r="637" spans="1:34" ht="15" hidden="1" customHeight="1">
      <c r="A637">
        <v>16440</v>
      </c>
      <c r="B637" s="3" t="s">
        <v>1475</v>
      </c>
      <c r="C637" s="3" t="str">
        <f t="shared" si="37"/>
        <v>glTransactionSubTypeInvoice.ID</v>
      </c>
      <c r="D637" s="3">
        <v>314</v>
      </c>
      <c r="E637" s="3" t="str">
        <f t="shared" si="44"/>
        <v>glTransactionSubTypeInvoice</v>
      </c>
      <c r="F637" t="s">
        <v>0</v>
      </c>
      <c r="G637" s="3" t="s">
        <v>6655</v>
      </c>
      <c r="H637" s="3" t="str">
        <f t="shared" si="45"/>
        <v>General Ledger.Invoice Detail</v>
      </c>
      <c r="I637"/>
      <c r="K637" s="3" t="s">
        <v>0</v>
      </c>
      <c r="M637" t="s">
        <v>6007</v>
      </c>
      <c r="Q637" s="3" t="s">
        <v>919</v>
      </c>
      <c r="U637" s="3" t="s">
        <v>95</v>
      </c>
      <c r="AF637" t="s">
        <v>763</v>
      </c>
    </row>
    <row r="638" spans="1:34" ht="15" hidden="1" customHeight="1">
      <c r="A638">
        <v>16445</v>
      </c>
      <c r="B638" s="3" t="s">
        <v>1475</v>
      </c>
      <c r="C638" t="str">
        <f t="shared" si="37"/>
        <v>glTransactionSubTypeInvoice.glTransactionID</v>
      </c>
      <c r="D638" s="3">
        <v>314</v>
      </c>
      <c r="E638" s="3" t="s">
        <v>2782</v>
      </c>
      <c r="F638" t="str">
        <f>VLOOKUP(V638,DictionaryTableID,3,FALSE)&amp;"ID"&amp;X638</f>
        <v>glTransactionID</v>
      </c>
      <c r="G638" s="3" t="s">
        <v>7078</v>
      </c>
      <c r="H638" s="3" t="s">
        <v>7055</v>
      </c>
      <c r="I638"/>
      <c r="K638" t="s">
        <v>120</v>
      </c>
      <c r="M638" t="s">
        <v>6007</v>
      </c>
      <c r="Q638" s="3" t="s">
        <v>919</v>
      </c>
      <c r="U638" s="3" t="s">
        <v>96</v>
      </c>
      <c r="V638">
        <v>311</v>
      </c>
      <c r="W638" s="3" t="str">
        <f>VLOOKUP(V638,DictionaryTableID,3,FALSE)</f>
        <v>glTransaction</v>
      </c>
      <c r="Y638" t="s">
        <v>92</v>
      </c>
      <c r="AB638" t="s">
        <v>92</v>
      </c>
      <c r="AC638" t="s">
        <v>92</v>
      </c>
      <c r="AF638" t="s">
        <v>763</v>
      </c>
    </row>
    <row r="639" spans="1:34" ht="15" hidden="1" customHeight="1">
      <c r="A639">
        <v>16450</v>
      </c>
      <c r="B639" s="3" t="s">
        <v>1475</v>
      </c>
      <c r="C639" s="3" t="str">
        <f t="shared" si="37"/>
        <v>glTransactionSubTypeInvoice.actProjectID</v>
      </c>
      <c r="D639" s="3">
        <v>314</v>
      </c>
      <c r="E639" s="3" t="str">
        <f t="shared" ref="E639:E702" si="46">VLOOKUP(D639,DictionaryTableID,3,FALSE)</f>
        <v>glTransactionSubTypeInvoice</v>
      </c>
      <c r="F639" t="str">
        <f>VLOOKUP(V639,DictionaryTableID,3,FALSE)&amp;"ID"&amp;X639</f>
        <v>actProjectID</v>
      </c>
      <c r="G639" s="3" t="s">
        <v>6426</v>
      </c>
      <c r="H639" s="3" t="str">
        <f t="shared" ref="H639:H702" si="47">VLOOKUP(E639,DictionaryTables,14,FALSE)</f>
        <v>General Ledger.Invoice Detail</v>
      </c>
      <c r="I639"/>
      <c r="K639" s="3" t="s">
        <v>433</v>
      </c>
      <c r="M639" t="s">
        <v>6007</v>
      </c>
      <c r="Q639" s="3" t="s">
        <v>92</v>
      </c>
      <c r="U639" s="3" t="s">
        <v>96</v>
      </c>
      <c r="V639">
        <v>401</v>
      </c>
      <c r="W639" s="3" t="str">
        <f>VLOOKUP(V639,DictionaryTableID,3,FALSE)</f>
        <v>actProject</v>
      </c>
      <c r="X639" s="3" t="s">
        <v>1036</v>
      </c>
      <c r="AB639" t="s">
        <v>92</v>
      </c>
      <c r="AF639" t="s">
        <v>764</v>
      </c>
    </row>
    <row r="640" spans="1:34" ht="15" hidden="1" customHeight="1">
      <c r="A640">
        <v>16460</v>
      </c>
      <c r="B640" s="3" t="s">
        <v>1475</v>
      </c>
      <c r="C640" s="3" t="str">
        <f t="shared" si="37"/>
        <v>glTransactionSubTypeInvoice.glBillingAccountID</v>
      </c>
      <c r="D640" s="3">
        <v>314</v>
      </c>
      <c r="E640" s="3" t="str">
        <f t="shared" si="46"/>
        <v>glTransactionSubTypeInvoice</v>
      </c>
      <c r="F640" t="str">
        <f>VLOOKUP(V640,DictionaryTableID,3,FALSE)&amp;"ID"&amp;X640</f>
        <v>glBillingAccountID</v>
      </c>
      <c r="G640" s="3" t="s">
        <v>6650</v>
      </c>
      <c r="H640" s="3" t="str">
        <f t="shared" si="47"/>
        <v>General Ledger.Invoice Detail</v>
      </c>
      <c r="I640"/>
      <c r="K640" s="3" t="s">
        <v>101</v>
      </c>
      <c r="M640" t="s">
        <v>6007</v>
      </c>
      <c r="Q640" s="3" t="s">
        <v>919</v>
      </c>
      <c r="U640" s="3" t="s">
        <v>96</v>
      </c>
      <c r="V640">
        <v>321</v>
      </c>
      <c r="W640" s="3" t="str">
        <f>VLOOKUP(V640,DictionaryTableID,3,FALSE)</f>
        <v>glBillingAccount</v>
      </c>
      <c r="X640" s="3"/>
      <c r="AB640" t="s">
        <v>92</v>
      </c>
      <c r="AF640" t="s">
        <v>765</v>
      </c>
    </row>
    <row r="641" spans="1:34" ht="15" hidden="1" customHeight="1">
      <c r="A641">
        <v>16470</v>
      </c>
      <c r="B641" s="3" t="s">
        <v>1475</v>
      </c>
      <c r="C641" s="3" t="str">
        <f t="shared" si="37"/>
        <v>glTransactionSubTypeInvoice.GstOver</v>
      </c>
      <c r="D641" s="3">
        <v>314</v>
      </c>
      <c r="E641" s="3" t="str">
        <f t="shared" si="46"/>
        <v>glTransactionSubTypeInvoice</v>
      </c>
      <c r="F641" t="s">
        <v>238</v>
      </c>
      <c r="G641" s="3" t="s">
        <v>6656</v>
      </c>
      <c r="H641" s="3" t="str">
        <f t="shared" si="47"/>
        <v>General Ledger.Invoice Detail</v>
      </c>
      <c r="I641"/>
      <c r="K641" s="3" t="s">
        <v>430</v>
      </c>
      <c r="M641" s="3" t="s">
        <v>196</v>
      </c>
      <c r="Q641" s="3" t="s">
        <v>92</v>
      </c>
      <c r="U641" s="3" t="s">
        <v>93</v>
      </c>
      <c r="AB641" t="s">
        <v>92</v>
      </c>
      <c r="AF641" t="s">
        <v>767</v>
      </c>
    </row>
    <row r="642" spans="1:34" ht="15" hidden="1" customHeight="1">
      <c r="A642">
        <v>16480</v>
      </c>
      <c r="B642" s="3" t="s">
        <v>1475</v>
      </c>
      <c r="C642" s="3" t="str">
        <f t="shared" ref="C642:C705" si="48">CONCATENATE(E642,".",F642)</f>
        <v>glTransactionSubTypeInvoice.IsManual</v>
      </c>
      <c r="D642" s="3">
        <v>314</v>
      </c>
      <c r="E642" s="3" t="str">
        <f t="shared" si="46"/>
        <v>glTransactionSubTypeInvoice</v>
      </c>
      <c r="F642" t="s">
        <v>1328</v>
      </c>
      <c r="G642" s="3" t="s">
        <v>1320</v>
      </c>
      <c r="H642" s="3" t="str">
        <f t="shared" si="47"/>
        <v>General Ledger.Invoice Detail</v>
      </c>
      <c r="I642"/>
      <c r="K642" s="3" t="s">
        <v>1328</v>
      </c>
      <c r="M642" s="3" t="s">
        <v>2402</v>
      </c>
      <c r="Q642" s="3" t="s">
        <v>92</v>
      </c>
      <c r="U642" s="3" t="s">
        <v>93</v>
      </c>
      <c r="AB642" t="s">
        <v>92</v>
      </c>
      <c r="AF642" t="s">
        <v>766</v>
      </c>
    </row>
    <row r="643" spans="1:34" ht="15" hidden="1" customHeight="1">
      <c r="A643">
        <v>16490</v>
      </c>
      <c r="B643" s="3" t="s">
        <v>1475</v>
      </c>
      <c r="C643" s="3" t="str">
        <f t="shared" si="48"/>
        <v>glTransactionSubTypeInvoice.RowStatus</v>
      </c>
      <c r="D643" s="3">
        <v>314</v>
      </c>
      <c r="E643" s="3" t="str">
        <f t="shared" si="46"/>
        <v>glTransactionSubTypeInvoice</v>
      </c>
      <c r="F643" t="s">
        <v>1445</v>
      </c>
      <c r="G643" s="3" t="s">
        <v>6411</v>
      </c>
      <c r="H643" s="3" t="str">
        <f t="shared" si="47"/>
        <v>General Ledger.Invoice Detail</v>
      </c>
      <c r="I643"/>
      <c r="K643" s="3" t="s">
        <v>2471</v>
      </c>
      <c r="M643" t="s">
        <v>976</v>
      </c>
      <c r="N643">
        <v>1</v>
      </c>
      <c r="Q643" s="3" t="s">
        <v>919</v>
      </c>
      <c r="U643" s="3" t="s">
        <v>94</v>
      </c>
    </row>
    <row r="644" spans="1:34" ht="15" hidden="1" customHeight="1">
      <c r="A644">
        <v>16500</v>
      </c>
      <c r="B644" t="s">
        <v>1475</v>
      </c>
      <c r="C644" s="3" t="str">
        <f t="shared" si="48"/>
        <v>glTransactionSubTypeInvoice.sysChangeHistoryID</v>
      </c>
      <c r="D644">
        <v>314</v>
      </c>
      <c r="E644" s="3" t="str">
        <f t="shared" si="46"/>
        <v>glTransactionSubTypeInvoice</v>
      </c>
      <c r="F644" t="s">
        <v>2497</v>
      </c>
      <c r="G644" s="3" t="s">
        <v>6403</v>
      </c>
      <c r="H644" s="3" t="str">
        <f t="shared" si="47"/>
        <v>General Ledger.Invoice Detail</v>
      </c>
      <c r="I644"/>
      <c r="K644" t="s">
        <v>1210</v>
      </c>
      <c r="L644"/>
      <c r="M644" t="s">
        <v>6007</v>
      </c>
      <c r="N644"/>
      <c r="O644"/>
      <c r="P644"/>
      <c r="Q644" t="s">
        <v>92</v>
      </c>
      <c r="R644"/>
      <c r="S644"/>
      <c r="U644" t="s">
        <v>1429</v>
      </c>
      <c r="W644" s="3"/>
      <c r="X644" s="3"/>
    </row>
    <row r="645" spans="1:34" ht="15" hidden="1" customHeight="1">
      <c r="A645">
        <v>16510</v>
      </c>
      <c r="B645" s="3" t="s">
        <v>1475</v>
      </c>
      <c r="C645" s="3" t="str">
        <f t="shared" si="48"/>
        <v>glTransactionType.ID</v>
      </c>
      <c r="D645">
        <v>315</v>
      </c>
      <c r="E645" s="3" t="str">
        <f t="shared" si="46"/>
        <v>glTransactionType</v>
      </c>
      <c r="F645" t="s">
        <v>0</v>
      </c>
      <c r="G645" s="3" t="s">
        <v>6657</v>
      </c>
      <c r="H645" s="3" t="str">
        <f t="shared" si="47"/>
        <v>General Ledger.GL Transaction Type</v>
      </c>
      <c r="I645"/>
      <c r="K645" s="3" t="s">
        <v>0</v>
      </c>
      <c r="M645" t="s">
        <v>6007</v>
      </c>
      <c r="N645"/>
      <c r="O645"/>
      <c r="Q645" s="3" t="s">
        <v>919</v>
      </c>
      <c r="U645" s="3" t="s">
        <v>95</v>
      </c>
    </row>
    <row r="646" spans="1:34" ht="15" hidden="1" customHeight="1">
      <c r="A646">
        <v>16520</v>
      </c>
      <c r="B646" s="3" t="s">
        <v>1475</v>
      </c>
      <c r="C646" s="3" t="str">
        <f t="shared" si="48"/>
        <v>glTransactionType.Description</v>
      </c>
      <c r="D646">
        <v>315</v>
      </c>
      <c r="E646" s="3" t="str">
        <f t="shared" si="46"/>
        <v>glTransactionType</v>
      </c>
      <c r="F646" t="s">
        <v>12</v>
      </c>
      <c r="G646" s="3" t="s">
        <v>6935</v>
      </c>
      <c r="H646" s="3" t="str">
        <f t="shared" si="47"/>
        <v>General Ledger.GL Transaction Type</v>
      </c>
      <c r="I646"/>
      <c r="K646" s="3" t="s">
        <v>12</v>
      </c>
      <c r="M646" t="s">
        <v>196</v>
      </c>
      <c r="N646"/>
      <c r="O646"/>
      <c r="Q646" s="3" t="s">
        <v>919</v>
      </c>
      <c r="U646" t="s">
        <v>93</v>
      </c>
      <c r="Y646" t="s">
        <v>92</v>
      </c>
      <c r="AB646" t="s">
        <v>92</v>
      </c>
      <c r="AH646" t="s">
        <v>92</v>
      </c>
    </row>
    <row r="647" spans="1:34" ht="15" hidden="1" customHeight="1">
      <c r="A647">
        <v>16530</v>
      </c>
      <c r="B647" s="3" t="s">
        <v>1475</v>
      </c>
      <c r="C647" s="3" t="str">
        <f t="shared" si="48"/>
        <v>glTransactionType.DisplaySequence</v>
      </c>
      <c r="D647">
        <v>315</v>
      </c>
      <c r="E647" s="3" t="str">
        <f t="shared" si="46"/>
        <v>glTransactionType</v>
      </c>
      <c r="F647" t="s">
        <v>6055</v>
      </c>
      <c r="G647" s="3" t="s">
        <v>6432</v>
      </c>
      <c r="H647" s="3" t="str">
        <f t="shared" si="47"/>
        <v>General Ledger.GL Transaction Type</v>
      </c>
      <c r="I647"/>
      <c r="K647" s="3" t="s">
        <v>6297</v>
      </c>
      <c r="M647" t="s">
        <v>195</v>
      </c>
      <c r="N647"/>
      <c r="O647"/>
      <c r="Q647" s="3" t="s">
        <v>92</v>
      </c>
      <c r="U647" t="s">
        <v>93</v>
      </c>
    </row>
    <row r="648" spans="1:34" ht="15" hidden="1" customHeight="1">
      <c r="A648">
        <v>16540</v>
      </c>
      <c r="B648" s="3" t="s">
        <v>1475</v>
      </c>
      <c r="C648" s="3" t="str">
        <f t="shared" si="48"/>
        <v>glTransactionType.ShortCode</v>
      </c>
      <c r="D648">
        <v>315</v>
      </c>
      <c r="E648" s="3" t="str">
        <f t="shared" si="46"/>
        <v>glTransactionType</v>
      </c>
      <c r="F648" t="s">
        <v>16</v>
      </c>
      <c r="G648" s="3" t="s">
        <v>6434</v>
      </c>
      <c r="H648" s="3" t="str">
        <f t="shared" si="47"/>
        <v>General Ledger.GL Transaction Type</v>
      </c>
      <c r="I648"/>
      <c r="K648" s="3" t="s">
        <v>117</v>
      </c>
      <c r="M648" t="s">
        <v>196</v>
      </c>
      <c r="N648"/>
      <c r="O648"/>
      <c r="Q648" s="3" t="s">
        <v>92</v>
      </c>
      <c r="U648" t="s">
        <v>93</v>
      </c>
      <c r="AB648" t="s">
        <v>92</v>
      </c>
      <c r="AH648" t="s">
        <v>92</v>
      </c>
    </row>
    <row r="649" spans="1:34" ht="15" hidden="1" customHeight="1">
      <c r="A649">
        <v>16550</v>
      </c>
      <c r="B649" s="3" t="s">
        <v>1475</v>
      </c>
      <c r="C649" s="3" t="str">
        <f t="shared" si="48"/>
        <v>glTransactionType.RowStatus</v>
      </c>
      <c r="D649">
        <v>315</v>
      </c>
      <c r="E649" s="3" t="str">
        <f t="shared" si="46"/>
        <v>glTransactionType</v>
      </c>
      <c r="F649" t="s">
        <v>1445</v>
      </c>
      <c r="G649" s="3" t="s">
        <v>6411</v>
      </c>
      <c r="H649" s="3" t="str">
        <f t="shared" si="47"/>
        <v>General Ledger.GL Transaction Type</v>
      </c>
      <c r="I649"/>
      <c r="K649" s="3" t="s">
        <v>2471</v>
      </c>
      <c r="M649" t="s">
        <v>976</v>
      </c>
      <c r="N649">
        <v>1</v>
      </c>
      <c r="O649"/>
      <c r="Q649" s="3" t="s">
        <v>919</v>
      </c>
      <c r="U649" t="s">
        <v>94</v>
      </c>
    </row>
    <row r="650" spans="1:34" ht="15" hidden="1" customHeight="1">
      <c r="A650">
        <v>16560</v>
      </c>
      <c r="B650" t="s">
        <v>1475</v>
      </c>
      <c r="C650" s="3" t="str">
        <f t="shared" si="48"/>
        <v>glTransactionType.sysChangeHistoryID</v>
      </c>
      <c r="D650">
        <v>315</v>
      </c>
      <c r="E650" s="3" t="str">
        <f t="shared" si="46"/>
        <v>glTransactionType</v>
      </c>
      <c r="F650" t="s">
        <v>2497</v>
      </c>
      <c r="G650" s="3" t="s">
        <v>6403</v>
      </c>
      <c r="H650" s="3" t="str">
        <f t="shared" si="47"/>
        <v>General Ledger.GL Transaction Type</v>
      </c>
      <c r="I650"/>
      <c r="K650" t="s">
        <v>1210</v>
      </c>
      <c r="L650"/>
      <c r="M650" t="s">
        <v>6007</v>
      </c>
      <c r="N650"/>
      <c r="O650"/>
      <c r="P650"/>
      <c r="Q650" t="s">
        <v>92</v>
      </c>
      <c r="R650"/>
      <c r="S650"/>
      <c r="U650" t="s">
        <v>1429</v>
      </c>
      <c r="W650" s="3"/>
      <c r="X650" s="3"/>
    </row>
    <row r="651" spans="1:34" ht="15" hidden="1" customHeight="1">
      <c r="A651">
        <v>16570</v>
      </c>
      <c r="B651" s="3" t="s">
        <v>1475</v>
      </c>
      <c r="C651" s="3" t="str">
        <f t="shared" si="48"/>
        <v>hrEmploymentStatus.ID</v>
      </c>
      <c r="D651" s="3">
        <v>601</v>
      </c>
      <c r="E651" s="3" t="str">
        <f t="shared" si="46"/>
        <v>hrEmploymentStatus</v>
      </c>
      <c r="F651" t="s">
        <v>0</v>
      </c>
      <c r="G651" s="3" t="s">
        <v>6658</v>
      </c>
      <c r="H651" s="3" t="str">
        <f t="shared" si="47"/>
        <v>Human Resource.Employment Status</v>
      </c>
      <c r="I651"/>
      <c r="K651" t="s">
        <v>0</v>
      </c>
      <c r="M651" t="s">
        <v>6007</v>
      </c>
      <c r="Q651" s="3" t="s">
        <v>919</v>
      </c>
      <c r="U651" s="3" t="s">
        <v>95</v>
      </c>
    </row>
    <row r="652" spans="1:34" ht="15" hidden="1" customHeight="1">
      <c r="A652">
        <v>16580</v>
      </c>
      <c r="B652" s="3" t="s">
        <v>1475</v>
      </c>
      <c r="C652" s="3" t="str">
        <f t="shared" si="48"/>
        <v>hrEmploymentStatus.Description</v>
      </c>
      <c r="D652" s="3">
        <v>601</v>
      </c>
      <c r="E652" s="3" t="str">
        <f t="shared" si="46"/>
        <v>hrEmploymentStatus</v>
      </c>
      <c r="F652" t="s">
        <v>12</v>
      </c>
      <c r="G652" s="3" t="s">
        <v>7011</v>
      </c>
      <c r="H652" s="3" t="str">
        <f t="shared" si="47"/>
        <v>Human Resource.Employment Status</v>
      </c>
      <c r="I652"/>
      <c r="K652" t="s">
        <v>981</v>
      </c>
      <c r="L652" s="3" t="s">
        <v>973</v>
      </c>
      <c r="M652" s="3" t="s">
        <v>196</v>
      </c>
      <c r="Q652" s="3" t="s">
        <v>919</v>
      </c>
      <c r="U652" s="3" t="s">
        <v>93</v>
      </c>
      <c r="Y652" t="s">
        <v>92</v>
      </c>
      <c r="AB652" t="s">
        <v>92</v>
      </c>
      <c r="AH652" t="s">
        <v>92</v>
      </c>
    </row>
    <row r="653" spans="1:34" ht="15" hidden="1" customHeight="1">
      <c r="A653">
        <v>16590</v>
      </c>
      <c r="B653" s="3" t="s">
        <v>1475</v>
      </c>
      <c r="C653" s="3" t="str">
        <f t="shared" si="48"/>
        <v>hrEmploymentStatus.DisplaySequence</v>
      </c>
      <c r="D653" s="3">
        <v>601</v>
      </c>
      <c r="E653" s="3" t="str">
        <f t="shared" si="46"/>
        <v>hrEmploymentStatus</v>
      </c>
      <c r="F653" t="s">
        <v>6055</v>
      </c>
      <c r="G653" s="3" t="s">
        <v>6432</v>
      </c>
      <c r="H653" s="3" t="str">
        <f t="shared" si="47"/>
        <v>Human Resource.Employment Status</v>
      </c>
      <c r="I653"/>
      <c r="K653" s="3" t="s">
        <v>6297</v>
      </c>
      <c r="M653" s="3" t="s">
        <v>195</v>
      </c>
      <c r="U653" s="3" t="s">
        <v>93</v>
      </c>
    </row>
    <row r="654" spans="1:34" ht="15" hidden="1" customHeight="1">
      <c r="A654">
        <v>16600</v>
      </c>
      <c r="B654" s="3" t="s">
        <v>1475</v>
      </c>
      <c r="C654" s="3" t="str">
        <f t="shared" si="48"/>
        <v>hrEmploymentStatus.RowStatus</v>
      </c>
      <c r="D654" s="3">
        <v>601</v>
      </c>
      <c r="E654" s="3" t="str">
        <f t="shared" si="46"/>
        <v>hrEmploymentStatus</v>
      </c>
      <c r="F654" t="s">
        <v>1445</v>
      </c>
      <c r="G654" s="3" t="s">
        <v>6411</v>
      </c>
      <c r="H654" s="3" t="str">
        <f t="shared" si="47"/>
        <v>Human Resource.Employment Status</v>
      </c>
      <c r="I654"/>
      <c r="K654" s="3" t="s">
        <v>2471</v>
      </c>
      <c r="M654" t="s">
        <v>976</v>
      </c>
      <c r="N654">
        <v>1</v>
      </c>
      <c r="Q654" s="3" t="s">
        <v>919</v>
      </c>
      <c r="U654" s="3" t="s">
        <v>94</v>
      </c>
    </row>
    <row r="655" spans="1:34" ht="15" hidden="1" customHeight="1">
      <c r="A655">
        <v>16610</v>
      </c>
      <c r="B655" t="s">
        <v>1475</v>
      </c>
      <c r="C655" s="3" t="str">
        <f t="shared" si="48"/>
        <v>hrEmploymentStatus.sysChangeHistoryID</v>
      </c>
      <c r="D655">
        <v>601</v>
      </c>
      <c r="E655" s="3" t="str">
        <f t="shared" si="46"/>
        <v>hrEmploymentStatus</v>
      </c>
      <c r="F655" t="s">
        <v>2497</v>
      </c>
      <c r="G655" s="3" t="s">
        <v>6403</v>
      </c>
      <c r="H655" s="3" t="str">
        <f t="shared" si="47"/>
        <v>Human Resource.Employment Status</v>
      </c>
      <c r="I655"/>
      <c r="K655" t="s">
        <v>1210</v>
      </c>
      <c r="L655"/>
      <c r="M655" t="s">
        <v>6007</v>
      </c>
      <c r="N655"/>
      <c r="O655"/>
      <c r="P655"/>
      <c r="Q655" t="s">
        <v>92</v>
      </c>
      <c r="R655"/>
      <c r="S655"/>
      <c r="U655" t="s">
        <v>1429</v>
      </c>
      <c r="W655" s="3"/>
      <c r="X655" s="3"/>
    </row>
    <row r="656" spans="1:34" ht="15" hidden="1" customHeight="1">
      <c r="A656">
        <v>16620</v>
      </c>
      <c r="B656" s="3" t="s">
        <v>1475</v>
      </c>
      <c r="C656" s="3" t="str">
        <f t="shared" si="48"/>
        <v>hrGrade.ID</v>
      </c>
      <c r="D656">
        <v>602</v>
      </c>
      <c r="E656" s="3" t="str">
        <f t="shared" si="46"/>
        <v>hrGrade</v>
      </c>
      <c r="F656" t="s">
        <v>0</v>
      </c>
      <c r="G656" s="3" t="s">
        <v>6659</v>
      </c>
      <c r="H656" s="3" t="str">
        <f t="shared" si="47"/>
        <v>Human Resource.Grade</v>
      </c>
      <c r="I656"/>
      <c r="K656" s="3" t="s">
        <v>0</v>
      </c>
      <c r="M656" t="s">
        <v>6007</v>
      </c>
      <c r="N656"/>
      <c r="O656"/>
      <c r="Q656" s="3" t="s">
        <v>919</v>
      </c>
      <c r="U656" s="3" t="s">
        <v>95</v>
      </c>
    </row>
    <row r="657" spans="1:46" ht="15" hidden="1" customHeight="1">
      <c r="A657">
        <v>16630</v>
      </c>
      <c r="B657" s="3" t="s">
        <v>1475</v>
      </c>
      <c r="C657" s="3" t="str">
        <f t="shared" si="48"/>
        <v>hrGrade.Description</v>
      </c>
      <c r="D657">
        <v>602</v>
      </c>
      <c r="E657" s="3" t="str">
        <f t="shared" si="46"/>
        <v>hrGrade</v>
      </c>
      <c r="F657" t="s">
        <v>12</v>
      </c>
      <c r="G657" s="3" t="s">
        <v>6936</v>
      </c>
      <c r="H657" s="3" t="str">
        <f t="shared" si="47"/>
        <v>Human Resource.Grade</v>
      </c>
      <c r="I657"/>
      <c r="K657" s="3" t="s">
        <v>12</v>
      </c>
      <c r="M657" t="s">
        <v>196</v>
      </c>
      <c r="N657"/>
      <c r="O657"/>
      <c r="Q657" s="3" t="s">
        <v>919</v>
      </c>
      <c r="U657" t="s">
        <v>93</v>
      </c>
      <c r="Y657" t="s">
        <v>92</v>
      </c>
      <c r="AB657" t="s">
        <v>92</v>
      </c>
      <c r="AH657" t="s">
        <v>92</v>
      </c>
    </row>
    <row r="658" spans="1:46" ht="15" hidden="1" customHeight="1">
      <c r="A658">
        <v>16640</v>
      </c>
      <c r="B658" s="3" t="s">
        <v>1475</v>
      </c>
      <c r="C658" s="3" t="str">
        <f t="shared" si="48"/>
        <v>hrGrade.ShortCode</v>
      </c>
      <c r="D658">
        <v>602</v>
      </c>
      <c r="E658" s="3" t="str">
        <f t="shared" si="46"/>
        <v>hrGrade</v>
      </c>
      <c r="F658" t="s">
        <v>16</v>
      </c>
      <c r="G658" s="3" t="s">
        <v>6434</v>
      </c>
      <c r="H658" s="3" t="str">
        <f t="shared" si="47"/>
        <v>Human Resource.Grade</v>
      </c>
      <c r="I658"/>
      <c r="K658" s="3" t="s">
        <v>117</v>
      </c>
      <c r="M658" t="s">
        <v>196</v>
      </c>
      <c r="N658"/>
      <c r="O658"/>
      <c r="Q658" s="3" t="s">
        <v>92</v>
      </c>
      <c r="U658" t="s">
        <v>93</v>
      </c>
      <c r="AB658" t="s">
        <v>92</v>
      </c>
      <c r="AH658" t="s">
        <v>92</v>
      </c>
    </row>
    <row r="659" spans="1:46" ht="15" hidden="1" customHeight="1">
      <c r="A659">
        <v>16650</v>
      </c>
      <c r="B659" s="3" t="s">
        <v>1475</v>
      </c>
      <c r="C659" s="3" t="str">
        <f t="shared" si="48"/>
        <v>hrGrade.RowStatus</v>
      </c>
      <c r="D659">
        <v>602</v>
      </c>
      <c r="E659" s="3" t="str">
        <f t="shared" si="46"/>
        <v>hrGrade</v>
      </c>
      <c r="F659" t="s">
        <v>1445</v>
      </c>
      <c r="G659" s="3" t="s">
        <v>6411</v>
      </c>
      <c r="H659" s="3" t="str">
        <f t="shared" si="47"/>
        <v>Human Resource.Grade</v>
      </c>
      <c r="I659"/>
      <c r="K659" s="3" t="s">
        <v>2471</v>
      </c>
      <c r="M659" t="s">
        <v>976</v>
      </c>
      <c r="N659">
        <v>1</v>
      </c>
      <c r="O659"/>
      <c r="Q659" s="3" t="s">
        <v>919</v>
      </c>
      <c r="U659" t="s">
        <v>94</v>
      </c>
    </row>
    <row r="660" spans="1:46" ht="15" hidden="1" customHeight="1">
      <c r="A660">
        <v>16660</v>
      </c>
      <c r="B660" t="s">
        <v>1475</v>
      </c>
      <c r="C660" s="3" t="str">
        <f t="shared" si="48"/>
        <v>hrGrade.sysChangeHistoryID</v>
      </c>
      <c r="D660">
        <v>602</v>
      </c>
      <c r="E660" s="3" t="str">
        <f t="shared" si="46"/>
        <v>hrGrade</v>
      </c>
      <c r="F660" t="s">
        <v>2497</v>
      </c>
      <c r="G660" s="3" t="s">
        <v>6403</v>
      </c>
      <c r="H660" s="3" t="str">
        <f t="shared" si="47"/>
        <v>Human Resource.Grade</v>
      </c>
      <c r="I660"/>
      <c r="K660" t="s">
        <v>1210</v>
      </c>
      <c r="L660"/>
      <c r="M660" t="s">
        <v>6007</v>
      </c>
      <c r="N660"/>
      <c r="O660"/>
      <c r="P660"/>
      <c r="Q660" t="s">
        <v>92</v>
      </c>
      <c r="R660"/>
      <c r="S660"/>
      <c r="U660" t="s">
        <v>1429</v>
      </c>
    </row>
    <row r="661" spans="1:46" ht="15" hidden="1" customHeight="1">
      <c r="A661">
        <v>16670</v>
      </c>
      <c r="B661" s="3" t="s">
        <v>1475</v>
      </c>
      <c r="C661" s="3" t="str">
        <f t="shared" si="48"/>
        <v>hrPosition.ID</v>
      </c>
      <c r="D661" s="3">
        <v>600</v>
      </c>
      <c r="E661" s="3" t="str">
        <f t="shared" si="46"/>
        <v>hrPosition</v>
      </c>
      <c r="F661" t="s">
        <v>0</v>
      </c>
      <c r="G661" s="3" t="s">
        <v>6660</v>
      </c>
      <c r="H661" s="3" t="str">
        <f t="shared" si="47"/>
        <v>Human Resource.Employment Position</v>
      </c>
      <c r="I661"/>
      <c r="K661" s="3" t="s">
        <v>1296</v>
      </c>
      <c r="M661" t="s">
        <v>6007</v>
      </c>
      <c r="Q661" s="3" t="s">
        <v>919</v>
      </c>
      <c r="U661" s="3" t="s">
        <v>95</v>
      </c>
      <c r="W661" s="3"/>
      <c r="AF661" t="s">
        <v>646</v>
      </c>
    </row>
    <row r="662" spans="1:46" ht="15" hidden="1" customHeight="1">
      <c r="A662">
        <v>16680</v>
      </c>
      <c r="B662" s="3" t="s">
        <v>1475</v>
      </c>
      <c r="C662" s="3" t="str">
        <f t="shared" si="48"/>
        <v>hrPosition.comLocationID</v>
      </c>
      <c r="D662" s="3">
        <v>600</v>
      </c>
      <c r="E662" s="3" t="str">
        <f t="shared" si="46"/>
        <v>hrPosition</v>
      </c>
      <c r="F662" t="str">
        <f t="shared" ref="F662:F668" si="49">VLOOKUP(V662,DictionaryTableID,3,FALSE)&amp;"ID"&amp;X662</f>
        <v>comLocationID</v>
      </c>
      <c r="G662" s="3" t="s">
        <v>6661</v>
      </c>
      <c r="H662" s="3" t="str">
        <f t="shared" si="47"/>
        <v>Human Resource.Employment Position</v>
      </c>
      <c r="I662"/>
      <c r="K662" s="3" t="s">
        <v>53</v>
      </c>
      <c r="M662" t="s">
        <v>6007</v>
      </c>
      <c r="Q662" s="3" t="s">
        <v>92</v>
      </c>
      <c r="U662" t="s">
        <v>96</v>
      </c>
      <c r="V662">
        <v>503</v>
      </c>
      <c r="W662" s="3" t="str">
        <f t="shared" ref="W662:W668" si="50">VLOOKUP(V662,DictionaryTableID,3,FALSE)</f>
        <v>comLocation</v>
      </c>
      <c r="X662" s="3"/>
      <c r="AB662" t="s">
        <v>92</v>
      </c>
      <c r="AF662" t="s">
        <v>649</v>
      </c>
    </row>
    <row r="663" spans="1:46" ht="15" hidden="1" customHeight="1">
      <c r="A663">
        <v>16690</v>
      </c>
      <c r="B663" s="3" t="s">
        <v>1475</v>
      </c>
      <c r="C663" s="3" t="str">
        <f t="shared" si="48"/>
        <v>hrPosition.crmContactIDEmployee</v>
      </c>
      <c r="D663" s="3">
        <v>600</v>
      </c>
      <c r="E663" s="3" t="str">
        <f t="shared" si="46"/>
        <v>hrPosition</v>
      </c>
      <c r="F663" t="str">
        <f t="shared" si="49"/>
        <v>crmContactIDEmployee</v>
      </c>
      <c r="G663" s="3" t="s">
        <v>6482</v>
      </c>
      <c r="H663" s="3" t="str">
        <f t="shared" si="47"/>
        <v>Human Resource.Employment Position</v>
      </c>
      <c r="I663"/>
      <c r="K663" s="3" t="s">
        <v>41</v>
      </c>
      <c r="M663" t="s">
        <v>6007</v>
      </c>
      <c r="Q663" s="3" t="s">
        <v>92</v>
      </c>
      <c r="U663" s="3" t="s">
        <v>96</v>
      </c>
      <c r="V663">
        <v>100</v>
      </c>
      <c r="W663" s="3" t="str">
        <f t="shared" si="50"/>
        <v>crmContact</v>
      </c>
      <c r="X663" s="3" t="s">
        <v>41</v>
      </c>
      <c r="AB663" t="s">
        <v>92</v>
      </c>
      <c r="AF663" t="s">
        <v>675</v>
      </c>
    </row>
    <row r="664" spans="1:46" ht="15" hidden="1" customHeight="1">
      <c r="A664">
        <v>16700</v>
      </c>
      <c r="B664" s="3" t="s">
        <v>1475</v>
      </c>
      <c r="C664" s="3" t="str">
        <f t="shared" si="48"/>
        <v>hrPosition.glCostCentreID</v>
      </c>
      <c r="D664" s="3">
        <v>600</v>
      </c>
      <c r="E664" s="3" t="str">
        <f t="shared" si="46"/>
        <v>hrPosition</v>
      </c>
      <c r="F664" t="str">
        <f t="shared" si="49"/>
        <v>glCostCentreID</v>
      </c>
      <c r="G664" s="3" t="s">
        <v>6662</v>
      </c>
      <c r="H664" s="3" t="str">
        <f t="shared" si="47"/>
        <v>Human Resource.Employment Position</v>
      </c>
      <c r="I664"/>
      <c r="K664" s="3" t="s">
        <v>421</v>
      </c>
      <c r="M664" t="s">
        <v>6007</v>
      </c>
      <c r="Q664" s="3" t="s">
        <v>92</v>
      </c>
      <c r="U664" t="s">
        <v>96</v>
      </c>
      <c r="V664">
        <v>301</v>
      </c>
      <c r="W664" s="3" t="str">
        <f t="shared" si="50"/>
        <v>glCostCentre</v>
      </c>
      <c r="X664" s="3"/>
      <c r="AB664" t="s">
        <v>92</v>
      </c>
      <c r="AF664" t="s">
        <v>650</v>
      </c>
    </row>
    <row r="665" spans="1:46" ht="15" hidden="1" customHeight="1">
      <c r="A665">
        <v>16710</v>
      </c>
      <c r="B665" s="3" t="s">
        <v>1475</v>
      </c>
      <c r="C665" s="3" t="str">
        <f t="shared" si="48"/>
        <v>hrPosition.hrGradeID</v>
      </c>
      <c r="D665" s="3">
        <v>600</v>
      </c>
      <c r="E665" s="3" t="str">
        <f t="shared" si="46"/>
        <v>hrPosition</v>
      </c>
      <c r="F665" t="str">
        <f t="shared" si="49"/>
        <v>hrGradeID</v>
      </c>
      <c r="G665" s="3" t="s">
        <v>6663</v>
      </c>
      <c r="H665" s="3" t="str">
        <f t="shared" si="47"/>
        <v>Human Resource.Employment Position</v>
      </c>
      <c r="I665"/>
      <c r="K665" s="3" t="s">
        <v>263</v>
      </c>
      <c r="M665" t="s">
        <v>6007</v>
      </c>
      <c r="Q665" s="3" t="s">
        <v>92</v>
      </c>
      <c r="U665" s="3" t="s">
        <v>96</v>
      </c>
      <c r="V665">
        <v>602</v>
      </c>
      <c r="W665" s="3" t="str">
        <f t="shared" si="50"/>
        <v>hrGrade</v>
      </c>
      <c r="X665" s="3"/>
      <c r="AB665" t="s">
        <v>92</v>
      </c>
      <c r="AF665" t="s">
        <v>681</v>
      </c>
    </row>
    <row r="666" spans="1:46" ht="15" hidden="1" customHeight="1">
      <c r="A666">
        <v>16720</v>
      </c>
      <c r="B666" s="3" t="s">
        <v>1475</v>
      </c>
      <c r="C666" s="3" t="str">
        <f t="shared" si="48"/>
        <v>hrPosition.hrPositionClassificationID</v>
      </c>
      <c r="D666" s="3">
        <v>600</v>
      </c>
      <c r="E666" s="3" t="str">
        <f t="shared" si="46"/>
        <v>hrPosition</v>
      </c>
      <c r="F666" t="str">
        <f t="shared" si="49"/>
        <v>hrPositionClassificationID</v>
      </c>
      <c r="G666" s="3" t="s">
        <v>6664</v>
      </c>
      <c r="H666" s="3" t="str">
        <f t="shared" si="47"/>
        <v>Human Resource.Employment Position</v>
      </c>
      <c r="I666"/>
      <c r="K666" s="3" t="s">
        <v>452</v>
      </c>
      <c r="M666" t="s">
        <v>6007</v>
      </c>
      <c r="Q666" s="3" t="s">
        <v>92</v>
      </c>
      <c r="U666" s="3" t="s">
        <v>96</v>
      </c>
      <c r="V666">
        <v>603</v>
      </c>
      <c r="W666" s="3" t="str">
        <f t="shared" si="50"/>
        <v>hrPositionClassification</v>
      </c>
      <c r="X666" s="3"/>
      <c r="AB666" t="s">
        <v>92</v>
      </c>
      <c r="AF666" t="s">
        <v>652</v>
      </c>
    </row>
    <row r="667" spans="1:46" ht="15" hidden="1" customHeight="1">
      <c r="A667">
        <v>16730</v>
      </c>
      <c r="B667" s="3" t="s">
        <v>1475</v>
      </c>
      <c r="C667" s="3" t="str">
        <f t="shared" si="48"/>
        <v>hrPosition.hrPositionIDParent</v>
      </c>
      <c r="D667" s="3">
        <v>600</v>
      </c>
      <c r="E667" s="3" t="str">
        <f t="shared" si="46"/>
        <v>hrPosition</v>
      </c>
      <c r="F667" t="str">
        <f t="shared" si="49"/>
        <v>hrPositionIDParent</v>
      </c>
      <c r="G667" s="3" t="s">
        <v>1298</v>
      </c>
      <c r="H667" s="3" t="str">
        <f t="shared" si="47"/>
        <v>Human Resource.Employment Position</v>
      </c>
      <c r="I667"/>
      <c r="K667" s="3" t="s">
        <v>438</v>
      </c>
      <c r="M667" t="s">
        <v>6007</v>
      </c>
      <c r="Q667" s="3" t="s">
        <v>92</v>
      </c>
      <c r="U667" s="3" t="s">
        <v>96</v>
      </c>
      <c r="V667">
        <v>600</v>
      </c>
      <c r="W667" s="3" t="str">
        <f t="shared" si="50"/>
        <v>hrPosition</v>
      </c>
      <c r="X667" s="3" t="s">
        <v>1220</v>
      </c>
      <c r="AB667" t="s">
        <v>92</v>
      </c>
      <c r="AF667" t="s">
        <v>654</v>
      </c>
    </row>
    <row r="668" spans="1:46" ht="15" hidden="1" customHeight="1">
      <c r="A668">
        <v>16740</v>
      </c>
      <c r="B668" s="3" t="s">
        <v>1475</v>
      </c>
      <c r="C668" s="3" t="str">
        <f t="shared" si="48"/>
        <v>hrPosition.hrPositionTypeID</v>
      </c>
      <c r="D668" s="3">
        <v>600</v>
      </c>
      <c r="E668" s="3" t="str">
        <f t="shared" si="46"/>
        <v>hrPosition</v>
      </c>
      <c r="F668" t="str">
        <f t="shared" si="49"/>
        <v>hrPositionTypeID</v>
      </c>
      <c r="G668" s="3" t="s">
        <v>6665</v>
      </c>
      <c r="H668" s="3" t="str">
        <f t="shared" si="47"/>
        <v>Human Resource.Employment Position</v>
      </c>
      <c r="I668"/>
      <c r="K668" s="3" t="s">
        <v>40</v>
      </c>
      <c r="M668" t="s">
        <v>6007</v>
      </c>
      <c r="Q668" s="3" t="s">
        <v>92</v>
      </c>
      <c r="U668" s="3" t="s">
        <v>96</v>
      </c>
      <c r="V668">
        <v>604</v>
      </c>
      <c r="W668" s="3" t="str">
        <f t="shared" si="50"/>
        <v>hrPositionType</v>
      </c>
      <c r="X668" s="3"/>
      <c r="AB668" t="s">
        <v>92</v>
      </c>
      <c r="AF668" t="s">
        <v>653</v>
      </c>
    </row>
    <row r="669" spans="1:46" ht="15" hidden="1" customHeight="1">
      <c r="A669">
        <v>16750</v>
      </c>
      <c r="B669" s="3" t="s">
        <v>1475</v>
      </c>
      <c r="C669" s="3" t="str">
        <f t="shared" si="48"/>
        <v>hrPosition.CommencementDate</v>
      </c>
      <c r="D669" s="3">
        <v>600</v>
      </c>
      <c r="E669" s="3" t="str">
        <f t="shared" si="46"/>
        <v>hrPosition</v>
      </c>
      <c r="F669" t="s">
        <v>301</v>
      </c>
      <c r="G669" s="3" t="s">
        <v>6513</v>
      </c>
      <c r="H669" s="3" t="str">
        <f t="shared" si="47"/>
        <v>Human Resource.Employment Position</v>
      </c>
      <c r="I669"/>
      <c r="K669" s="3" t="s">
        <v>424</v>
      </c>
      <c r="M669" s="3" t="s">
        <v>81</v>
      </c>
      <c r="Q669" s="3" t="s">
        <v>92</v>
      </c>
      <c r="U669" s="3" t="s">
        <v>93</v>
      </c>
      <c r="AB669" t="s">
        <v>92</v>
      </c>
      <c r="AF669" t="s">
        <v>677</v>
      </c>
      <c r="AS669" t="str">
        <f>"select distinct "&amp;F669&amp;" from "&amp;E669&amp;" union all"</f>
        <v>select distinct CommencementDate from hrPosition union all</v>
      </c>
      <c r="AT669" t="str">
        <f>"update a set a."&amp;F669&amp;"=b.tableid from "&amp;E669&amp;" a join #dbidtranslation b on b.dbid="&amp;F669</f>
        <v>update a set a.CommencementDate=b.tableid from hrPosition a join #dbidtranslation b on b.dbid=CommencementDate</v>
      </c>
    </row>
    <row r="670" spans="1:46" ht="15" hidden="1" customHeight="1">
      <c r="A670">
        <v>16760</v>
      </c>
      <c r="B670" s="3" t="s">
        <v>1475</v>
      </c>
      <c r="C670" s="3" t="str">
        <f t="shared" si="48"/>
        <v>hrPosition.Comments</v>
      </c>
      <c r="D670" s="3">
        <v>600</v>
      </c>
      <c r="E670" s="3" t="str">
        <f t="shared" si="46"/>
        <v>hrPosition</v>
      </c>
      <c r="F670" t="s">
        <v>14</v>
      </c>
      <c r="G670" s="3" t="s">
        <v>6421</v>
      </c>
      <c r="H670" s="3" t="str">
        <f t="shared" si="47"/>
        <v>Human Resource.Employment Position</v>
      </c>
      <c r="I670"/>
      <c r="K670" s="3" t="s">
        <v>14</v>
      </c>
      <c r="M670" s="3" t="s">
        <v>196</v>
      </c>
      <c r="N670"/>
      <c r="Q670" s="3" t="s">
        <v>92</v>
      </c>
      <c r="U670" s="3" t="s">
        <v>93</v>
      </c>
      <c r="AB670" t="s">
        <v>92</v>
      </c>
      <c r="AF670" t="s">
        <v>655</v>
      </c>
    </row>
    <row r="671" spans="1:46" ht="15" hidden="1" customHeight="1">
      <c r="A671">
        <v>16770</v>
      </c>
      <c r="B671" s="3" t="s">
        <v>1475</v>
      </c>
      <c r="C671" s="3" t="str">
        <f t="shared" si="48"/>
        <v>hrPosition.PositionNumber</v>
      </c>
      <c r="D671" s="3">
        <v>600</v>
      </c>
      <c r="E671" s="3" t="str">
        <f t="shared" si="46"/>
        <v>hrPosition</v>
      </c>
      <c r="F671" t="s">
        <v>1295</v>
      </c>
      <c r="G671" s="3" t="s">
        <v>6473</v>
      </c>
      <c r="H671" s="3" t="str">
        <f t="shared" si="47"/>
        <v>Human Resource.Employment Position</v>
      </c>
      <c r="I671"/>
      <c r="K671" s="3" t="s">
        <v>279</v>
      </c>
      <c r="M671" s="3" t="s">
        <v>196</v>
      </c>
      <c r="Q671" s="3" t="s">
        <v>92</v>
      </c>
      <c r="U671" s="3" t="s">
        <v>93</v>
      </c>
      <c r="AB671" t="s">
        <v>92</v>
      </c>
      <c r="AF671" t="s">
        <v>647</v>
      </c>
    </row>
    <row r="672" spans="1:46" ht="15" hidden="1" customHeight="1">
      <c r="A672">
        <v>16780</v>
      </c>
      <c r="B672" s="3" t="s">
        <v>1475</v>
      </c>
      <c r="C672" s="3" t="str">
        <f t="shared" si="48"/>
        <v>hrPosition.Salary</v>
      </c>
      <c r="D672" s="3">
        <v>600</v>
      </c>
      <c r="E672" s="3" t="str">
        <f t="shared" si="46"/>
        <v>hrPosition</v>
      </c>
      <c r="F672" t="s">
        <v>271</v>
      </c>
      <c r="G672" s="3" t="s">
        <v>6666</v>
      </c>
      <c r="H672" s="3" t="str">
        <f t="shared" si="47"/>
        <v>Human Resource.Employment Position</v>
      </c>
      <c r="I672"/>
      <c r="K672" s="3" t="s">
        <v>271</v>
      </c>
      <c r="M672" s="3" t="s">
        <v>197</v>
      </c>
      <c r="N672" s="3">
        <v>9</v>
      </c>
      <c r="O672" s="3">
        <v>2</v>
      </c>
      <c r="Q672" s="3" t="s">
        <v>92</v>
      </c>
      <c r="U672" s="3" t="s">
        <v>93</v>
      </c>
      <c r="AB672" t="s">
        <v>92</v>
      </c>
      <c r="AF672" t="s">
        <v>680</v>
      </c>
    </row>
    <row r="673" spans="1:34" ht="15" hidden="1" customHeight="1">
      <c r="A673">
        <v>16790</v>
      </c>
      <c r="B673" s="3" t="s">
        <v>1475</v>
      </c>
      <c r="C673" s="3" t="str">
        <f t="shared" si="48"/>
        <v>hrPosition.DisplaySequence</v>
      </c>
      <c r="D673" s="3">
        <v>600</v>
      </c>
      <c r="E673" s="3" t="str">
        <f t="shared" si="46"/>
        <v>hrPosition</v>
      </c>
      <c r="F673" t="s">
        <v>6055</v>
      </c>
      <c r="G673" s="3" t="s">
        <v>6432</v>
      </c>
      <c r="H673" s="3" t="str">
        <f t="shared" si="47"/>
        <v>Human Resource.Employment Position</v>
      </c>
      <c r="I673"/>
      <c r="K673" s="3" t="s">
        <v>6297</v>
      </c>
      <c r="M673" s="3" t="s">
        <v>195</v>
      </c>
      <c r="Q673" s="3" t="s">
        <v>92</v>
      </c>
      <c r="U673" s="3" t="s">
        <v>93</v>
      </c>
      <c r="AF673" t="s">
        <v>648</v>
      </c>
    </row>
    <row r="674" spans="1:34" ht="15" hidden="1" customHeight="1">
      <c r="A674">
        <v>16800</v>
      </c>
      <c r="B674" s="3" t="s">
        <v>1475</v>
      </c>
      <c r="C674" s="3" t="str">
        <f t="shared" si="48"/>
        <v>hrPosition.TerminationDate</v>
      </c>
      <c r="D674" s="3">
        <v>600</v>
      </c>
      <c r="E674" s="3" t="str">
        <f t="shared" si="46"/>
        <v>hrPosition</v>
      </c>
      <c r="F674" t="s">
        <v>1230</v>
      </c>
      <c r="G674" s="3" t="s">
        <v>6667</v>
      </c>
      <c r="H674" s="3" t="str">
        <f t="shared" si="47"/>
        <v>Human Resource.Employment Position</v>
      </c>
      <c r="I674"/>
      <c r="K674" s="3" t="s">
        <v>1297</v>
      </c>
      <c r="M674" s="3" t="s">
        <v>81</v>
      </c>
      <c r="Q674" s="3" t="s">
        <v>92</v>
      </c>
      <c r="U674" s="3" t="s">
        <v>93</v>
      </c>
      <c r="AB674" t="s">
        <v>92</v>
      </c>
      <c r="AF674" t="s">
        <v>677</v>
      </c>
    </row>
    <row r="675" spans="1:34" ht="15" hidden="1" customHeight="1">
      <c r="A675">
        <v>16810</v>
      </c>
      <c r="B675" s="3" t="s">
        <v>1475</v>
      </c>
      <c r="C675" s="3" t="str">
        <f t="shared" si="48"/>
        <v>hrPosition.WorkingTitle</v>
      </c>
      <c r="D675" s="3">
        <v>600</v>
      </c>
      <c r="E675" s="3" t="str">
        <f t="shared" si="46"/>
        <v>hrPosition</v>
      </c>
      <c r="F675" t="s">
        <v>1294</v>
      </c>
      <c r="G675" s="3" t="s">
        <v>6668</v>
      </c>
      <c r="H675" s="3" t="str">
        <f t="shared" si="47"/>
        <v>Human Resource.Employment Position</v>
      </c>
      <c r="I675"/>
      <c r="K675" s="3" t="s">
        <v>6391</v>
      </c>
      <c r="M675" s="3" t="s">
        <v>196</v>
      </c>
      <c r="Q675" s="3" t="s">
        <v>92</v>
      </c>
      <c r="U675" s="3" t="s">
        <v>93</v>
      </c>
      <c r="AB675" t="s">
        <v>92</v>
      </c>
      <c r="AF675" t="s">
        <v>651</v>
      </c>
      <c r="AH675" t="s">
        <v>92</v>
      </c>
    </row>
    <row r="676" spans="1:34" ht="15" hidden="1" customHeight="1">
      <c r="A676">
        <v>16825</v>
      </c>
      <c r="B676" s="3" t="s">
        <v>1475</v>
      </c>
      <c r="C676" s="3" t="str">
        <f t="shared" si="48"/>
        <v>hrPosition.TemporalStartDate</v>
      </c>
      <c r="D676" s="3">
        <v>600</v>
      </c>
      <c r="E676" s="3" t="str">
        <f t="shared" si="46"/>
        <v>hrPosition</v>
      </c>
      <c r="F676" t="s">
        <v>1250</v>
      </c>
      <c r="G676" s="3" t="s">
        <v>6409</v>
      </c>
      <c r="H676" s="3" t="str">
        <f t="shared" si="47"/>
        <v>Human Resource.Employment Position</v>
      </c>
      <c r="I676"/>
      <c r="K676" s="3" t="s">
        <v>410</v>
      </c>
      <c r="M676" s="3" t="s">
        <v>81</v>
      </c>
      <c r="Q676" t="s">
        <v>919</v>
      </c>
      <c r="S676" s="14"/>
      <c r="U676" t="s">
        <v>1080</v>
      </c>
      <c r="AF676" t="s">
        <v>679</v>
      </c>
    </row>
    <row r="677" spans="1:34" ht="15" hidden="1" customHeight="1">
      <c r="A677">
        <v>16830</v>
      </c>
      <c r="B677" s="3" t="s">
        <v>1475</v>
      </c>
      <c r="C677" s="3" t="str">
        <f t="shared" si="48"/>
        <v>hrPosition.TemporalEndDate</v>
      </c>
      <c r="D677" s="3">
        <v>600</v>
      </c>
      <c r="E677" s="3" t="str">
        <f t="shared" si="46"/>
        <v>hrPosition</v>
      </c>
      <c r="F677" t="s">
        <v>1249</v>
      </c>
      <c r="G677" s="3" t="s">
        <v>6410</v>
      </c>
      <c r="H677" s="3" t="str">
        <f t="shared" si="47"/>
        <v>Human Resource.Employment Position</v>
      </c>
      <c r="I677"/>
      <c r="K677" s="3" t="s">
        <v>100</v>
      </c>
      <c r="M677" s="3" t="s">
        <v>81</v>
      </c>
      <c r="Q677" t="s">
        <v>919</v>
      </c>
      <c r="S677" s="14"/>
      <c r="U677" t="s">
        <v>1080</v>
      </c>
      <c r="AF677" t="s">
        <v>678</v>
      </c>
    </row>
    <row r="678" spans="1:34" ht="15" hidden="1" customHeight="1">
      <c r="A678">
        <v>16850</v>
      </c>
      <c r="B678" s="3" t="s">
        <v>1475</v>
      </c>
      <c r="C678" s="3" t="str">
        <f t="shared" si="48"/>
        <v>hrPosition.RowStatus</v>
      </c>
      <c r="D678" s="3">
        <v>600</v>
      </c>
      <c r="E678" s="3" t="str">
        <f t="shared" si="46"/>
        <v>hrPosition</v>
      </c>
      <c r="F678" t="s">
        <v>1445</v>
      </c>
      <c r="G678" s="3" t="s">
        <v>6411</v>
      </c>
      <c r="H678" s="3" t="str">
        <f t="shared" si="47"/>
        <v>Human Resource.Employment Position</v>
      </c>
      <c r="I678"/>
      <c r="K678" t="s">
        <v>2471</v>
      </c>
      <c r="M678" t="s">
        <v>976</v>
      </c>
      <c r="N678">
        <v>1</v>
      </c>
      <c r="Q678" s="3" t="s">
        <v>919</v>
      </c>
      <c r="U678" s="3" t="s">
        <v>94</v>
      </c>
    </row>
    <row r="679" spans="1:34" ht="15" hidden="1" customHeight="1">
      <c r="A679">
        <v>16860</v>
      </c>
      <c r="B679" t="s">
        <v>1475</v>
      </c>
      <c r="C679" s="3" t="str">
        <f t="shared" si="48"/>
        <v>hrPosition.sysChangeHistoryID</v>
      </c>
      <c r="D679">
        <v>600</v>
      </c>
      <c r="E679" s="3" t="str">
        <f t="shared" si="46"/>
        <v>hrPosition</v>
      </c>
      <c r="F679" t="s">
        <v>2497</v>
      </c>
      <c r="G679" s="3" t="s">
        <v>6403</v>
      </c>
      <c r="H679" s="3" t="str">
        <f t="shared" si="47"/>
        <v>Human Resource.Employment Position</v>
      </c>
      <c r="I679"/>
      <c r="K679" t="s">
        <v>1210</v>
      </c>
      <c r="L679"/>
      <c r="M679" t="s">
        <v>6007</v>
      </c>
      <c r="N679"/>
      <c r="O679"/>
      <c r="P679"/>
      <c r="Q679" t="s">
        <v>92</v>
      </c>
      <c r="R679"/>
      <c r="S679"/>
      <c r="U679" t="s">
        <v>1429</v>
      </c>
      <c r="W679" s="3"/>
      <c r="X679" s="3"/>
    </row>
    <row r="680" spans="1:34" ht="15" hidden="1" customHeight="1">
      <c r="A680">
        <v>16870</v>
      </c>
      <c r="B680" s="3" t="s">
        <v>1475</v>
      </c>
      <c r="C680" s="3" t="str">
        <f t="shared" si="48"/>
        <v>hrPositionClassification.ID</v>
      </c>
      <c r="D680" s="3">
        <v>603</v>
      </c>
      <c r="E680" s="3" t="str">
        <f t="shared" si="46"/>
        <v>hrPositionClassification</v>
      </c>
      <c r="F680" t="s">
        <v>0</v>
      </c>
      <c r="G680" s="3" t="s">
        <v>6669</v>
      </c>
      <c r="H680" s="3" t="str">
        <f t="shared" si="47"/>
        <v>Human Resource.Position Classification</v>
      </c>
      <c r="I680"/>
      <c r="K680" t="s">
        <v>0</v>
      </c>
      <c r="M680" t="s">
        <v>6007</v>
      </c>
      <c r="Q680" s="3" t="s">
        <v>919</v>
      </c>
      <c r="U680" s="3" t="s">
        <v>95</v>
      </c>
    </row>
    <row r="681" spans="1:34" ht="15" hidden="1" customHeight="1">
      <c r="A681">
        <v>16880</v>
      </c>
      <c r="B681" s="3" t="s">
        <v>1475</v>
      </c>
      <c r="C681" s="3" t="str">
        <f t="shared" si="48"/>
        <v>hrPositionClassification.Description</v>
      </c>
      <c r="D681" s="3">
        <v>603</v>
      </c>
      <c r="E681" s="3" t="str">
        <f t="shared" si="46"/>
        <v>hrPositionClassification</v>
      </c>
      <c r="F681" t="s">
        <v>12</v>
      </c>
      <c r="G681" s="3" t="s">
        <v>6937</v>
      </c>
      <c r="H681" s="3" t="str">
        <f t="shared" si="47"/>
        <v>Human Resource.Position Classification</v>
      </c>
      <c r="I681"/>
      <c r="K681" t="s">
        <v>915</v>
      </c>
      <c r="L681" s="3" t="s">
        <v>973</v>
      </c>
      <c r="M681" s="3" t="s">
        <v>196</v>
      </c>
      <c r="Q681" s="3" t="s">
        <v>919</v>
      </c>
      <c r="U681" s="3" t="s">
        <v>93</v>
      </c>
      <c r="Y681" t="s">
        <v>92</v>
      </c>
      <c r="AB681" t="s">
        <v>92</v>
      </c>
      <c r="AH681" t="s">
        <v>92</v>
      </c>
    </row>
    <row r="682" spans="1:34" ht="15" hidden="1" customHeight="1">
      <c r="A682">
        <v>16890</v>
      </c>
      <c r="B682" s="3" t="s">
        <v>1475</v>
      </c>
      <c r="C682" s="3" t="str">
        <f t="shared" si="48"/>
        <v>hrPositionClassification.DisplaySequence</v>
      </c>
      <c r="D682" s="3">
        <v>603</v>
      </c>
      <c r="E682" s="3" t="str">
        <f t="shared" si="46"/>
        <v>hrPositionClassification</v>
      </c>
      <c r="F682" t="s">
        <v>6055</v>
      </c>
      <c r="G682" s="3" t="s">
        <v>6432</v>
      </c>
      <c r="H682" s="3" t="str">
        <f t="shared" si="47"/>
        <v>Human Resource.Position Classification</v>
      </c>
      <c r="I682"/>
      <c r="K682" s="3" t="s">
        <v>6297</v>
      </c>
      <c r="M682" s="3" t="s">
        <v>195</v>
      </c>
      <c r="U682" s="3" t="s">
        <v>93</v>
      </c>
    </row>
    <row r="683" spans="1:34" ht="15" hidden="1" customHeight="1">
      <c r="A683">
        <v>16900</v>
      </c>
      <c r="B683" s="3" t="s">
        <v>1475</v>
      </c>
      <c r="C683" s="3" t="str">
        <f t="shared" si="48"/>
        <v>hrPositionClassification.RowStatus</v>
      </c>
      <c r="D683" s="3">
        <v>603</v>
      </c>
      <c r="E683" s="3" t="str">
        <f t="shared" si="46"/>
        <v>hrPositionClassification</v>
      </c>
      <c r="F683" t="s">
        <v>1445</v>
      </c>
      <c r="G683" s="3" t="s">
        <v>6411</v>
      </c>
      <c r="H683" s="3" t="str">
        <f t="shared" si="47"/>
        <v>Human Resource.Position Classification</v>
      </c>
      <c r="I683"/>
      <c r="K683" s="3" t="s">
        <v>2471</v>
      </c>
      <c r="M683" t="s">
        <v>976</v>
      </c>
      <c r="N683">
        <v>1</v>
      </c>
      <c r="Q683" s="3" t="s">
        <v>919</v>
      </c>
      <c r="U683" s="3" t="s">
        <v>94</v>
      </c>
    </row>
    <row r="684" spans="1:34" ht="15" hidden="1" customHeight="1">
      <c r="A684">
        <v>16910</v>
      </c>
      <c r="B684" t="s">
        <v>1475</v>
      </c>
      <c r="C684" s="3" t="str">
        <f t="shared" si="48"/>
        <v>hrPositionClassification.sysChangeHistoryID</v>
      </c>
      <c r="D684">
        <v>603</v>
      </c>
      <c r="E684" s="3" t="str">
        <f t="shared" si="46"/>
        <v>hrPositionClassification</v>
      </c>
      <c r="F684" t="s">
        <v>2497</v>
      </c>
      <c r="G684" s="3" t="s">
        <v>6403</v>
      </c>
      <c r="H684" s="3" t="str">
        <f t="shared" si="47"/>
        <v>Human Resource.Position Classification</v>
      </c>
      <c r="I684"/>
      <c r="K684" t="s">
        <v>1210</v>
      </c>
      <c r="L684"/>
      <c r="M684" t="s">
        <v>6007</v>
      </c>
      <c r="N684"/>
      <c r="O684"/>
      <c r="P684"/>
      <c r="Q684" t="s">
        <v>92</v>
      </c>
      <c r="R684"/>
      <c r="S684"/>
      <c r="U684" t="s">
        <v>1429</v>
      </c>
      <c r="W684" s="3"/>
      <c r="X684" s="3"/>
    </row>
    <row r="685" spans="1:34" ht="15" hidden="1" customHeight="1">
      <c r="A685">
        <v>16920</v>
      </c>
      <c r="B685" s="3" t="s">
        <v>1475</v>
      </c>
      <c r="C685" s="3" t="str">
        <f t="shared" si="48"/>
        <v>hrPositionType.ID</v>
      </c>
      <c r="D685" s="3">
        <v>604</v>
      </c>
      <c r="E685" s="3" t="str">
        <f t="shared" si="46"/>
        <v>hrPositionType</v>
      </c>
      <c r="F685" t="s">
        <v>0</v>
      </c>
      <c r="G685" s="3" t="s">
        <v>6670</v>
      </c>
      <c r="H685" s="3" t="str">
        <f t="shared" si="47"/>
        <v>Human Resource.Position Type</v>
      </c>
      <c r="I685"/>
      <c r="K685" t="s">
        <v>0</v>
      </c>
      <c r="M685" t="s">
        <v>6007</v>
      </c>
      <c r="Q685" s="3" t="s">
        <v>919</v>
      </c>
      <c r="U685" s="3" t="s">
        <v>95</v>
      </c>
    </row>
    <row r="686" spans="1:34" ht="15" hidden="1" customHeight="1">
      <c r="A686">
        <v>16930</v>
      </c>
      <c r="B686" s="3" t="s">
        <v>1475</v>
      </c>
      <c r="C686" s="3" t="str">
        <f t="shared" si="48"/>
        <v>hrPositionType.Description</v>
      </c>
      <c r="D686" s="3">
        <v>604</v>
      </c>
      <c r="E686" s="3" t="str">
        <f t="shared" si="46"/>
        <v>hrPositionType</v>
      </c>
      <c r="F686" t="s">
        <v>12</v>
      </c>
      <c r="G686" s="3" t="s">
        <v>6938</v>
      </c>
      <c r="H686" s="3" t="str">
        <f t="shared" si="47"/>
        <v>Human Resource.Position Type</v>
      </c>
      <c r="I686"/>
      <c r="K686" t="s">
        <v>916</v>
      </c>
      <c r="L686" s="3" t="s">
        <v>973</v>
      </c>
      <c r="M686" s="3" t="s">
        <v>196</v>
      </c>
      <c r="Q686" s="3" t="s">
        <v>919</v>
      </c>
      <c r="U686" s="3" t="s">
        <v>93</v>
      </c>
      <c r="Y686" t="s">
        <v>92</v>
      </c>
      <c r="AB686" t="s">
        <v>92</v>
      </c>
      <c r="AH686" t="s">
        <v>92</v>
      </c>
    </row>
    <row r="687" spans="1:34" ht="15" hidden="1" customHeight="1">
      <c r="A687">
        <v>16940</v>
      </c>
      <c r="B687" s="3" t="s">
        <v>1475</v>
      </c>
      <c r="C687" s="3" t="str">
        <f t="shared" si="48"/>
        <v>hrPositionType.DisplaySequence</v>
      </c>
      <c r="D687" s="3">
        <v>604</v>
      </c>
      <c r="E687" s="3" t="str">
        <f t="shared" si="46"/>
        <v>hrPositionType</v>
      </c>
      <c r="F687" t="s">
        <v>6055</v>
      </c>
      <c r="G687" s="3" t="s">
        <v>6432</v>
      </c>
      <c r="H687" s="3" t="str">
        <f t="shared" si="47"/>
        <v>Human Resource.Position Type</v>
      </c>
      <c r="I687"/>
      <c r="K687" s="3" t="s">
        <v>6297</v>
      </c>
      <c r="M687" s="3" t="s">
        <v>195</v>
      </c>
      <c r="U687" s="3" t="s">
        <v>93</v>
      </c>
    </row>
    <row r="688" spans="1:34" ht="15" hidden="1" customHeight="1">
      <c r="A688">
        <v>16950</v>
      </c>
      <c r="B688" s="3" t="s">
        <v>1475</v>
      </c>
      <c r="C688" s="3" t="str">
        <f t="shared" si="48"/>
        <v>hrPositionType.RowStatus</v>
      </c>
      <c r="D688" s="3">
        <v>604</v>
      </c>
      <c r="E688" s="3" t="str">
        <f t="shared" si="46"/>
        <v>hrPositionType</v>
      </c>
      <c r="F688" t="s">
        <v>1445</v>
      </c>
      <c r="G688" s="3" t="s">
        <v>6411</v>
      </c>
      <c r="H688" s="3" t="str">
        <f t="shared" si="47"/>
        <v>Human Resource.Position Type</v>
      </c>
      <c r="I688"/>
      <c r="K688" s="3" t="s">
        <v>2471</v>
      </c>
      <c r="M688" t="s">
        <v>976</v>
      </c>
      <c r="N688">
        <v>1</v>
      </c>
      <c r="Q688" s="3" t="s">
        <v>919</v>
      </c>
      <c r="U688" s="3" t="s">
        <v>94</v>
      </c>
    </row>
    <row r="689" spans="1:24" ht="15" hidden="1" customHeight="1">
      <c r="A689">
        <v>16960</v>
      </c>
      <c r="B689" t="s">
        <v>1475</v>
      </c>
      <c r="C689" s="3" t="str">
        <f t="shared" si="48"/>
        <v>hrPositionType.sysChangeHistoryID</v>
      </c>
      <c r="D689">
        <v>604</v>
      </c>
      <c r="E689" s="3" t="str">
        <f t="shared" si="46"/>
        <v>hrPositionType</v>
      </c>
      <c r="F689" t="s">
        <v>2497</v>
      </c>
      <c r="G689" s="3" t="s">
        <v>6403</v>
      </c>
      <c r="H689" s="3" t="str">
        <f t="shared" si="47"/>
        <v>Human Resource.Position Type</v>
      </c>
      <c r="I689"/>
      <c r="K689" t="s">
        <v>1210</v>
      </c>
      <c r="L689"/>
      <c r="M689" t="s">
        <v>6007</v>
      </c>
      <c r="N689"/>
      <c r="O689"/>
      <c r="P689"/>
      <c r="Q689" t="s">
        <v>92</v>
      </c>
      <c r="R689"/>
      <c r="S689"/>
      <c r="U689" t="s">
        <v>1429</v>
      </c>
      <c r="W689" s="3"/>
      <c r="X689" s="3"/>
    </row>
    <row r="690" spans="1:24" ht="15" hidden="1" customHeight="1">
      <c r="A690">
        <v>18080</v>
      </c>
      <c r="B690" t="s">
        <v>1475</v>
      </c>
      <c r="C690" s="3" t="str">
        <f t="shared" si="48"/>
        <v>sysChangeHistory.ID</v>
      </c>
      <c r="D690">
        <v>4</v>
      </c>
      <c r="E690" s="3" t="str">
        <f t="shared" si="46"/>
        <v>sysChangeHistory</v>
      </c>
      <c r="F690" t="s">
        <v>0</v>
      </c>
      <c r="G690" s="3" t="s">
        <v>6721</v>
      </c>
      <c r="H690" s="3" t="str">
        <f t="shared" si="47"/>
        <v>System.Change History</v>
      </c>
      <c r="I690"/>
      <c r="K690" t="s">
        <v>0</v>
      </c>
      <c r="L690"/>
      <c r="M690" t="s">
        <v>6007</v>
      </c>
      <c r="N690"/>
      <c r="O690"/>
      <c r="P690"/>
      <c r="Q690" s="3" t="s">
        <v>919</v>
      </c>
      <c r="R690"/>
      <c r="S690"/>
      <c r="U690" s="3" t="s">
        <v>95</v>
      </c>
    </row>
    <row r="691" spans="1:24" ht="15" hidden="1" customHeight="1">
      <c r="A691">
        <v>18090</v>
      </c>
      <c r="B691" t="s">
        <v>1475</v>
      </c>
      <c r="C691" s="3" t="str">
        <f t="shared" si="48"/>
        <v>sysChangeHistory.crmContactIDUser</v>
      </c>
      <c r="D691">
        <v>4</v>
      </c>
      <c r="E691" s="3" t="str">
        <f t="shared" si="46"/>
        <v>sysChangeHistory</v>
      </c>
      <c r="F691" t="str">
        <f>VLOOKUP(V691,DictionaryTableID,3,FALSE)&amp;"ID"&amp;X691</f>
        <v>crmContactIDUser</v>
      </c>
      <c r="G691" s="3" t="s">
        <v>6722</v>
      </c>
      <c r="H691" s="3" t="str">
        <f t="shared" si="47"/>
        <v>System.Change History</v>
      </c>
      <c r="I691"/>
      <c r="K691" t="s">
        <v>2470</v>
      </c>
      <c r="L691"/>
      <c r="M691" t="s">
        <v>6007</v>
      </c>
      <c r="N691"/>
      <c r="O691"/>
      <c r="P691"/>
      <c r="Q691" t="s">
        <v>92</v>
      </c>
      <c r="R691"/>
      <c r="S691"/>
      <c r="U691" t="s">
        <v>96</v>
      </c>
      <c r="V691">
        <v>100</v>
      </c>
      <c r="W691" s="3" t="str">
        <f>VLOOKUP(V691,DictionaryTableID,3,FALSE)</f>
        <v>crmContact</v>
      </c>
      <c r="X691" s="3" t="s">
        <v>1228</v>
      </c>
    </row>
    <row r="692" spans="1:24" ht="15" hidden="1" customHeight="1">
      <c r="A692">
        <v>18100</v>
      </c>
      <c r="B692" t="s">
        <v>1475</v>
      </c>
      <c r="C692" s="3" t="str">
        <f t="shared" si="48"/>
        <v>sysChangeHistory.sysCommandID</v>
      </c>
      <c r="D692">
        <v>4</v>
      </c>
      <c r="E692" s="3" t="str">
        <f t="shared" si="46"/>
        <v>sysChangeHistory</v>
      </c>
      <c r="F692" t="str">
        <f>VLOOKUP(V692,SystemTableId,3,FALSE)&amp;"ID"&amp;X692</f>
        <v>sysCommandID</v>
      </c>
      <c r="G692" s="3" t="s">
        <v>6533</v>
      </c>
      <c r="H692" s="3" t="str">
        <f t="shared" si="47"/>
        <v>System.Change History</v>
      </c>
      <c r="I692"/>
      <c r="K692" t="s">
        <v>35</v>
      </c>
      <c r="L692"/>
      <c r="M692" t="s">
        <v>6007</v>
      </c>
      <c r="N692"/>
      <c r="O692"/>
      <c r="P692"/>
      <c r="Q692" t="s">
        <v>92</v>
      </c>
      <c r="R692"/>
      <c r="S692"/>
      <c r="U692" t="s">
        <v>96</v>
      </c>
      <c r="V692">
        <v>13</v>
      </c>
      <c r="W692" s="3" t="str">
        <f>VLOOKUP(V692,SystemTableId,3,FALSE)</f>
        <v>sysCommand</v>
      </c>
      <c r="X692" s="3" t="s">
        <v>1036</v>
      </c>
    </row>
    <row r="693" spans="1:24" ht="15" customHeight="1">
      <c r="A693">
        <v>18110</v>
      </c>
      <c r="B693" t="s">
        <v>1475</v>
      </c>
      <c r="C693" s="3" t="str">
        <f t="shared" si="48"/>
        <v>sysChangeHistory.sysDictionaryTableIDAppliesTo</v>
      </c>
      <c r="D693">
        <v>4</v>
      </c>
      <c r="E693" s="3" t="str">
        <f t="shared" si="46"/>
        <v>sysChangeHistory</v>
      </c>
      <c r="F693" t="str">
        <f>"sysDictionaryTableID"&amp;X693</f>
        <v>sysDictionaryTableIDAppliesTo</v>
      </c>
      <c r="G693" s="3" t="s">
        <v>6723</v>
      </c>
      <c r="H693" s="3" t="str">
        <f t="shared" si="47"/>
        <v>System.Change History</v>
      </c>
      <c r="I693"/>
      <c r="K693" t="s">
        <v>2488</v>
      </c>
      <c r="L693"/>
      <c r="M693" t="s">
        <v>6007</v>
      </c>
      <c r="N693"/>
      <c r="O693"/>
      <c r="P693"/>
      <c r="Q693" s="3" t="s">
        <v>92</v>
      </c>
      <c r="R693"/>
      <c r="S693" s="19"/>
      <c r="U693" t="s">
        <v>1072</v>
      </c>
      <c r="V693">
        <v>1</v>
      </c>
      <c r="W693" s="3" t="str">
        <f>VLOOKUP(V693,DictionaryTableID,3,FALSE)</f>
        <v>sysDictionaryTable</v>
      </c>
      <c r="X693" s="3" t="s">
        <v>1453</v>
      </c>
    </row>
    <row r="694" spans="1:24" ht="15" customHeight="1">
      <c r="A694">
        <v>18120</v>
      </c>
      <c r="B694" t="s">
        <v>1475</v>
      </c>
      <c r="C694" s="3" t="str">
        <f t="shared" si="48"/>
        <v>sysChangeHistory.RowIDAppliesTo</v>
      </c>
      <c r="D694">
        <v>4</v>
      </c>
      <c r="E694" s="3" t="str">
        <f t="shared" si="46"/>
        <v>sysChangeHistory</v>
      </c>
      <c r="F694" t="s">
        <v>6150</v>
      </c>
      <c r="G694" s="3" t="s">
        <v>6724</v>
      </c>
      <c r="H694" s="3" t="str">
        <f t="shared" si="47"/>
        <v>System.Change History</v>
      </c>
      <c r="I694"/>
      <c r="K694" t="s">
        <v>2490</v>
      </c>
      <c r="L694"/>
      <c r="M694" t="s">
        <v>6007</v>
      </c>
      <c r="N694"/>
      <c r="O694"/>
      <c r="P694"/>
      <c r="Q694" s="3" t="s">
        <v>92</v>
      </c>
      <c r="R694"/>
      <c r="S694"/>
      <c r="U694" t="s">
        <v>1072</v>
      </c>
      <c r="X694" s="3" t="s">
        <v>1453</v>
      </c>
    </row>
    <row r="695" spans="1:24" ht="15" hidden="1" customHeight="1">
      <c r="A695">
        <v>18125</v>
      </c>
      <c r="B695" t="s">
        <v>1475</v>
      </c>
      <c r="C695" s="3" t="str">
        <f t="shared" si="48"/>
        <v>sysChangeHistory.RowTemporalEndDate</v>
      </c>
      <c r="D695">
        <v>4</v>
      </c>
      <c r="E695" s="3" t="str">
        <f t="shared" si="46"/>
        <v>sysChangeHistory</v>
      </c>
      <c r="F695" t="s">
        <v>6153</v>
      </c>
      <c r="G695" s="3" t="s">
        <v>6144</v>
      </c>
      <c r="H695" s="3" t="str">
        <f t="shared" si="47"/>
        <v>System.Change History</v>
      </c>
      <c r="I695"/>
      <c r="K695" t="s">
        <v>6143</v>
      </c>
      <c r="L695"/>
      <c r="M695" s="3" t="s">
        <v>81</v>
      </c>
      <c r="N695"/>
      <c r="O695"/>
      <c r="P695"/>
      <c r="Q695" t="s">
        <v>92</v>
      </c>
      <c r="R695"/>
      <c r="S695"/>
      <c r="U695" t="s">
        <v>93</v>
      </c>
    </row>
    <row r="696" spans="1:24" ht="15" hidden="1" customHeight="1">
      <c r="A696">
        <v>18130</v>
      </c>
      <c r="B696" t="s">
        <v>1475</v>
      </c>
      <c r="C696" s="3" t="str">
        <f t="shared" si="48"/>
        <v>sysChangeHistory.ChangeDate</v>
      </c>
      <c r="D696">
        <v>4</v>
      </c>
      <c r="E696" s="3" t="str">
        <f t="shared" si="46"/>
        <v>sysChangeHistory</v>
      </c>
      <c r="F696" t="s">
        <v>1536</v>
      </c>
      <c r="G696" s="3" t="s">
        <v>6725</v>
      </c>
      <c r="H696" s="3" t="str">
        <f t="shared" si="47"/>
        <v>System.Change History</v>
      </c>
      <c r="I696"/>
      <c r="K696" t="s">
        <v>2469</v>
      </c>
      <c r="L696"/>
      <c r="M696" t="s">
        <v>1074</v>
      </c>
      <c r="N696"/>
      <c r="O696"/>
      <c r="P696"/>
      <c r="Q696" t="s">
        <v>92</v>
      </c>
      <c r="R696"/>
      <c r="S696"/>
      <c r="U696" t="s">
        <v>93</v>
      </c>
    </row>
    <row r="697" spans="1:24" ht="15" hidden="1" customHeight="1">
      <c r="A697">
        <v>18135</v>
      </c>
      <c r="B697" t="s">
        <v>1475</v>
      </c>
      <c r="C697" s="3" t="str">
        <f t="shared" si="48"/>
        <v>sysChangeHistory.IsExported</v>
      </c>
      <c r="D697">
        <v>4</v>
      </c>
      <c r="E697" s="3" t="str">
        <f t="shared" si="46"/>
        <v>sysChangeHistory</v>
      </c>
      <c r="F697" t="s">
        <v>1337</v>
      </c>
      <c r="G697" s="3" t="s">
        <v>6270</v>
      </c>
      <c r="H697" s="3" t="str">
        <f t="shared" si="47"/>
        <v>System.Change History</v>
      </c>
      <c r="I697"/>
      <c r="K697" t="s">
        <v>6271</v>
      </c>
      <c r="L697"/>
      <c r="M697" t="s">
        <v>2402</v>
      </c>
      <c r="N697"/>
      <c r="O697"/>
      <c r="P697"/>
      <c r="Q697" t="s">
        <v>92</v>
      </c>
      <c r="R697"/>
      <c r="S697"/>
      <c r="U697" t="s">
        <v>93</v>
      </c>
    </row>
    <row r="698" spans="1:24" ht="15" hidden="1" customHeight="1">
      <c r="A698">
        <v>18136</v>
      </c>
      <c r="B698" t="s">
        <v>1475</v>
      </c>
      <c r="C698" s="3" t="str">
        <f t="shared" si="48"/>
        <v>sysChangeHistory.IsMaxRecordsIgnored</v>
      </c>
      <c r="D698">
        <v>4</v>
      </c>
      <c r="E698" s="3" t="str">
        <f t="shared" si="46"/>
        <v>sysChangeHistory</v>
      </c>
      <c r="F698" t="s">
        <v>6158</v>
      </c>
      <c r="G698" s="3" t="s">
        <v>6159</v>
      </c>
      <c r="H698" s="3" t="str">
        <f t="shared" si="47"/>
        <v>System.Change History</v>
      </c>
      <c r="I698"/>
      <c r="K698" t="s">
        <v>6160</v>
      </c>
      <c r="L698"/>
      <c r="M698" t="s">
        <v>2402</v>
      </c>
      <c r="N698"/>
      <c r="O698"/>
      <c r="P698"/>
      <c r="Q698" t="s">
        <v>92</v>
      </c>
      <c r="R698"/>
      <c r="S698"/>
      <c r="U698" t="s">
        <v>93</v>
      </c>
    </row>
    <row r="699" spans="1:24" ht="15" hidden="1" customHeight="1">
      <c r="A699">
        <v>18140</v>
      </c>
      <c r="B699" t="s">
        <v>1475</v>
      </c>
      <c r="C699" s="3" t="str">
        <f t="shared" si="48"/>
        <v>sysChangeHistory.Comments</v>
      </c>
      <c r="D699">
        <v>4</v>
      </c>
      <c r="E699" s="3" t="str">
        <f t="shared" si="46"/>
        <v>sysChangeHistory</v>
      </c>
      <c r="F699" t="s">
        <v>14</v>
      </c>
      <c r="G699" s="3" t="s">
        <v>6421</v>
      </c>
      <c r="H699" s="3" t="str">
        <f t="shared" si="47"/>
        <v>System.Change History</v>
      </c>
      <c r="I699"/>
      <c r="K699" s="3" t="s">
        <v>14</v>
      </c>
      <c r="L699"/>
      <c r="M699" t="s">
        <v>196</v>
      </c>
      <c r="N699"/>
      <c r="O699"/>
      <c r="P699"/>
      <c r="Q699" t="s">
        <v>92</v>
      </c>
      <c r="R699"/>
      <c r="S699"/>
      <c r="U699" t="s">
        <v>93</v>
      </c>
    </row>
    <row r="700" spans="1:24" ht="15" hidden="1" customHeight="1">
      <c r="A700">
        <v>18170</v>
      </c>
      <c r="B700" t="s">
        <v>1475</v>
      </c>
      <c r="C700" s="3" t="str">
        <f t="shared" si="48"/>
        <v>sysChangeHistory.sysChangeHistoryIdUndo</v>
      </c>
      <c r="D700">
        <v>4</v>
      </c>
      <c r="E700" s="3" t="str">
        <f t="shared" si="46"/>
        <v>sysChangeHistory</v>
      </c>
      <c r="F700" t="s">
        <v>2860</v>
      </c>
      <c r="G700" s="3" t="s">
        <v>6726</v>
      </c>
      <c r="H700" s="3" t="str">
        <f t="shared" si="47"/>
        <v>System.Change History</v>
      </c>
      <c r="I700"/>
      <c r="K700" t="s">
        <v>1117</v>
      </c>
      <c r="L700"/>
      <c r="M700" t="s">
        <v>6007</v>
      </c>
      <c r="N700"/>
      <c r="O700"/>
      <c r="P700"/>
      <c r="Q700" t="s">
        <v>92</v>
      </c>
      <c r="R700"/>
      <c r="S700"/>
      <c r="U700" t="s">
        <v>93</v>
      </c>
      <c r="W700" s="4"/>
    </row>
    <row r="701" spans="1:24" ht="15" hidden="1" customHeight="1">
      <c r="A701">
        <v>18190</v>
      </c>
      <c r="B701" t="s">
        <v>1475</v>
      </c>
      <c r="C701" s="3" t="str">
        <f t="shared" si="48"/>
        <v>sysChangeHistory.RowStatus</v>
      </c>
      <c r="D701">
        <v>4</v>
      </c>
      <c r="E701" s="3" t="str">
        <f t="shared" si="46"/>
        <v>sysChangeHistory</v>
      </c>
      <c r="F701" t="s">
        <v>1445</v>
      </c>
      <c r="G701" s="3" t="s">
        <v>6411</v>
      </c>
      <c r="H701" s="3" t="str">
        <f t="shared" si="47"/>
        <v>System.Change History</v>
      </c>
      <c r="I701"/>
      <c r="K701" t="s">
        <v>2471</v>
      </c>
      <c r="L701"/>
      <c r="M701" t="s">
        <v>976</v>
      </c>
      <c r="N701">
        <v>1</v>
      </c>
      <c r="O701"/>
      <c r="P701"/>
      <c r="Q701" t="s">
        <v>919</v>
      </c>
      <c r="R701"/>
      <c r="S701" s="14"/>
      <c r="U701" t="s">
        <v>94</v>
      </c>
    </row>
    <row r="702" spans="1:24" ht="15" hidden="1" customHeight="1">
      <c r="A702">
        <v>18210</v>
      </c>
      <c r="B702" t="s">
        <v>1475</v>
      </c>
      <c r="C702" s="3" t="str">
        <f t="shared" si="48"/>
        <v>sysChangeHistoryRow.ID</v>
      </c>
      <c r="D702">
        <v>6</v>
      </c>
      <c r="E702" s="3" t="str">
        <f t="shared" si="46"/>
        <v>sysChangeHistoryRow</v>
      </c>
      <c r="F702" t="s">
        <v>0</v>
      </c>
      <c r="G702" s="3" t="s">
        <v>6727</v>
      </c>
      <c r="H702" s="3" t="str">
        <f t="shared" si="47"/>
        <v>System.Change History Row</v>
      </c>
      <c r="I702"/>
      <c r="K702" t="s">
        <v>0</v>
      </c>
      <c r="L702"/>
      <c r="M702" t="s">
        <v>6007</v>
      </c>
      <c r="N702"/>
      <c r="O702"/>
      <c r="P702"/>
      <c r="Q702" s="3" t="s">
        <v>919</v>
      </c>
      <c r="R702"/>
      <c r="S702"/>
      <c r="U702" s="3" t="s">
        <v>95</v>
      </c>
    </row>
    <row r="703" spans="1:24" ht="15" hidden="1" customHeight="1">
      <c r="A703">
        <v>18220</v>
      </c>
      <c r="B703" t="s">
        <v>1475</v>
      </c>
      <c r="C703" s="3" t="str">
        <f t="shared" si="48"/>
        <v>sysChangeHistoryRow.sysChangeHistoryID</v>
      </c>
      <c r="D703">
        <v>6</v>
      </c>
      <c r="E703" s="3" t="str">
        <f t="shared" ref="E703:E766" si="51">VLOOKUP(D703,DictionaryTableID,3,FALSE)</f>
        <v>sysChangeHistoryRow</v>
      </c>
      <c r="F703" t="str">
        <f>VLOOKUP(V703,DictionaryTableID,3,FALSE)&amp;"ID"&amp;X703</f>
        <v>sysChangeHistoryID</v>
      </c>
      <c r="G703" s="3" t="s">
        <v>6728</v>
      </c>
      <c r="H703" s="3" t="str">
        <f t="shared" ref="H703:H766" si="52">VLOOKUP(E703,DictionaryTables,14,FALSE)</f>
        <v>System.Change History Row</v>
      </c>
      <c r="I703"/>
      <c r="K703" t="s">
        <v>5994</v>
      </c>
      <c r="L703"/>
      <c r="M703" t="s">
        <v>6007</v>
      </c>
      <c r="N703"/>
      <c r="O703"/>
      <c r="P703"/>
      <c r="Q703" t="s">
        <v>92</v>
      </c>
      <c r="R703"/>
      <c r="S703" s="21"/>
      <c r="U703" t="s">
        <v>96</v>
      </c>
      <c r="V703">
        <v>4</v>
      </c>
      <c r="W703" s="3" t="str">
        <f>VLOOKUP(V703,DictionaryTableID,3,FALSE)</f>
        <v>sysChangeHistory</v>
      </c>
      <c r="X703" s="3"/>
    </row>
    <row r="704" spans="1:24" ht="15" customHeight="1">
      <c r="A704">
        <v>18230</v>
      </c>
      <c r="B704" t="s">
        <v>1475</v>
      </c>
      <c r="C704" s="3" t="str">
        <f t="shared" si="48"/>
        <v>sysChangeHistoryRow.sysDictionaryTableIDAppliesTo</v>
      </c>
      <c r="D704">
        <v>6</v>
      </c>
      <c r="E704" s="3" t="str">
        <f t="shared" si="51"/>
        <v>sysChangeHistoryRow</v>
      </c>
      <c r="F704" t="str">
        <f>VLOOKUP(V704,DictionaryTableID,3,FALSE)&amp;"ID"&amp;X704</f>
        <v>sysDictionaryTableIDAppliesTo</v>
      </c>
      <c r="G704" s="3" t="s">
        <v>6729</v>
      </c>
      <c r="H704" s="3" t="str">
        <f t="shared" si="52"/>
        <v>System.Change History Row</v>
      </c>
      <c r="I704"/>
      <c r="K704" t="s">
        <v>2472</v>
      </c>
      <c r="L704"/>
      <c r="M704" t="s">
        <v>6007</v>
      </c>
      <c r="N704"/>
      <c r="O704"/>
      <c r="P704"/>
      <c r="Q704" t="s">
        <v>919</v>
      </c>
      <c r="R704"/>
      <c r="S704" s="21"/>
      <c r="U704" t="s">
        <v>1072</v>
      </c>
      <c r="V704">
        <v>1</v>
      </c>
      <c r="W704" s="3" t="str">
        <f>VLOOKUP(V704,DictionaryTableID,3,FALSE)</f>
        <v>sysDictionaryTable</v>
      </c>
      <c r="X704" t="s">
        <v>1453</v>
      </c>
    </row>
    <row r="705" spans="1:24" ht="15" customHeight="1">
      <c r="A705">
        <v>18250</v>
      </c>
      <c r="B705" t="s">
        <v>1475</v>
      </c>
      <c r="C705" s="3" t="str">
        <f t="shared" si="48"/>
        <v>sysChangeHistoryRow.RowIDAppliesTo</v>
      </c>
      <c r="D705">
        <v>6</v>
      </c>
      <c r="E705" s="3" t="str">
        <f t="shared" si="51"/>
        <v>sysChangeHistoryRow</v>
      </c>
      <c r="F705" t="s">
        <v>6150</v>
      </c>
      <c r="G705" s="3" t="s">
        <v>6724</v>
      </c>
      <c r="H705" s="3" t="str">
        <f t="shared" si="52"/>
        <v>System.Change History Row</v>
      </c>
      <c r="I705"/>
      <c r="K705" t="s">
        <v>2490</v>
      </c>
      <c r="L705"/>
      <c r="M705" t="s">
        <v>6007</v>
      </c>
      <c r="N705"/>
      <c r="O705"/>
      <c r="P705"/>
      <c r="Q705" t="s">
        <v>919</v>
      </c>
      <c r="R705"/>
      <c r="S705"/>
      <c r="U705" t="s">
        <v>1072</v>
      </c>
      <c r="X705" t="s">
        <v>1453</v>
      </c>
    </row>
    <row r="706" spans="1:24" ht="15" hidden="1" customHeight="1">
      <c r="A706">
        <v>18260</v>
      </c>
      <c r="B706" t="s">
        <v>1475</v>
      </c>
      <c r="C706" s="3" t="str">
        <f t="shared" ref="C706:C769" si="53">CONCATENATE(E706,".",F706)</f>
        <v>sysChangeHistoryRow.RowTemporalEndDate</v>
      </c>
      <c r="D706">
        <v>6</v>
      </c>
      <c r="E706" s="3" t="str">
        <f t="shared" si="51"/>
        <v>sysChangeHistoryRow</v>
      </c>
      <c r="F706" t="s">
        <v>6153</v>
      </c>
      <c r="G706" s="3" t="s">
        <v>6144</v>
      </c>
      <c r="H706" s="3" t="str">
        <f t="shared" si="52"/>
        <v>System.Change History Row</v>
      </c>
      <c r="I706"/>
      <c r="K706" t="s">
        <v>6143</v>
      </c>
      <c r="L706"/>
      <c r="M706" s="3" t="s">
        <v>81</v>
      </c>
      <c r="N706"/>
      <c r="O706"/>
      <c r="P706"/>
      <c r="Q706" t="s">
        <v>92</v>
      </c>
      <c r="R706"/>
      <c r="S706"/>
      <c r="U706" t="s">
        <v>93</v>
      </c>
    </row>
    <row r="707" spans="1:24" ht="15" hidden="1" customHeight="1">
      <c r="A707">
        <v>18270</v>
      </c>
      <c r="B707" t="s">
        <v>1475</v>
      </c>
      <c r="C707" s="3" t="str">
        <f t="shared" si="53"/>
        <v>sysChangeHistoryRow.ChangeDate</v>
      </c>
      <c r="D707">
        <v>6</v>
      </c>
      <c r="E707" s="3" t="str">
        <f t="shared" si="51"/>
        <v>sysChangeHistoryRow</v>
      </c>
      <c r="F707" t="s">
        <v>1536</v>
      </c>
      <c r="G707" s="3" t="s">
        <v>6725</v>
      </c>
      <c r="H707" s="3" t="str">
        <f t="shared" si="52"/>
        <v>System.Change History Row</v>
      </c>
      <c r="I707"/>
      <c r="K707" t="s">
        <v>2469</v>
      </c>
      <c r="L707"/>
      <c r="M707" t="s">
        <v>1074</v>
      </c>
      <c r="N707"/>
      <c r="O707"/>
      <c r="P707"/>
      <c r="Q707" t="s">
        <v>92</v>
      </c>
      <c r="R707"/>
      <c r="S707"/>
      <c r="U707" t="s">
        <v>93</v>
      </c>
      <c r="W707" s="4"/>
    </row>
    <row r="708" spans="1:24" ht="15" hidden="1" customHeight="1">
      <c r="A708">
        <v>18280</v>
      </c>
      <c r="B708" t="s">
        <v>1475</v>
      </c>
      <c r="C708" s="3" t="str">
        <f t="shared" si="53"/>
        <v>sysChangeHistoryRow.ActionType</v>
      </c>
      <c r="D708">
        <v>6</v>
      </c>
      <c r="E708" s="3" t="str">
        <f t="shared" si="51"/>
        <v>sysChangeHistoryRow</v>
      </c>
      <c r="F708" t="s">
        <v>1118</v>
      </c>
      <c r="G708" s="3" t="s">
        <v>6173</v>
      </c>
      <c r="H708" s="3" t="str">
        <f t="shared" si="52"/>
        <v>System.Change History Row</v>
      </c>
      <c r="I708"/>
      <c r="K708" t="s">
        <v>1978</v>
      </c>
      <c r="L708"/>
      <c r="M708" t="s">
        <v>196</v>
      </c>
      <c r="O708"/>
      <c r="P708"/>
      <c r="Q708" t="s">
        <v>92</v>
      </c>
      <c r="R708"/>
      <c r="S708"/>
      <c r="U708" t="s">
        <v>93</v>
      </c>
    </row>
    <row r="709" spans="1:24" ht="15" hidden="1" customHeight="1">
      <c r="A709">
        <v>18290</v>
      </c>
      <c r="B709" t="s">
        <v>1475</v>
      </c>
      <c r="C709" s="3" t="str">
        <f t="shared" si="53"/>
        <v>sysChangeHistoryRow.OperationType</v>
      </c>
      <c r="D709">
        <v>6</v>
      </c>
      <c r="E709" s="3" t="str">
        <f t="shared" si="51"/>
        <v>sysChangeHistoryRow</v>
      </c>
      <c r="F709" t="s">
        <v>6172</v>
      </c>
      <c r="G709" s="3" t="s">
        <v>6174</v>
      </c>
      <c r="H709" s="3" t="str">
        <f t="shared" si="52"/>
        <v>System.Change History Row</v>
      </c>
      <c r="I709"/>
      <c r="K709" t="s">
        <v>1119</v>
      </c>
      <c r="L709"/>
      <c r="M709" t="s">
        <v>196</v>
      </c>
      <c r="O709"/>
      <c r="P709"/>
      <c r="Q709" t="s">
        <v>92</v>
      </c>
      <c r="R709"/>
      <c r="S709"/>
      <c r="U709" t="s">
        <v>93</v>
      </c>
      <c r="W709" s="4"/>
    </row>
    <row r="710" spans="1:24" ht="15" hidden="1" customHeight="1">
      <c r="A710">
        <v>18300</v>
      </c>
      <c r="B710" t="s">
        <v>1475</v>
      </c>
      <c r="C710" s="3" t="str">
        <f t="shared" si="53"/>
        <v>sysChangeHistoryRow.OldData</v>
      </c>
      <c r="D710">
        <v>6</v>
      </c>
      <c r="E710" s="3" t="str">
        <f t="shared" si="51"/>
        <v>sysChangeHistoryRow</v>
      </c>
      <c r="F710" t="s">
        <v>6129</v>
      </c>
      <c r="G710" s="3" t="s">
        <v>6730</v>
      </c>
      <c r="H710" s="3" t="str">
        <f t="shared" si="52"/>
        <v>System.Change History Row</v>
      </c>
      <c r="I710"/>
      <c r="K710" t="s">
        <v>6131</v>
      </c>
      <c r="L710"/>
      <c r="M710" t="s">
        <v>6134</v>
      </c>
      <c r="N710"/>
      <c r="O710"/>
      <c r="P710"/>
      <c r="Q710" t="s">
        <v>92</v>
      </c>
      <c r="R710"/>
      <c r="S710"/>
      <c r="U710" t="s">
        <v>93</v>
      </c>
      <c r="W710" s="4"/>
    </row>
    <row r="711" spans="1:24" ht="15" hidden="1" customHeight="1">
      <c r="A711">
        <v>18310</v>
      </c>
      <c r="B711" t="s">
        <v>1475</v>
      </c>
      <c r="C711" s="3" t="str">
        <f t="shared" si="53"/>
        <v>sysChangeHistoryRow.NewData</v>
      </c>
      <c r="D711">
        <v>6</v>
      </c>
      <c r="E711" s="3" t="str">
        <f t="shared" si="51"/>
        <v>sysChangeHistoryRow</v>
      </c>
      <c r="F711" t="s">
        <v>6130</v>
      </c>
      <c r="G711" s="3" t="s">
        <v>6731</v>
      </c>
      <c r="H711" s="3" t="str">
        <f t="shared" si="52"/>
        <v>System.Change History Row</v>
      </c>
      <c r="I711"/>
      <c r="K711" t="s">
        <v>6132</v>
      </c>
      <c r="L711"/>
      <c r="M711" t="s">
        <v>6134</v>
      </c>
      <c r="N711"/>
      <c r="O711"/>
      <c r="P711"/>
      <c r="Q711" t="s">
        <v>92</v>
      </c>
      <c r="R711"/>
      <c r="S711"/>
      <c r="U711" t="s">
        <v>93</v>
      </c>
      <c r="W711" s="4"/>
    </row>
    <row r="712" spans="1:24" ht="15" hidden="1" customHeight="1">
      <c r="A712">
        <v>18320</v>
      </c>
      <c r="B712" t="s">
        <v>1475</v>
      </c>
      <c r="C712" s="3" t="str">
        <f t="shared" si="53"/>
        <v>sysChangeHistoryRow.IsProcessed</v>
      </c>
      <c r="D712">
        <v>6</v>
      </c>
      <c r="E712" s="3" t="str">
        <f t="shared" si="51"/>
        <v>sysChangeHistoryRow</v>
      </c>
      <c r="F712" t="s">
        <v>1122</v>
      </c>
      <c r="G712" s="3" t="s">
        <v>6732</v>
      </c>
      <c r="H712" s="3" t="str">
        <f t="shared" si="52"/>
        <v>System.Change History Row</v>
      </c>
      <c r="I712"/>
      <c r="K712" t="s">
        <v>6133</v>
      </c>
      <c r="L712"/>
      <c r="M712" s="3" t="s">
        <v>2402</v>
      </c>
      <c r="N712"/>
      <c r="O712"/>
      <c r="P712"/>
      <c r="Q712" t="s">
        <v>92</v>
      </c>
      <c r="R712"/>
      <c r="S712"/>
      <c r="U712" t="s">
        <v>93</v>
      </c>
      <c r="W712" s="4"/>
    </row>
    <row r="713" spans="1:24" ht="15" hidden="1" customHeight="1">
      <c r="A713">
        <v>18330</v>
      </c>
      <c r="B713" t="s">
        <v>1475</v>
      </c>
      <c r="C713" s="3" t="str">
        <f t="shared" si="53"/>
        <v>sysChangeHistoryColumn.ID</v>
      </c>
      <c r="D713">
        <v>7</v>
      </c>
      <c r="E713" s="3" t="str">
        <f t="shared" si="51"/>
        <v>sysChangeHistoryColumn</v>
      </c>
      <c r="F713" t="s">
        <v>0</v>
      </c>
      <c r="G713" s="3" t="s">
        <v>6733</v>
      </c>
      <c r="H713" s="3" t="str">
        <f t="shared" si="52"/>
        <v>System.Change History Column</v>
      </c>
      <c r="I713"/>
      <c r="K713" t="s">
        <v>0</v>
      </c>
      <c r="L713"/>
      <c r="M713" t="s">
        <v>6007</v>
      </c>
      <c r="N713"/>
      <c r="O713"/>
      <c r="P713"/>
      <c r="Q713" s="3" t="s">
        <v>919</v>
      </c>
      <c r="R713"/>
      <c r="S713"/>
      <c r="U713" s="3" t="s">
        <v>95</v>
      </c>
    </row>
    <row r="714" spans="1:24" ht="15" hidden="1" customHeight="1">
      <c r="A714">
        <v>18340</v>
      </c>
      <c r="B714" t="s">
        <v>1475</v>
      </c>
      <c r="C714" s="3" t="str">
        <f t="shared" si="53"/>
        <v>sysChangeHistoryColumn.sysChangeHistoryRowID</v>
      </c>
      <c r="D714">
        <v>7</v>
      </c>
      <c r="E714" s="3" t="str">
        <f t="shared" si="51"/>
        <v>sysChangeHistoryColumn</v>
      </c>
      <c r="F714" t="str">
        <f>VLOOKUP(V714,DictionaryTableID,3,FALSE)&amp;"ID"&amp;X714</f>
        <v>sysChangeHistoryRowID</v>
      </c>
      <c r="G714" s="3" t="s">
        <v>6734</v>
      </c>
      <c r="H714" s="3" t="str">
        <f t="shared" si="52"/>
        <v>System.Change History Column</v>
      </c>
      <c r="I714"/>
      <c r="K714" t="s">
        <v>5991</v>
      </c>
      <c r="L714"/>
      <c r="M714" t="s">
        <v>6007</v>
      </c>
      <c r="N714"/>
      <c r="O714"/>
      <c r="P714"/>
      <c r="Q714" t="s">
        <v>919</v>
      </c>
      <c r="R714"/>
      <c r="S714"/>
      <c r="U714" t="s">
        <v>96</v>
      </c>
      <c r="V714">
        <v>6</v>
      </c>
      <c r="W714" s="3" t="str">
        <f>VLOOKUP(V714,DictionaryTableID,3,FALSE)</f>
        <v>sysChangeHistoryRow</v>
      </c>
    </row>
    <row r="715" spans="1:24" ht="15" hidden="1" customHeight="1">
      <c r="A715">
        <v>18345</v>
      </c>
      <c r="B715" t="s">
        <v>1475</v>
      </c>
      <c r="C715" s="3" t="str">
        <f t="shared" si="53"/>
        <v>sysChangeHistoryColumn.sysDictionaryColumnID</v>
      </c>
      <c r="D715">
        <v>7</v>
      </c>
      <c r="E715" s="3" t="str">
        <f t="shared" si="51"/>
        <v>sysChangeHistoryColumn</v>
      </c>
      <c r="F715" t="str">
        <f>VLOOKUP(V715,DictionaryTableID,3,FALSE)&amp;"ID"&amp;X715</f>
        <v>sysDictionaryColumnID</v>
      </c>
      <c r="G715" s="3" t="s">
        <v>6735</v>
      </c>
      <c r="H715" s="3" t="str">
        <f t="shared" si="52"/>
        <v>System.Change History Column</v>
      </c>
      <c r="I715"/>
      <c r="K715" t="s">
        <v>5992</v>
      </c>
      <c r="L715"/>
      <c r="M715" t="s">
        <v>6007</v>
      </c>
      <c r="N715"/>
      <c r="O715"/>
      <c r="P715"/>
      <c r="Q715" t="s">
        <v>919</v>
      </c>
      <c r="R715"/>
      <c r="S715"/>
      <c r="U715" t="s">
        <v>96</v>
      </c>
      <c r="V715">
        <v>2</v>
      </c>
      <c r="W715" s="3" t="str">
        <f>VLOOKUP(V715,DictionaryTableID,3,FALSE)</f>
        <v>sysDictionaryColumn</v>
      </c>
    </row>
    <row r="716" spans="1:24" ht="15" hidden="1" customHeight="1">
      <c r="A716">
        <v>18350</v>
      </c>
      <c r="B716" t="s">
        <v>1475</v>
      </c>
      <c r="C716" s="3" t="str">
        <f t="shared" si="53"/>
        <v>sysChangeHistoryColumn.sysDictionaryTableIDBefore</v>
      </c>
      <c r="D716">
        <v>7</v>
      </c>
      <c r="E716" s="3" t="str">
        <f t="shared" si="51"/>
        <v>sysChangeHistoryColumn</v>
      </c>
      <c r="F716" t="str">
        <f>VLOOKUP(V716,DictionaryTableID,3,FALSE)&amp;"ID"&amp;X716</f>
        <v>sysDictionaryTableIDBefore</v>
      </c>
      <c r="G716" s="3" t="s">
        <v>6276</v>
      </c>
      <c r="H716" s="3" t="str">
        <f t="shared" si="52"/>
        <v>System.Change History Column</v>
      </c>
      <c r="I716"/>
      <c r="K716" t="s">
        <v>6281</v>
      </c>
      <c r="L716"/>
      <c r="M716" t="s">
        <v>6007</v>
      </c>
      <c r="N716"/>
      <c r="O716"/>
      <c r="P716"/>
      <c r="Q716" t="s">
        <v>92</v>
      </c>
      <c r="R716"/>
      <c r="S716" s="21"/>
      <c r="U716" t="s">
        <v>96</v>
      </c>
      <c r="V716">
        <v>1</v>
      </c>
      <c r="W716" s="3" t="str">
        <f>VLOOKUP(V716,DictionaryTableID,3,FALSE)</f>
        <v>sysDictionaryTable</v>
      </c>
      <c r="X716" t="s">
        <v>6273</v>
      </c>
    </row>
    <row r="717" spans="1:24" ht="15" hidden="1" customHeight="1">
      <c r="A717">
        <v>18355</v>
      </c>
      <c r="B717" t="s">
        <v>1475</v>
      </c>
      <c r="C717" s="3" t="str">
        <f t="shared" si="53"/>
        <v>sysChangeHistoryColumn.sysDictionaryTableIDAfter</v>
      </c>
      <c r="D717">
        <v>7</v>
      </c>
      <c r="E717" s="3" t="str">
        <f t="shared" si="51"/>
        <v>sysChangeHistoryColumn</v>
      </c>
      <c r="F717" t="str">
        <f>VLOOKUP(V717,DictionaryTableID,3,FALSE)&amp;"ID"&amp;X717</f>
        <v>sysDictionaryTableIDAfter</v>
      </c>
      <c r="G717" s="3" t="s">
        <v>6276</v>
      </c>
      <c r="H717" s="3" t="str">
        <f t="shared" si="52"/>
        <v>System.Change History Column</v>
      </c>
      <c r="I717"/>
      <c r="K717" t="s">
        <v>6282</v>
      </c>
      <c r="L717"/>
      <c r="M717" t="s">
        <v>6007</v>
      </c>
      <c r="N717"/>
      <c r="O717"/>
      <c r="P717"/>
      <c r="Q717" t="s">
        <v>92</v>
      </c>
      <c r="R717"/>
      <c r="S717" s="21"/>
      <c r="U717" t="s">
        <v>96</v>
      </c>
      <c r="V717">
        <v>1</v>
      </c>
      <c r="W717" s="3" t="str">
        <f>VLOOKUP(V717,DictionaryTableID,3,FALSE)</f>
        <v>sysDictionaryTable</v>
      </c>
      <c r="X717" t="s">
        <v>6272</v>
      </c>
    </row>
    <row r="718" spans="1:24" ht="15" hidden="1" customHeight="1">
      <c r="A718">
        <v>18360</v>
      </c>
      <c r="B718" t="s">
        <v>1475</v>
      </c>
      <c r="C718" s="3" t="str">
        <f t="shared" si="53"/>
        <v>sysChangeHistoryColumn.RawDataBefore</v>
      </c>
      <c r="D718">
        <v>7</v>
      </c>
      <c r="E718" s="3" t="str">
        <f t="shared" si="51"/>
        <v>sysChangeHistoryColumn</v>
      </c>
      <c r="F718" t="s">
        <v>6277</v>
      </c>
      <c r="G718" s="3" t="s">
        <v>6736</v>
      </c>
      <c r="H718" s="3" t="str">
        <f t="shared" si="52"/>
        <v>System.Change History Column</v>
      </c>
      <c r="I718"/>
      <c r="K718" t="s">
        <v>2475</v>
      </c>
      <c r="L718"/>
      <c r="M718" t="s">
        <v>196</v>
      </c>
      <c r="N718"/>
      <c r="O718"/>
      <c r="P718"/>
      <c r="Q718" t="s">
        <v>92</v>
      </c>
      <c r="R718"/>
      <c r="S718"/>
      <c r="U718" t="s">
        <v>93</v>
      </c>
    </row>
    <row r="719" spans="1:24" ht="15" hidden="1" customHeight="1">
      <c r="A719">
        <v>18365</v>
      </c>
      <c r="B719" t="s">
        <v>1475</v>
      </c>
      <c r="C719" s="3" t="str">
        <f t="shared" si="53"/>
        <v>sysChangeHistoryColumn.RawDataAfter</v>
      </c>
      <c r="D719">
        <v>7</v>
      </c>
      <c r="E719" s="3" t="str">
        <f t="shared" si="51"/>
        <v>sysChangeHistoryColumn</v>
      </c>
      <c r="F719" t="s">
        <v>6278</v>
      </c>
      <c r="G719" s="3" t="s">
        <v>6737</v>
      </c>
      <c r="H719" s="3" t="str">
        <f t="shared" si="52"/>
        <v>System.Change History Column</v>
      </c>
      <c r="I719"/>
      <c r="K719" t="s">
        <v>2473</v>
      </c>
      <c r="L719"/>
      <c r="M719" t="s">
        <v>196</v>
      </c>
      <c r="N719"/>
      <c r="O719"/>
      <c r="P719"/>
      <c r="Q719" t="s">
        <v>92</v>
      </c>
      <c r="R719"/>
      <c r="S719"/>
      <c r="U719" t="s">
        <v>93</v>
      </c>
    </row>
    <row r="720" spans="1:24" ht="15" hidden="1" customHeight="1">
      <c r="A720">
        <v>18370</v>
      </c>
      <c r="B720" t="s">
        <v>1475</v>
      </c>
      <c r="C720" s="3" t="str">
        <f t="shared" si="53"/>
        <v>sysChangeHistoryColumn.TranslatedDataBefore</v>
      </c>
      <c r="D720">
        <v>7</v>
      </c>
      <c r="E720" s="3" t="str">
        <f t="shared" si="51"/>
        <v>sysChangeHistoryColumn</v>
      </c>
      <c r="F720" t="s">
        <v>6279</v>
      </c>
      <c r="G720" s="3" t="s">
        <v>6274</v>
      </c>
      <c r="H720" s="3" t="str">
        <f t="shared" si="52"/>
        <v>System.Change History Column</v>
      </c>
      <c r="I720"/>
      <c r="K720" t="s">
        <v>2476</v>
      </c>
      <c r="L720"/>
      <c r="M720" t="s">
        <v>196</v>
      </c>
      <c r="N720"/>
      <c r="O720"/>
      <c r="P720"/>
      <c r="Q720" t="s">
        <v>92</v>
      </c>
      <c r="R720"/>
      <c r="S720" s="21"/>
      <c r="U720" t="s">
        <v>93</v>
      </c>
    </row>
    <row r="721" spans="1:42" ht="15" hidden="1" customHeight="1">
      <c r="A721">
        <v>18375</v>
      </c>
      <c r="B721" t="s">
        <v>1475</v>
      </c>
      <c r="C721" s="3" t="str">
        <f t="shared" si="53"/>
        <v>sysChangeHistoryColumn.TranslatedDataAfter</v>
      </c>
      <c r="D721">
        <v>7</v>
      </c>
      <c r="E721" s="3" t="str">
        <f t="shared" si="51"/>
        <v>sysChangeHistoryColumn</v>
      </c>
      <c r="F721" t="s">
        <v>6280</v>
      </c>
      <c r="G721" s="3" t="s">
        <v>6275</v>
      </c>
      <c r="H721" s="3" t="str">
        <f t="shared" si="52"/>
        <v>System.Change History Column</v>
      </c>
      <c r="I721"/>
      <c r="K721" t="s">
        <v>2474</v>
      </c>
      <c r="L721"/>
      <c r="M721" t="s">
        <v>196</v>
      </c>
      <c r="N721"/>
      <c r="O721"/>
      <c r="P721"/>
      <c r="Q721" t="s">
        <v>92</v>
      </c>
      <c r="R721"/>
      <c r="S721"/>
      <c r="U721" t="s">
        <v>93</v>
      </c>
    </row>
    <row r="722" spans="1:42" ht="15" hidden="1" customHeight="1">
      <c r="A722">
        <v>18840</v>
      </c>
      <c r="B722" t="s">
        <v>1475</v>
      </c>
      <c r="C722" s="3" t="str">
        <f t="shared" si="53"/>
        <v>sysCommand.ID</v>
      </c>
      <c r="D722">
        <v>13</v>
      </c>
      <c r="E722" s="3" t="str">
        <f t="shared" si="51"/>
        <v>sysCommand</v>
      </c>
      <c r="F722" t="s">
        <v>0</v>
      </c>
      <c r="G722" s="3" t="s">
        <v>6752</v>
      </c>
      <c r="H722" s="3" t="str">
        <f t="shared" si="52"/>
        <v>System.Command</v>
      </c>
      <c r="I722"/>
      <c r="K722" t="s">
        <v>1128</v>
      </c>
      <c r="L722"/>
      <c r="M722" t="s">
        <v>6007</v>
      </c>
      <c r="N722"/>
      <c r="O722"/>
      <c r="P722"/>
      <c r="Q722" s="3" t="s">
        <v>919</v>
      </c>
      <c r="R722"/>
      <c r="S722"/>
      <c r="U722" s="3" t="s">
        <v>95</v>
      </c>
      <c r="AC722" t="s">
        <v>92</v>
      </c>
    </row>
    <row r="723" spans="1:42" ht="15" hidden="1" customHeight="1">
      <c r="A723">
        <v>18850</v>
      </c>
      <c r="B723" t="s">
        <v>1475</v>
      </c>
      <c r="C723" s="3" t="str">
        <f t="shared" si="53"/>
        <v>sysCommand.Caption</v>
      </c>
      <c r="D723">
        <v>13</v>
      </c>
      <c r="E723" s="3" t="str">
        <f t="shared" si="51"/>
        <v>sysCommand</v>
      </c>
      <c r="F723" t="s">
        <v>1129</v>
      </c>
      <c r="G723" s="3" t="s">
        <v>6743</v>
      </c>
      <c r="H723" s="3" t="str">
        <f t="shared" si="52"/>
        <v>System.Command</v>
      </c>
      <c r="I723"/>
      <c r="K723" t="s">
        <v>1129</v>
      </c>
      <c r="L723"/>
      <c r="M723" t="s">
        <v>196</v>
      </c>
      <c r="N723"/>
      <c r="O723"/>
      <c r="P723"/>
      <c r="Q723" t="s">
        <v>92</v>
      </c>
      <c r="R723"/>
      <c r="S723"/>
      <c r="U723" t="s">
        <v>93</v>
      </c>
      <c r="AK723" t="str">
        <f t="shared" ref="AK723:AK734" si="54">"SELECT (SELECT '"&amp;C723&amp;"' ColumnName from "&amp;E723&amp;" where "&amp;F723&amp;" is null and exists (select from "&amp;E723&amp;") limit 1) a union all"</f>
        <v>SELECT (SELECT 'sysCommand.Caption' ColumnName from sysCommand where Caption is null and exists (select from sysCommand) limit 1) a union all</v>
      </c>
      <c r="AP723" t="e">
        <f>VLOOKUP(E723,temp6,1,FALSE)</f>
        <v>#NAME?</v>
      </c>
    </row>
    <row r="724" spans="1:42" ht="15" hidden="1" customHeight="1">
      <c r="A724">
        <v>18860</v>
      </c>
      <c r="B724" t="s">
        <v>1475</v>
      </c>
      <c r="C724" s="3" t="str">
        <f t="shared" si="53"/>
        <v>sysCommand.CommandType</v>
      </c>
      <c r="D724">
        <v>13</v>
      </c>
      <c r="E724" s="3" t="str">
        <f t="shared" si="51"/>
        <v>sysCommand</v>
      </c>
      <c r="F724" t="s">
        <v>7046</v>
      </c>
      <c r="G724" s="3" t="s">
        <v>6753</v>
      </c>
      <c r="H724" s="3" t="str">
        <f t="shared" si="52"/>
        <v>System.Command</v>
      </c>
      <c r="I724"/>
      <c r="K724" s="3" t="s">
        <v>1130</v>
      </c>
      <c r="L724"/>
      <c r="M724" t="s">
        <v>976</v>
      </c>
      <c r="N724">
        <v>4</v>
      </c>
      <c r="O724"/>
      <c r="P724"/>
      <c r="Q724" t="s">
        <v>92</v>
      </c>
      <c r="R724"/>
      <c r="S724"/>
      <c r="U724" t="s">
        <v>93</v>
      </c>
      <c r="AK724" t="str">
        <f t="shared" si="54"/>
        <v>SELECT (SELECT 'sysCommand.CommandType' ColumnName from sysCommand where CommandType is null and exists (select from sysCommand) limit 1) a union all</v>
      </c>
      <c r="AP724" t="e">
        <f>VLOOKUP(E724,temp6,1,FALSE)</f>
        <v>#NAME?</v>
      </c>
    </row>
    <row r="725" spans="1:42" ht="15" hidden="1" customHeight="1">
      <c r="A725">
        <v>18870</v>
      </c>
      <c r="B725" t="s">
        <v>1475</v>
      </c>
      <c r="C725" s="3" t="str">
        <f t="shared" si="53"/>
        <v>sysCommand.Comments</v>
      </c>
      <c r="D725">
        <v>13</v>
      </c>
      <c r="E725" s="3" t="str">
        <f t="shared" si="51"/>
        <v>sysCommand</v>
      </c>
      <c r="F725" t="s">
        <v>14</v>
      </c>
      <c r="G725" s="3" t="s">
        <v>6421</v>
      </c>
      <c r="H725" s="3" t="str">
        <f t="shared" si="52"/>
        <v>System.Command</v>
      </c>
      <c r="I725"/>
      <c r="K725" s="3" t="s">
        <v>14</v>
      </c>
      <c r="L725"/>
      <c r="M725" t="s">
        <v>196</v>
      </c>
      <c r="N725"/>
      <c r="O725"/>
      <c r="P725"/>
      <c r="Q725" t="s">
        <v>92</v>
      </c>
      <c r="R725"/>
      <c r="S725"/>
      <c r="U725" t="s">
        <v>93</v>
      </c>
      <c r="W725" s="4"/>
      <c r="AK725" t="str">
        <f t="shared" si="54"/>
        <v>SELECT (SELECT 'sysCommand.Comments' ColumnName from sysCommand where Comments is null and exists (select from sysCommand) limit 1) a union all</v>
      </c>
      <c r="AP725" t="e">
        <f>VLOOKUP(E725,temp6,1,FALSE)</f>
        <v>#NAME?</v>
      </c>
    </row>
    <row r="726" spans="1:42" ht="15" hidden="1" customHeight="1">
      <c r="A726">
        <v>18880</v>
      </c>
      <c r="B726" t="s">
        <v>1475</v>
      </c>
      <c r="C726" s="3" t="str">
        <f t="shared" si="53"/>
        <v>sysCommand.FrenchCaption</v>
      </c>
      <c r="D726">
        <v>13</v>
      </c>
      <c r="E726" s="3" t="str">
        <f t="shared" si="51"/>
        <v>sysCommand</v>
      </c>
      <c r="F726" t="s">
        <v>1131</v>
      </c>
      <c r="G726" s="3" t="s">
        <v>6754</v>
      </c>
      <c r="H726" s="3" t="str">
        <f t="shared" si="52"/>
        <v>System.Command</v>
      </c>
      <c r="I726"/>
      <c r="K726" t="s">
        <v>1132</v>
      </c>
      <c r="L726"/>
      <c r="M726" t="s">
        <v>196</v>
      </c>
      <c r="N726"/>
      <c r="O726"/>
      <c r="P726"/>
      <c r="Q726" t="s">
        <v>92</v>
      </c>
      <c r="R726"/>
      <c r="S726"/>
      <c r="U726" t="s">
        <v>93</v>
      </c>
      <c r="AK726" t="str">
        <f t="shared" si="54"/>
        <v>SELECT (SELECT 'sysCommand.FrenchCaption' ColumnName from sysCommand where FrenchCaption is null and exists (select from sysCommand) limit 1) a union all</v>
      </c>
      <c r="AP726" t="e">
        <f>VLOOKUP(E726,temp6,1,FALSE)</f>
        <v>#NAME?</v>
      </c>
    </row>
    <row r="727" spans="1:42" ht="15" hidden="1" customHeight="1">
      <c r="A727">
        <v>18890</v>
      </c>
      <c r="B727" s="3" t="s">
        <v>1475</v>
      </c>
      <c r="C727" s="3" t="str">
        <f t="shared" si="53"/>
        <v>sysCommand.HelpText</v>
      </c>
      <c r="D727" s="3">
        <v>13</v>
      </c>
      <c r="E727" s="3" t="str">
        <f t="shared" si="51"/>
        <v>sysCommand</v>
      </c>
      <c r="F727" t="s">
        <v>239</v>
      </c>
      <c r="G727" s="3" t="s">
        <v>6755</v>
      </c>
      <c r="H727" s="3" t="str">
        <f t="shared" si="52"/>
        <v>System.Command</v>
      </c>
      <c r="I727"/>
      <c r="K727" s="3" t="s">
        <v>376</v>
      </c>
      <c r="M727" s="3" t="s">
        <v>196</v>
      </c>
      <c r="N727"/>
      <c r="Q727" s="3" t="s">
        <v>92</v>
      </c>
      <c r="U727" s="3" t="s">
        <v>93</v>
      </c>
      <c r="AF727" t="s">
        <v>604</v>
      </c>
      <c r="AK727" t="str">
        <f t="shared" si="54"/>
        <v>SELECT (SELECT 'sysCommand.HelpText' ColumnName from sysCommand where HelpText is null and exists (select from sysCommand) limit 1) a union all</v>
      </c>
      <c r="AP727" t="e">
        <f>VLOOKUP(E727,temp6,1,FALSE)</f>
        <v>#NAME?</v>
      </c>
    </row>
    <row r="728" spans="1:42" ht="15" hidden="1" customHeight="1">
      <c r="A728">
        <v>18900</v>
      </c>
      <c r="B728" t="s">
        <v>1475</v>
      </c>
      <c r="C728" s="3" t="str">
        <f t="shared" si="53"/>
        <v>sysCommand.IsChangeHistoryUsed</v>
      </c>
      <c r="D728">
        <v>13</v>
      </c>
      <c r="E728" s="3" t="str">
        <f t="shared" si="51"/>
        <v>sysCommand</v>
      </c>
      <c r="F728" t="s">
        <v>1302</v>
      </c>
      <c r="G728" s="3" t="s">
        <v>6756</v>
      </c>
      <c r="H728" s="3" t="str">
        <f t="shared" si="52"/>
        <v>System.Command</v>
      </c>
      <c r="I728"/>
      <c r="K728" t="s">
        <v>1133</v>
      </c>
      <c r="L728"/>
      <c r="M728" s="3" t="s">
        <v>2402</v>
      </c>
      <c r="N728"/>
      <c r="O728"/>
      <c r="P728"/>
      <c r="Q728" t="s">
        <v>92</v>
      </c>
      <c r="R728"/>
      <c r="S728"/>
      <c r="U728" t="s">
        <v>93</v>
      </c>
      <c r="AK728" t="str">
        <f t="shared" si="54"/>
        <v>SELECT (SELECT 'sysCommand.IsChangeHistoryUsed' ColumnName from sysCommand where IsChangeHistoryUsed is null and exists (select from sysCommand) limit 1) a union all</v>
      </c>
      <c r="AP728" t="e">
        <f>VLOOKUP(E728,temp6,1,FALSE)</f>
        <v>#NAME?</v>
      </c>
    </row>
    <row r="729" spans="1:42" ht="15" hidden="1" customHeight="1">
      <c r="A729">
        <v>18910</v>
      </c>
      <c r="B729" s="3" t="s">
        <v>1475</v>
      </c>
      <c r="C729" s="3" t="str">
        <f t="shared" si="53"/>
        <v>sysCommand.LogCondition</v>
      </c>
      <c r="D729" s="3">
        <v>13</v>
      </c>
      <c r="E729" s="3" t="str">
        <f t="shared" si="51"/>
        <v>sysCommand</v>
      </c>
      <c r="F729" t="s">
        <v>315</v>
      </c>
      <c r="G729" s="3" t="s">
        <v>6757</v>
      </c>
      <c r="H729" s="3" t="str">
        <f t="shared" si="52"/>
        <v>System.Command</v>
      </c>
      <c r="I729"/>
      <c r="K729" s="3" t="s">
        <v>380</v>
      </c>
      <c r="M729" s="3" t="s">
        <v>196</v>
      </c>
      <c r="N729"/>
      <c r="Q729" s="3" t="s">
        <v>92</v>
      </c>
      <c r="U729" s="3" t="s">
        <v>93</v>
      </c>
      <c r="AF729" t="s">
        <v>608</v>
      </c>
      <c r="AK729" t="str">
        <f t="shared" si="54"/>
        <v>SELECT (SELECT 'sysCommand.LogCondition' ColumnName from sysCommand where LogCondition is null and exists (select from sysCommand) limit 1) a union all</v>
      </c>
      <c r="AP729" t="e">
        <f>VLOOKUP(E729,temp6,1,FALSE)</f>
        <v>#NAME?</v>
      </c>
    </row>
    <row r="730" spans="1:42" ht="15" hidden="1" customHeight="1">
      <c r="A730">
        <v>18920</v>
      </c>
      <c r="B730" s="3" t="s">
        <v>1475</v>
      </c>
      <c r="C730" s="3" t="str">
        <f t="shared" si="53"/>
        <v>sysCommand.MenuMessage</v>
      </c>
      <c r="D730" s="3">
        <v>13</v>
      </c>
      <c r="E730" s="3" t="str">
        <f t="shared" si="51"/>
        <v>sysCommand</v>
      </c>
      <c r="F730" t="s">
        <v>1301</v>
      </c>
      <c r="G730" s="3" t="s">
        <v>6758</v>
      </c>
      <c r="H730" s="3" t="str">
        <f t="shared" si="52"/>
        <v>System.Command</v>
      </c>
      <c r="I730"/>
      <c r="K730" s="3" t="s">
        <v>373</v>
      </c>
      <c r="M730" s="3" t="s">
        <v>196</v>
      </c>
      <c r="N730"/>
      <c r="Q730" s="3" t="s">
        <v>92</v>
      </c>
      <c r="U730" s="3" t="s">
        <v>93</v>
      </c>
      <c r="AF730" t="s">
        <v>601</v>
      </c>
      <c r="AK730" t="str">
        <f t="shared" si="54"/>
        <v>SELECT (SELECT 'sysCommand.MenuMessage' ColumnName from sysCommand where MenuMessage is null and exists (select from sysCommand) limit 1) a union all</v>
      </c>
      <c r="AP730" t="e">
        <f>VLOOKUP(E730,temp6,1,FALSE)</f>
        <v>#NAME?</v>
      </c>
    </row>
    <row r="731" spans="1:42" ht="15" hidden="1" customHeight="1">
      <c r="A731">
        <v>18930</v>
      </c>
      <c r="B731" t="s">
        <v>1475</v>
      </c>
      <c r="C731" s="3" t="str">
        <f t="shared" si="53"/>
        <v>sysCommand.Name</v>
      </c>
      <c r="D731">
        <v>13</v>
      </c>
      <c r="E731" s="3" t="str">
        <f t="shared" si="51"/>
        <v>sysCommand</v>
      </c>
      <c r="F731" t="s">
        <v>22</v>
      </c>
      <c r="G731" s="3" t="s">
        <v>6956</v>
      </c>
      <c r="H731" s="3" t="str">
        <f t="shared" si="52"/>
        <v>System.Command</v>
      </c>
      <c r="I731"/>
      <c r="K731" t="s">
        <v>35</v>
      </c>
      <c r="L731"/>
      <c r="M731" t="s">
        <v>196</v>
      </c>
      <c r="N731"/>
      <c r="O731"/>
      <c r="P731"/>
      <c r="Q731" t="s">
        <v>92</v>
      </c>
      <c r="R731"/>
      <c r="S731"/>
      <c r="U731" t="s">
        <v>93</v>
      </c>
      <c r="AH731" t="s">
        <v>92</v>
      </c>
      <c r="AK731" t="str">
        <f t="shared" si="54"/>
        <v>SELECT (SELECT 'sysCommand.Name' ColumnName from sysCommand where Name is null and exists (select from sysCommand) limit 1) a union all</v>
      </c>
      <c r="AP731" t="e">
        <f>VLOOKUP(E731,temp6,1,FALSE)</f>
        <v>#NAME?</v>
      </c>
    </row>
    <row r="732" spans="1:42" ht="15" hidden="1" customHeight="1">
      <c r="A732">
        <v>18940</v>
      </c>
      <c r="B732" s="3" t="s">
        <v>1475</v>
      </c>
      <c r="C732" s="3" t="str">
        <f t="shared" si="53"/>
        <v>sysCommand.ProcedureName</v>
      </c>
      <c r="D732" s="3">
        <v>13</v>
      </c>
      <c r="E732" s="3" t="str">
        <f t="shared" si="51"/>
        <v>sysCommand</v>
      </c>
      <c r="F732" t="s">
        <v>319</v>
      </c>
      <c r="G732" s="3" t="s">
        <v>6957</v>
      </c>
      <c r="H732" s="3" t="str">
        <f t="shared" si="52"/>
        <v>System.Command</v>
      </c>
      <c r="I732"/>
      <c r="K732" s="3" t="s">
        <v>371</v>
      </c>
      <c r="M732" s="3" t="s">
        <v>196</v>
      </c>
      <c r="N732"/>
      <c r="Q732" s="3" t="s">
        <v>92</v>
      </c>
      <c r="U732" s="3" t="s">
        <v>93</v>
      </c>
      <c r="AF732" t="s">
        <v>599</v>
      </c>
      <c r="AK732" t="str">
        <f t="shared" si="54"/>
        <v>SELECT (SELECT 'sysCommand.ProcedureName' ColumnName from sysCommand where ProcedureName is null and exists (select from sysCommand) limit 1) a union all</v>
      </c>
      <c r="AP732" t="e">
        <f>VLOOKUP(E732,temp6,1,FALSE)</f>
        <v>#NAME?</v>
      </c>
    </row>
    <row r="733" spans="1:42" ht="15" hidden="1" customHeight="1">
      <c r="A733">
        <v>18950</v>
      </c>
      <c r="B733" t="s">
        <v>1475</v>
      </c>
      <c r="C733" s="3" t="str">
        <f t="shared" si="53"/>
        <v>sysCommand.SourceCode</v>
      </c>
      <c r="D733">
        <v>13</v>
      </c>
      <c r="E733" s="3" t="str">
        <f t="shared" si="51"/>
        <v>sysCommand</v>
      </c>
      <c r="F733" t="s">
        <v>1303</v>
      </c>
      <c r="G733" s="3" t="s">
        <v>6759</v>
      </c>
      <c r="H733" s="3" t="str">
        <f t="shared" si="52"/>
        <v>System.Command</v>
      </c>
      <c r="I733"/>
      <c r="K733" t="s">
        <v>1303</v>
      </c>
      <c r="L733"/>
      <c r="M733" t="s">
        <v>196</v>
      </c>
      <c r="N733"/>
      <c r="O733"/>
      <c r="P733"/>
      <c r="Q733" t="s">
        <v>92</v>
      </c>
      <c r="R733"/>
      <c r="S733"/>
      <c r="U733" t="s">
        <v>93</v>
      </c>
      <c r="W733" s="4"/>
      <c r="AK733" t="str">
        <f t="shared" si="54"/>
        <v>SELECT (SELECT 'sysCommand.SourceCode' ColumnName from sysCommand where SourceCode is null and exists (select from sysCommand) limit 1) a union all</v>
      </c>
      <c r="AP733" t="e">
        <f>VLOOKUP(E733,temp6,1,FALSE)</f>
        <v>#NAME?</v>
      </c>
    </row>
    <row r="734" spans="1:42" ht="15" hidden="1" customHeight="1">
      <c r="A734">
        <v>18960</v>
      </c>
      <c r="B734" s="3" t="s">
        <v>1475</v>
      </c>
      <c r="C734" s="3" t="str">
        <f t="shared" si="53"/>
        <v>sysCommand.systemModule</v>
      </c>
      <c r="D734" s="3">
        <v>13</v>
      </c>
      <c r="E734" s="3" t="str">
        <f t="shared" si="51"/>
        <v>sysCommand</v>
      </c>
      <c r="F734" t="s">
        <v>2862</v>
      </c>
      <c r="G734" s="3" t="s">
        <v>6760</v>
      </c>
      <c r="H734" s="3" t="str">
        <f t="shared" si="52"/>
        <v>System.Command</v>
      </c>
      <c r="I734"/>
      <c r="K734" s="3" t="s">
        <v>1171</v>
      </c>
      <c r="M734" s="3" t="s">
        <v>196</v>
      </c>
      <c r="Q734" s="3" t="s">
        <v>92</v>
      </c>
      <c r="U734" s="3" t="s">
        <v>93</v>
      </c>
      <c r="AF734" t="s">
        <v>1889</v>
      </c>
      <c r="AK734" t="str">
        <f t="shared" si="54"/>
        <v>SELECT (SELECT 'sysCommand.systemModule' ColumnName from sysCommand where systemModule is null and exists (select from sysCommand) limit 1) a union all</v>
      </c>
      <c r="AP734" t="e">
        <f>VLOOKUP(E734,temp6,1,FALSE)</f>
        <v>#NAME?</v>
      </c>
    </row>
    <row r="735" spans="1:42" ht="15" hidden="1" customHeight="1">
      <c r="A735">
        <v>18970</v>
      </c>
      <c r="B735" t="s">
        <v>1475</v>
      </c>
      <c r="C735" s="3" t="str">
        <f t="shared" si="53"/>
        <v>sysCommand.RowStatus</v>
      </c>
      <c r="D735">
        <v>13</v>
      </c>
      <c r="E735" s="3" t="str">
        <f t="shared" si="51"/>
        <v>sysCommand</v>
      </c>
      <c r="F735" t="s">
        <v>1445</v>
      </c>
      <c r="G735" s="3" t="s">
        <v>6411</v>
      </c>
      <c r="H735" s="3" t="str">
        <f t="shared" si="52"/>
        <v>System.Command</v>
      </c>
      <c r="I735"/>
      <c r="K735" s="3" t="s">
        <v>2471</v>
      </c>
      <c r="L735"/>
      <c r="M735" t="s">
        <v>976</v>
      </c>
      <c r="N735">
        <v>1</v>
      </c>
      <c r="O735"/>
      <c r="P735"/>
      <c r="Q735" t="s">
        <v>919</v>
      </c>
      <c r="R735"/>
      <c r="S735" s="14"/>
      <c r="U735" t="s">
        <v>94</v>
      </c>
      <c r="AJ735" t="str">
        <f>"SELECT (SELECT '"&amp;C735&amp;"' ColumnName from "&amp;E735&amp;" where "&amp;F735&amp;" is null and exists (select from "&amp;E735&amp;") limit 1) ColumnName union all"</f>
        <v>SELECT (SELECT 'sysCommand.RowStatus' ColumnName from sysCommand where RowStatus is null and exists (select from sysCommand) limit 1) ColumnName union all</v>
      </c>
      <c r="AL735" t="str">
        <f>"ALTER TABLE "&amp;E735&amp;" ALTER COLUMN "&amp;F735&amp;" DROP NOT NULL"</f>
        <v>ALTER TABLE sysCommand ALTER COLUMN RowStatus DROP NOT NULL</v>
      </c>
      <c r="AP735" t="e">
        <f>VLOOKUP(E735,temp6,1,FALSE)</f>
        <v>#NAME?</v>
      </c>
    </row>
    <row r="736" spans="1:42" ht="15" hidden="1" customHeight="1">
      <c r="A736">
        <v>18980</v>
      </c>
      <c r="B736" t="s">
        <v>1475</v>
      </c>
      <c r="C736" s="3" t="str">
        <f t="shared" si="53"/>
        <v>sysCommand.sysChangeHistoryID</v>
      </c>
      <c r="D736">
        <v>13</v>
      </c>
      <c r="E736" s="3" t="str">
        <f t="shared" si="51"/>
        <v>sysCommand</v>
      </c>
      <c r="F736" t="s">
        <v>2497</v>
      </c>
      <c r="G736" s="3" t="s">
        <v>6403</v>
      </c>
      <c r="H736" s="3" t="str">
        <f t="shared" si="52"/>
        <v>System.Command</v>
      </c>
      <c r="I736"/>
      <c r="K736" t="s">
        <v>1210</v>
      </c>
      <c r="L736"/>
      <c r="M736" t="s">
        <v>6007</v>
      </c>
      <c r="N736"/>
      <c r="O736"/>
      <c r="P736"/>
      <c r="Q736" t="s">
        <v>92</v>
      </c>
      <c r="R736"/>
      <c r="S736"/>
      <c r="U736" t="s">
        <v>1429</v>
      </c>
      <c r="W736" s="3"/>
      <c r="X736" s="3"/>
      <c r="AK736" t="str">
        <f>"SELECT (SELECT '"&amp;C736&amp;"' ColumnName from "&amp;E736&amp;" where "&amp;F736&amp;" is null and exists (select from "&amp;E736&amp;") limit 1) a union all"</f>
        <v>SELECT (SELECT 'sysCommand.sysChangeHistoryID' ColumnName from sysCommand where sysChangeHistoryID is null and exists (select from sysCommand) limit 1) a union all</v>
      </c>
      <c r="AP736" t="e">
        <f>VLOOKUP(E736,temp6,1,FALSE)</f>
        <v>#NAME?</v>
      </c>
    </row>
    <row r="737" spans="1:42" ht="15" hidden="1" customHeight="1">
      <c r="A737">
        <v>19460</v>
      </c>
      <c r="B737" t="s">
        <v>1475</v>
      </c>
      <c r="C737" s="3" t="str">
        <f t="shared" si="53"/>
        <v>sysDataType.Id</v>
      </c>
      <c r="D737">
        <v>26</v>
      </c>
      <c r="E737" s="8" t="str">
        <f t="shared" si="51"/>
        <v>sysDataType</v>
      </c>
      <c r="F737" t="s">
        <v>1539</v>
      </c>
      <c r="G737" s="3" t="s">
        <v>6771</v>
      </c>
      <c r="H737" t="str">
        <f t="shared" si="52"/>
        <v>System.DataType</v>
      </c>
      <c r="I737"/>
      <c r="J737"/>
      <c r="K737" t="s">
        <v>1539</v>
      </c>
      <c r="L737"/>
      <c r="M737" t="s">
        <v>6007</v>
      </c>
      <c r="N737"/>
      <c r="O737"/>
      <c r="P737"/>
      <c r="Q737" t="s">
        <v>919</v>
      </c>
      <c r="R737"/>
      <c r="S737"/>
      <c r="T737"/>
      <c r="U737" t="s">
        <v>95</v>
      </c>
      <c r="V737" s="7"/>
      <c r="W737" s="7"/>
      <c r="X737" s="7"/>
      <c r="Z737" s="7"/>
      <c r="AC737" s="7"/>
      <c r="AD737" s="15"/>
      <c r="AE737" s="7"/>
      <c r="AJ737" t="e">
        <f>VLOOKUP(E737,temp1,1,FALSE)</f>
        <v>#NAME?</v>
      </c>
      <c r="AL737" t="str">
        <f t="shared" ref="AL737:AL742" si="55">"ALTER TABLE "&amp;E737&amp;" ALTER COLUMN "&amp;F737&amp;" DROP NOT NULL"</f>
        <v>ALTER TABLE sysDataType ALTER COLUMN Id DROP NOT NULL</v>
      </c>
      <c r="AP737" t="e">
        <f>VLOOKUP(E737,temp6,1,FALSE)</f>
        <v>#NAME?</v>
      </c>
    </row>
    <row r="738" spans="1:42" ht="15" hidden="1" customHeight="1">
      <c r="A738">
        <v>19470</v>
      </c>
      <c r="B738" t="s">
        <v>1475</v>
      </c>
      <c r="C738" s="3" t="str">
        <f t="shared" si="53"/>
        <v>sysDataType.Name</v>
      </c>
      <c r="D738">
        <v>26</v>
      </c>
      <c r="E738" s="8" t="str">
        <f t="shared" si="51"/>
        <v>sysDataType</v>
      </c>
      <c r="F738" s="7" t="s">
        <v>22</v>
      </c>
      <c r="G738" s="3" t="s">
        <v>6964</v>
      </c>
      <c r="H738" t="str">
        <f t="shared" si="52"/>
        <v>System.DataType</v>
      </c>
      <c r="I738"/>
      <c r="J738"/>
      <c r="K738" t="s">
        <v>22</v>
      </c>
      <c r="L738"/>
      <c r="M738" t="s">
        <v>1073</v>
      </c>
      <c r="N738"/>
      <c r="O738"/>
      <c r="P738"/>
      <c r="Q738" t="s">
        <v>919</v>
      </c>
      <c r="R738"/>
      <c r="S738"/>
      <c r="T738"/>
      <c r="U738" t="s">
        <v>93</v>
      </c>
      <c r="V738" s="7"/>
      <c r="W738" s="7"/>
      <c r="X738" s="7"/>
      <c r="Z738" s="7"/>
      <c r="AC738" s="7"/>
      <c r="AD738" s="15"/>
      <c r="AE738" s="7"/>
      <c r="AH738" t="s">
        <v>92</v>
      </c>
      <c r="AJ738" t="e">
        <f>VLOOKUP(E738,temp1,1,FALSE)</f>
        <v>#NAME?</v>
      </c>
      <c r="AL738" t="str">
        <f t="shared" si="55"/>
        <v>ALTER TABLE sysDataType ALTER COLUMN Name DROP NOT NULL</v>
      </c>
      <c r="AP738" t="e">
        <f>VLOOKUP(E738,temp6,1,FALSE)</f>
        <v>#NAME?</v>
      </c>
    </row>
    <row r="739" spans="1:42" ht="15" hidden="1" customHeight="1">
      <c r="A739">
        <v>19480</v>
      </c>
      <c r="B739" t="s">
        <v>1475</v>
      </c>
      <c r="C739" s="3" t="str">
        <f t="shared" si="53"/>
        <v>sysDataType.RowStatus</v>
      </c>
      <c r="D739">
        <v>26</v>
      </c>
      <c r="E739" s="8" t="str">
        <f t="shared" si="51"/>
        <v>sysDataType</v>
      </c>
      <c r="F739" t="s">
        <v>1445</v>
      </c>
      <c r="G739" s="3" t="s">
        <v>6411</v>
      </c>
      <c r="H739" t="str">
        <f t="shared" si="52"/>
        <v>System.DataType</v>
      </c>
      <c r="I739"/>
      <c r="J739"/>
      <c r="K739" s="3" t="s">
        <v>2471</v>
      </c>
      <c r="L739"/>
      <c r="M739" t="s">
        <v>976</v>
      </c>
      <c r="N739">
        <v>1</v>
      </c>
      <c r="O739"/>
      <c r="P739"/>
      <c r="Q739" t="s">
        <v>919</v>
      </c>
      <c r="R739"/>
      <c r="S739"/>
      <c r="T739"/>
      <c r="U739" t="s">
        <v>94</v>
      </c>
      <c r="V739" s="7"/>
      <c r="W739" s="7"/>
      <c r="X739" s="7"/>
      <c r="Z739" s="7"/>
      <c r="AC739" s="7"/>
      <c r="AD739" s="15"/>
      <c r="AE739" s="7"/>
      <c r="AJ739" t="e">
        <f>VLOOKUP(E739,temp1,1,FALSE)</f>
        <v>#NAME?</v>
      </c>
      <c r="AL739" t="str">
        <f t="shared" si="55"/>
        <v>ALTER TABLE sysDataType ALTER COLUMN RowStatus DROP NOT NULL</v>
      </c>
      <c r="AP739" t="e">
        <f>VLOOKUP(E739,temp6,1,FALSE)</f>
        <v>#NAME?</v>
      </c>
    </row>
    <row r="740" spans="1:42" ht="15" hidden="1" customHeight="1">
      <c r="A740">
        <v>19490</v>
      </c>
      <c r="B740" t="s">
        <v>1475</v>
      </c>
      <c r="C740" s="3" t="str">
        <f t="shared" si="53"/>
        <v>sysDataType.sysChangeHistoryID</v>
      </c>
      <c r="D740" s="7">
        <v>26</v>
      </c>
      <c r="E740" s="8" t="str">
        <f t="shared" si="51"/>
        <v>sysDataType</v>
      </c>
      <c r="F740" t="s">
        <v>2497</v>
      </c>
      <c r="G740" s="3" t="s">
        <v>6403</v>
      </c>
      <c r="H740" s="8" t="str">
        <f t="shared" si="52"/>
        <v>System.DataType</v>
      </c>
      <c r="I740"/>
      <c r="J740"/>
      <c r="K740" t="s">
        <v>1210</v>
      </c>
      <c r="L740"/>
      <c r="M740" t="s">
        <v>6007</v>
      </c>
      <c r="N740" s="7"/>
      <c r="O740" s="7"/>
      <c r="P740" s="7"/>
      <c r="Q740" t="s">
        <v>919</v>
      </c>
      <c r="R740" s="7"/>
      <c r="S740" s="7"/>
      <c r="T740" s="8"/>
      <c r="U740" t="s">
        <v>1429</v>
      </c>
      <c r="AJ740" t="e">
        <f>VLOOKUP(E740,temp1,1,FALSE)</f>
        <v>#NAME?</v>
      </c>
      <c r="AL740" t="str">
        <f t="shared" si="55"/>
        <v>ALTER TABLE sysDataType ALTER COLUMN sysChangeHistoryID DROP NOT NULL</v>
      </c>
      <c r="AP740" t="e">
        <f>VLOOKUP(E740,temp6,1,FALSE)</f>
        <v>#NAME?</v>
      </c>
    </row>
    <row r="741" spans="1:42" ht="15" hidden="1" customHeight="1">
      <c r="A741">
        <v>19500</v>
      </c>
      <c r="B741" s="3" t="s">
        <v>1475</v>
      </c>
      <c r="C741" s="3" t="str">
        <f t="shared" si="53"/>
        <v>sysDictionaryColumn.ID</v>
      </c>
      <c r="D741">
        <v>2</v>
      </c>
      <c r="E741" s="3" t="str">
        <f t="shared" si="51"/>
        <v>sysDictionaryColumn</v>
      </c>
      <c r="F741" t="s">
        <v>0</v>
      </c>
      <c r="G741" s="3" t="s">
        <v>6772</v>
      </c>
      <c r="H741" s="3" t="str">
        <f t="shared" si="52"/>
        <v>System.Column</v>
      </c>
      <c r="I741"/>
      <c r="K741" t="s">
        <v>0</v>
      </c>
      <c r="L741"/>
      <c r="M741" t="s">
        <v>6007</v>
      </c>
      <c r="N741"/>
      <c r="O741"/>
      <c r="P741"/>
      <c r="Q741" s="3" t="s">
        <v>919</v>
      </c>
      <c r="R741"/>
      <c r="S741"/>
      <c r="U741" s="3" t="s">
        <v>95</v>
      </c>
      <c r="AJ741" t="e">
        <f>VLOOKUP(E741,temp1,1,FALSE)</f>
        <v>#NAME?</v>
      </c>
      <c r="AL741" t="str">
        <f t="shared" si="55"/>
        <v>ALTER TABLE sysDictionaryColumn ALTER COLUMN ID DROP NOT NULL</v>
      </c>
      <c r="AP741" t="e">
        <f>VLOOKUP(E741,temp6,1,FALSE)</f>
        <v>#NAME?</v>
      </c>
    </row>
    <row r="742" spans="1:42" ht="15" hidden="1" customHeight="1">
      <c r="A742">
        <v>19510</v>
      </c>
      <c r="B742" s="3" t="s">
        <v>1475</v>
      </c>
      <c r="C742" s="3" t="str">
        <f t="shared" si="53"/>
        <v>sysDictionaryColumn.sysDictionaryTableID</v>
      </c>
      <c r="D742">
        <v>2</v>
      </c>
      <c r="E742" s="3" t="str">
        <f t="shared" si="51"/>
        <v>sysDictionaryColumn</v>
      </c>
      <c r="F742" t="str">
        <f>VLOOKUP(V742,DictionaryTableID,3,FALSE)&amp;"ID"&amp;X742</f>
        <v>sysDictionaryTableID</v>
      </c>
      <c r="G742" s="3" t="s">
        <v>6773</v>
      </c>
      <c r="H742" s="3" t="str">
        <f t="shared" si="52"/>
        <v>System.Column</v>
      </c>
      <c r="I742"/>
      <c r="K742" t="s">
        <v>2488</v>
      </c>
      <c r="L742"/>
      <c r="M742" t="s">
        <v>6007</v>
      </c>
      <c r="N742"/>
      <c r="O742"/>
      <c r="P742"/>
      <c r="Q742" t="s">
        <v>919</v>
      </c>
      <c r="R742"/>
      <c r="S742"/>
      <c r="U742" t="s">
        <v>96</v>
      </c>
      <c r="V742">
        <v>1</v>
      </c>
      <c r="W742" s="3" t="str">
        <f>VLOOKUP(V742,DictionaryTableID,3,FALSE)</f>
        <v>sysDictionaryTable</v>
      </c>
      <c r="X742" s="3" t="s">
        <v>1036</v>
      </c>
      <c r="AJ742" t="e">
        <f>VLOOKUP(E742,temp1,1,FALSE)</f>
        <v>#NAME?</v>
      </c>
      <c r="AL742" t="str">
        <f t="shared" si="55"/>
        <v>ALTER TABLE sysDictionaryColumn ALTER COLUMN sysDictionaryTableID DROP NOT NULL</v>
      </c>
      <c r="AO742" t="str">
        <f>SUBSTITUTE(VLOOKUP(V742,DictionaryTableID,16,FALSE)&amp;"ID",".","")</f>
        <v>SystemTableID</v>
      </c>
      <c r="AP742" t="e">
        <f>VLOOKUP(E742,temp6,1,FALSE)</f>
        <v>#NAME?</v>
      </c>
    </row>
    <row r="743" spans="1:42" ht="15" hidden="1" customHeight="1">
      <c r="A743">
        <v>19520</v>
      </c>
      <c r="B743" s="3" t="s">
        <v>1475</v>
      </c>
      <c r="C743" s="3" t="str">
        <f t="shared" si="53"/>
        <v>sysDictionaryColumn.sysDictionaryTableIDForeign</v>
      </c>
      <c r="D743">
        <v>2</v>
      </c>
      <c r="E743" s="3" t="str">
        <f t="shared" si="51"/>
        <v>sysDictionaryColumn</v>
      </c>
      <c r="F743" t="str">
        <f>VLOOKUP(V743,DictionaryTableID,3,FALSE)&amp;"ID"&amp;X743</f>
        <v>sysDictionaryTableIDForeign</v>
      </c>
      <c r="G743" s="3" t="s">
        <v>6774</v>
      </c>
      <c r="H743" s="3" t="str">
        <f t="shared" si="52"/>
        <v>System.Column</v>
      </c>
      <c r="I743"/>
      <c r="K743" t="s">
        <v>2489</v>
      </c>
      <c r="L743"/>
      <c r="M743" t="s">
        <v>6007</v>
      </c>
      <c r="N743"/>
      <c r="O743"/>
      <c r="P743"/>
      <c r="Q743" t="s">
        <v>92</v>
      </c>
      <c r="R743"/>
      <c r="S743"/>
      <c r="U743" t="s">
        <v>96</v>
      </c>
      <c r="V743">
        <v>1</v>
      </c>
      <c r="W743" s="3" t="str">
        <f>VLOOKUP(V743,DictionaryTableID,3,FALSE)</f>
        <v>sysDictionaryTable</v>
      </c>
      <c r="X743" s="3" t="s">
        <v>1348</v>
      </c>
      <c r="AJ743" t="e">
        <f>VLOOKUP(E743,temp1,1,FALSE)</f>
        <v>#NAME?</v>
      </c>
      <c r="AK743" t="str">
        <f t="shared" ref="AK743:AK756" si="56">"SELECT (SELECT '"&amp;C743&amp;"' ColumnName from "&amp;E743&amp;" where "&amp;F743&amp;" is null and exists (select from "&amp;E743&amp;") limit 1) a union all"</f>
        <v>SELECT (SELECT 'sysDictionaryColumn.sysDictionaryTableIDForeign' ColumnName from sysDictionaryColumn where sysDictionaryTableIDForeign is null and exists (select from sysDictionaryColumn) limit 1) a union all</v>
      </c>
      <c r="AO743" t="str">
        <f>SUBSTITUTE(VLOOKUP(V743,DictionaryTableID,16,FALSE)&amp;"ID",".","")</f>
        <v>SystemTableID</v>
      </c>
      <c r="AP743" t="e">
        <f>VLOOKUP(E743,temp6,1,FALSE)</f>
        <v>#NAME?</v>
      </c>
    </row>
    <row r="744" spans="1:42" ht="15" hidden="1" customHeight="1">
      <c r="A744">
        <v>19530</v>
      </c>
      <c r="B744" t="s">
        <v>1475</v>
      </c>
      <c r="C744" s="3" t="str">
        <f t="shared" si="53"/>
        <v>sysDictionaryColumn.ColumnSequence</v>
      </c>
      <c r="D744">
        <v>2</v>
      </c>
      <c r="E744" s="3" t="str">
        <f t="shared" si="51"/>
        <v>sysDictionaryColumn</v>
      </c>
      <c r="F744" t="s">
        <v>1347</v>
      </c>
      <c r="G744" s="3" t="s">
        <v>6775</v>
      </c>
      <c r="H744" s="3" t="str">
        <f t="shared" si="52"/>
        <v>System.Column</v>
      </c>
      <c r="I744"/>
      <c r="K744" t="s">
        <v>2477</v>
      </c>
      <c r="L744"/>
      <c r="M744" t="s">
        <v>195</v>
      </c>
      <c r="N744"/>
      <c r="O744"/>
      <c r="P744"/>
      <c r="Q744" s="3" t="s">
        <v>92</v>
      </c>
      <c r="R744"/>
      <c r="S744"/>
      <c r="U744" t="s">
        <v>93</v>
      </c>
      <c r="AJ744" t="e">
        <f>VLOOKUP(E744,temp1,1,FALSE)</f>
        <v>#NAME?</v>
      </c>
      <c r="AK744" t="str">
        <f t="shared" si="56"/>
        <v>SELECT (SELECT 'sysDictionaryColumn.ColumnSequence' ColumnName from sysDictionaryColumn where ColumnSequence is null and exists (select from sysDictionaryColumn) limit 1) a union all</v>
      </c>
      <c r="AP744" t="e">
        <f>VLOOKUP(E744,temp6,1,FALSE)</f>
        <v>#NAME?</v>
      </c>
    </row>
    <row r="745" spans="1:42" ht="15" hidden="1" customHeight="1">
      <c r="A745">
        <v>19540</v>
      </c>
      <c r="B745" t="s">
        <v>1475</v>
      </c>
      <c r="C745" s="3" t="str">
        <f t="shared" si="53"/>
        <v>sysDictionaryColumn.DataLength</v>
      </c>
      <c r="D745">
        <v>2</v>
      </c>
      <c r="E745" s="3" t="str">
        <f t="shared" si="51"/>
        <v>sysDictionaryColumn</v>
      </c>
      <c r="F745" t="s">
        <v>335</v>
      </c>
      <c r="G745" s="3" t="s">
        <v>6776</v>
      </c>
      <c r="H745" s="3" t="str">
        <f t="shared" si="52"/>
        <v>System.Column</v>
      </c>
      <c r="I745"/>
      <c r="K745" t="s">
        <v>2478</v>
      </c>
      <c r="L745"/>
      <c r="M745" t="s">
        <v>195</v>
      </c>
      <c r="O745"/>
      <c r="P745"/>
      <c r="Q745" t="s">
        <v>92</v>
      </c>
      <c r="R745"/>
      <c r="S745"/>
      <c r="U745" t="s">
        <v>93</v>
      </c>
      <c r="AJ745" t="e">
        <f>VLOOKUP(E745,temp1,1,FALSE)</f>
        <v>#NAME?</v>
      </c>
      <c r="AK745" t="str">
        <f t="shared" si="56"/>
        <v>SELECT (SELECT 'sysDictionaryColumn.DataLength' ColumnName from sysDictionaryColumn where DataLength is null and exists (select from sysDictionaryColumn) limit 1) a union all</v>
      </c>
      <c r="AP745" t="e">
        <f>VLOOKUP(E745,temp6,1,FALSE)</f>
        <v>#NAME?</v>
      </c>
    </row>
    <row r="746" spans="1:42" ht="15" hidden="1" customHeight="1">
      <c r="A746">
        <v>19550</v>
      </c>
      <c r="B746" t="s">
        <v>1475</v>
      </c>
      <c r="C746" s="3" t="str">
        <f t="shared" si="53"/>
        <v>sysDictionaryColumn.DataType</v>
      </c>
      <c r="D746">
        <v>2</v>
      </c>
      <c r="E746" s="3" t="str">
        <f t="shared" si="51"/>
        <v>sysDictionaryColumn</v>
      </c>
      <c r="F746" t="s">
        <v>334</v>
      </c>
      <c r="G746" s="3" t="s">
        <v>6777</v>
      </c>
      <c r="H746" s="3" t="str">
        <f t="shared" si="52"/>
        <v>System.Column</v>
      </c>
      <c r="I746"/>
      <c r="K746" t="s">
        <v>1961</v>
      </c>
      <c r="L746"/>
      <c r="M746" t="s">
        <v>196</v>
      </c>
      <c r="O746"/>
      <c r="P746"/>
      <c r="Q746" t="s">
        <v>919</v>
      </c>
      <c r="R746"/>
      <c r="S746" s="21"/>
      <c r="U746" t="s">
        <v>93</v>
      </c>
      <c r="AJ746" t="e">
        <f>VLOOKUP(E746,temp1,1,FALSE)</f>
        <v>#NAME?</v>
      </c>
      <c r="AK746" t="str">
        <f t="shared" si="56"/>
        <v>SELECT (SELECT 'sysDictionaryColumn.DataType' ColumnName from sysDictionaryColumn where DataType is null and exists (select from sysDictionaryColumn) limit 1) a union all</v>
      </c>
      <c r="AL746" t="str">
        <f>"ALTER TABLE "&amp;E746&amp;" ALTER COLUMN "&amp;F746&amp;" DROP NOT NULL"</f>
        <v>ALTER TABLE sysDictionaryColumn ALTER COLUMN DataType DROP NOT NULL</v>
      </c>
      <c r="AP746" t="e">
        <f>VLOOKUP(E746,temp6,1,FALSE)</f>
        <v>#NAME?</v>
      </c>
    </row>
    <row r="747" spans="1:42" ht="15" hidden="1" customHeight="1">
      <c r="A747">
        <v>19560</v>
      </c>
      <c r="B747" t="s">
        <v>1475</v>
      </c>
      <c r="C747" s="3" t="str">
        <f t="shared" si="53"/>
        <v>sysDictionaryColumn.Decimals</v>
      </c>
      <c r="D747">
        <v>2</v>
      </c>
      <c r="E747" s="3" t="str">
        <f t="shared" si="51"/>
        <v>sysDictionaryColumn</v>
      </c>
      <c r="F747" t="s">
        <v>67</v>
      </c>
      <c r="G747" s="3" t="s">
        <v>6778</v>
      </c>
      <c r="H747" s="3" t="str">
        <f t="shared" si="52"/>
        <v>System.Column</v>
      </c>
      <c r="I747"/>
      <c r="K747" t="s">
        <v>67</v>
      </c>
      <c r="L747"/>
      <c r="M747" t="s">
        <v>195</v>
      </c>
      <c r="N747"/>
      <c r="O747"/>
      <c r="P747"/>
      <c r="Q747" t="s">
        <v>92</v>
      </c>
      <c r="R747"/>
      <c r="S747"/>
      <c r="U747" t="s">
        <v>93</v>
      </c>
      <c r="AJ747" t="e">
        <f>VLOOKUP(E747,temp1,1,FALSE)</f>
        <v>#NAME?</v>
      </c>
      <c r="AK747" t="str">
        <f t="shared" si="56"/>
        <v>SELECT (SELECT 'sysDictionaryColumn.Decimals' ColumnName from sysDictionaryColumn where Decimals is null and exists (select from sysDictionaryColumn) limit 1) a union all</v>
      </c>
      <c r="AP747" t="e">
        <f>VLOOKUP(E747,temp6,1,FALSE)</f>
        <v>#NAME?</v>
      </c>
    </row>
    <row r="748" spans="1:42" ht="15" hidden="1" customHeight="1">
      <c r="A748">
        <v>19570</v>
      </c>
      <c r="B748" s="3" t="s">
        <v>1475</v>
      </c>
      <c r="C748" s="3" t="str">
        <f t="shared" si="53"/>
        <v>sysDictionaryColumn.DefaultValue</v>
      </c>
      <c r="D748">
        <v>2</v>
      </c>
      <c r="E748" s="3" t="str">
        <f t="shared" si="51"/>
        <v>sysDictionaryColumn</v>
      </c>
      <c r="F748" t="s">
        <v>884</v>
      </c>
      <c r="G748" s="3" t="s">
        <v>6779</v>
      </c>
      <c r="H748" s="3" t="str">
        <f t="shared" si="52"/>
        <v>System.Column</v>
      </c>
      <c r="I748"/>
      <c r="K748" t="s">
        <v>1975</v>
      </c>
      <c r="M748" t="s">
        <v>196</v>
      </c>
      <c r="N748"/>
      <c r="O748"/>
      <c r="Q748" s="3" t="s">
        <v>92</v>
      </c>
      <c r="U748" t="s">
        <v>93</v>
      </c>
      <c r="AJ748" t="e">
        <f>VLOOKUP(E748,temp1,1,FALSE)</f>
        <v>#NAME?</v>
      </c>
      <c r="AK748" t="str">
        <f t="shared" si="56"/>
        <v>SELECT (SELECT 'sysDictionaryColumn.DefaultValue' ColumnName from sysDictionaryColumn where DefaultValue is null and exists (select from sysDictionaryColumn) limit 1) a union all</v>
      </c>
      <c r="AP748" t="e">
        <f>VLOOKUP(E748,temp6,1,FALSE)</f>
        <v>#NAME?</v>
      </c>
    </row>
    <row r="749" spans="1:42" ht="15" hidden="1" customHeight="1">
      <c r="A749">
        <v>19580</v>
      </c>
      <c r="B749" s="3" t="s">
        <v>1475</v>
      </c>
      <c r="C749" s="3" t="str">
        <f t="shared" si="53"/>
        <v>sysDictionaryColumn.Description</v>
      </c>
      <c r="D749">
        <v>2</v>
      </c>
      <c r="E749" s="3" t="str">
        <f t="shared" si="51"/>
        <v>sysDictionaryColumn</v>
      </c>
      <c r="F749" t="s">
        <v>12</v>
      </c>
      <c r="G749" s="3" t="s">
        <v>6423</v>
      </c>
      <c r="H749" s="3" t="str">
        <f t="shared" si="52"/>
        <v>System.Column</v>
      </c>
      <c r="I749"/>
      <c r="K749" t="s">
        <v>12</v>
      </c>
      <c r="L749"/>
      <c r="M749" t="s">
        <v>196</v>
      </c>
      <c r="N749" s="20"/>
      <c r="O749"/>
      <c r="P749"/>
      <c r="Q749" t="s">
        <v>92</v>
      </c>
      <c r="R749"/>
      <c r="S749"/>
      <c r="U749" t="s">
        <v>93</v>
      </c>
      <c r="AH749" t="s">
        <v>92</v>
      </c>
      <c r="AJ749" t="e">
        <f>VLOOKUP(E749,temp1,1,FALSE)</f>
        <v>#NAME?</v>
      </c>
      <c r="AK749" t="str">
        <f t="shared" si="56"/>
        <v>SELECT (SELECT 'sysDictionaryColumn.Description' ColumnName from sysDictionaryColumn where Description is null and exists (select from sysDictionaryColumn) limit 1) a union all</v>
      </c>
      <c r="AP749" t="e">
        <f>VLOOKUP(E749,temp6,1,FALSE)</f>
        <v>#NAME?</v>
      </c>
    </row>
    <row r="750" spans="1:42" ht="15" hidden="1" customHeight="1">
      <c r="A750">
        <v>19590</v>
      </c>
      <c r="B750" s="3" t="s">
        <v>1475</v>
      </c>
      <c r="C750" s="3" t="str">
        <f t="shared" si="53"/>
        <v>sysDictionaryColumn.IsChangeHistoryUsed</v>
      </c>
      <c r="D750">
        <v>2</v>
      </c>
      <c r="E750" s="3" t="str">
        <f t="shared" si="51"/>
        <v>sysDictionaryColumn</v>
      </c>
      <c r="F750" t="s">
        <v>1302</v>
      </c>
      <c r="G750" s="3" t="s">
        <v>6268</v>
      </c>
      <c r="H750" s="3" t="str">
        <f t="shared" si="52"/>
        <v>System.Column</v>
      </c>
      <c r="I750"/>
      <c r="K750" t="s">
        <v>2479</v>
      </c>
      <c r="L750"/>
      <c r="M750" s="3" t="s">
        <v>2402</v>
      </c>
      <c r="N750"/>
      <c r="O750"/>
      <c r="P750"/>
      <c r="Q750" t="s">
        <v>919</v>
      </c>
      <c r="R750"/>
      <c r="S750" t="b">
        <v>0</v>
      </c>
      <c r="U750" t="s">
        <v>93</v>
      </c>
      <c r="AJ750" t="e">
        <f>VLOOKUP(E750,temp1,1,FALSE)</f>
        <v>#NAME?</v>
      </c>
      <c r="AK750" t="str">
        <f t="shared" si="56"/>
        <v>SELECT (SELECT 'sysDictionaryColumn.IsChangeHistoryUsed' ColumnName from sysDictionaryColumn where IsChangeHistoryUsed is null and exists (select from sysDictionaryColumn) limit 1) a union all</v>
      </c>
      <c r="AL750" t="str">
        <f t="shared" ref="AL750:AL755" si="57">"ALTER TABLE "&amp;E750&amp;" ALTER COLUMN "&amp;F750&amp;" DROP NOT NULL"</f>
        <v>ALTER TABLE sysDictionaryColumn ALTER COLUMN IsChangeHistoryUsed DROP NOT NULL</v>
      </c>
      <c r="AP750" t="e">
        <f>VLOOKUP(E750,temp6,1,FALSE)</f>
        <v>#NAME?</v>
      </c>
    </row>
    <row r="751" spans="1:42" ht="15" hidden="1" customHeight="1">
      <c r="A751">
        <v>19595</v>
      </c>
      <c r="B751" s="3" t="s">
        <v>1475</v>
      </c>
      <c r="C751" s="3" t="str">
        <f t="shared" si="53"/>
        <v>sysDictionaryColumn.IsHeaderColumn</v>
      </c>
      <c r="D751">
        <v>2</v>
      </c>
      <c r="E751" s="3" t="str">
        <f t="shared" si="51"/>
        <v>sysDictionaryColumn</v>
      </c>
      <c r="F751" t="s">
        <v>6269</v>
      </c>
      <c r="G751" s="3" t="s">
        <v>6267</v>
      </c>
      <c r="H751" s="3" t="str">
        <f t="shared" si="52"/>
        <v>System.Column</v>
      </c>
      <c r="I751"/>
      <c r="K751" t="s">
        <v>6266</v>
      </c>
      <c r="L751"/>
      <c r="M751" s="3" t="s">
        <v>2402</v>
      </c>
      <c r="N751"/>
      <c r="O751"/>
      <c r="P751"/>
      <c r="Q751" t="s">
        <v>919</v>
      </c>
      <c r="R751"/>
      <c r="S751" t="b">
        <v>0</v>
      </c>
      <c r="U751" t="s">
        <v>93</v>
      </c>
      <c r="AJ751" t="e">
        <f>VLOOKUP(E751,temp1,1,FALSE)</f>
        <v>#NAME?</v>
      </c>
      <c r="AK751" t="str">
        <f t="shared" si="56"/>
        <v>SELECT (SELECT 'sysDictionaryColumn.IsHeaderColumn' ColumnName from sysDictionaryColumn where IsHeaderColumn is null and exists (select from sysDictionaryColumn) limit 1) a union all</v>
      </c>
      <c r="AL751" t="str">
        <f t="shared" si="57"/>
        <v>ALTER TABLE sysDictionaryColumn ALTER COLUMN IsHeaderColumn DROP NOT NULL</v>
      </c>
      <c r="AP751" t="e">
        <f>VLOOKUP(E751,temp6,1,FALSE)</f>
        <v>#NAME?</v>
      </c>
    </row>
    <row r="752" spans="1:42" ht="15" hidden="1" customHeight="1">
      <c r="A752">
        <v>19596</v>
      </c>
      <c r="B752" s="3" t="s">
        <v>1475</v>
      </c>
      <c r="C752" s="3" t="str">
        <f t="shared" si="53"/>
        <v>sysDictionaryColumn.IsEncrypted</v>
      </c>
      <c r="D752">
        <v>2</v>
      </c>
      <c r="E752" s="3" t="str">
        <f t="shared" si="51"/>
        <v>sysDictionaryColumn</v>
      </c>
      <c r="F752" t="s">
        <v>6354</v>
      </c>
      <c r="G752" s="3" t="s">
        <v>6352</v>
      </c>
      <c r="H752" s="3" t="str">
        <f t="shared" si="52"/>
        <v>System.Column</v>
      </c>
      <c r="I752"/>
      <c r="K752" t="s">
        <v>6351</v>
      </c>
      <c r="L752"/>
      <c r="M752" s="3" t="s">
        <v>2402</v>
      </c>
      <c r="N752"/>
      <c r="O752"/>
      <c r="P752"/>
      <c r="Q752" t="s">
        <v>919</v>
      </c>
      <c r="R752"/>
      <c r="S752" t="b">
        <v>0</v>
      </c>
      <c r="U752" t="s">
        <v>93</v>
      </c>
      <c r="AJ752" t="e">
        <f>VLOOKUP(E752,temp1,1,FALSE)</f>
        <v>#NAME?</v>
      </c>
      <c r="AK752" t="str">
        <f t="shared" si="56"/>
        <v>SELECT (SELECT 'sysDictionaryColumn.IsEncrypted' ColumnName from sysDictionaryColumn where IsEncrypted is null and exists (select from sysDictionaryColumn) limit 1) a union all</v>
      </c>
      <c r="AL752" t="str">
        <f t="shared" si="57"/>
        <v>ALTER TABLE sysDictionaryColumn ALTER COLUMN IsEncrypted DROP NOT NULL</v>
      </c>
      <c r="AP752" t="e">
        <f>VLOOKUP(E752,temp6,1,FALSE)</f>
        <v>#NAME?</v>
      </c>
    </row>
    <row r="753" spans="1:42" ht="15" hidden="1" customHeight="1">
      <c r="A753">
        <v>19600</v>
      </c>
      <c r="B753" s="3" t="s">
        <v>1475</v>
      </c>
      <c r="C753" s="3" t="str">
        <f t="shared" si="53"/>
        <v>sysDictionaryColumn.IsNullable</v>
      </c>
      <c r="D753">
        <v>2</v>
      </c>
      <c r="E753" s="3" t="str">
        <f t="shared" si="51"/>
        <v>sysDictionaryColumn</v>
      </c>
      <c r="F753" t="s">
        <v>105</v>
      </c>
      <c r="G753" s="3" t="s">
        <v>6780</v>
      </c>
      <c r="H753" s="3" t="str">
        <f t="shared" si="52"/>
        <v>System.Column</v>
      </c>
      <c r="I753"/>
      <c r="K753" t="s">
        <v>2480</v>
      </c>
      <c r="L753"/>
      <c r="M753" s="3" t="s">
        <v>2402</v>
      </c>
      <c r="N753"/>
      <c r="O753"/>
      <c r="P753"/>
      <c r="Q753" t="s">
        <v>919</v>
      </c>
      <c r="R753"/>
      <c r="S753" t="b">
        <v>0</v>
      </c>
      <c r="U753" t="s">
        <v>93</v>
      </c>
      <c r="AJ753" t="e">
        <f>VLOOKUP(E753,temp1,1,FALSE)</f>
        <v>#NAME?</v>
      </c>
      <c r="AK753" t="str">
        <f t="shared" si="56"/>
        <v>SELECT (SELECT 'sysDictionaryColumn.IsNullable' ColumnName from sysDictionaryColumn where IsNullable is null and exists (select from sysDictionaryColumn) limit 1) a union all</v>
      </c>
      <c r="AL753" t="str">
        <f t="shared" si="57"/>
        <v>ALTER TABLE sysDictionaryColumn ALTER COLUMN IsNullable DROP NOT NULL</v>
      </c>
      <c r="AP753" t="e">
        <f>VLOOKUP(E753,temp6,1,FALSE)</f>
        <v>#NAME?</v>
      </c>
    </row>
    <row r="754" spans="1:42" ht="15" hidden="1" customHeight="1">
      <c r="A754">
        <v>19605</v>
      </c>
      <c r="B754" s="3" t="s">
        <v>1475</v>
      </c>
      <c r="C754" s="3" t="str">
        <f t="shared" si="53"/>
        <v>sysDictionaryColumn.IsIncludedInUniqueConstraint</v>
      </c>
      <c r="D754">
        <v>2</v>
      </c>
      <c r="E754" s="3" t="str">
        <f t="shared" si="51"/>
        <v>sysDictionaryColumn</v>
      </c>
      <c r="F754" t="s">
        <v>6368</v>
      </c>
      <c r="G754" s="3" t="s">
        <v>6781</v>
      </c>
      <c r="H754" s="3" t="str">
        <f t="shared" si="52"/>
        <v>System.Column</v>
      </c>
      <c r="I754"/>
      <c r="K754" t="s">
        <v>6369</v>
      </c>
      <c r="L754"/>
      <c r="M754" s="3" t="s">
        <v>2402</v>
      </c>
      <c r="N754"/>
      <c r="O754"/>
      <c r="P754"/>
      <c r="Q754" t="s">
        <v>919</v>
      </c>
      <c r="R754"/>
      <c r="S754" t="b">
        <v>0</v>
      </c>
      <c r="U754" t="s">
        <v>93</v>
      </c>
      <c r="AJ754" t="e">
        <f>VLOOKUP(E754,temp1,1,FALSE)</f>
        <v>#NAME?</v>
      </c>
      <c r="AK754" t="str">
        <f t="shared" si="56"/>
        <v>SELECT (SELECT 'sysDictionaryColumn.IsIncludedInUniqueConstraint' ColumnName from sysDictionaryColumn where IsIncludedInUniqueConstraint is null and exists (select from sysDictionaryColumn) limit 1) a union all</v>
      </c>
      <c r="AL754" t="str">
        <f t="shared" si="57"/>
        <v>ALTER TABLE sysDictionaryColumn ALTER COLUMN IsIncludedInUniqueConstraint DROP NOT NULL</v>
      </c>
      <c r="AP754" t="e">
        <f>VLOOKUP(E754,temp6,1,FALSE)</f>
        <v>#NAME?</v>
      </c>
    </row>
    <row r="755" spans="1:42" ht="15" hidden="1" customHeight="1">
      <c r="A755">
        <v>19610</v>
      </c>
      <c r="B755" s="3" t="s">
        <v>1475</v>
      </c>
      <c r="C755" s="3" t="str">
        <f t="shared" si="53"/>
        <v>sysDictionaryColumn.Label</v>
      </c>
      <c r="D755">
        <v>2</v>
      </c>
      <c r="E755" s="3" t="str">
        <f t="shared" si="51"/>
        <v>sysDictionaryColumn</v>
      </c>
      <c r="F755" t="s">
        <v>106</v>
      </c>
      <c r="G755" s="3" t="s">
        <v>6782</v>
      </c>
      <c r="H755" s="3" t="str">
        <f t="shared" si="52"/>
        <v>System.Column</v>
      </c>
      <c r="I755"/>
      <c r="K755" t="s">
        <v>106</v>
      </c>
      <c r="L755"/>
      <c r="M755" t="s">
        <v>196</v>
      </c>
      <c r="N755"/>
      <c r="O755"/>
      <c r="P755"/>
      <c r="Q755" t="s">
        <v>919</v>
      </c>
      <c r="R755"/>
      <c r="S755"/>
      <c r="U755" t="s">
        <v>93</v>
      </c>
      <c r="AJ755" t="e">
        <f>VLOOKUP(E755,temp1,1,FALSE)</f>
        <v>#NAME?</v>
      </c>
      <c r="AK755" t="str">
        <f t="shared" si="56"/>
        <v>SELECT (SELECT 'sysDictionaryColumn.Label' ColumnName from sysDictionaryColumn where Label is null and exists (select from sysDictionaryColumn) limit 1) a union all</v>
      </c>
      <c r="AL755" t="str">
        <f t="shared" si="57"/>
        <v>ALTER TABLE sysDictionaryColumn ALTER COLUMN Label DROP NOT NULL</v>
      </c>
      <c r="AP755" t="e">
        <f>VLOOKUP(E755,temp6,1,FALSE)</f>
        <v>#NAME?</v>
      </c>
    </row>
    <row r="756" spans="1:42" ht="15" hidden="1" customHeight="1">
      <c r="A756">
        <v>19620</v>
      </c>
      <c r="B756" s="3" t="s">
        <v>1475</v>
      </c>
      <c r="C756" s="3" t="str">
        <f t="shared" si="53"/>
        <v>sysDictionaryColumn.LongName</v>
      </c>
      <c r="D756">
        <v>2</v>
      </c>
      <c r="E756" s="3" t="str">
        <f t="shared" si="51"/>
        <v>sysDictionaryColumn</v>
      </c>
      <c r="F756" t="s">
        <v>469</v>
      </c>
      <c r="G756" s="3" t="s">
        <v>6965</v>
      </c>
      <c r="H756" s="3" t="str">
        <f t="shared" si="52"/>
        <v>System.Column</v>
      </c>
      <c r="I756"/>
      <c r="K756" t="s">
        <v>2481</v>
      </c>
      <c r="M756" t="s">
        <v>196</v>
      </c>
      <c r="N756"/>
      <c r="O756"/>
      <c r="Q756" s="3" t="s">
        <v>92</v>
      </c>
      <c r="U756" t="s">
        <v>93</v>
      </c>
      <c r="AJ756" t="e">
        <f>VLOOKUP(E756,temp1,1,FALSE)</f>
        <v>#NAME?</v>
      </c>
      <c r="AK756" t="str">
        <f t="shared" si="56"/>
        <v>SELECT (SELECT 'sysDictionaryColumn.LongName' ColumnName from sysDictionaryColumn where LongName is null and exists (select from sysDictionaryColumn) limit 1) a union all</v>
      </c>
      <c r="AP756" t="e">
        <f>VLOOKUP(E756,temp6,1,FALSE)</f>
        <v>#NAME?</v>
      </c>
    </row>
    <row r="757" spans="1:42" ht="15" hidden="1" customHeight="1">
      <c r="A757">
        <v>19630</v>
      </c>
      <c r="B757" s="3" t="s">
        <v>1475</v>
      </c>
      <c r="C757" s="3" t="str">
        <f t="shared" si="53"/>
        <v>sysDictionaryColumn.Name</v>
      </c>
      <c r="D757">
        <v>2</v>
      </c>
      <c r="E757" s="3" t="str">
        <f t="shared" si="51"/>
        <v>sysDictionaryColumn</v>
      </c>
      <c r="F757" t="s">
        <v>22</v>
      </c>
      <c r="G757" s="3" t="s">
        <v>6966</v>
      </c>
      <c r="H757" s="3" t="str">
        <f t="shared" si="52"/>
        <v>System.Column</v>
      </c>
      <c r="I757"/>
      <c r="K757" t="s">
        <v>22</v>
      </c>
      <c r="L757"/>
      <c r="M757" t="s">
        <v>196</v>
      </c>
      <c r="N757"/>
      <c r="O757"/>
      <c r="P757"/>
      <c r="Q757" t="s">
        <v>919</v>
      </c>
      <c r="R757"/>
      <c r="S757"/>
      <c r="U757" t="s">
        <v>93</v>
      </c>
      <c r="AH757" t="s">
        <v>92</v>
      </c>
      <c r="AJ757" t="e">
        <f>VLOOKUP(E757,temp1,1,FALSE)</f>
        <v>#NAME?</v>
      </c>
      <c r="AL757" t="str">
        <f>"ALTER TABLE "&amp;E757&amp;" ALTER COLUMN "&amp;F757&amp;" DROP NOT NULL"</f>
        <v>ALTER TABLE sysDictionaryColumn ALTER COLUMN Name DROP NOT NULL</v>
      </c>
      <c r="AP757" t="e">
        <f>VLOOKUP(E757,temp6,1,FALSE)</f>
        <v>#NAME?</v>
      </c>
    </row>
    <row r="758" spans="1:42" ht="15" hidden="1" customHeight="1">
      <c r="A758">
        <v>19640</v>
      </c>
      <c r="B758" s="3" t="s">
        <v>1475</v>
      </c>
      <c r="C758" s="3" t="str">
        <f t="shared" si="53"/>
        <v>sysDictionaryColumn.Purpose</v>
      </c>
      <c r="D758">
        <v>2</v>
      </c>
      <c r="E758" s="3" t="str">
        <f t="shared" si="51"/>
        <v>sysDictionaryColumn</v>
      </c>
      <c r="F758" t="s">
        <v>337</v>
      </c>
      <c r="G758" s="3" t="s">
        <v>6783</v>
      </c>
      <c r="H758" s="3" t="str">
        <f t="shared" si="52"/>
        <v>System.Column</v>
      </c>
      <c r="I758"/>
      <c r="K758" t="s">
        <v>337</v>
      </c>
      <c r="L758"/>
      <c r="M758" t="s">
        <v>196</v>
      </c>
      <c r="O758"/>
      <c r="P758"/>
      <c r="Q758" t="s">
        <v>919</v>
      </c>
      <c r="R758"/>
      <c r="S758"/>
      <c r="U758" t="s">
        <v>93</v>
      </c>
      <c r="AJ758" t="e">
        <f>VLOOKUP(E758,temp1,1,FALSE)</f>
        <v>#NAME?</v>
      </c>
      <c r="AK758" t="str">
        <f>"SELECT (SELECT '"&amp;C758&amp;"' ColumnName from "&amp;E758&amp;" where "&amp;F758&amp;" is null and exists (select from "&amp;E758&amp;") limit 1) a union all"</f>
        <v>SELECT (SELECT 'sysDictionaryColumn.Purpose' ColumnName from sysDictionaryColumn where Purpose is null and exists (select from sysDictionaryColumn) limit 1) a union all</v>
      </c>
      <c r="AL758" t="str">
        <f>"ALTER TABLE "&amp;E758&amp;" ALTER COLUMN "&amp;F758&amp;" DROP NOT NULL"</f>
        <v>ALTER TABLE sysDictionaryColumn ALTER COLUMN Purpose DROP NOT NULL</v>
      </c>
      <c r="AP758" t="e">
        <f>VLOOKUP(E758,temp6,1,FALSE)</f>
        <v>#NAME?</v>
      </c>
    </row>
    <row r="759" spans="1:42" ht="15" hidden="1" customHeight="1">
      <c r="A759">
        <v>19650</v>
      </c>
      <c r="B759" s="3" t="s">
        <v>1475</v>
      </c>
      <c r="C759" s="3" t="str">
        <f t="shared" si="53"/>
        <v>sysDictionaryColumn.RowStatus</v>
      </c>
      <c r="D759">
        <v>2</v>
      </c>
      <c r="E759" s="3" t="str">
        <f t="shared" si="51"/>
        <v>sysDictionaryColumn</v>
      </c>
      <c r="F759" t="s">
        <v>1445</v>
      </c>
      <c r="G759" s="3" t="s">
        <v>6411</v>
      </c>
      <c r="H759" s="3" t="str">
        <f t="shared" si="52"/>
        <v>System.Column</v>
      </c>
      <c r="I759"/>
      <c r="K759" t="s">
        <v>2471</v>
      </c>
      <c r="L759"/>
      <c r="M759" t="s">
        <v>976</v>
      </c>
      <c r="N759">
        <v>1</v>
      </c>
      <c r="O759"/>
      <c r="P759"/>
      <c r="Q759" t="s">
        <v>919</v>
      </c>
      <c r="R759"/>
      <c r="S759"/>
      <c r="U759" t="s">
        <v>94</v>
      </c>
      <c r="AJ759" t="e">
        <f>VLOOKUP(E759,temp1,1,FALSE)</f>
        <v>#NAME?</v>
      </c>
      <c r="AL759" t="str">
        <f>"ALTER TABLE "&amp;E759&amp;" ALTER COLUMN "&amp;F759&amp;" DROP NOT NULL"</f>
        <v>ALTER TABLE sysDictionaryColumn ALTER COLUMN RowStatus DROP NOT NULL</v>
      </c>
      <c r="AP759" t="e">
        <f>VLOOKUP(E759,temp6,1,FALSE)</f>
        <v>#NAME?</v>
      </c>
    </row>
    <row r="760" spans="1:42" ht="15" hidden="1" customHeight="1">
      <c r="A760">
        <v>19660</v>
      </c>
      <c r="B760" t="s">
        <v>1475</v>
      </c>
      <c r="C760" s="3" t="str">
        <f t="shared" si="53"/>
        <v>sysDictionaryColumn.sysChangeHistoryID</v>
      </c>
      <c r="D760">
        <v>2</v>
      </c>
      <c r="E760" s="3" t="str">
        <f t="shared" si="51"/>
        <v>sysDictionaryColumn</v>
      </c>
      <c r="F760" t="s">
        <v>2497</v>
      </c>
      <c r="G760" s="3" t="s">
        <v>6403</v>
      </c>
      <c r="H760" s="3" t="str">
        <f t="shared" si="52"/>
        <v>System.Column</v>
      </c>
      <c r="I760"/>
      <c r="K760" t="s">
        <v>1210</v>
      </c>
      <c r="L760"/>
      <c r="M760" t="s">
        <v>6007</v>
      </c>
      <c r="N760"/>
      <c r="O760"/>
      <c r="P760"/>
      <c r="Q760" t="s">
        <v>92</v>
      </c>
      <c r="R760"/>
      <c r="S760"/>
      <c r="U760" t="s">
        <v>1429</v>
      </c>
      <c r="W760" s="3"/>
      <c r="X760" s="3"/>
      <c r="AJ760" t="e">
        <f>VLOOKUP(E760,temp1,1,FALSE)</f>
        <v>#NAME?</v>
      </c>
      <c r="AK760" t="str">
        <f>"SELECT (SELECT '"&amp;C760&amp;"' ColumnName from "&amp;E760&amp;" where "&amp;F760&amp;" is null and exists (select from "&amp;E760&amp;") limit 1) a union all"</f>
        <v>SELECT (SELECT 'sysDictionaryColumn.sysChangeHistoryID' ColumnName from sysDictionaryColumn where sysChangeHistoryID is null and exists (select from sysDictionaryColumn) limit 1) a union all</v>
      </c>
      <c r="AP760" t="e">
        <f>VLOOKUP(E760,temp6,1,FALSE)</f>
        <v>#NAME?</v>
      </c>
    </row>
    <row r="761" spans="1:42" ht="15" hidden="1" customHeight="1">
      <c r="A761">
        <v>19670</v>
      </c>
      <c r="B761" s="3" t="s">
        <v>1475</v>
      </c>
      <c r="C761" s="3" t="str">
        <f t="shared" si="53"/>
        <v>sysDictionaryTable.ID</v>
      </c>
      <c r="D761">
        <v>1</v>
      </c>
      <c r="E761" s="3" t="str">
        <f t="shared" si="51"/>
        <v>sysDictionaryTable</v>
      </c>
      <c r="F761" t="s">
        <v>0</v>
      </c>
      <c r="G761" s="3" t="s">
        <v>6784</v>
      </c>
      <c r="H761" s="3" t="str">
        <f t="shared" si="52"/>
        <v>System.Table</v>
      </c>
      <c r="I761"/>
      <c r="K761" t="s">
        <v>0</v>
      </c>
      <c r="L761"/>
      <c r="M761" t="s">
        <v>6007</v>
      </c>
      <c r="N761"/>
      <c r="O761"/>
      <c r="P761"/>
      <c r="Q761" s="3" t="s">
        <v>919</v>
      </c>
      <c r="R761"/>
      <c r="S761"/>
      <c r="U761" s="3" t="s">
        <v>95</v>
      </c>
      <c r="AC761" t="s">
        <v>92</v>
      </c>
      <c r="AJ761" t="e">
        <f>VLOOKUP(E761,temp1,1,FALSE)</f>
        <v>#NAME?</v>
      </c>
      <c r="AL761" t="str">
        <f>"ALTER TABLE "&amp;E761&amp;" ALTER COLUMN "&amp;F761&amp;" DROP NOT NULL"</f>
        <v>ALTER TABLE sysDictionaryTable ALTER COLUMN ID DROP NOT NULL</v>
      </c>
      <c r="AP761" t="e">
        <f>VLOOKUP(E761,temp6,1,FALSE)</f>
        <v>#NAME?</v>
      </c>
    </row>
    <row r="762" spans="1:42" ht="15" hidden="1" customHeight="1">
      <c r="A762">
        <v>19680</v>
      </c>
      <c r="B762" t="s">
        <v>1475</v>
      </c>
      <c r="C762" s="3" t="str">
        <f t="shared" si="53"/>
        <v>sysDictionaryTable.sysCommandID</v>
      </c>
      <c r="D762">
        <v>1</v>
      </c>
      <c r="E762" s="3" t="str">
        <f t="shared" si="51"/>
        <v>sysDictionaryTable</v>
      </c>
      <c r="F762" t="str">
        <f>VLOOKUP(V762,SystemTableId,3,FALSE)&amp;"ID"&amp;X762</f>
        <v>sysCommandID</v>
      </c>
      <c r="G762" s="3" t="s">
        <v>6533</v>
      </c>
      <c r="H762" s="3" t="str">
        <f t="shared" si="52"/>
        <v>System.Table</v>
      </c>
      <c r="I762"/>
      <c r="K762" t="s">
        <v>35</v>
      </c>
      <c r="L762"/>
      <c r="M762" t="s">
        <v>6007</v>
      </c>
      <c r="N762"/>
      <c r="O762"/>
      <c r="P762"/>
      <c r="Q762" t="s">
        <v>92</v>
      </c>
      <c r="R762"/>
      <c r="S762"/>
      <c r="U762" t="s">
        <v>96</v>
      </c>
      <c r="V762">
        <v>13</v>
      </c>
      <c r="W762" s="3" t="str">
        <f>VLOOKUP(V762,SystemTableId,3,FALSE)</f>
        <v>sysCommand</v>
      </c>
      <c r="X762" s="3" t="s">
        <v>1036</v>
      </c>
      <c r="AJ762" t="e">
        <f>VLOOKUP(E762,temp1,1,FALSE)</f>
        <v>#NAME?</v>
      </c>
      <c r="AL762" t="str">
        <f>"ALTER TABLE "&amp;E762&amp;" ALTER COLUMN "&amp;F762&amp;" DROP NOT NULL"</f>
        <v>ALTER TABLE sysDictionaryTable ALTER COLUMN sysCommandID DROP NOT NULL</v>
      </c>
      <c r="AP762" t="e">
        <f>VLOOKUP(E762,temp6,1,FALSE)</f>
        <v>#NAME?</v>
      </c>
    </row>
    <row r="763" spans="1:42" ht="15" hidden="1" customHeight="1">
      <c r="A763">
        <v>19690</v>
      </c>
      <c r="B763" s="3" t="s">
        <v>1475</v>
      </c>
      <c r="C763" s="3" t="str">
        <f t="shared" si="53"/>
        <v>sysDictionaryTable.ChangeHistoryLevel</v>
      </c>
      <c r="D763">
        <v>1</v>
      </c>
      <c r="E763" s="3" t="str">
        <f t="shared" si="51"/>
        <v>sysDictionaryTable</v>
      </c>
      <c r="F763" t="s">
        <v>468</v>
      </c>
      <c r="G763" s="3" t="s">
        <v>6785</v>
      </c>
      <c r="H763" s="3" t="str">
        <f t="shared" si="52"/>
        <v>System.Table</v>
      </c>
      <c r="I763"/>
      <c r="K763" t="s">
        <v>2482</v>
      </c>
      <c r="L763"/>
      <c r="M763" t="s">
        <v>195</v>
      </c>
      <c r="N763"/>
      <c r="O763"/>
      <c r="P763"/>
      <c r="Q763" t="s">
        <v>92</v>
      </c>
      <c r="R763"/>
      <c r="S763"/>
      <c r="U763" t="s">
        <v>93</v>
      </c>
      <c r="AJ763" t="e">
        <f>VLOOKUP(E763,temp1,1,FALSE)</f>
        <v>#NAME?</v>
      </c>
      <c r="AK763" t="str">
        <f>"SELECT (SELECT '"&amp;C763&amp;"' ColumnName from "&amp;E763&amp;" where "&amp;F763&amp;" is null and exists (select from "&amp;E763&amp;") limit 1) a union all"</f>
        <v>SELECT (SELECT 'sysDictionaryTable.ChangeHistoryLevel' ColumnName from sysDictionaryTable where ChangeHistoryLevel is null and exists (select from sysDictionaryTable) limit 1) a union all</v>
      </c>
      <c r="AP763" t="e">
        <f>VLOOKUP(E763,temp6,1,FALSE)</f>
        <v>#NAME?</v>
      </c>
    </row>
    <row r="764" spans="1:42" ht="15" hidden="1" customHeight="1">
      <c r="A764">
        <v>19700</v>
      </c>
      <c r="B764" s="3" t="s">
        <v>1475</v>
      </c>
      <c r="C764" s="3" t="str">
        <f t="shared" si="53"/>
        <v>sysDictionaryTable.ChangeHistoryScope</v>
      </c>
      <c r="D764">
        <v>1</v>
      </c>
      <c r="E764" s="3" t="str">
        <f t="shared" si="51"/>
        <v>sysDictionaryTable</v>
      </c>
      <c r="F764" t="s">
        <v>883</v>
      </c>
      <c r="G764" s="3" t="s">
        <v>6786</v>
      </c>
      <c r="H764" s="3" t="str">
        <f t="shared" si="52"/>
        <v>System.Table</v>
      </c>
      <c r="I764"/>
      <c r="K764" t="s">
        <v>883</v>
      </c>
      <c r="L764"/>
      <c r="M764" t="s">
        <v>196</v>
      </c>
      <c r="N764"/>
      <c r="O764"/>
      <c r="P764"/>
      <c r="Q764" t="s">
        <v>92</v>
      </c>
      <c r="R764"/>
      <c r="S764"/>
      <c r="U764" t="s">
        <v>93</v>
      </c>
      <c r="W764" s="4"/>
      <c r="AJ764" t="e">
        <f>VLOOKUP(E764,temp1,1,FALSE)</f>
        <v>#NAME?</v>
      </c>
      <c r="AK764" t="str">
        <f>"SELECT (SELECT '"&amp;C764&amp;"' ColumnName from "&amp;E764&amp;" where "&amp;F764&amp;" is null and exists (select from "&amp;E764&amp;") limit 1) a union all"</f>
        <v>SELECT (SELECT 'sysDictionaryTable.ChangeHistoryScope' ColumnName from sysDictionaryTable where ChangeHistoryScope is null and exists (select from sysDictionaryTable) limit 1) a union all</v>
      </c>
      <c r="AP764" t="e">
        <f>VLOOKUP(E764,temp6,1,FALSE)</f>
        <v>#NAME?</v>
      </c>
    </row>
    <row r="765" spans="1:42" ht="15" hidden="1" customHeight="1">
      <c r="A765">
        <v>19710</v>
      </c>
      <c r="B765" s="3" t="s">
        <v>1475</v>
      </c>
      <c r="C765" s="3" t="str">
        <f t="shared" si="53"/>
        <v>sysDictionaryTable.Description</v>
      </c>
      <c r="D765">
        <v>1</v>
      </c>
      <c r="E765" s="3" t="str">
        <f t="shared" si="51"/>
        <v>sysDictionaryTable</v>
      </c>
      <c r="F765" t="s">
        <v>12</v>
      </c>
      <c r="G765" s="3" t="s">
        <v>6423</v>
      </c>
      <c r="H765" s="3" t="str">
        <f t="shared" si="52"/>
        <v>System.Table</v>
      </c>
      <c r="I765"/>
      <c r="K765" t="s">
        <v>12</v>
      </c>
      <c r="M765" t="s">
        <v>196</v>
      </c>
      <c r="N765"/>
      <c r="O765"/>
      <c r="Q765" s="3" t="s">
        <v>92</v>
      </c>
      <c r="U765" t="s">
        <v>93</v>
      </c>
      <c r="AH765" t="s">
        <v>92</v>
      </c>
      <c r="AJ765" t="e">
        <f>VLOOKUP(E765,temp1,1,FALSE)</f>
        <v>#NAME?</v>
      </c>
      <c r="AK765" t="str">
        <f>"SELECT (SELECT '"&amp;C765&amp;"' ColumnName from "&amp;E765&amp;" where "&amp;F765&amp;" is null and exists (select from "&amp;E765&amp;") limit 1) a union all"</f>
        <v>SELECT (SELECT 'sysDictionaryTable.Description' ColumnName from sysDictionaryTable where Description is null and exists (select from sysDictionaryTable) limit 1) a union all</v>
      </c>
      <c r="AP765" t="e">
        <f>VLOOKUP(E765,temp6,1,FALSE)</f>
        <v>#NAME?</v>
      </c>
    </row>
    <row r="766" spans="1:42" ht="15" hidden="1" customHeight="1">
      <c r="A766">
        <v>19720</v>
      </c>
      <c r="B766" s="3" t="s">
        <v>1475</v>
      </c>
      <c r="C766" s="3" t="str">
        <f t="shared" si="53"/>
        <v>sysDictionaryTable.IsChangeHistoryUsed</v>
      </c>
      <c r="D766">
        <v>1</v>
      </c>
      <c r="E766" s="3" t="str">
        <f t="shared" si="51"/>
        <v>sysDictionaryTable</v>
      </c>
      <c r="F766" t="s">
        <v>1302</v>
      </c>
      <c r="G766" s="3" t="s">
        <v>6787</v>
      </c>
      <c r="H766" s="3" t="str">
        <f t="shared" si="52"/>
        <v>System.Table</v>
      </c>
      <c r="I766"/>
      <c r="K766" t="s">
        <v>2479</v>
      </c>
      <c r="L766"/>
      <c r="M766" s="3" t="s">
        <v>2402</v>
      </c>
      <c r="N766"/>
      <c r="O766"/>
      <c r="P766"/>
      <c r="Q766" t="s">
        <v>92</v>
      </c>
      <c r="R766"/>
      <c r="S766"/>
      <c r="U766" t="s">
        <v>93</v>
      </c>
      <c r="AJ766" t="e">
        <f>VLOOKUP(E766,temp1,1,FALSE)</f>
        <v>#NAME?</v>
      </c>
      <c r="AK766" t="str">
        <f>"SELECT (SELECT '"&amp;C766&amp;"' ColumnName from "&amp;E766&amp;" where "&amp;F766&amp;" is null and exists (select from "&amp;E766&amp;") limit 1) a union all"</f>
        <v>SELECT (SELECT 'sysDictionaryTable.IsChangeHistoryUsed' ColumnName from sysDictionaryTable where IsChangeHistoryUsed is null and exists (select from sysDictionaryTable) limit 1) a union all</v>
      </c>
      <c r="AP766" t="e">
        <f>VLOOKUP(E766,temp6,1,FALSE)</f>
        <v>#NAME?</v>
      </c>
    </row>
    <row r="767" spans="1:42" ht="15" hidden="1" customHeight="1">
      <c r="A767">
        <v>19730</v>
      </c>
      <c r="B767" s="3" t="s">
        <v>1475</v>
      </c>
      <c r="C767" s="3" t="str">
        <f t="shared" si="53"/>
        <v>sysDictionaryTable.IsTableTemporal</v>
      </c>
      <c r="D767">
        <v>1</v>
      </c>
      <c r="E767" s="3" t="str">
        <f t="shared" ref="E767:E830" si="58">VLOOKUP(D767,DictionaryTableID,3,FALSE)</f>
        <v>sysDictionaryTable</v>
      </c>
      <c r="F767" t="s">
        <v>1346</v>
      </c>
      <c r="G767" s="3" t="s">
        <v>6788</v>
      </c>
      <c r="H767" s="3" t="str">
        <f t="shared" ref="H767:H830" si="59">VLOOKUP(E767,DictionaryTables,14,FALSE)</f>
        <v>System.Table</v>
      </c>
      <c r="I767"/>
      <c r="K767" t="s">
        <v>2483</v>
      </c>
      <c r="L767"/>
      <c r="M767" s="3" t="s">
        <v>2402</v>
      </c>
      <c r="N767"/>
      <c r="O767"/>
      <c r="P767"/>
      <c r="Q767" t="s">
        <v>919</v>
      </c>
      <c r="R767"/>
      <c r="S767"/>
      <c r="U767" t="s">
        <v>93</v>
      </c>
      <c r="AJ767" t="e">
        <f>VLOOKUP(E767,temp1,1,FALSE)</f>
        <v>#NAME?</v>
      </c>
      <c r="AK767" t="str">
        <f>"SELECT (SELECT '"&amp;C767&amp;"' ColumnName from "&amp;E767&amp;" where "&amp;F767&amp;" is null and exists (select from "&amp;E767&amp;") limit 1) a union all"</f>
        <v>SELECT (SELECT 'sysDictionaryTable.IsTableTemporal' ColumnName from sysDictionaryTable where IsTableTemporal is null and exists (select from sysDictionaryTable) limit 1) a union all</v>
      </c>
      <c r="AL767" t="str">
        <f>"ALTER TABLE "&amp;E767&amp;" ALTER COLUMN "&amp;F767&amp;" DROP NOT NULL"</f>
        <v>ALTER TABLE sysDictionaryTable ALTER COLUMN IsTableTemporal DROP NOT NULL</v>
      </c>
      <c r="AP767" t="e">
        <f>VLOOKUP(E767,temp6,1,FALSE)</f>
        <v>#NAME?</v>
      </c>
    </row>
    <row r="768" spans="1:42" ht="15" hidden="1" customHeight="1">
      <c r="A768">
        <v>19740</v>
      </c>
      <c r="B768" s="3" t="s">
        <v>1475</v>
      </c>
      <c r="C768" s="3" t="str">
        <f t="shared" si="53"/>
        <v>sysDictionaryTable.Name</v>
      </c>
      <c r="D768">
        <v>1</v>
      </c>
      <c r="E768" s="3" t="str">
        <f t="shared" si="58"/>
        <v>sysDictionaryTable</v>
      </c>
      <c r="F768" t="s">
        <v>22</v>
      </c>
      <c r="G768" s="3" t="s">
        <v>6967</v>
      </c>
      <c r="H768" s="3" t="str">
        <f t="shared" si="59"/>
        <v>System.Table</v>
      </c>
      <c r="I768"/>
      <c r="K768" t="s">
        <v>22</v>
      </c>
      <c r="L768"/>
      <c r="M768" t="s">
        <v>196</v>
      </c>
      <c r="N768"/>
      <c r="O768"/>
      <c r="P768"/>
      <c r="Q768" t="s">
        <v>919</v>
      </c>
      <c r="R768"/>
      <c r="S768"/>
      <c r="U768" t="s">
        <v>93</v>
      </c>
      <c r="AH768" t="s">
        <v>92</v>
      </c>
      <c r="AJ768" t="e">
        <f>VLOOKUP(E768,temp1,1,FALSE)</f>
        <v>#NAME?</v>
      </c>
      <c r="AL768" t="str">
        <f>"ALTER TABLE "&amp;E768&amp;" ALTER COLUMN "&amp;F768&amp;" DROP NOT NULL"</f>
        <v>ALTER TABLE sysDictionaryTable ALTER COLUMN Name DROP NOT NULL</v>
      </c>
      <c r="AP768" t="e">
        <f>VLOOKUP(E768,temp6,1,FALSE)</f>
        <v>#NAME?</v>
      </c>
    </row>
    <row r="769" spans="1:42" ht="15" hidden="1" customHeight="1">
      <c r="A769">
        <v>19750</v>
      </c>
      <c r="B769" s="3" t="s">
        <v>1475</v>
      </c>
      <c r="C769" s="3" t="str">
        <f t="shared" si="53"/>
        <v>sysDictionaryTable.NormalizedName</v>
      </c>
      <c r="D769">
        <v>1</v>
      </c>
      <c r="E769" s="3" t="str">
        <f t="shared" si="58"/>
        <v>sysDictionaryTable</v>
      </c>
      <c r="F769" t="s">
        <v>887</v>
      </c>
      <c r="G769" s="3" t="s">
        <v>6968</v>
      </c>
      <c r="H769" s="3" t="str">
        <f t="shared" si="59"/>
        <v>System.Table</v>
      </c>
      <c r="I769"/>
      <c r="K769" t="s">
        <v>2484</v>
      </c>
      <c r="L769"/>
      <c r="M769" t="s">
        <v>196</v>
      </c>
      <c r="N769"/>
      <c r="O769"/>
      <c r="P769"/>
      <c r="Q769" t="s">
        <v>919</v>
      </c>
      <c r="R769"/>
      <c r="S769"/>
      <c r="U769" t="s">
        <v>93</v>
      </c>
      <c r="AJ769" t="e">
        <f>VLOOKUP(E769,temp1,1,FALSE)</f>
        <v>#NAME?</v>
      </c>
      <c r="AK769" t="str">
        <f t="shared" ref="AK769:AK775" si="60">"SELECT (SELECT '"&amp;C769&amp;"' ColumnName from "&amp;E769&amp;" where "&amp;F769&amp;" is null and exists (select from "&amp;E769&amp;") limit 1) a union all"</f>
        <v>SELECT (SELECT 'sysDictionaryTable.NormalizedName' ColumnName from sysDictionaryTable where NormalizedName is null and exists (select from sysDictionaryTable) limit 1) a union all</v>
      </c>
      <c r="AL769" t="str">
        <f>"ALTER TABLE "&amp;E769&amp;" ALTER COLUMN "&amp;F769&amp;" DROP NOT NULL"</f>
        <v>ALTER TABLE sysDictionaryTable ALTER COLUMN NormalizedName DROP NOT NULL</v>
      </c>
      <c r="AP769" t="e">
        <f>VLOOKUP(E769,temp6,1,FALSE)</f>
        <v>#NAME?</v>
      </c>
    </row>
    <row r="770" spans="1:42" ht="15" hidden="1" customHeight="1">
      <c r="A770">
        <v>19760</v>
      </c>
      <c r="B770" s="3" t="s">
        <v>1475</v>
      </c>
      <c r="C770" s="3" t="str">
        <f t="shared" ref="C770:C833" si="61">CONCATENATE(E770,".",F770)</f>
        <v>sysDictionaryTable.ObjectID</v>
      </c>
      <c r="D770">
        <v>1</v>
      </c>
      <c r="E770" s="3" t="str">
        <f t="shared" si="58"/>
        <v>sysDictionaryTable</v>
      </c>
      <c r="F770" t="s">
        <v>1170</v>
      </c>
      <c r="G770" s="3" t="s">
        <v>6789</v>
      </c>
      <c r="H770" s="3" t="str">
        <f t="shared" si="59"/>
        <v>System.Table</v>
      </c>
      <c r="I770"/>
      <c r="K770" t="s">
        <v>1170</v>
      </c>
      <c r="L770"/>
      <c r="M770" t="s">
        <v>195</v>
      </c>
      <c r="N770"/>
      <c r="O770"/>
      <c r="P770"/>
      <c r="Q770" t="s">
        <v>92</v>
      </c>
      <c r="R770"/>
      <c r="S770"/>
      <c r="U770" t="s">
        <v>93</v>
      </c>
      <c r="AJ770" t="e">
        <f>VLOOKUP(E770,temp1,1,FALSE)</f>
        <v>#NAME?</v>
      </c>
      <c r="AK770" t="str">
        <f t="shared" si="60"/>
        <v>SELECT (SELECT 'sysDictionaryTable.ObjectID' ColumnName from sysDictionaryTable where ObjectID is null and exists (select from sysDictionaryTable) limit 1) a union all</v>
      </c>
      <c r="AP770" t="e">
        <f>VLOOKUP(E770,temp6,1,FALSE)</f>
        <v>#NAME?</v>
      </c>
    </row>
    <row r="771" spans="1:42" ht="15" hidden="1" customHeight="1">
      <c r="A771">
        <v>19770</v>
      </c>
      <c r="B771" s="3" t="s">
        <v>1475</v>
      </c>
      <c r="C771" s="3" t="str">
        <f t="shared" si="61"/>
        <v>sysDictionaryTable.PluralName</v>
      </c>
      <c r="D771">
        <v>1</v>
      </c>
      <c r="E771" s="3" t="str">
        <f t="shared" si="58"/>
        <v>sysDictionaryTable</v>
      </c>
      <c r="F771" t="s">
        <v>463</v>
      </c>
      <c r="G771" s="3" t="s">
        <v>6969</v>
      </c>
      <c r="H771" s="3" t="str">
        <f t="shared" si="59"/>
        <v>System.Table</v>
      </c>
      <c r="I771"/>
      <c r="K771" t="s">
        <v>1921</v>
      </c>
      <c r="M771" t="s">
        <v>196</v>
      </c>
      <c r="N771"/>
      <c r="O771"/>
      <c r="Q771" s="3" t="s">
        <v>92</v>
      </c>
      <c r="U771" t="s">
        <v>93</v>
      </c>
      <c r="AJ771" t="e">
        <f>VLOOKUP(E771,temp1,1,FALSE)</f>
        <v>#NAME?</v>
      </c>
      <c r="AK771" t="str">
        <f t="shared" si="60"/>
        <v>SELECT (SELECT 'sysDictionaryTable.PluralName' ColumnName from sysDictionaryTable where PluralName is null and exists (select from sysDictionaryTable) limit 1) a union all</v>
      </c>
      <c r="AP771" t="e">
        <f>VLOOKUP(E771,temp6,1,FALSE)</f>
        <v>#NAME?</v>
      </c>
    </row>
    <row r="772" spans="1:42" ht="15" hidden="1" customHeight="1">
      <c r="A772">
        <v>19780</v>
      </c>
      <c r="B772" s="3" t="s">
        <v>1475</v>
      </c>
      <c r="C772" s="3" t="str">
        <f t="shared" si="61"/>
        <v>sysDictionaryTable.SingularName</v>
      </c>
      <c r="D772" s="3">
        <v>1</v>
      </c>
      <c r="E772" s="3" t="str">
        <f t="shared" si="58"/>
        <v>sysDictionaryTable</v>
      </c>
      <c r="F772" t="s">
        <v>333</v>
      </c>
      <c r="G772" s="3" t="s">
        <v>6970</v>
      </c>
      <c r="H772" s="3" t="str">
        <f t="shared" si="59"/>
        <v>System.Table</v>
      </c>
      <c r="I772"/>
      <c r="K772" s="3" t="s">
        <v>404</v>
      </c>
      <c r="M772" s="3" t="s">
        <v>196</v>
      </c>
      <c r="Q772" s="3" t="s">
        <v>92</v>
      </c>
      <c r="U772" s="3" t="s">
        <v>93</v>
      </c>
      <c r="AJ772" t="e">
        <f>VLOOKUP(E772,temp1,1,FALSE)</f>
        <v>#NAME?</v>
      </c>
      <c r="AK772" t="str">
        <f t="shared" si="60"/>
        <v>SELECT (SELECT 'sysDictionaryTable.SingularName' ColumnName from sysDictionaryTable where SingularName is null and exists (select from sysDictionaryTable) limit 1) a union all</v>
      </c>
      <c r="AP772" t="e">
        <f>VLOOKUP(E772,temp6,1,FALSE)</f>
        <v>#NAME?</v>
      </c>
    </row>
    <row r="773" spans="1:42" ht="15" hidden="1" customHeight="1">
      <c r="A773">
        <v>19790</v>
      </c>
      <c r="B773" t="s">
        <v>1475</v>
      </c>
      <c r="C773" s="3" t="str">
        <f t="shared" si="61"/>
        <v>sysDictionaryTable.systemModule</v>
      </c>
      <c r="D773">
        <v>1</v>
      </c>
      <c r="E773" s="3" t="str">
        <f t="shared" si="58"/>
        <v>sysDictionaryTable</v>
      </c>
      <c r="F773" t="s">
        <v>2862</v>
      </c>
      <c r="G773" s="3" t="s">
        <v>6790</v>
      </c>
      <c r="H773" s="3" t="str">
        <f t="shared" si="59"/>
        <v>System.Table</v>
      </c>
      <c r="I773"/>
      <c r="K773" t="s">
        <v>2485</v>
      </c>
      <c r="L773"/>
      <c r="M773" t="s">
        <v>196</v>
      </c>
      <c r="O773"/>
      <c r="P773"/>
      <c r="Q773" t="s">
        <v>919</v>
      </c>
      <c r="R773"/>
      <c r="S773"/>
      <c r="U773" t="s">
        <v>93</v>
      </c>
      <c r="AJ773" t="e">
        <f>VLOOKUP(E773,temp1,1,FALSE)</f>
        <v>#NAME?</v>
      </c>
      <c r="AK773" t="str">
        <f t="shared" si="60"/>
        <v>SELECT (SELECT 'sysDictionaryTable.systemModule' ColumnName from sysDictionaryTable where systemModule is null and exists (select from sysDictionaryTable) limit 1) a union all</v>
      </c>
      <c r="AL773" t="str">
        <f>"ALTER TABLE "&amp;E773&amp;" ALTER COLUMN "&amp;F773&amp;" DROP NOT NULL"</f>
        <v>ALTER TABLE sysDictionaryTable ALTER COLUMN systemModule DROP NOT NULL</v>
      </c>
      <c r="AP773" t="e">
        <f>VLOOKUP(E773,temp6,1,FALSE)</f>
        <v>#NAME?</v>
      </c>
    </row>
    <row r="774" spans="1:42" ht="15" hidden="1" customHeight="1">
      <c r="A774">
        <v>19800</v>
      </c>
      <c r="B774" t="s">
        <v>1475</v>
      </c>
      <c r="C774" s="3" t="str">
        <f t="shared" si="61"/>
        <v>sysDictionaryTable.TableType</v>
      </c>
      <c r="D774">
        <v>1</v>
      </c>
      <c r="E774" s="3" t="str">
        <f t="shared" si="58"/>
        <v>sysDictionaryTable</v>
      </c>
      <c r="F774" t="s">
        <v>875</v>
      </c>
      <c r="G774" s="3" t="s">
        <v>6791</v>
      </c>
      <c r="H774" s="3" t="str">
        <f t="shared" si="59"/>
        <v>System.Table</v>
      </c>
      <c r="I774"/>
      <c r="K774" t="s">
        <v>2486</v>
      </c>
      <c r="L774"/>
      <c r="M774" t="s">
        <v>196</v>
      </c>
      <c r="N774"/>
      <c r="O774"/>
      <c r="P774"/>
      <c r="Q774" t="s">
        <v>919</v>
      </c>
      <c r="R774"/>
      <c r="S774"/>
      <c r="U774" t="s">
        <v>93</v>
      </c>
      <c r="AJ774" t="e">
        <f>VLOOKUP(E774,temp1,1,FALSE)</f>
        <v>#NAME?</v>
      </c>
      <c r="AK774" t="str">
        <f t="shared" si="60"/>
        <v>SELECT (SELECT 'sysDictionaryTable.TableType' ColumnName from sysDictionaryTable where TableType is null and exists (select from sysDictionaryTable) limit 1) a union all</v>
      </c>
      <c r="AL774" t="str">
        <f>"ALTER TABLE "&amp;E774&amp;" ALTER COLUMN "&amp;F774&amp;" DROP NOT NULL"</f>
        <v>ALTER TABLE sysDictionaryTable ALTER COLUMN TableType DROP NOT NULL</v>
      </c>
      <c r="AP774" t="e">
        <f>VLOOKUP(E774,temp6,1,FALSE)</f>
        <v>#NAME?</v>
      </c>
    </row>
    <row r="775" spans="1:42" ht="15" hidden="1" customHeight="1">
      <c r="A775">
        <v>19810</v>
      </c>
      <c r="B775" t="s">
        <v>1475</v>
      </c>
      <c r="C775" s="3" t="str">
        <f t="shared" si="61"/>
        <v>sysDictionaryTable.Translation</v>
      </c>
      <c r="D775">
        <v>1</v>
      </c>
      <c r="E775" s="3" t="str">
        <f t="shared" si="58"/>
        <v>sysDictionaryTable</v>
      </c>
      <c r="F775" t="s">
        <v>338</v>
      </c>
      <c r="G775" s="3" t="s">
        <v>6792</v>
      </c>
      <c r="H775" s="3" t="str">
        <f t="shared" si="59"/>
        <v>System.Table</v>
      </c>
      <c r="I775"/>
      <c r="K775" t="s">
        <v>338</v>
      </c>
      <c r="L775"/>
      <c r="M775" t="s">
        <v>196</v>
      </c>
      <c r="N775"/>
      <c r="O775"/>
      <c r="P775"/>
      <c r="Q775" t="s">
        <v>92</v>
      </c>
      <c r="R775"/>
      <c r="S775"/>
      <c r="U775" t="s">
        <v>93</v>
      </c>
      <c r="AJ775" t="e">
        <f>VLOOKUP(E775,temp1,1,FALSE)</f>
        <v>#NAME?</v>
      </c>
      <c r="AK775" t="str">
        <f t="shared" si="60"/>
        <v>SELECT (SELECT 'sysDictionaryTable.Translation' ColumnName from sysDictionaryTable where Translation is null and exists (select from sysDictionaryTable) limit 1) a union all</v>
      </c>
      <c r="AP775" t="e">
        <f>VLOOKUP(E775,temp6,1,FALSE)</f>
        <v>#NAME?</v>
      </c>
    </row>
    <row r="776" spans="1:42" ht="15" hidden="1" customHeight="1">
      <c r="A776">
        <v>19820</v>
      </c>
      <c r="B776" s="3" t="s">
        <v>1475</v>
      </c>
      <c r="C776" s="3" t="str">
        <f t="shared" si="61"/>
        <v>sysDictionaryTable.RowStatus</v>
      </c>
      <c r="D776">
        <v>1</v>
      </c>
      <c r="E776" s="3" t="str">
        <f t="shared" si="58"/>
        <v>sysDictionaryTable</v>
      </c>
      <c r="F776" t="s">
        <v>1445</v>
      </c>
      <c r="G776" s="3" t="s">
        <v>6411</v>
      </c>
      <c r="H776" s="3" t="str">
        <f t="shared" si="59"/>
        <v>System.Table</v>
      </c>
      <c r="I776"/>
      <c r="K776" t="s">
        <v>2471</v>
      </c>
      <c r="L776"/>
      <c r="M776" t="s">
        <v>976</v>
      </c>
      <c r="N776">
        <v>1</v>
      </c>
      <c r="O776"/>
      <c r="P776"/>
      <c r="Q776" t="s">
        <v>919</v>
      </c>
      <c r="R776"/>
      <c r="S776" s="14"/>
      <c r="U776" t="s">
        <v>94</v>
      </c>
      <c r="AJ776" t="e">
        <f>VLOOKUP(E776,temp1,1,FALSE)</f>
        <v>#NAME?</v>
      </c>
      <c r="AL776" t="str">
        <f>"ALTER TABLE "&amp;E776&amp;" ALTER COLUMN "&amp;F776&amp;" DROP NOT NULL"</f>
        <v>ALTER TABLE sysDictionaryTable ALTER COLUMN RowStatus DROP NOT NULL</v>
      </c>
      <c r="AP776" t="e">
        <f>VLOOKUP(E776,temp6,1,FALSE)</f>
        <v>#NAME?</v>
      </c>
    </row>
    <row r="777" spans="1:42" ht="15" hidden="1" customHeight="1">
      <c r="A777">
        <v>19830</v>
      </c>
      <c r="B777" t="s">
        <v>1475</v>
      </c>
      <c r="C777" s="3" t="str">
        <f t="shared" si="61"/>
        <v>sysDictionaryTable.sysChangeHistoryID</v>
      </c>
      <c r="D777">
        <v>1</v>
      </c>
      <c r="E777" s="3" t="str">
        <f t="shared" si="58"/>
        <v>sysDictionaryTable</v>
      </c>
      <c r="F777" t="s">
        <v>2497</v>
      </c>
      <c r="G777" s="3" t="s">
        <v>6403</v>
      </c>
      <c r="H777" s="3" t="str">
        <f t="shared" si="59"/>
        <v>System.Table</v>
      </c>
      <c r="I777"/>
      <c r="K777" t="s">
        <v>1210</v>
      </c>
      <c r="L777"/>
      <c r="M777" t="s">
        <v>6007</v>
      </c>
      <c r="N777"/>
      <c r="O777"/>
      <c r="P777"/>
      <c r="Q777" t="s">
        <v>92</v>
      </c>
      <c r="R777"/>
      <c r="S777"/>
      <c r="U777" t="s">
        <v>1429</v>
      </c>
      <c r="W777" s="3"/>
      <c r="X777" s="3"/>
      <c r="AJ777" t="e">
        <f>VLOOKUP(E777,temp1,1,FALSE)</f>
        <v>#NAME?</v>
      </c>
      <c r="AK777" t="str">
        <f>"SELECT (SELECT '"&amp;C777&amp;"' ColumnName from "&amp;E777&amp;" where "&amp;F777&amp;" is null and exists (select from "&amp;E777&amp;") limit 1) a union all"</f>
        <v>SELECT (SELECT 'sysDictionaryTable.sysChangeHistoryID' ColumnName from sysDictionaryTable where sysChangeHistoryID is null and exists (select from sysDictionaryTable) limit 1) a union all</v>
      </c>
      <c r="AP777" t="e">
        <f>VLOOKUP(E777,temp6,1,FALSE)</f>
        <v>#NAME?</v>
      </c>
    </row>
    <row r="778" spans="1:42" ht="15" hidden="1" customHeight="1">
      <c r="A778">
        <v>19840</v>
      </c>
      <c r="B778" t="s">
        <v>1475</v>
      </c>
      <c r="C778" s="3" t="str">
        <f t="shared" si="61"/>
        <v>sysError.Id</v>
      </c>
      <c r="D778" s="7">
        <v>8</v>
      </c>
      <c r="E778" s="3" t="str">
        <f t="shared" si="58"/>
        <v>sysError</v>
      </c>
      <c r="F778" s="3" t="s">
        <v>1539</v>
      </c>
      <c r="G778" s="3" t="s">
        <v>6793</v>
      </c>
      <c r="H778" s="3" t="str">
        <f t="shared" si="59"/>
        <v>System.Error</v>
      </c>
      <c r="I778"/>
      <c r="K778" s="3" t="s">
        <v>1539</v>
      </c>
      <c r="M778" t="s">
        <v>6007</v>
      </c>
      <c r="Q778" s="3" t="s">
        <v>919</v>
      </c>
      <c r="U778" t="s">
        <v>95</v>
      </c>
      <c r="AJ778" t="e">
        <f>VLOOKUP(E778,temp1,1,FALSE)</f>
        <v>#NAME?</v>
      </c>
      <c r="AL778" t="str">
        <f>"ALTER TABLE "&amp;E778&amp;" ALTER COLUMN "&amp;F778&amp;" DROP NOT NULL"</f>
        <v>ALTER TABLE sysError ALTER COLUMN Id DROP NOT NULL</v>
      </c>
      <c r="AM778" t="s">
        <v>2117</v>
      </c>
      <c r="AN778" t="s">
        <v>2109</v>
      </c>
      <c r="AP778" t="e">
        <f>VLOOKUP(E778,temp6,1,FALSE)</f>
        <v>#NAME?</v>
      </c>
    </row>
    <row r="779" spans="1:42" ht="15" hidden="1" customHeight="1">
      <c r="A779">
        <v>19850</v>
      </c>
      <c r="B779" t="s">
        <v>1475</v>
      </c>
      <c r="C779" s="3" t="str">
        <f t="shared" si="61"/>
        <v>sysError.Context</v>
      </c>
      <c r="D779" s="7">
        <v>8</v>
      </c>
      <c r="E779" s="3" t="str">
        <f t="shared" si="58"/>
        <v>sysError</v>
      </c>
      <c r="F779" t="s">
        <v>2989</v>
      </c>
      <c r="G779" s="3" t="s">
        <v>6794</v>
      </c>
      <c r="H779" s="3" t="str">
        <f t="shared" si="59"/>
        <v>System.Error</v>
      </c>
      <c r="I779"/>
      <c r="K779" t="s">
        <v>2989</v>
      </c>
      <c r="M779" t="s">
        <v>2991</v>
      </c>
      <c r="Q779" s="3" t="s">
        <v>92</v>
      </c>
      <c r="U779" t="s">
        <v>93</v>
      </c>
      <c r="W779" s="3"/>
      <c r="AA779" t="s">
        <v>92</v>
      </c>
      <c r="AJ779" t="e">
        <f>VLOOKUP(E779,temp1,1,FALSE)</f>
        <v>#NAME?</v>
      </c>
      <c r="AK779" t="str">
        <f>"SELECT (SELECT '"&amp;C779&amp;"' ColumnName from "&amp;E779&amp;" where "&amp;F779&amp;" is null and exists (select from "&amp;E779&amp;") limit 1) a union all"</f>
        <v>SELECT (SELECT 'sysError.Context' ColumnName from sysError where Context is null and exists (select from sysError) limit 1) a union all</v>
      </c>
      <c r="AM779" t="s">
        <v>2117</v>
      </c>
      <c r="AN779" t="s">
        <v>2109</v>
      </c>
      <c r="AP779" t="e">
        <f>VLOOKUP(E779,temp6,1,FALSE)</f>
        <v>#NAME?</v>
      </c>
    </row>
    <row r="780" spans="1:42" ht="15" hidden="1" customHeight="1">
      <c r="A780">
        <v>19860</v>
      </c>
      <c r="B780" t="s">
        <v>1475</v>
      </c>
      <c r="C780" s="3" t="str">
        <f t="shared" si="61"/>
        <v>sysError.Message</v>
      </c>
      <c r="D780" s="7">
        <v>8</v>
      </c>
      <c r="E780" s="3" t="str">
        <f t="shared" si="58"/>
        <v>sysError</v>
      </c>
      <c r="F780" s="3" t="s">
        <v>2982</v>
      </c>
      <c r="G780" s="3" t="s">
        <v>6795</v>
      </c>
      <c r="H780" s="3" t="str">
        <f t="shared" si="59"/>
        <v>System.Error</v>
      </c>
      <c r="I780"/>
      <c r="K780" s="3" t="s">
        <v>2982</v>
      </c>
      <c r="M780" s="3" t="s">
        <v>2991</v>
      </c>
      <c r="Q780" s="3" t="s">
        <v>919</v>
      </c>
      <c r="U780" t="s">
        <v>93</v>
      </c>
      <c r="AA780" t="s">
        <v>92</v>
      </c>
      <c r="AJ780" t="e">
        <f>VLOOKUP(E780,temp1,1,FALSE)</f>
        <v>#NAME?</v>
      </c>
      <c r="AL780" t="str">
        <f>"ALTER TABLE "&amp;E780&amp;" ALTER COLUMN "&amp;F780&amp;" DROP NOT NULL"</f>
        <v>ALTER TABLE sysError ALTER COLUMN Message DROP NOT NULL</v>
      </c>
      <c r="AM780" t="s">
        <v>2117</v>
      </c>
      <c r="AN780" t="s">
        <v>2109</v>
      </c>
      <c r="AP780" t="e">
        <f>VLOOKUP(E780,temp6,1,FALSE)</f>
        <v>#NAME?</v>
      </c>
    </row>
    <row r="781" spans="1:42" ht="15" hidden="1" customHeight="1">
      <c r="A781">
        <v>19870</v>
      </c>
      <c r="B781" t="s">
        <v>1475</v>
      </c>
      <c r="C781" s="3" t="str">
        <f t="shared" si="61"/>
        <v>sysError.State</v>
      </c>
      <c r="D781" s="7">
        <v>8</v>
      </c>
      <c r="E781" s="3" t="str">
        <f t="shared" si="58"/>
        <v>sysError</v>
      </c>
      <c r="F781" s="3" t="s">
        <v>2002</v>
      </c>
      <c r="G781" s="3" t="s">
        <v>6796</v>
      </c>
      <c r="H781" s="3" t="str">
        <f t="shared" si="59"/>
        <v>System.Error</v>
      </c>
      <c r="I781"/>
      <c r="K781" s="3" t="s">
        <v>2002</v>
      </c>
      <c r="M781" s="3" t="s">
        <v>2991</v>
      </c>
      <c r="Q781" s="3" t="s">
        <v>92</v>
      </c>
      <c r="U781" t="s">
        <v>93</v>
      </c>
      <c r="AA781" t="s">
        <v>92</v>
      </c>
      <c r="AJ781" t="e">
        <f>VLOOKUP(E781,temp1,1,FALSE)</f>
        <v>#NAME?</v>
      </c>
      <c r="AK781" t="str">
        <f>"SELECT (SELECT '"&amp;C781&amp;"' ColumnName from "&amp;E781&amp;" where "&amp;F781&amp;" is null and exists (select from "&amp;E781&amp;") limit 1) a union all"</f>
        <v>SELECT (SELECT 'sysError.State' ColumnName from sysError where State is null and exists (select from sysError) limit 1) a union all</v>
      </c>
      <c r="AM781" t="s">
        <v>2117</v>
      </c>
      <c r="AN781" t="s">
        <v>2109</v>
      </c>
      <c r="AP781" t="e">
        <f>VLOOKUP(E781,temp6,1,FALSE)</f>
        <v>#NAME?</v>
      </c>
    </row>
    <row r="782" spans="1:42" ht="15" hidden="1" customHeight="1">
      <c r="A782">
        <v>19880</v>
      </c>
      <c r="B782" t="s">
        <v>1475</v>
      </c>
      <c r="C782" s="3" t="str">
        <f t="shared" si="61"/>
        <v>sysError.TimeStamp</v>
      </c>
      <c r="D782" s="7">
        <v>8</v>
      </c>
      <c r="E782" s="3" t="str">
        <f t="shared" si="58"/>
        <v>sysError</v>
      </c>
      <c r="F782" s="3" t="s">
        <v>2990</v>
      </c>
      <c r="G782" s="3" t="s">
        <v>6797</v>
      </c>
      <c r="H782" s="3" t="str">
        <f t="shared" si="59"/>
        <v>System.Error</v>
      </c>
      <c r="I782"/>
      <c r="K782" s="3" t="s">
        <v>2990</v>
      </c>
      <c r="M782" s="3" t="s">
        <v>329</v>
      </c>
      <c r="Q782" s="3" t="s">
        <v>92</v>
      </c>
      <c r="U782" t="s">
        <v>93</v>
      </c>
      <c r="AA782" t="s">
        <v>92</v>
      </c>
      <c r="AJ782" t="e">
        <f>VLOOKUP(E782,temp1,1,FALSE)</f>
        <v>#NAME?</v>
      </c>
      <c r="AK782" t="str">
        <f>"SELECT (SELECT '"&amp;C782&amp;"' ColumnName from "&amp;E782&amp;" where "&amp;F782&amp;" is null and exists (select from "&amp;E782&amp;") limit 1) a union all"</f>
        <v>SELECT (SELECT 'sysError.TimeStamp' ColumnName from sysError where TimeStamp is null and exists (select from sysError) limit 1) a union all</v>
      </c>
      <c r="AM782" t="s">
        <v>2117</v>
      </c>
      <c r="AN782" t="s">
        <v>2109</v>
      </c>
      <c r="AP782" t="e">
        <f>VLOOKUP(E782,temp6,1,FALSE)</f>
        <v>#NAME?</v>
      </c>
    </row>
    <row r="783" spans="1:42" ht="15" hidden="1" customHeight="1">
      <c r="A783">
        <v>20020</v>
      </c>
      <c r="B783" t="s">
        <v>1475</v>
      </c>
      <c r="C783" s="3" t="str">
        <f t="shared" si="61"/>
        <v>sysMessage.Id</v>
      </c>
      <c r="D783" s="7">
        <v>9</v>
      </c>
      <c r="E783" s="3" t="str">
        <f t="shared" si="58"/>
        <v>sysMessage</v>
      </c>
      <c r="F783" s="3" t="s">
        <v>1539</v>
      </c>
      <c r="G783" s="3" t="s">
        <v>6800</v>
      </c>
      <c r="H783" s="3" t="str">
        <f t="shared" si="59"/>
        <v>System.Message</v>
      </c>
      <c r="I783"/>
      <c r="K783" s="3" t="s">
        <v>1539</v>
      </c>
      <c r="M783" t="s">
        <v>6007</v>
      </c>
      <c r="Q783" s="3" t="s">
        <v>919</v>
      </c>
      <c r="U783" t="s">
        <v>95</v>
      </c>
      <c r="AJ783" t="e">
        <f>VLOOKUP(E783,temp1,1,FALSE)</f>
        <v>#NAME?</v>
      </c>
      <c r="AL783" t="str">
        <f>"ALTER TABLE "&amp;E783&amp;" ALTER COLUMN "&amp;F783&amp;" DROP NOT NULL"</f>
        <v>ALTER TABLE sysMessage ALTER COLUMN Id DROP NOT NULL</v>
      </c>
      <c r="AM783" t="s">
        <v>2117</v>
      </c>
      <c r="AN783" t="s">
        <v>2109</v>
      </c>
      <c r="AP783" t="e">
        <f>VLOOKUP(E783,temp6,1,FALSE)</f>
        <v>#NAME?</v>
      </c>
    </row>
    <row r="784" spans="1:42" ht="15" hidden="1" customHeight="1">
      <c r="A784">
        <v>20030</v>
      </c>
      <c r="B784" t="s">
        <v>1475</v>
      </c>
      <c r="C784" s="3" t="str">
        <f t="shared" si="61"/>
        <v>sysMessage.Description</v>
      </c>
      <c r="D784" s="7">
        <v>9</v>
      </c>
      <c r="E784" s="3" t="str">
        <f t="shared" si="58"/>
        <v>sysMessage</v>
      </c>
      <c r="F784" s="3" t="s">
        <v>12</v>
      </c>
      <c r="G784" s="3" t="s">
        <v>6423</v>
      </c>
      <c r="H784" s="3" t="str">
        <f t="shared" si="59"/>
        <v>System.Message</v>
      </c>
      <c r="I784"/>
      <c r="K784" s="3" t="s">
        <v>12</v>
      </c>
      <c r="M784" s="3" t="s">
        <v>196</v>
      </c>
      <c r="Q784" s="3" t="s">
        <v>919</v>
      </c>
      <c r="U784" t="s">
        <v>93</v>
      </c>
      <c r="AA784" t="s">
        <v>92</v>
      </c>
      <c r="AH784" t="s">
        <v>92</v>
      </c>
      <c r="AJ784" t="e">
        <f>VLOOKUP(E784,temp1,1,FALSE)</f>
        <v>#NAME?</v>
      </c>
      <c r="AL784" t="str">
        <f>"ALTER TABLE "&amp;E784&amp;" ALTER COLUMN "&amp;F784&amp;" DROP NOT NULL"</f>
        <v>ALTER TABLE sysMessage ALTER COLUMN Description DROP NOT NULL</v>
      </c>
      <c r="AM784" t="s">
        <v>2117</v>
      </c>
      <c r="AN784" t="s">
        <v>2109</v>
      </c>
      <c r="AP784" t="e">
        <f>VLOOKUP(E784,temp6,1,FALSE)</f>
        <v>#NAME?</v>
      </c>
    </row>
    <row r="785" spans="1:42" ht="15" hidden="1" customHeight="1">
      <c r="A785">
        <v>20040</v>
      </c>
      <c r="B785" t="s">
        <v>1475</v>
      </c>
      <c r="C785" s="3" t="str">
        <f t="shared" si="61"/>
        <v>sysMessage.Detail</v>
      </c>
      <c r="D785" s="7">
        <v>9</v>
      </c>
      <c r="E785" s="3" t="str">
        <f t="shared" si="58"/>
        <v>sysMessage</v>
      </c>
      <c r="F785" t="s">
        <v>2987</v>
      </c>
      <c r="G785" s="3" t="s">
        <v>6801</v>
      </c>
      <c r="H785" s="3" t="str">
        <f t="shared" si="59"/>
        <v>System.Message</v>
      </c>
      <c r="I785"/>
      <c r="K785" t="s">
        <v>2987</v>
      </c>
      <c r="M785" s="3" t="s">
        <v>196</v>
      </c>
      <c r="Q785" s="3" t="s">
        <v>92</v>
      </c>
      <c r="U785" t="s">
        <v>93</v>
      </c>
      <c r="W785" s="3"/>
      <c r="AA785" t="s">
        <v>92</v>
      </c>
      <c r="AJ785" t="e">
        <f>VLOOKUP(E785,temp1,1,FALSE)</f>
        <v>#NAME?</v>
      </c>
      <c r="AK785" t="str">
        <f>"SELECT (SELECT '"&amp;C785&amp;"' ColumnName from "&amp;E785&amp;" where "&amp;F785&amp;" is null and exists (select from "&amp;E785&amp;") limit 1) a union all"</f>
        <v>SELECT (SELECT 'sysMessage.Detail' ColumnName from sysMessage where Detail is null and exists (select from sysMessage) limit 1) a union all</v>
      </c>
      <c r="AM785" t="s">
        <v>2117</v>
      </c>
      <c r="AN785" t="s">
        <v>2109</v>
      </c>
      <c r="AP785" t="e">
        <f>VLOOKUP(E785,temp6,1,FALSE)</f>
        <v>#NAME?</v>
      </c>
    </row>
    <row r="786" spans="1:42" ht="15" hidden="1" customHeight="1">
      <c r="A786">
        <v>20050</v>
      </c>
      <c r="B786" t="s">
        <v>1475</v>
      </c>
      <c r="C786" s="3" t="str">
        <f t="shared" si="61"/>
        <v>sysMessage.Hint</v>
      </c>
      <c r="D786" s="7">
        <v>9</v>
      </c>
      <c r="E786" s="3" t="str">
        <f t="shared" si="58"/>
        <v>sysMessage</v>
      </c>
      <c r="F786" s="3" t="s">
        <v>2988</v>
      </c>
      <c r="G786" s="3" t="s">
        <v>6802</v>
      </c>
      <c r="H786" s="3" t="str">
        <f t="shared" si="59"/>
        <v>System.Message</v>
      </c>
      <c r="I786"/>
      <c r="K786" s="3" t="s">
        <v>2988</v>
      </c>
      <c r="M786" s="3" t="s">
        <v>196</v>
      </c>
      <c r="Q786" s="3" t="s">
        <v>92</v>
      </c>
      <c r="U786" t="s">
        <v>93</v>
      </c>
      <c r="AA786" t="s">
        <v>92</v>
      </c>
      <c r="AJ786" t="e">
        <f>VLOOKUP(E786,temp1,1,FALSE)</f>
        <v>#NAME?</v>
      </c>
      <c r="AK786" t="str">
        <f>"SELECT (SELECT '"&amp;C786&amp;"' ColumnName from "&amp;E786&amp;" where "&amp;F786&amp;" is null and exists (select from "&amp;E786&amp;") limit 1) a union all"</f>
        <v>SELECT (SELECT 'sysMessage.Hint' ColumnName from sysMessage where Hint is null and exists (select from sysMessage) limit 1) a union all</v>
      </c>
      <c r="AM786" t="s">
        <v>2117</v>
      </c>
      <c r="AN786" t="s">
        <v>2109</v>
      </c>
      <c r="AP786" t="e">
        <f>VLOOKUP(E786,temp6,1,FALSE)</f>
        <v>#NAME?</v>
      </c>
    </row>
    <row r="787" spans="1:42" ht="15" hidden="1" customHeight="1">
      <c r="A787">
        <v>20060</v>
      </c>
      <c r="B787" t="s">
        <v>1475</v>
      </c>
      <c r="C787" s="3" t="str">
        <f t="shared" si="61"/>
        <v>sysMessage.IsMessageLogged</v>
      </c>
      <c r="D787" s="7">
        <v>9</v>
      </c>
      <c r="E787" s="3" t="str">
        <f t="shared" si="58"/>
        <v>sysMessage</v>
      </c>
      <c r="F787" s="3" t="s">
        <v>2993</v>
      </c>
      <c r="G787" s="3" t="s">
        <v>6803</v>
      </c>
      <c r="H787" s="3" t="str">
        <f t="shared" si="59"/>
        <v>System.Message</v>
      </c>
      <c r="I787"/>
      <c r="K787" s="3" t="s">
        <v>2994</v>
      </c>
      <c r="M787" s="3" t="s">
        <v>2402</v>
      </c>
      <c r="Q787" s="3" t="s">
        <v>919</v>
      </c>
      <c r="S787" s="3" t="b">
        <v>0</v>
      </c>
      <c r="U787" t="s">
        <v>93</v>
      </c>
      <c r="AA787" t="s">
        <v>92</v>
      </c>
      <c r="AJ787" t="e">
        <f>VLOOKUP(E787,temp1,1,FALSE)</f>
        <v>#NAME?</v>
      </c>
      <c r="AL787" t="str">
        <f>"ALTER TABLE "&amp;E787&amp;" ALTER COLUMN "&amp;F787&amp;" DROP NOT NULL"</f>
        <v>ALTER TABLE sysMessage ALTER COLUMN IsMessageLogged DROP NOT NULL</v>
      </c>
      <c r="AM787" t="s">
        <v>2117</v>
      </c>
      <c r="AN787" t="s">
        <v>2109</v>
      </c>
      <c r="AP787" t="e">
        <f>VLOOKUP(E787,temp6,1,FALSE)</f>
        <v>#NAME?</v>
      </c>
    </row>
    <row r="788" spans="1:42" ht="15" hidden="1" customHeight="1">
      <c r="A788">
        <v>20065</v>
      </c>
      <c r="B788" t="s">
        <v>1475</v>
      </c>
      <c r="C788" s="3" t="str">
        <f t="shared" si="61"/>
        <v>sysMessage.IsExceptionRaised</v>
      </c>
      <c r="D788" s="7">
        <v>9</v>
      </c>
      <c r="E788" s="3" t="str">
        <f t="shared" si="58"/>
        <v>sysMessage</v>
      </c>
      <c r="F788" s="3" t="s">
        <v>6043</v>
      </c>
      <c r="G788" s="3" t="s">
        <v>6804</v>
      </c>
      <c r="H788" s="3" t="str">
        <f t="shared" si="59"/>
        <v>System.Message</v>
      </c>
      <c r="I788"/>
      <c r="K788" t="s">
        <v>6388</v>
      </c>
      <c r="M788" s="3" t="s">
        <v>2402</v>
      </c>
      <c r="Q788" s="3" t="s">
        <v>919</v>
      </c>
      <c r="S788" s="3" t="b">
        <v>0</v>
      </c>
      <c r="U788" t="s">
        <v>93</v>
      </c>
      <c r="AA788" t="s">
        <v>92</v>
      </c>
      <c r="AJ788" t="e">
        <f>VLOOKUP(E788,temp1,1,FALSE)</f>
        <v>#NAME?</v>
      </c>
      <c r="AL788" t="str">
        <f>"ALTER TABLE "&amp;E788&amp;" ALTER COLUMN "&amp;F788&amp;" DROP NOT NULL"</f>
        <v>ALTER TABLE sysMessage ALTER COLUMN IsExceptionRaised DROP NOT NULL</v>
      </c>
      <c r="AM788" t="s">
        <v>2117</v>
      </c>
      <c r="AN788" t="s">
        <v>2109</v>
      </c>
      <c r="AP788" t="e">
        <f>VLOOKUP(E788,temp6,1,FALSE)</f>
        <v>#NAME?</v>
      </c>
    </row>
    <row r="789" spans="1:42" ht="15" hidden="1" customHeight="1">
      <c r="A789">
        <v>20070</v>
      </c>
      <c r="B789" t="s">
        <v>1475</v>
      </c>
      <c r="C789" s="3" t="str">
        <f t="shared" si="61"/>
        <v>sysMessage.State</v>
      </c>
      <c r="D789" s="7">
        <v>9</v>
      </c>
      <c r="E789" s="3" t="str">
        <f t="shared" si="58"/>
        <v>sysMessage</v>
      </c>
      <c r="F789" s="3" t="s">
        <v>2002</v>
      </c>
      <c r="G789" s="3" t="s">
        <v>6796</v>
      </c>
      <c r="H789" s="3" t="str">
        <f t="shared" si="59"/>
        <v>System.Message</v>
      </c>
      <c r="I789"/>
      <c r="K789" s="3" t="s">
        <v>2002</v>
      </c>
      <c r="M789" s="3" t="s">
        <v>196</v>
      </c>
      <c r="Q789" s="3" t="s">
        <v>919</v>
      </c>
      <c r="U789" t="s">
        <v>93</v>
      </c>
      <c r="AA789" t="s">
        <v>92</v>
      </c>
      <c r="AJ789" t="e">
        <f>VLOOKUP(E789,temp1,1,FALSE)</f>
        <v>#NAME?</v>
      </c>
      <c r="AL789" t="str">
        <f>"ALTER TABLE "&amp;E789&amp;" ALTER COLUMN "&amp;F789&amp;" DROP NOT NULL"</f>
        <v>ALTER TABLE sysMessage ALTER COLUMN State DROP NOT NULL</v>
      </c>
      <c r="AM789" t="s">
        <v>2117</v>
      </c>
      <c r="AN789" t="s">
        <v>2109</v>
      </c>
      <c r="AP789" t="e">
        <f>VLOOKUP(E789,temp6,1,FALSE)</f>
        <v>#NAME?</v>
      </c>
    </row>
    <row r="790" spans="1:42" ht="15" hidden="1" customHeight="1">
      <c r="A790">
        <v>20075</v>
      </c>
      <c r="B790" t="s">
        <v>1475</v>
      </c>
      <c r="C790" s="3" t="str">
        <f t="shared" si="61"/>
        <v>sysMessage.RoutineName</v>
      </c>
      <c r="D790" s="7">
        <v>9</v>
      </c>
      <c r="E790" s="3" t="str">
        <f t="shared" si="58"/>
        <v>sysMessage</v>
      </c>
      <c r="F790" s="3" t="s">
        <v>6096</v>
      </c>
      <c r="G790" s="3" t="s">
        <v>6972</v>
      </c>
      <c r="H790" s="3" t="str">
        <f t="shared" si="59"/>
        <v>System.Message</v>
      </c>
      <c r="I790"/>
      <c r="K790" s="3" t="s">
        <v>6105</v>
      </c>
      <c r="M790" s="3" t="s">
        <v>196</v>
      </c>
      <c r="Q790" s="3" t="s">
        <v>92</v>
      </c>
      <c r="U790" t="s">
        <v>93</v>
      </c>
      <c r="AA790" t="s">
        <v>92</v>
      </c>
      <c r="AJ790" t="e">
        <f>VLOOKUP(E790,temp1,1,FALSE)</f>
        <v>#NAME?</v>
      </c>
      <c r="AK790" t="str">
        <f>"SELECT (SELECT '"&amp;C790&amp;"' ColumnName from "&amp;E790&amp;" where "&amp;F790&amp;" is null and exists (select from "&amp;E790&amp;") limit 1) a union all"</f>
        <v>SELECT (SELECT 'sysMessage.RoutineName' ColumnName from sysMessage where RoutineName is null and exists (select from sysMessage) limit 1) a union all</v>
      </c>
      <c r="AM790" t="s">
        <v>2117</v>
      </c>
      <c r="AN790" t="s">
        <v>2109</v>
      </c>
      <c r="AP790" t="e">
        <f>VLOOKUP(E790,temp6,1,FALSE)</f>
        <v>#NAME?</v>
      </c>
    </row>
    <row r="791" spans="1:42" ht="15" hidden="1" customHeight="1">
      <c r="A791">
        <v>20080</v>
      </c>
      <c r="B791" t="s">
        <v>1475</v>
      </c>
      <c r="C791" s="3" t="str">
        <f t="shared" si="61"/>
        <v>sysMessage.sysChangeHistoryID</v>
      </c>
      <c r="D791" s="7">
        <v>9</v>
      </c>
      <c r="E791" s="8" t="str">
        <f t="shared" si="58"/>
        <v>sysMessage</v>
      </c>
      <c r="F791" t="s">
        <v>2497</v>
      </c>
      <c r="G791" s="3" t="s">
        <v>6403</v>
      </c>
      <c r="H791" s="8" t="str">
        <f t="shared" si="59"/>
        <v>System.Message</v>
      </c>
      <c r="I791"/>
      <c r="J791"/>
      <c r="K791" t="s">
        <v>1210</v>
      </c>
      <c r="L791"/>
      <c r="M791" t="s">
        <v>6007</v>
      </c>
      <c r="N791" s="7"/>
      <c r="O791" s="7"/>
      <c r="P791" s="7"/>
      <c r="Q791" t="s">
        <v>919</v>
      </c>
      <c r="R791" s="7"/>
      <c r="S791" s="7"/>
      <c r="T791" s="8"/>
      <c r="U791" t="s">
        <v>1429</v>
      </c>
      <c r="AJ791" t="e">
        <f>VLOOKUP(E791,temp1,1,FALSE)</f>
        <v>#NAME?</v>
      </c>
      <c r="AL791" t="str">
        <f>"ALTER TABLE "&amp;E791&amp;" ALTER COLUMN "&amp;F791&amp;" DROP NOT NULL"</f>
        <v>ALTER TABLE sysMessage ALTER COLUMN sysChangeHistoryID DROP NOT NULL</v>
      </c>
      <c r="AP791" t="e">
        <f>VLOOKUP(E791,temp6,1,FALSE)</f>
        <v>#NAME?</v>
      </c>
    </row>
    <row r="792" spans="1:42" ht="15" hidden="1" customHeight="1">
      <c r="A792">
        <v>21080</v>
      </c>
      <c r="B792" s="3" t="s">
        <v>1475</v>
      </c>
      <c r="C792" s="3" t="str">
        <f t="shared" si="61"/>
        <v>sysMultilinkTableRule.ID</v>
      </c>
      <c r="D792" s="3">
        <v>42</v>
      </c>
      <c r="E792" s="3" t="str">
        <f t="shared" si="58"/>
        <v>sysMultilinkTableRule</v>
      </c>
      <c r="F792" t="s">
        <v>0</v>
      </c>
      <c r="G792" s="3" t="s">
        <v>6819</v>
      </c>
      <c r="H792" s="3" t="str">
        <f t="shared" si="59"/>
        <v>System.Multilink Table Rule</v>
      </c>
      <c r="I792"/>
      <c r="K792" t="s">
        <v>0</v>
      </c>
      <c r="M792" t="s">
        <v>6007</v>
      </c>
      <c r="Q792" s="3" t="s">
        <v>919</v>
      </c>
      <c r="U792" s="3" t="s">
        <v>95</v>
      </c>
      <c r="AJ792" t="e">
        <f>VLOOKUP(E792,temp1,1,FALSE)</f>
        <v>#NAME?</v>
      </c>
      <c r="AL792" t="str">
        <f>"ALTER TABLE "&amp;E792&amp;" ALTER COLUMN "&amp;F792&amp;" DROP NOT NULL"</f>
        <v>ALTER TABLE sysMultilinkTableRule ALTER COLUMN ID DROP NOT NULL</v>
      </c>
      <c r="AP792" t="e">
        <f>VLOOKUP(E792,temp6,1,FALSE)</f>
        <v>#NAME?</v>
      </c>
    </row>
    <row r="793" spans="1:42" ht="15" hidden="1" customHeight="1">
      <c r="A793">
        <v>21090</v>
      </c>
      <c r="B793" s="3" t="s">
        <v>1475</v>
      </c>
      <c r="C793" s="3" t="str">
        <f t="shared" si="61"/>
        <v>sysMultilinkTableRule.sysDictionaryColumnIDSource</v>
      </c>
      <c r="D793" s="3">
        <v>42</v>
      </c>
      <c r="E793" s="3" t="str">
        <f t="shared" si="58"/>
        <v>sysMultilinkTableRule</v>
      </c>
      <c r="F793" t="str">
        <f>VLOOKUP(V793,DictionaryTableID,3,FALSE)&amp;"ID"&amp;X793</f>
        <v>sysDictionaryColumnIDSource</v>
      </c>
      <c r="G793" s="3" t="s">
        <v>6820</v>
      </c>
      <c r="H793" s="3" t="str">
        <f t="shared" si="59"/>
        <v>System.Multilink Table Rule</v>
      </c>
      <c r="I793"/>
      <c r="K793" t="s">
        <v>6226</v>
      </c>
      <c r="L793"/>
      <c r="M793" t="s">
        <v>6007</v>
      </c>
      <c r="N793"/>
      <c r="O793"/>
      <c r="P793"/>
      <c r="Q793" t="s">
        <v>919</v>
      </c>
      <c r="R793"/>
      <c r="S793"/>
      <c r="U793" t="s">
        <v>96</v>
      </c>
      <c r="V793">
        <v>2</v>
      </c>
      <c r="W793" s="3" t="str">
        <f>VLOOKUP(V793,DictionaryTableID,3,FALSE)</f>
        <v>sysDictionaryColumn</v>
      </c>
      <c r="X793" s="3" t="s">
        <v>83</v>
      </c>
      <c r="AJ793" t="e">
        <f>VLOOKUP(E793,temp1,1,FALSE)</f>
        <v>#NAME?</v>
      </c>
      <c r="AL793" t="str">
        <f>"ALTER TABLE "&amp;E793&amp;" ALTER COLUMN "&amp;F793&amp;" DROP NOT NULL"</f>
        <v>ALTER TABLE sysMultilinkTableRule ALTER COLUMN sysDictionaryColumnIDSource DROP NOT NULL</v>
      </c>
      <c r="AO793" t="str">
        <f>SUBSTITUTE(VLOOKUP(V793,DictionaryTableID,16,FALSE)&amp;"ID",".","")</f>
        <v>SystemColumnID</v>
      </c>
      <c r="AP793" t="e">
        <f>VLOOKUP(E793,temp6,1,FALSE)</f>
        <v>#NAME?</v>
      </c>
    </row>
    <row r="794" spans="1:42" ht="15" hidden="1" customHeight="1">
      <c r="A794">
        <v>21091</v>
      </c>
      <c r="B794" s="3" t="s">
        <v>1475</v>
      </c>
      <c r="C794" s="3" t="str">
        <f t="shared" si="61"/>
        <v>sysMultilinkTableRule.sysDictionaryColumnIDDest</v>
      </c>
      <c r="D794" s="3">
        <v>42</v>
      </c>
      <c r="E794" s="3" t="str">
        <f t="shared" si="58"/>
        <v>sysMultilinkTableRule</v>
      </c>
      <c r="F794" t="str">
        <f>VLOOKUP(V794,DictionaryTableID,3,FALSE)&amp;"ID"&amp;X794</f>
        <v>sysDictionaryColumnIDDest</v>
      </c>
      <c r="G794" s="3" t="s">
        <v>6821</v>
      </c>
      <c r="H794" s="3" t="str">
        <f t="shared" si="59"/>
        <v>System.Multilink Table Rule</v>
      </c>
      <c r="I794"/>
      <c r="K794" t="s">
        <v>6227</v>
      </c>
      <c r="L794"/>
      <c r="M794" t="s">
        <v>6007</v>
      </c>
      <c r="N794"/>
      <c r="O794"/>
      <c r="P794"/>
      <c r="Q794" t="s">
        <v>919</v>
      </c>
      <c r="R794"/>
      <c r="S794"/>
      <c r="U794" t="s">
        <v>96</v>
      </c>
      <c r="V794">
        <v>2</v>
      </c>
      <c r="W794" s="3" t="str">
        <f>VLOOKUP(V794,DictionaryTableID,3,FALSE)</f>
        <v>sysDictionaryColumn</v>
      </c>
      <c r="X794" s="3" t="s">
        <v>6015</v>
      </c>
      <c r="AJ794" t="e">
        <f>VLOOKUP(E794,temp1,1,FALSE)</f>
        <v>#NAME?</v>
      </c>
      <c r="AL794" t="str">
        <f>"ALTER TABLE "&amp;E794&amp;" ALTER COLUMN "&amp;F794&amp;" DROP NOT NULL"</f>
        <v>ALTER TABLE sysMultilinkTableRule ALTER COLUMN sysDictionaryColumnIDDest DROP NOT NULL</v>
      </c>
      <c r="AO794" t="str">
        <f>SUBSTITUTE(VLOOKUP(V794,DictionaryTableID,16,FALSE)&amp;"ID",".","")</f>
        <v>SystemColumnID</v>
      </c>
      <c r="AP794" t="e">
        <f>VLOOKUP(E794,temp6,1,FALSE)</f>
        <v>#NAME?</v>
      </c>
    </row>
    <row r="795" spans="1:42" ht="15" hidden="1" customHeight="1">
      <c r="A795">
        <v>21100</v>
      </c>
      <c r="B795" s="3" t="s">
        <v>1475</v>
      </c>
      <c r="C795" s="3" t="str">
        <f t="shared" si="61"/>
        <v>sysMultilinkTableRule.sysDictionaryTableID</v>
      </c>
      <c r="D795" s="3">
        <v>42</v>
      </c>
      <c r="E795" s="3" t="str">
        <f t="shared" si="58"/>
        <v>sysMultilinkTableRule</v>
      </c>
      <c r="F795" t="str">
        <f>VLOOKUP(V795,DictionaryTableID,3,FALSE)&amp;"ID"&amp;X795</f>
        <v>sysDictionaryTableID</v>
      </c>
      <c r="G795" s="3" t="s">
        <v>1434</v>
      </c>
      <c r="H795" s="3" t="str">
        <f t="shared" si="59"/>
        <v>System.Multilink Table Rule</v>
      </c>
      <c r="I795"/>
      <c r="K795" t="s">
        <v>2488</v>
      </c>
      <c r="L795"/>
      <c r="M795" t="s">
        <v>6007</v>
      </c>
      <c r="N795"/>
      <c r="O795"/>
      <c r="P795"/>
      <c r="Q795" s="3" t="s">
        <v>92</v>
      </c>
      <c r="R795"/>
      <c r="S795"/>
      <c r="U795" t="s">
        <v>96</v>
      </c>
      <c r="V795">
        <v>1</v>
      </c>
      <c r="W795" s="3" t="str">
        <f>VLOOKUP(V795,DictionaryTableID,3,FALSE)</f>
        <v>sysDictionaryTable</v>
      </c>
      <c r="X795" s="3" t="s">
        <v>1036</v>
      </c>
      <c r="AJ795" t="e">
        <f>VLOOKUP(E795,temp1,1,FALSE)</f>
        <v>#NAME?</v>
      </c>
      <c r="AK795" t="str">
        <f>"SELECT (SELECT '"&amp;C795&amp;"' ColumnName from "&amp;E795&amp;" where "&amp;F795&amp;" is null and exists (select from "&amp;E795&amp;") limit 1) a union all"</f>
        <v>SELECT (SELECT 'sysMultilinkTableRule.sysDictionaryTableID' ColumnName from sysMultilinkTableRule where sysDictionaryTableID is null and exists (select from sysMultilinkTableRule) limit 1) a union all</v>
      </c>
      <c r="AO795" t="str">
        <f>SUBSTITUTE(VLOOKUP(V795,DictionaryTableID,16,FALSE)&amp;"ID",".","")</f>
        <v>SystemTableID</v>
      </c>
      <c r="AP795" t="e">
        <f>VLOOKUP(E795,temp6,1,FALSE)</f>
        <v>#NAME?</v>
      </c>
    </row>
    <row r="796" spans="1:42" ht="15" hidden="1" customHeight="1">
      <c r="A796">
        <v>21110</v>
      </c>
      <c r="B796" s="3" t="s">
        <v>1475</v>
      </c>
      <c r="C796" s="3" t="str">
        <f t="shared" si="61"/>
        <v>sysMultilinkTableRule.Description</v>
      </c>
      <c r="D796" s="3">
        <v>42</v>
      </c>
      <c r="E796" s="3" t="str">
        <f t="shared" si="58"/>
        <v>sysMultilinkTableRule</v>
      </c>
      <c r="F796" t="s">
        <v>12</v>
      </c>
      <c r="G796" s="3" t="s">
        <v>6423</v>
      </c>
      <c r="H796" s="3" t="str">
        <f t="shared" si="59"/>
        <v>System.Multilink Table Rule</v>
      </c>
      <c r="I796"/>
      <c r="K796" t="s">
        <v>12</v>
      </c>
      <c r="L796"/>
      <c r="M796" t="s">
        <v>196</v>
      </c>
      <c r="N796"/>
      <c r="O796"/>
      <c r="P796"/>
      <c r="Q796" t="s">
        <v>919</v>
      </c>
      <c r="R796"/>
      <c r="S796"/>
      <c r="U796" t="s">
        <v>93</v>
      </c>
      <c r="W796" s="3"/>
      <c r="X796" s="3"/>
      <c r="AH796" t="s">
        <v>92</v>
      </c>
      <c r="AJ796" t="e">
        <f>VLOOKUP(E796,temp1,1,FALSE)</f>
        <v>#NAME?</v>
      </c>
      <c r="AL796" t="str">
        <f>"ALTER TABLE "&amp;E796&amp;" ALTER COLUMN "&amp;F796&amp;" DROP NOT NULL"</f>
        <v>ALTER TABLE sysMultilinkTableRule ALTER COLUMN Description DROP NOT NULL</v>
      </c>
      <c r="AP796" t="e">
        <f>VLOOKUP(E796,temp6,1,FALSE)</f>
        <v>#NAME?</v>
      </c>
    </row>
    <row r="797" spans="1:42" ht="15" hidden="1" customHeight="1">
      <c r="A797">
        <v>21120</v>
      </c>
      <c r="B797" s="3" t="s">
        <v>1475</v>
      </c>
      <c r="C797" s="3" t="str">
        <f t="shared" si="61"/>
        <v>sysMultilinkTableRule.SeqNo</v>
      </c>
      <c r="D797" s="3">
        <v>42</v>
      </c>
      <c r="E797" s="3" t="str">
        <f t="shared" si="58"/>
        <v>sysMultilinkTableRule</v>
      </c>
      <c r="F797" t="s">
        <v>1360</v>
      </c>
      <c r="G797" s="3" t="s">
        <v>6822</v>
      </c>
      <c r="H797" s="3" t="str">
        <f t="shared" si="59"/>
        <v>System.Multilink Table Rule</v>
      </c>
      <c r="I797"/>
      <c r="K797" t="s">
        <v>983</v>
      </c>
      <c r="M797" s="3" t="s">
        <v>195</v>
      </c>
      <c r="Q797" s="3" t="s">
        <v>919</v>
      </c>
      <c r="U797" s="3" t="s">
        <v>93</v>
      </c>
      <c r="AJ797" t="e">
        <f>VLOOKUP(E797,temp1,1,FALSE)</f>
        <v>#NAME?</v>
      </c>
      <c r="AL797" t="str">
        <f>"ALTER TABLE "&amp;E797&amp;" ALTER COLUMN "&amp;F797&amp;" DROP NOT NULL"</f>
        <v>ALTER TABLE sysMultilinkTableRule ALTER COLUMN SeqNo DROP NOT NULL</v>
      </c>
      <c r="AP797" t="e">
        <f>VLOOKUP(E797,temp6,1,FALSE)</f>
        <v>#NAME?</v>
      </c>
    </row>
    <row r="798" spans="1:42" ht="15" hidden="1" customHeight="1">
      <c r="A798">
        <v>21130</v>
      </c>
      <c r="B798" s="3" t="s">
        <v>1475</v>
      </c>
      <c r="C798" s="3" t="str">
        <f t="shared" si="61"/>
        <v>sysMultilinkTableRule.WhereClause</v>
      </c>
      <c r="D798" s="3">
        <v>42</v>
      </c>
      <c r="E798" s="3" t="str">
        <f t="shared" si="58"/>
        <v>sysMultilinkTableRule</v>
      </c>
      <c r="F798" t="s">
        <v>879</v>
      </c>
      <c r="G798" s="3" t="s">
        <v>1435</v>
      </c>
      <c r="H798" s="3" t="str">
        <f t="shared" si="59"/>
        <v>System.Multilink Table Rule</v>
      </c>
      <c r="I798"/>
      <c r="K798" t="s">
        <v>879</v>
      </c>
      <c r="M798" s="3" t="s">
        <v>196</v>
      </c>
      <c r="Q798" s="3" t="s">
        <v>92</v>
      </c>
      <c r="U798" s="3" t="s">
        <v>93</v>
      </c>
      <c r="AJ798" t="e">
        <f>VLOOKUP(E798,temp1,1,FALSE)</f>
        <v>#NAME?</v>
      </c>
      <c r="AK798" t="str">
        <f>"SELECT (SELECT '"&amp;C798&amp;"' ColumnName from "&amp;E798&amp;" where "&amp;F798&amp;" is null and exists (select from "&amp;E798&amp;") limit 1) a union all"</f>
        <v>SELECT (SELECT 'sysMultilinkTableRule.WhereClause' ColumnName from sysMultilinkTableRule where WhereClause is null and exists (select from sysMultilinkTableRule) limit 1) a union all</v>
      </c>
      <c r="AP798" t="e">
        <f>VLOOKUP(E798,temp6,1,FALSE)</f>
        <v>#NAME?</v>
      </c>
    </row>
    <row r="799" spans="1:42" ht="15" hidden="1" customHeight="1">
      <c r="A799">
        <v>21140</v>
      </c>
      <c r="B799" s="3" t="s">
        <v>1475</v>
      </c>
      <c r="C799" s="3" t="str">
        <f t="shared" si="61"/>
        <v>sysMultilinkTableRule.RowStatus</v>
      </c>
      <c r="D799" s="3">
        <v>42</v>
      </c>
      <c r="E799" s="3" t="str">
        <f t="shared" si="58"/>
        <v>sysMultilinkTableRule</v>
      </c>
      <c r="F799" t="s">
        <v>1445</v>
      </c>
      <c r="G799" s="3" t="s">
        <v>6411</v>
      </c>
      <c r="H799" s="3" t="str">
        <f t="shared" si="59"/>
        <v>System.Multilink Table Rule</v>
      </c>
      <c r="I799"/>
      <c r="K799" s="3" t="s">
        <v>2471</v>
      </c>
      <c r="M799" t="s">
        <v>976</v>
      </c>
      <c r="N799">
        <v>1</v>
      </c>
      <c r="Q799" s="3" t="s">
        <v>919</v>
      </c>
      <c r="U799" s="3" t="s">
        <v>94</v>
      </c>
      <c r="AJ799" t="e">
        <f>VLOOKUP(E799,temp1,1,FALSE)</f>
        <v>#NAME?</v>
      </c>
      <c r="AL799" t="str">
        <f>"ALTER TABLE "&amp;E799&amp;" ALTER COLUMN "&amp;F799&amp;" DROP NOT NULL"</f>
        <v>ALTER TABLE sysMultilinkTableRule ALTER COLUMN RowStatus DROP NOT NULL</v>
      </c>
      <c r="AP799" t="e">
        <f>VLOOKUP(E799,temp6,1,FALSE)</f>
        <v>#NAME?</v>
      </c>
    </row>
    <row r="800" spans="1:42" ht="15" hidden="1" customHeight="1">
      <c r="A800">
        <v>21150</v>
      </c>
      <c r="B800" t="s">
        <v>1475</v>
      </c>
      <c r="C800" s="3" t="str">
        <f t="shared" si="61"/>
        <v>sysMultilinkTableRule.sysChangeHistoryID</v>
      </c>
      <c r="D800">
        <v>42</v>
      </c>
      <c r="E800" s="3" t="str">
        <f t="shared" si="58"/>
        <v>sysMultilinkTableRule</v>
      </c>
      <c r="F800" t="s">
        <v>2497</v>
      </c>
      <c r="G800" s="3" t="s">
        <v>6403</v>
      </c>
      <c r="H800" s="3" t="str">
        <f t="shared" si="59"/>
        <v>System.Multilink Table Rule</v>
      </c>
      <c r="I800"/>
      <c r="K800" t="s">
        <v>1210</v>
      </c>
      <c r="L800"/>
      <c r="M800" t="s">
        <v>6007</v>
      </c>
      <c r="N800"/>
      <c r="O800"/>
      <c r="P800"/>
      <c r="Q800" t="s">
        <v>92</v>
      </c>
      <c r="R800"/>
      <c r="S800"/>
      <c r="U800" t="s">
        <v>1429</v>
      </c>
      <c r="W800" s="3"/>
      <c r="X800" s="3"/>
      <c r="AJ800" t="e">
        <f>VLOOKUP(E800,temp1,1,FALSE)</f>
        <v>#NAME?</v>
      </c>
      <c r="AK800" t="str">
        <f>"SELECT (SELECT '"&amp;C800&amp;"' ColumnName from "&amp;E800&amp;" where "&amp;F800&amp;" is null and exists (select from "&amp;E800&amp;") limit 1) a union all"</f>
        <v>SELECT (SELECT 'sysMultilinkTableRule.sysChangeHistoryID' ColumnName from sysMultilinkTableRule where sysChangeHistoryID is null and exists (select from sysMultilinkTableRule) limit 1) a union all</v>
      </c>
      <c r="AP800" t="e">
        <f>VLOOKUP(E800,temp6,1,FALSE)</f>
        <v>#NAME?</v>
      </c>
    </row>
    <row r="801" spans="1:42" ht="15" hidden="1" customHeight="1">
      <c r="A801">
        <v>22620</v>
      </c>
      <c r="B801" s="3" t="s">
        <v>1475</v>
      </c>
      <c r="C801" s="3" t="str">
        <f t="shared" si="61"/>
        <v>sysForeignKeyCache.ID</v>
      </c>
      <c r="D801" s="3">
        <v>99</v>
      </c>
      <c r="E801" s="3" t="str">
        <f t="shared" si="58"/>
        <v>sysForeignKeyCache</v>
      </c>
      <c r="F801" t="s">
        <v>0</v>
      </c>
      <c r="G801" s="3" t="s">
        <v>6860</v>
      </c>
      <c r="H801" s="3" t="str">
        <f t="shared" si="59"/>
        <v>System.Foreign Key Cache</v>
      </c>
      <c r="I801"/>
      <c r="K801" t="s">
        <v>0</v>
      </c>
      <c r="M801" t="s">
        <v>6007</v>
      </c>
      <c r="Q801" s="3" t="s">
        <v>919</v>
      </c>
      <c r="U801" s="3" t="s">
        <v>95</v>
      </c>
      <c r="AJ801" t="e">
        <f>VLOOKUP(E801,temp1,1,FALSE)</f>
        <v>#NAME?</v>
      </c>
      <c r="AL801" t="str">
        <f>"ALTER TABLE "&amp;E801&amp;" ALTER COLUMN "&amp;F801&amp;" DROP NOT NULL"</f>
        <v>ALTER TABLE sysForeignKeyCache ALTER COLUMN ID DROP NOT NULL</v>
      </c>
      <c r="AP801" t="e">
        <f>VLOOKUP(E801,temp6,1,FALSE)</f>
        <v>#NAME?</v>
      </c>
    </row>
    <row r="802" spans="1:42" ht="15" customHeight="1">
      <c r="A802">
        <v>22625</v>
      </c>
      <c r="B802" s="3" t="s">
        <v>1475</v>
      </c>
      <c r="C802" s="3" t="str">
        <f t="shared" si="61"/>
        <v>sysForeignKeyCache.sysDictionaryTableID</v>
      </c>
      <c r="D802" s="3">
        <v>99</v>
      </c>
      <c r="E802" s="3" t="str">
        <f t="shared" si="58"/>
        <v>sysForeignKeyCache</v>
      </c>
      <c r="F802" t="str">
        <f>VLOOKUP(V802,DictionaryTableID,3,FALSE)&amp;"ID"&amp;X802</f>
        <v>sysDictionaryTableID</v>
      </c>
      <c r="G802" s="3" t="s">
        <v>6723</v>
      </c>
      <c r="H802" s="3" t="str">
        <f t="shared" si="59"/>
        <v>System.Foreign Key Cache</v>
      </c>
      <c r="I802"/>
      <c r="K802" t="s">
        <v>2488</v>
      </c>
      <c r="M802" t="s">
        <v>6007</v>
      </c>
      <c r="Q802" s="3" t="s">
        <v>919</v>
      </c>
      <c r="U802" s="3" t="s">
        <v>1072</v>
      </c>
      <c r="V802">
        <v>1</v>
      </c>
      <c r="W802" s="3" t="str">
        <f>VLOOKUP(V802,DictionaryTableID,3,FALSE)</f>
        <v>sysDictionaryTable</v>
      </c>
      <c r="X802" s="3"/>
      <c r="AB802" t="s">
        <v>92</v>
      </c>
      <c r="AJ802" t="e">
        <f>VLOOKUP(E802,temp1,1,FALSE)</f>
        <v>#NAME?</v>
      </c>
      <c r="AL802" t="str">
        <f>"ALTER TABLE "&amp;E802&amp;" ALTER COLUMN "&amp;F802&amp;" DROP NOT NULL"</f>
        <v>ALTER TABLE sysForeignKeyCache ALTER COLUMN sysDictionaryTableID DROP NOT NULL</v>
      </c>
      <c r="AP802" t="e">
        <f>VLOOKUP(E802,temp6,1,FALSE)</f>
        <v>#NAME?</v>
      </c>
    </row>
    <row r="803" spans="1:42" ht="15" customHeight="1">
      <c r="A803">
        <v>22630</v>
      </c>
      <c r="B803" s="3" t="s">
        <v>1475</v>
      </c>
      <c r="C803" s="3" t="str">
        <f t="shared" si="61"/>
        <v>sysForeignKeyCache.RowID</v>
      </c>
      <c r="D803" s="3">
        <v>99</v>
      </c>
      <c r="E803" s="3" t="str">
        <f t="shared" si="58"/>
        <v>sysForeignKeyCache</v>
      </c>
      <c r="F803" t="s">
        <v>6222</v>
      </c>
      <c r="G803" s="3" t="s">
        <v>6861</v>
      </c>
      <c r="H803" s="3" t="str">
        <f t="shared" si="59"/>
        <v>System.Foreign Key Cache</v>
      </c>
      <c r="I803"/>
      <c r="K803" t="s">
        <v>7020</v>
      </c>
      <c r="M803" t="s">
        <v>6007</v>
      </c>
      <c r="Q803" s="3" t="s">
        <v>919</v>
      </c>
      <c r="U803" s="3" t="s">
        <v>1072</v>
      </c>
      <c r="X803" s="3"/>
      <c r="AB803" t="s">
        <v>92</v>
      </c>
      <c r="AJ803" t="e">
        <f>VLOOKUP(E803,temp1,1,FALSE)</f>
        <v>#NAME?</v>
      </c>
      <c r="AL803" t="str">
        <f>"ALTER TABLE "&amp;E803&amp;" ALTER COLUMN "&amp;F803&amp;" DROP NOT NULL"</f>
        <v>ALTER TABLE sysForeignKeyCache ALTER COLUMN RowID DROP NOT NULL</v>
      </c>
      <c r="AP803" t="e">
        <f>VLOOKUP(E803,temp6,1,FALSE)</f>
        <v>#NAME?</v>
      </c>
    </row>
    <row r="804" spans="1:42" ht="15" hidden="1" customHeight="1">
      <c r="A804">
        <v>22635</v>
      </c>
      <c r="B804" s="3" t="s">
        <v>1475</v>
      </c>
      <c r="C804" s="3" t="str">
        <f t="shared" si="61"/>
        <v>sysForeignKeyCache.Translation</v>
      </c>
      <c r="D804" s="3">
        <v>99</v>
      </c>
      <c r="E804" s="3" t="str">
        <f t="shared" si="58"/>
        <v>sysForeignKeyCache</v>
      </c>
      <c r="F804" t="s">
        <v>338</v>
      </c>
      <c r="G804" s="3" t="s">
        <v>6792</v>
      </c>
      <c r="H804" s="3" t="str">
        <f t="shared" si="59"/>
        <v>System.Foreign Key Cache</v>
      </c>
      <c r="I804"/>
      <c r="K804" t="s">
        <v>338</v>
      </c>
      <c r="M804" t="s">
        <v>196</v>
      </c>
      <c r="Q804" s="3" t="s">
        <v>92</v>
      </c>
      <c r="U804" s="3" t="s">
        <v>93</v>
      </c>
      <c r="W804" s="3"/>
      <c r="AB804" t="s">
        <v>92</v>
      </c>
      <c r="AJ804" t="e">
        <f>VLOOKUP(E804,temp1,1,FALSE)</f>
        <v>#NAME?</v>
      </c>
      <c r="AK804" t="str">
        <f>"SELECT (SELECT '"&amp;C804&amp;"' ColumnName from "&amp;E804&amp;" where "&amp;F804&amp;" is null and exists (select from "&amp;E804&amp;") limit 1) a union all"</f>
        <v>SELECT (SELECT 'sysForeignKeyCache.Translation' ColumnName from sysForeignKeyCache where Translation is null and exists (select from sysForeignKeyCache) limit 1) a union all</v>
      </c>
      <c r="AP804" t="e">
        <f>VLOOKUP(E804,temp6,1,FALSE)</f>
        <v>#NAME?</v>
      </c>
    </row>
    <row r="805" spans="1:42" ht="15" hidden="1" customHeight="1">
      <c r="A805">
        <v>22640</v>
      </c>
      <c r="B805" t="s">
        <v>1475</v>
      </c>
      <c r="C805" s="3" t="str">
        <f t="shared" si="61"/>
        <v>sysForeignKeyCache.sysChangeHistoryID</v>
      </c>
      <c r="D805" s="3">
        <v>99</v>
      </c>
      <c r="E805" s="3" t="str">
        <f t="shared" si="58"/>
        <v>sysForeignKeyCache</v>
      </c>
      <c r="F805" t="s">
        <v>2497</v>
      </c>
      <c r="G805" s="3" t="s">
        <v>6403</v>
      </c>
      <c r="H805" s="3" t="str">
        <f t="shared" si="59"/>
        <v>System.Foreign Key Cache</v>
      </c>
      <c r="I805"/>
      <c r="K805" t="s">
        <v>1210</v>
      </c>
      <c r="L805"/>
      <c r="M805" t="s">
        <v>6007</v>
      </c>
      <c r="N805"/>
      <c r="O805"/>
      <c r="P805"/>
      <c r="Q805" t="s">
        <v>92</v>
      </c>
      <c r="R805"/>
      <c r="S805"/>
      <c r="U805" t="s">
        <v>1429</v>
      </c>
      <c r="W805" s="3"/>
      <c r="X805" s="3"/>
      <c r="AJ805" t="e">
        <f>VLOOKUP(E805,temp1,1,FALSE)</f>
        <v>#NAME?</v>
      </c>
      <c r="AK805" t="str">
        <f>"SELECT (SELECT '"&amp;C805&amp;"' ColumnName from "&amp;E805&amp;" where "&amp;F805&amp;" is null and exists (select from "&amp;E805&amp;") limit 1) a union all"</f>
        <v>SELECT (SELECT 'sysForeignKeyCache.sysChangeHistoryID' ColumnName from sysForeignKeyCache where sysChangeHistoryID is null and exists (select from sysForeignKeyCache) limit 1) a union all</v>
      </c>
      <c r="AP805" t="e">
        <f>VLOOKUP(E805,temp6,1,FALSE)</f>
        <v>#NAME?</v>
      </c>
    </row>
    <row r="806" spans="1:42" ht="15" hidden="1" customHeight="1">
      <c r="A806">
        <v>22645</v>
      </c>
      <c r="B806" s="3" t="s">
        <v>1475</v>
      </c>
      <c r="C806" s="3" t="str">
        <f t="shared" si="61"/>
        <v>sysMasterDataIndex.ID</v>
      </c>
      <c r="D806" s="3">
        <v>98</v>
      </c>
      <c r="E806" s="3" t="str">
        <f t="shared" si="58"/>
        <v>sysMasterDataIndex</v>
      </c>
      <c r="F806" s="3" t="s">
        <v>0</v>
      </c>
      <c r="G806" s="3" t="s">
        <v>7190</v>
      </c>
      <c r="H806" s="3" t="str">
        <f t="shared" si="59"/>
        <v>System.Master Data Index</v>
      </c>
      <c r="I806" s="3" t="s">
        <v>0</v>
      </c>
      <c r="K806" s="3" t="s">
        <v>0</v>
      </c>
      <c r="M806" t="s">
        <v>6007</v>
      </c>
      <c r="Q806" s="3" t="s">
        <v>919</v>
      </c>
      <c r="U806" s="3" t="s">
        <v>95</v>
      </c>
      <c r="AP806" t="e">
        <f>VLOOKUP(E806,temp6,1,FALSE)</f>
        <v>#NAME?</v>
      </c>
    </row>
    <row r="807" spans="1:42">
      <c r="A807">
        <v>22650</v>
      </c>
      <c r="B807" s="3" t="s">
        <v>1475</v>
      </c>
      <c r="C807" s="3" t="str">
        <f t="shared" si="61"/>
        <v>sysMasterDataIndex.sysDictionaryTableIdMaster</v>
      </c>
      <c r="D807" s="3">
        <v>98</v>
      </c>
      <c r="E807" s="3" t="str">
        <f t="shared" si="58"/>
        <v>sysMasterDataIndex</v>
      </c>
      <c r="F807" s="3" t="s">
        <v>7182</v>
      </c>
      <c r="G807" s="3" t="s">
        <v>7186</v>
      </c>
      <c r="H807" s="3" t="str">
        <f t="shared" si="59"/>
        <v>System.Master Data Index</v>
      </c>
      <c r="K807" s="3" t="s">
        <v>7191</v>
      </c>
      <c r="M807" t="s">
        <v>6007</v>
      </c>
      <c r="Q807" s="3" t="s">
        <v>919</v>
      </c>
      <c r="U807" s="3" t="s">
        <v>1072</v>
      </c>
      <c r="V807">
        <v>1</v>
      </c>
      <c r="W807" s="3" t="str">
        <f>VLOOKUP(V807,DictionaryTableID,3,FALSE)</f>
        <v>sysDictionaryTable</v>
      </c>
      <c r="X807" s="3" t="s">
        <v>7197</v>
      </c>
    </row>
    <row r="808" spans="1:42">
      <c r="A808">
        <v>22655</v>
      </c>
      <c r="B808" s="3" t="s">
        <v>1475</v>
      </c>
      <c r="C808" s="3" t="str">
        <f t="shared" si="61"/>
        <v>sysMasterDataIndex.RowIdMaster</v>
      </c>
      <c r="D808" s="3">
        <v>98</v>
      </c>
      <c r="E808" s="3" t="str">
        <f t="shared" si="58"/>
        <v>sysMasterDataIndex</v>
      </c>
      <c r="F808" s="3" t="s">
        <v>7183</v>
      </c>
      <c r="G808" s="3" t="s">
        <v>7187</v>
      </c>
      <c r="H808" s="3" t="str">
        <f t="shared" si="59"/>
        <v>System.Master Data Index</v>
      </c>
      <c r="K808" s="3" t="s">
        <v>7192</v>
      </c>
      <c r="M808" t="s">
        <v>6007</v>
      </c>
      <c r="Q808" s="3" t="s">
        <v>919</v>
      </c>
      <c r="U808" s="3" t="s">
        <v>1072</v>
      </c>
      <c r="X808" s="3" t="s">
        <v>7197</v>
      </c>
    </row>
    <row r="809" spans="1:42" hidden="1">
      <c r="A809">
        <v>22660</v>
      </c>
      <c r="B809" s="3" t="s">
        <v>1475</v>
      </c>
      <c r="C809" s="3" t="str">
        <f t="shared" si="61"/>
        <v>sysMasterDataIndex.sysDictionaryColumnIdForeign</v>
      </c>
      <c r="D809" s="3">
        <v>98</v>
      </c>
      <c r="E809" s="3" t="str">
        <f t="shared" si="58"/>
        <v>sysMasterDataIndex</v>
      </c>
      <c r="F809" s="3" t="s">
        <v>7184</v>
      </c>
      <c r="G809" s="3" t="s">
        <v>7189</v>
      </c>
      <c r="H809" s="3" t="str">
        <f t="shared" si="59"/>
        <v>System.Master Data Index</v>
      </c>
      <c r="K809" s="3" t="s">
        <v>7196</v>
      </c>
      <c r="M809" t="s">
        <v>6007</v>
      </c>
      <c r="Q809" s="3" t="s">
        <v>92</v>
      </c>
      <c r="U809" s="3" t="s">
        <v>96</v>
      </c>
      <c r="V809">
        <v>2</v>
      </c>
      <c r="W809" s="3" t="str">
        <f>VLOOKUP(V809,DictionaryTableID,3,FALSE)</f>
        <v>sysDictionaryColumn</v>
      </c>
      <c r="X809" s="3" t="s">
        <v>1348</v>
      </c>
    </row>
    <row r="810" spans="1:42">
      <c r="A810">
        <v>22663</v>
      </c>
      <c r="B810" s="3" t="s">
        <v>1475</v>
      </c>
      <c r="C810" s="3" t="str">
        <f t="shared" si="61"/>
        <v>sysMasterDataIndex.sysDictionaryTableIdForeign</v>
      </c>
      <c r="D810" s="3">
        <v>98</v>
      </c>
      <c r="E810" s="3" t="str">
        <f t="shared" si="58"/>
        <v>sysMasterDataIndex</v>
      </c>
      <c r="F810" s="3" t="s">
        <v>7198</v>
      </c>
      <c r="G810" s="3" t="s">
        <v>7199</v>
      </c>
      <c r="H810" s="3" t="str">
        <f t="shared" si="59"/>
        <v>System.Master Data Index</v>
      </c>
      <c r="K810" s="3" t="s">
        <v>7200</v>
      </c>
      <c r="M810" t="s">
        <v>6007</v>
      </c>
      <c r="Q810" s="3" t="s">
        <v>92</v>
      </c>
      <c r="U810" s="3" t="s">
        <v>1072</v>
      </c>
      <c r="V810">
        <v>1</v>
      </c>
      <c r="W810" s="3" t="str">
        <f>VLOOKUP(V810,DictionaryTableID,3,FALSE)</f>
        <v>sysDictionaryTable</v>
      </c>
      <c r="X810" s="3" t="s">
        <v>1348</v>
      </c>
    </row>
    <row r="811" spans="1:42">
      <c r="A811">
        <v>22665</v>
      </c>
      <c r="B811" s="3" t="s">
        <v>1475</v>
      </c>
      <c r="C811" s="3" t="str">
        <f t="shared" si="61"/>
        <v>sysMasterDataIndex.RowIdForeign</v>
      </c>
      <c r="D811" s="3">
        <v>98</v>
      </c>
      <c r="E811" s="3" t="str">
        <f t="shared" si="58"/>
        <v>sysMasterDataIndex</v>
      </c>
      <c r="F811" s="3" t="s">
        <v>7185</v>
      </c>
      <c r="G811" s="3" t="s">
        <v>7188</v>
      </c>
      <c r="H811" s="3" t="str">
        <f t="shared" si="59"/>
        <v>System.Master Data Index</v>
      </c>
      <c r="K811" s="3" t="s">
        <v>7193</v>
      </c>
      <c r="M811" t="s">
        <v>6007</v>
      </c>
      <c r="Q811" s="3" t="s">
        <v>92</v>
      </c>
      <c r="U811" s="3" t="s">
        <v>1072</v>
      </c>
      <c r="X811" s="3"/>
    </row>
    <row r="812" spans="1:42" hidden="1">
      <c r="A812">
        <v>22670</v>
      </c>
      <c r="B812" s="3" t="s">
        <v>1475</v>
      </c>
      <c r="C812" s="3" t="str">
        <f t="shared" si="61"/>
        <v>sysMasterDataIndex.ForeignKeyTranslation</v>
      </c>
      <c r="D812" s="3">
        <v>98</v>
      </c>
      <c r="E812" s="3" t="str">
        <f t="shared" si="58"/>
        <v>sysMasterDataIndex</v>
      </c>
      <c r="F812" s="3" t="s">
        <v>7194</v>
      </c>
      <c r="G812" s="3" t="s">
        <v>7195</v>
      </c>
      <c r="H812" s="3" t="str">
        <f t="shared" si="59"/>
        <v>System.Master Data Index</v>
      </c>
      <c r="K812" s="3" t="s">
        <v>7195</v>
      </c>
      <c r="M812" t="s">
        <v>196</v>
      </c>
      <c r="Q812" s="3" t="s">
        <v>919</v>
      </c>
      <c r="U812" s="3" t="s">
        <v>93</v>
      </c>
    </row>
    <row r="813" spans="1:42" ht="15" hidden="1" customHeight="1">
      <c r="A813">
        <v>22675</v>
      </c>
      <c r="B813" t="s">
        <v>1475</v>
      </c>
      <c r="C813" s="3" t="str">
        <f t="shared" si="61"/>
        <v>sysMasterDataIndex.sysChangeHistoryID</v>
      </c>
      <c r="D813" s="3">
        <v>98</v>
      </c>
      <c r="E813" s="3" t="str">
        <f t="shared" si="58"/>
        <v>sysMasterDataIndex</v>
      </c>
      <c r="F813" t="s">
        <v>2497</v>
      </c>
      <c r="G813" s="3" t="s">
        <v>6403</v>
      </c>
      <c r="H813" s="3" t="str">
        <f t="shared" si="59"/>
        <v>System.Master Data Index</v>
      </c>
      <c r="I813"/>
      <c r="K813" t="s">
        <v>1210</v>
      </c>
      <c r="L813"/>
      <c r="M813" t="s">
        <v>6007</v>
      </c>
      <c r="N813"/>
      <c r="O813"/>
      <c r="P813"/>
      <c r="Q813" t="s">
        <v>92</v>
      </c>
      <c r="R813"/>
      <c r="S813"/>
      <c r="U813" t="s">
        <v>1429</v>
      </c>
      <c r="W813" s="3"/>
      <c r="X813" s="3"/>
      <c r="AJ813" t="e">
        <f>VLOOKUP(E813,temp1,1,FALSE)</f>
        <v>#NAME?</v>
      </c>
      <c r="AK813" t="str">
        <f>"SELECT (SELECT '"&amp;C813&amp;"' ColumnName from "&amp;E813&amp;" where "&amp;F813&amp;" is null and exists (select from "&amp;E813&amp;") limit 1) a union all"</f>
        <v>SELECT (SELECT 'sysMasterDataIndex.sysChangeHistoryID' ColumnName from sysMasterDataIndex where sysChangeHistoryID is null and exists (select from sysMasterDataIndex) limit 1) a union all</v>
      </c>
      <c r="AP813" t="e">
        <f>VLOOKUP(E813,temp6,1,FALSE)</f>
        <v>#NAME?</v>
      </c>
    </row>
    <row r="814" spans="1:42" ht="15" hidden="1" customHeight="1">
      <c r="A814">
        <v>22680</v>
      </c>
      <c r="B814" s="3" t="s">
        <v>1475</v>
      </c>
      <c r="C814" s="3" t="str">
        <f t="shared" si="61"/>
        <v>exSubscriber.ID</v>
      </c>
      <c r="D814" s="3">
        <v>800</v>
      </c>
      <c r="E814" s="3" t="str">
        <f t="shared" si="58"/>
        <v>exSubscriber</v>
      </c>
      <c r="F814" t="s">
        <v>0</v>
      </c>
      <c r="G814" s="3" t="s">
        <v>6862</v>
      </c>
      <c r="H814" s="3" t="str">
        <f t="shared" si="59"/>
        <v>DataExchange.Subscriber</v>
      </c>
      <c r="I814"/>
      <c r="K814" t="s">
        <v>0</v>
      </c>
      <c r="M814" t="s">
        <v>6007</v>
      </c>
      <c r="Q814" s="3" t="s">
        <v>919</v>
      </c>
      <c r="U814" s="3" t="s">
        <v>95</v>
      </c>
      <c r="AJ814" t="e">
        <f>VLOOKUP(E814,temp1,1,FALSE)</f>
        <v>#NAME?</v>
      </c>
      <c r="AL814" t="str">
        <f>"ALTER TABLE "&amp;E814&amp;" ALTER COLUMN "&amp;F814&amp;" DROP NOT NULL"</f>
        <v>ALTER TABLE exSubscriber ALTER COLUMN ID DROP NOT NULL</v>
      </c>
      <c r="AP814" t="e">
        <f>VLOOKUP(E814,temp6,1,FALSE)</f>
        <v>#NAME?</v>
      </c>
    </row>
    <row r="815" spans="1:42" ht="15" hidden="1" customHeight="1">
      <c r="A815">
        <v>22690</v>
      </c>
      <c r="B815" s="3" t="s">
        <v>1475</v>
      </c>
      <c r="C815" s="3" t="str">
        <f t="shared" si="61"/>
        <v>exSubscriber.exSubscriberIDParent</v>
      </c>
      <c r="D815" s="3">
        <v>800</v>
      </c>
      <c r="E815" s="3" t="str">
        <f t="shared" si="58"/>
        <v>exSubscriber</v>
      </c>
      <c r="F815" t="str">
        <f>VLOOKUP(V815,DictionaryTableID,3,FALSE)&amp;"ID"&amp;X815</f>
        <v>exSubscriberIDParent</v>
      </c>
      <c r="G815" s="3" t="s">
        <v>6863</v>
      </c>
      <c r="H815" s="3" t="str">
        <f t="shared" si="59"/>
        <v>DataExchange.Subscriber</v>
      </c>
      <c r="I815"/>
      <c r="K815" t="s">
        <v>6188</v>
      </c>
      <c r="M815" t="s">
        <v>6007</v>
      </c>
      <c r="Q815" s="3" t="s">
        <v>92</v>
      </c>
      <c r="U815" s="3" t="s">
        <v>96</v>
      </c>
      <c r="V815">
        <v>800</v>
      </c>
      <c r="W815" s="3" t="str">
        <f>VLOOKUP(V815,DictionaryTableID,3,FALSE)</f>
        <v>exSubscriber</v>
      </c>
      <c r="X815" t="s">
        <v>1220</v>
      </c>
      <c r="Y815" t="s">
        <v>92</v>
      </c>
      <c r="AB815" t="s">
        <v>92</v>
      </c>
      <c r="AJ815" t="e">
        <f>VLOOKUP(E815,temp1,1,FALSE)</f>
        <v>#NAME?</v>
      </c>
      <c r="AL815" t="str">
        <f>"ALTER TABLE "&amp;E815&amp;" ALTER COLUMN "&amp;F815&amp;" DROP NOT NULL"</f>
        <v>ALTER TABLE exSubscriber ALTER COLUMN exSubscriberIDParent DROP NOT NULL</v>
      </c>
      <c r="AP815" t="e">
        <f>VLOOKUP(E815,temp6,1,FALSE)</f>
        <v>#NAME?</v>
      </c>
    </row>
    <row r="816" spans="1:42" ht="15" hidden="1" customHeight="1">
      <c r="A816">
        <v>22700</v>
      </c>
      <c r="B816" s="3" t="s">
        <v>1475</v>
      </c>
      <c r="C816" s="3" t="str">
        <f t="shared" si="61"/>
        <v>exSubscriber.exSystemID</v>
      </c>
      <c r="D816" s="3">
        <v>800</v>
      </c>
      <c r="E816" s="3" t="str">
        <f t="shared" si="58"/>
        <v>exSubscriber</v>
      </c>
      <c r="F816" t="str">
        <f>VLOOKUP(V816,DictionaryTableID,3,FALSE)&amp;"ID"&amp;X816</f>
        <v>exSystemID</v>
      </c>
      <c r="G816" s="3" t="s">
        <v>6864</v>
      </c>
      <c r="H816" s="3" t="str">
        <f t="shared" si="59"/>
        <v>DataExchange.Subscriber</v>
      </c>
      <c r="I816"/>
      <c r="K816" t="s">
        <v>94</v>
      </c>
      <c r="M816" s="3" t="s">
        <v>6007</v>
      </c>
      <c r="Q816" s="3" t="s">
        <v>92</v>
      </c>
      <c r="U816" s="3" t="s">
        <v>96</v>
      </c>
      <c r="V816">
        <v>807</v>
      </c>
      <c r="W816" s="3" t="str">
        <f>VLOOKUP(V816,DictionaryTableID,3,FALSE)</f>
        <v>exSystem</v>
      </c>
      <c r="Y816" t="s">
        <v>92</v>
      </c>
      <c r="AB816" t="s">
        <v>92</v>
      </c>
      <c r="AJ816" t="e">
        <f>VLOOKUP(E816,temp1,1,FALSE)</f>
        <v>#NAME?</v>
      </c>
      <c r="AK816" t="str">
        <f>"SELECT (SELECT '"&amp;C816&amp;"' ColumnName from "&amp;E816&amp;" where "&amp;F816&amp;" is null and exists (select from "&amp;E816&amp;") limit 1) a union all"</f>
        <v>SELECT (SELECT 'exSubscriber.exSystemID' ColumnName from exSubscriber where exSystemID is null and exists (select from exSubscriber) limit 1) a union all</v>
      </c>
      <c r="AL816" t="str">
        <f>"ALTER TABLE "&amp;E816&amp;" ALTER COLUMN "&amp;F816&amp;" DROP NOT NULL"</f>
        <v>ALTER TABLE exSubscriber ALTER COLUMN exSystemID DROP NOT NULL</v>
      </c>
      <c r="AP816" t="e">
        <f>VLOOKUP(E816,temp6,1,FALSE)</f>
        <v>#NAME?</v>
      </c>
    </row>
    <row r="817" spans="1:42" ht="15" hidden="1" customHeight="1">
      <c r="A817">
        <v>22710</v>
      </c>
      <c r="B817" s="3" t="s">
        <v>1475</v>
      </c>
      <c r="C817" s="3" t="str">
        <f t="shared" si="61"/>
        <v>exSubscriber.Name</v>
      </c>
      <c r="D817" s="3">
        <v>800</v>
      </c>
      <c r="E817" s="3" t="str">
        <f t="shared" si="58"/>
        <v>exSubscriber</v>
      </c>
      <c r="F817" t="s">
        <v>22</v>
      </c>
      <c r="G817" s="3" t="s">
        <v>6992</v>
      </c>
      <c r="H817" s="3" t="str">
        <f t="shared" si="59"/>
        <v>DataExchange.Subscriber</v>
      </c>
      <c r="I817"/>
      <c r="K817" t="s">
        <v>22</v>
      </c>
      <c r="M817" s="3" t="s">
        <v>196</v>
      </c>
      <c r="Q817" s="3" t="s">
        <v>919</v>
      </c>
      <c r="U817" s="3" t="s">
        <v>93</v>
      </c>
      <c r="Y817" t="s">
        <v>92</v>
      </c>
      <c r="AB817" t="s">
        <v>92</v>
      </c>
      <c r="AH817" t="s">
        <v>92</v>
      </c>
      <c r="AJ817" t="e">
        <f>VLOOKUP(E817,temp1,1,FALSE)</f>
        <v>#NAME?</v>
      </c>
      <c r="AL817" t="str">
        <f>"ALTER TABLE "&amp;E817&amp;" ALTER COLUMN "&amp;F817&amp;" DROP NOT NULL"</f>
        <v>ALTER TABLE exSubscriber ALTER COLUMN Name DROP NOT NULL</v>
      </c>
      <c r="AP817" t="e">
        <f>VLOOKUP(E817,temp6,1,FALSE)</f>
        <v>#NAME?</v>
      </c>
    </row>
    <row r="818" spans="1:42" ht="15" hidden="1" customHeight="1">
      <c r="A818">
        <v>22711</v>
      </c>
      <c r="B818" s="3" t="s">
        <v>1475</v>
      </c>
      <c r="C818" s="3" t="str">
        <f t="shared" si="61"/>
        <v>exSubscriber.DisplaySequence</v>
      </c>
      <c r="D818" s="3">
        <v>800</v>
      </c>
      <c r="E818" s="3" t="str">
        <f t="shared" si="58"/>
        <v>exSubscriber</v>
      </c>
      <c r="F818" t="s">
        <v>6055</v>
      </c>
      <c r="G818" s="3" t="s">
        <v>6414</v>
      </c>
      <c r="H818" s="3" t="str">
        <f t="shared" si="59"/>
        <v>DataExchange.Subscriber</v>
      </c>
      <c r="I818"/>
      <c r="K818" s="3" t="s">
        <v>6297</v>
      </c>
      <c r="M818" s="3" t="s">
        <v>195</v>
      </c>
      <c r="Q818" s="3" t="s">
        <v>92</v>
      </c>
      <c r="U818" s="3" t="s">
        <v>94</v>
      </c>
      <c r="AF818" t="s">
        <v>714</v>
      </c>
      <c r="AJ818" t="e">
        <f>VLOOKUP(E818,temp1,1,FALSE)</f>
        <v>#NAME?</v>
      </c>
      <c r="AK818" t="str">
        <f>"SELECT (SELECT '"&amp;C818&amp;"' ColumnName from "&amp;E818&amp;" where "&amp;F818&amp;" is null and exists (select from "&amp;E818&amp;") limit 1) a union all"</f>
        <v>SELECT (SELECT 'exSubscriber.DisplaySequence' ColumnName from exSubscriber where DisplaySequence is null and exists (select from exSubscriber) limit 1) a union all</v>
      </c>
      <c r="AP818" t="e">
        <f>VLOOKUP(E818,temp6,1,FALSE)</f>
        <v>#NAME?</v>
      </c>
    </row>
    <row r="819" spans="1:42" ht="15" hidden="1" customHeight="1">
      <c r="A819">
        <v>22712</v>
      </c>
      <c r="B819" t="s">
        <v>1475</v>
      </c>
      <c r="C819" s="3" t="str">
        <f t="shared" si="61"/>
        <v>exSubscriber.TopDownLevel</v>
      </c>
      <c r="D819" s="3">
        <v>800</v>
      </c>
      <c r="E819" s="3" t="str">
        <f t="shared" si="58"/>
        <v>exSubscriber</v>
      </c>
      <c r="F819" t="s">
        <v>6020</v>
      </c>
      <c r="G819" s="3" t="s">
        <v>6413</v>
      </c>
      <c r="H819" s="3" t="str">
        <f t="shared" si="59"/>
        <v>DataExchange.Subscriber</v>
      </c>
      <c r="I819"/>
      <c r="K819" t="s">
        <v>6032</v>
      </c>
      <c r="L819"/>
      <c r="M819" t="s">
        <v>195</v>
      </c>
      <c r="N819"/>
      <c r="O819"/>
      <c r="P819"/>
      <c r="Q819" t="s">
        <v>92</v>
      </c>
      <c r="R819"/>
      <c r="S819"/>
      <c r="U819" t="s">
        <v>94</v>
      </c>
      <c r="AJ819" t="e">
        <f>VLOOKUP(E819,temp1,1,FALSE)</f>
        <v>#NAME?</v>
      </c>
      <c r="AK819" t="str">
        <f>"SELECT (SELECT '"&amp;C819&amp;"' ColumnName from "&amp;E819&amp;" where "&amp;F819&amp;" is null and exists (select from "&amp;E819&amp;") limit 1) a union all"</f>
        <v>SELECT (SELECT 'exSubscriber.TopDownLevel' ColumnName from exSubscriber where TopDownLevel is null and exists (select from exSubscriber) limit 1) a union all</v>
      </c>
      <c r="AP819" t="e">
        <f>VLOOKUP(E819,temp6,1,FALSE)</f>
        <v>#NAME?</v>
      </c>
    </row>
    <row r="820" spans="1:42" ht="15" hidden="1" customHeight="1">
      <c r="A820">
        <v>22720</v>
      </c>
      <c r="B820" s="3" t="s">
        <v>1475</v>
      </c>
      <c r="C820" s="3" t="str">
        <f t="shared" si="61"/>
        <v>exSubscriber.RowStatus</v>
      </c>
      <c r="D820" s="3">
        <v>800</v>
      </c>
      <c r="E820" s="3" t="str">
        <f t="shared" si="58"/>
        <v>exSubscriber</v>
      </c>
      <c r="F820" t="s">
        <v>1445</v>
      </c>
      <c r="G820" s="3" t="s">
        <v>6411</v>
      </c>
      <c r="H820" s="3" t="str">
        <f t="shared" si="59"/>
        <v>DataExchange.Subscriber</v>
      </c>
      <c r="I820"/>
      <c r="K820" t="s">
        <v>2471</v>
      </c>
      <c r="M820" t="s">
        <v>976</v>
      </c>
      <c r="N820">
        <v>1</v>
      </c>
      <c r="Q820" s="3" t="s">
        <v>919</v>
      </c>
      <c r="U820" s="3" t="s">
        <v>94</v>
      </c>
      <c r="AJ820" t="e">
        <f>VLOOKUP(E820,temp1,1,FALSE)</f>
        <v>#NAME?</v>
      </c>
      <c r="AL820" t="str">
        <f>"ALTER TABLE "&amp;E820&amp;" ALTER COLUMN "&amp;F820&amp;" DROP NOT NULL"</f>
        <v>ALTER TABLE exSubscriber ALTER COLUMN RowStatus DROP NOT NULL</v>
      </c>
      <c r="AP820" t="e">
        <f>VLOOKUP(E820,temp6,1,FALSE)</f>
        <v>#NAME?</v>
      </c>
    </row>
    <row r="821" spans="1:42" ht="15" hidden="1" customHeight="1">
      <c r="A821">
        <v>22730</v>
      </c>
      <c r="B821" t="s">
        <v>1475</v>
      </c>
      <c r="C821" s="3" t="str">
        <f t="shared" si="61"/>
        <v>exSubscriber.sysChangeHistoryID</v>
      </c>
      <c r="D821" s="3">
        <v>800</v>
      </c>
      <c r="E821" s="3" t="str">
        <f t="shared" si="58"/>
        <v>exSubscriber</v>
      </c>
      <c r="F821" t="s">
        <v>2497</v>
      </c>
      <c r="G821" s="3" t="s">
        <v>6403</v>
      </c>
      <c r="H821" s="3" t="str">
        <f t="shared" si="59"/>
        <v>DataExchange.Subscriber</v>
      </c>
      <c r="I821"/>
      <c r="K821" t="s">
        <v>1210</v>
      </c>
      <c r="L821"/>
      <c r="M821" t="s">
        <v>6007</v>
      </c>
      <c r="N821"/>
      <c r="O821"/>
      <c r="P821"/>
      <c r="Q821" t="s">
        <v>92</v>
      </c>
      <c r="R821"/>
      <c r="S821"/>
      <c r="U821" t="s">
        <v>1429</v>
      </c>
      <c r="W821" s="3"/>
      <c r="X821" s="3"/>
      <c r="AJ821" t="e">
        <f>VLOOKUP(E821,temp1,1,FALSE)</f>
        <v>#NAME?</v>
      </c>
      <c r="AK821" t="str">
        <f>"SELECT (SELECT '"&amp;C821&amp;"' ColumnName from "&amp;E821&amp;" where "&amp;F821&amp;" is null and exists (select from "&amp;E821&amp;") limit 1) a union all"</f>
        <v>SELECT (SELECT 'exSubscriber.sysChangeHistoryID' ColumnName from exSubscriber where sysChangeHistoryID is null and exists (select from exSubscriber) limit 1) a union all</v>
      </c>
      <c r="AP821" t="e">
        <f>VLOOKUP(E821,temp6,1,FALSE)</f>
        <v>#NAME?</v>
      </c>
    </row>
    <row r="822" spans="1:42" ht="15" hidden="1" customHeight="1">
      <c r="A822">
        <v>22740</v>
      </c>
      <c r="B822" s="3" t="s">
        <v>1475</v>
      </c>
      <c r="C822" s="3" t="str">
        <f t="shared" si="61"/>
        <v>exRecordGroup.ID</v>
      </c>
      <c r="D822" s="3">
        <v>801</v>
      </c>
      <c r="E822" s="3" t="str">
        <f t="shared" si="58"/>
        <v>exRecordGroup</v>
      </c>
      <c r="F822" t="s">
        <v>0</v>
      </c>
      <c r="G822" s="3" t="s">
        <v>6865</v>
      </c>
      <c r="H822" s="3" t="str">
        <f t="shared" si="59"/>
        <v>DataExchange.Record Group</v>
      </c>
      <c r="I822"/>
      <c r="K822" t="s">
        <v>0</v>
      </c>
      <c r="M822" t="s">
        <v>6007</v>
      </c>
      <c r="Q822" s="3" t="s">
        <v>919</v>
      </c>
      <c r="U822" s="3" t="s">
        <v>95</v>
      </c>
      <c r="AJ822" t="e">
        <f>VLOOKUP(E822,temp1,1,FALSE)</f>
        <v>#NAME?</v>
      </c>
      <c r="AL822" t="str">
        <f>"ALTER TABLE "&amp;E822&amp;" ALTER COLUMN "&amp;F822&amp;" DROP NOT NULL"</f>
        <v>ALTER TABLE exRecordGroup ALTER COLUMN ID DROP NOT NULL</v>
      </c>
      <c r="AP822" t="e">
        <f>VLOOKUP(E822,temp6,1,FALSE)</f>
        <v>#NAME?</v>
      </c>
    </row>
    <row r="823" spans="1:42" ht="15" hidden="1" customHeight="1">
      <c r="A823">
        <v>22750</v>
      </c>
      <c r="B823" s="3" t="s">
        <v>1475</v>
      </c>
      <c r="C823" s="3" t="str">
        <f t="shared" si="61"/>
        <v>exRecordGroup.exRecordGroupIDParent</v>
      </c>
      <c r="D823" s="3">
        <v>801</v>
      </c>
      <c r="E823" s="3" t="str">
        <f t="shared" si="58"/>
        <v>exRecordGroup</v>
      </c>
      <c r="F823" t="str">
        <f>VLOOKUP(V823,DictionaryTableID,3,FALSE)&amp;"ID"&amp;X823</f>
        <v>exRecordGroupIDParent</v>
      </c>
      <c r="G823" s="3" t="s">
        <v>6866</v>
      </c>
      <c r="H823" s="3" t="str">
        <f t="shared" si="59"/>
        <v>DataExchange.Record Group</v>
      </c>
      <c r="I823"/>
      <c r="K823" t="s">
        <v>6211</v>
      </c>
      <c r="M823" s="3" t="s">
        <v>6007</v>
      </c>
      <c r="Q823" s="3" t="s">
        <v>92</v>
      </c>
      <c r="U823" s="3" t="s">
        <v>96</v>
      </c>
      <c r="V823">
        <v>801</v>
      </c>
      <c r="W823" s="3" t="str">
        <f>VLOOKUP(V823,DictionaryTableID,3,FALSE)</f>
        <v>exRecordGroup</v>
      </c>
      <c r="X823" t="s">
        <v>1220</v>
      </c>
      <c r="Y823" t="s">
        <v>92</v>
      </c>
      <c r="AB823" t="s">
        <v>92</v>
      </c>
      <c r="AH823" t="s">
        <v>92</v>
      </c>
      <c r="AJ823" t="e">
        <f>VLOOKUP(E823,temp1,1,FALSE)</f>
        <v>#NAME?</v>
      </c>
      <c r="AP823" t="e">
        <f>VLOOKUP(E823,temp6,1,FALSE)</f>
        <v>#NAME?</v>
      </c>
    </row>
    <row r="824" spans="1:42" ht="15" hidden="1" customHeight="1">
      <c r="A824">
        <v>22760</v>
      </c>
      <c r="B824" s="3" t="s">
        <v>1475</v>
      </c>
      <c r="C824" s="3" t="str">
        <f t="shared" si="61"/>
        <v>exRecordGroup.sysDictionaryTableID</v>
      </c>
      <c r="D824" s="3">
        <v>801</v>
      </c>
      <c r="E824" s="3" t="str">
        <f t="shared" si="58"/>
        <v>exRecordGroup</v>
      </c>
      <c r="F824" t="str">
        <f>VLOOKUP(V824,DictionaryTableID,3,FALSE)&amp;"ID"&amp;X824</f>
        <v>sysDictionaryTableID</v>
      </c>
      <c r="G824" s="3" t="s">
        <v>6773</v>
      </c>
      <c r="H824" s="3" t="str">
        <f t="shared" si="59"/>
        <v>DataExchange.Record Group</v>
      </c>
      <c r="I824"/>
      <c r="K824" t="s">
        <v>2488</v>
      </c>
      <c r="M824" s="3" t="s">
        <v>6007</v>
      </c>
      <c r="Q824" s="3" t="s">
        <v>919</v>
      </c>
      <c r="U824" s="3" t="s">
        <v>96</v>
      </c>
      <c r="V824">
        <v>1</v>
      </c>
      <c r="W824" s="3" t="str">
        <f>VLOOKUP(V824,DictionaryTableID,3,FALSE)</f>
        <v>sysDictionaryTable</v>
      </c>
      <c r="Y824" t="s">
        <v>92</v>
      </c>
      <c r="AB824" t="s">
        <v>92</v>
      </c>
      <c r="AH824" t="s">
        <v>92</v>
      </c>
      <c r="AJ824" t="e">
        <f>VLOOKUP(E824,temp1,1,FALSE)</f>
        <v>#NAME?</v>
      </c>
      <c r="AL824" t="str">
        <f>"ALTER TABLE "&amp;E824&amp;" ALTER COLUMN "&amp;F824&amp;" DROP NOT NULL"</f>
        <v>ALTER TABLE exRecordGroup ALTER COLUMN sysDictionaryTableID DROP NOT NULL</v>
      </c>
      <c r="AP824" t="e">
        <f>VLOOKUP(E824,temp6,1,FALSE)</f>
        <v>#NAME?</v>
      </c>
    </row>
    <row r="825" spans="1:42" ht="15" hidden="1" customHeight="1">
      <c r="A825">
        <v>22770</v>
      </c>
      <c r="B825" s="3" t="s">
        <v>1475</v>
      </c>
      <c r="C825" s="3" t="str">
        <f t="shared" si="61"/>
        <v>exRecordGroup.sysDictionaryColumnID</v>
      </c>
      <c r="D825" s="3">
        <v>801</v>
      </c>
      <c r="E825" s="3" t="str">
        <f t="shared" si="58"/>
        <v>exRecordGroup</v>
      </c>
      <c r="F825" t="str">
        <f>VLOOKUP(V825,DictionaryTableID,3,FALSE)&amp;"ID"&amp;X825</f>
        <v>sysDictionaryColumnID</v>
      </c>
      <c r="G825" s="3" t="s">
        <v>6735</v>
      </c>
      <c r="H825" s="3" t="str">
        <f t="shared" si="59"/>
        <v>DataExchange.Record Group</v>
      </c>
      <c r="I825"/>
      <c r="K825" t="s">
        <v>5992</v>
      </c>
      <c r="M825" s="3" t="s">
        <v>6007</v>
      </c>
      <c r="Q825" s="3" t="s">
        <v>92</v>
      </c>
      <c r="U825" s="3" t="s">
        <v>96</v>
      </c>
      <c r="V825">
        <v>2</v>
      </c>
      <c r="W825" s="3" t="str">
        <f>VLOOKUP(V825,DictionaryTableID,3,FALSE)</f>
        <v>sysDictionaryColumn</v>
      </c>
      <c r="Y825" t="s">
        <v>92</v>
      </c>
      <c r="AB825" t="s">
        <v>92</v>
      </c>
      <c r="AH825" t="s">
        <v>92</v>
      </c>
      <c r="AJ825" t="e">
        <f>VLOOKUP(E825,temp1,1,FALSE)</f>
        <v>#NAME?</v>
      </c>
      <c r="AP825" t="e">
        <f>VLOOKUP(E825,temp6,1,FALSE)</f>
        <v>#NAME?</v>
      </c>
    </row>
    <row r="826" spans="1:42" ht="15" hidden="1" customHeight="1">
      <c r="A826">
        <v>22780</v>
      </c>
      <c r="B826" s="3" t="s">
        <v>1475</v>
      </c>
      <c r="C826" s="3" t="str">
        <f t="shared" si="61"/>
        <v>exRecordGroup.Name</v>
      </c>
      <c r="D826" s="3">
        <v>801</v>
      </c>
      <c r="E826" s="3" t="str">
        <f t="shared" si="58"/>
        <v>exRecordGroup</v>
      </c>
      <c r="F826" t="s">
        <v>22</v>
      </c>
      <c r="G826" s="3" t="s">
        <v>6993</v>
      </c>
      <c r="H826" s="3" t="str">
        <f t="shared" si="59"/>
        <v>DataExchange.Record Group</v>
      </c>
      <c r="I826"/>
      <c r="K826" t="s">
        <v>22</v>
      </c>
      <c r="M826" s="3" t="s">
        <v>196</v>
      </c>
      <c r="Q826" s="3" t="s">
        <v>919</v>
      </c>
      <c r="U826" s="3" t="s">
        <v>93</v>
      </c>
      <c r="Y826" t="s">
        <v>92</v>
      </c>
      <c r="AB826" t="s">
        <v>92</v>
      </c>
      <c r="AH826" t="s">
        <v>92</v>
      </c>
      <c r="AJ826" t="e">
        <f>VLOOKUP(E826,temp1,1,FALSE)</f>
        <v>#NAME?</v>
      </c>
      <c r="AL826" t="str">
        <f>"ALTER TABLE "&amp;E826&amp;" ALTER COLUMN "&amp;F826&amp;" DROP NOT NULL"</f>
        <v>ALTER TABLE exRecordGroup ALTER COLUMN Name DROP NOT NULL</v>
      </c>
      <c r="AP826" t="e">
        <f>VLOOKUP(E826,temp6,1,FALSE)</f>
        <v>#NAME?</v>
      </c>
    </row>
    <row r="827" spans="1:42" ht="15" hidden="1" customHeight="1">
      <c r="A827">
        <v>22782</v>
      </c>
      <c r="B827" s="3" t="s">
        <v>1475</v>
      </c>
      <c r="C827" s="3" t="str">
        <f t="shared" si="61"/>
        <v>exRecordGroup.WhereClause</v>
      </c>
      <c r="D827" s="3">
        <v>801</v>
      </c>
      <c r="E827" s="3" t="str">
        <f t="shared" si="58"/>
        <v>exRecordGroup</v>
      </c>
      <c r="F827" t="s">
        <v>879</v>
      </c>
      <c r="G827" s="3" t="s">
        <v>6867</v>
      </c>
      <c r="H827" s="3" t="str">
        <f t="shared" si="59"/>
        <v>DataExchange.Record Group</v>
      </c>
      <c r="I827"/>
      <c r="K827" t="s">
        <v>6350</v>
      </c>
      <c r="M827" s="3" t="s">
        <v>196</v>
      </c>
      <c r="Q827" s="3" t="s">
        <v>92</v>
      </c>
      <c r="U827" s="3" t="s">
        <v>93</v>
      </c>
      <c r="Y827" t="s">
        <v>92</v>
      </c>
      <c r="AB827" t="s">
        <v>92</v>
      </c>
      <c r="AH827" t="s">
        <v>92</v>
      </c>
      <c r="AJ827" t="e">
        <f>VLOOKUP(E827,temp1,1,FALSE)</f>
        <v>#NAME?</v>
      </c>
      <c r="AK827" t="str">
        <f>"SELECT (SELECT '"&amp;C827&amp;"' ColumnName from "&amp;E827&amp;" where "&amp;F827&amp;" is null and exists (select from "&amp;E827&amp;") limit 1) a union all"</f>
        <v>SELECT (SELECT 'exRecordGroup.WhereClause' ColumnName from exRecordGroup where WhereClause is null and exists (select from exRecordGroup) limit 1) a union all</v>
      </c>
      <c r="AP827" t="e">
        <f>VLOOKUP(E827,temp6,1,FALSE)</f>
        <v>#NAME?</v>
      </c>
    </row>
    <row r="828" spans="1:42" ht="15" hidden="1" customHeight="1">
      <c r="A828">
        <v>22783</v>
      </c>
      <c r="B828" s="3" t="s">
        <v>1475</v>
      </c>
      <c r="C828" s="3" t="str">
        <f t="shared" si="61"/>
        <v>exRecordGroup.DrilldownColumn</v>
      </c>
      <c r="D828" s="3">
        <v>801</v>
      </c>
      <c r="E828" s="3" t="str">
        <f t="shared" si="58"/>
        <v>exRecordGroup</v>
      </c>
      <c r="F828" t="s">
        <v>7221</v>
      </c>
      <c r="G828" s="3" t="s">
        <v>7222</v>
      </c>
      <c r="H828" s="3" t="str">
        <f t="shared" si="59"/>
        <v>DataExchange.Record Group</v>
      </c>
      <c r="I828"/>
      <c r="K828" t="s">
        <v>7223</v>
      </c>
      <c r="M828" s="3" t="s">
        <v>196</v>
      </c>
      <c r="Q828" s="3" t="s">
        <v>92</v>
      </c>
      <c r="U828" s="3" t="s">
        <v>93</v>
      </c>
      <c r="Y828" t="s">
        <v>92</v>
      </c>
      <c r="AB828" t="s">
        <v>92</v>
      </c>
      <c r="AH828" t="s">
        <v>92</v>
      </c>
      <c r="AJ828" t="e">
        <f>VLOOKUP(E828,temp1,1,FALSE)</f>
        <v>#NAME?</v>
      </c>
      <c r="AK828" t="str">
        <f>"SELECT (SELECT '"&amp;C828&amp;"' ColumnName from "&amp;E828&amp;" where "&amp;F828&amp;" is null and exists (select from "&amp;E828&amp;") limit 1) a union all"</f>
        <v>SELECT (SELECT 'exRecordGroup.DrilldownColumn' ColumnName from exRecordGroup where DrilldownColumn is null and exists (select from exRecordGroup) limit 1) a union all</v>
      </c>
      <c r="AP828" t="e">
        <f>VLOOKUP(E828,temp6,1,FALSE)</f>
        <v>#NAME?</v>
      </c>
    </row>
    <row r="829" spans="1:42" ht="15" hidden="1" customHeight="1">
      <c r="A829">
        <v>22784</v>
      </c>
      <c r="B829" s="3" t="s">
        <v>1475</v>
      </c>
      <c r="C829" s="3" t="str">
        <f t="shared" si="61"/>
        <v>exRecordGroup.DisplaySequence</v>
      </c>
      <c r="D829" s="3">
        <v>801</v>
      </c>
      <c r="E829" s="3" t="str">
        <f t="shared" si="58"/>
        <v>exRecordGroup</v>
      </c>
      <c r="F829" t="s">
        <v>6055</v>
      </c>
      <c r="G829" s="3" t="s">
        <v>6414</v>
      </c>
      <c r="H829" s="3" t="str">
        <f t="shared" si="59"/>
        <v>DataExchange.Record Group</v>
      </c>
      <c r="I829"/>
      <c r="K829" s="3" t="s">
        <v>6297</v>
      </c>
      <c r="M829" s="3" t="s">
        <v>195</v>
      </c>
      <c r="Q829" s="3" t="s">
        <v>92</v>
      </c>
      <c r="U829" s="3" t="s">
        <v>94</v>
      </c>
      <c r="AF829" t="s">
        <v>714</v>
      </c>
      <c r="AH829" t="s">
        <v>92</v>
      </c>
      <c r="AJ829" t="e">
        <f>VLOOKUP(E829,temp1,1,FALSE)</f>
        <v>#NAME?</v>
      </c>
      <c r="AK829" t="str">
        <f>"SELECT (SELECT '"&amp;C829&amp;"' ColumnName from "&amp;E829&amp;" where "&amp;F829&amp;" is null and exists (select from "&amp;E829&amp;") limit 1) a union all"</f>
        <v>SELECT (SELECT 'exRecordGroup.DisplaySequence' ColumnName from exRecordGroup where DisplaySequence is null and exists (select from exRecordGroup) limit 1) a union all</v>
      </c>
      <c r="AP829" t="e">
        <f>VLOOKUP(E829,temp6,1,FALSE)</f>
        <v>#NAME?</v>
      </c>
    </row>
    <row r="830" spans="1:42" ht="15" hidden="1" customHeight="1">
      <c r="A830">
        <v>22786</v>
      </c>
      <c r="B830" t="s">
        <v>1475</v>
      </c>
      <c r="C830" s="3" t="str">
        <f t="shared" si="61"/>
        <v>exRecordGroup.TopDownLevel</v>
      </c>
      <c r="D830" s="3">
        <v>801</v>
      </c>
      <c r="E830" s="3" t="str">
        <f t="shared" si="58"/>
        <v>exRecordGroup</v>
      </c>
      <c r="F830" t="s">
        <v>6020</v>
      </c>
      <c r="G830" s="3" t="s">
        <v>6413</v>
      </c>
      <c r="H830" s="3" t="str">
        <f t="shared" si="59"/>
        <v>DataExchange.Record Group</v>
      </c>
      <c r="I830"/>
      <c r="K830" t="s">
        <v>6032</v>
      </c>
      <c r="L830"/>
      <c r="M830" t="s">
        <v>195</v>
      </c>
      <c r="N830"/>
      <c r="O830"/>
      <c r="P830"/>
      <c r="Q830" t="s">
        <v>92</v>
      </c>
      <c r="R830"/>
      <c r="S830"/>
      <c r="U830" t="s">
        <v>94</v>
      </c>
      <c r="AH830" t="s">
        <v>92</v>
      </c>
      <c r="AJ830" t="e">
        <f>VLOOKUP(E830,temp1,1,FALSE)</f>
        <v>#NAME?</v>
      </c>
      <c r="AK830" t="str">
        <f>"SELECT (SELECT '"&amp;C830&amp;"' ColumnName from "&amp;E830&amp;" where "&amp;F830&amp;" is null and exists (select from "&amp;E830&amp;") limit 1) a union all"</f>
        <v>SELECT (SELECT 'exRecordGroup.TopDownLevel' ColumnName from exRecordGroup where TopDownLevel is null and exists (select from exRecordGroup) limit 1) a union all</v>
      </c>
      <c r="AP830" t="e">
        <f>VLOOKUP(E830,temp6,1,FALSE)</f>
        <v>#NAME?</v>
      </c>
    </row>
    <row r="831" spans="1:42" ht="15" hidden="1" customHeight="1">
      <c r="A831">
        <v>22790</v>
      </c>
      <c r="B831" s="3" t="s">
        <v>1475</v>
      </c>
      <c r="C831" s="3" t="str">
        <f t="shared" si="61"/>
        <v>exRecordGroup.RowStatus</v>
      </c>
      <c r="D831" s="3">
        <v>801</v>
      </c>
      <c r="E831" s="3" t="str">
        <f t="shared" ref="E831:E894" si="62">VLOOKUP(D831,DictionaryTableID,3,FALSE)</f>
        <v>exRecordGroup</v>
      </c>
      <c r="F831" t="s">
        <v>1445</v>
      </c>
      <c r="G831" s="3" t="s">
        <v>6411</v>
      </c>
      <c r="H831" s="3" t="str">
        <f t="shared" ref="H831:H894" si="63">VLOOKUP(E831,DictionaryTables,14,FALSE)</f>
        <v>DataExchange.Record Group</v>
      </c>
      <c r="I831"/>
      <c r="K831" t="s">
        <v>2471</v>
      </c>
      <c r="M831" t="s">
        <v>976</v>
      </c>
      <c r="N831">
        <v>1</v>
      </c>
      <c r="Q831" s="3" t="s">
        <v>919</v>
      </c>
      <c r="U831" s="3" t="s">
        <v>94</v>
      </c>
      <c r="AH831" t="s">
        <v>92</v>
      </c>
      <c r="AJ831" t="e">
        <f>VLOOKUP(E831,temp1,1,FALSE)</f>
        <v>#NAME?</v>
      </c>
      <c r="AL831" t="str">
        <f>"ALTER TABLE "&amp;E831&amp;" ALTER COLUMN "&amp;F831&amp;" DROP NOT NULL"</f>
        <v>ALTER TABLE exRecordGroup ALTER COLUMN RowStatus DROP NOT NULL</v>
      </c>
      <c r="AP831" t="e">
        <f>VLOOKUP(E831,temp6,1,FALSE)</f>
        <v>#NAME?</v>
      </c>
    </row>
    <row r="832" spans="1:42" ht="15" hidden="1" customHeight="1">
      <c r="A832">
        <v>22800</v>
      </c>
      <c r="B832" t="s">
        <v>1475</v>
      </c>
      <c r="C832" s="3" t="str">
        <f t="shared" si="61"/>
        <v>exRecordGroup.sysChangeHistoryID</v>
      </c>
      <c r="D832" s="3">
        <v>801</v>
      </c>
      <c r="E832" s="3" t="str">
        <f t="shared" si="62"/>
        <v>exRecordGroup</v>
      </c>
      <c r="F832" t="s">
        <v>2497</v>
      </c>
      <c r="G832" s="3" t="s">
        <v>6403</v>
      </c>
      <c r="H832" s="3" t="str">
        <f t="shared" si="63"/>
        <v>DataExchange.Record Group</v>
      </c>
      <c r="I832"/>
      <c r="K832" t="s">
        <v>1210</v>
      </c>
      <c r="L832"/>
      <c r="M832" t="s">
        <v>6007</v>
      </c>
      <c r="N832"/>
      <c r="O832"/>
      <c r="P832"/>
      <c r="Q832" t="s">
        <v>92</v>
      </c>
      <c r="R832"/>
      <c r="S832"/>
      <c r="U832" t="s">
        <v>1429</v>
      </c>
      <c r="W832" s="3"/>
      <c r="X832" s="3"/>
      <c r="AJ832" t="e">
        <f>VLOOKUP(E832,temp1,1,FALSE)</f>
        <v>#NAME?</v>
      </c>
      <c r="AK832" t="str">
        <f>"SELECT (SELECT '"&amp;C832&amp;"' ColumnName from "&amp;E832&amp;" where "&amp;F832&amp;" is null and exists (select from "&amp;E832&amp;") limit 1) a union all"</f>
        <v>SELECT (SELECT 'exRecordGroup.sysChangeHistoryID' ColumnName from exRecordGroup where sysChangeHistoryID is null and exists (select from exRecordGroup) limit 1) a union all</v>
      </c>
      <c r="AP832" t="e">
        <f>VLOOKUP(E832,temp6,1,FALSE)</f>
        <v>#NAME?</v>
      </c>
    </row>
    <row r="833" spans="1:42" ht="15" hidden="1" customHeight="1">
      <c r="A833">
        <v>22810</v>
      </c>
      <c r="B833" s="3" t="s">
        <v>1475</v>
      </c>
      <c r="C833" s="3" t="str">
        <f t="shared" si="61"/>
        <v>exSubscription.ID</v>
      </c>
      <c r="D833" s="3">
        <v>802</v>
      </c>
      <c r="E833" s="3" t="str">
        <f t="shared" si="62"/>
        <v>exSubscription</v>
      </c>
      <c r="F833" t="s">
        <v>0</v>
      </c>
      <c r="G833" s="3" t="s">
        <v>6868</v>
      </c>
      <c r="H833" s="3" t="str">
        <f t="shared" si="63"/>
        <v>DataExchange.Subscription</v>
      </c>
      <c r="I833"/>
      <c r="K833" t="s">
        <v>0</v>
      </c>
      <c r="M833" t="s">
        <v>6007</v>
      </c>
      <c r="Q833" s="3" t="s">
        <v>919</v>
      </c>
      <c r="U833" s="3" t="s">
        <v>95</v>
      </c>
      <c r="AJ833" t="e">
        <f>VLOOKUP(E833,temp1,1,FALSE)</f>
        <v>#NAME?</v>
      </c>
      <c r="AL833" t="str">
        <f>"ALTER TABLE "&amp;E833&amp;" ALTER COLUMN "&amp;F833&amp;" DROP NOT NULL"</f>
        <v>ALTER TABLE exSubscription ALTER COLUMN ID DROP NOT NULL</v>
      </c>
      <c r="AP833" t="e">
        <f>VLOOKUP(E833,temp6,1,FALSE)</f>
        <v>#NAME?</v>
      </c>
    </row>
    <row r="834" spans="1:42" ht="15" hidden="1" customHeight="1">
      <c r="A834">
        <v>22820</v>
      </c>
      <c r="B834" s="3" t="s">
        <v>1475</v>
      </c>
      <c r="C834" s="3" t="str">
        <f t="shared" ref="C834:C897" si="64">CONCATENATE(E834,".",F834)</f>
        <v>exSubscription.exSubscriberID</v>
      </c>
      <c r="D834" s="3">
        <v>802</v>
      </c>
      <c r="E834" s="3" t="str">
        <f t="shared" si="62"/>
        <v>exSubscription</v>
      </c>
      <c r="F834" t="str">
        <f>VLOOKUP(V834,DictionaryTableID,3,FALSE)&amp;"ID"&amp;X834</f>
        <v>exSubscriberID</v>
      </c>
      <c r="G834" s="3" t="s">
        <v>6863</v>
      </c>
      <c r="H834" s="3" t="str">
        <f t="shared" si="63"/>
        <v>DataExchange.Subscription</v>
      </c>
      <c r="I834"/>
      <c r="K834" t="s">
        <v>6188</v>
      </c>
      <c r="M834" t="s">
        <v>6007</v>
      </c>
      <c r="Q834" s="3" t="s">
        <v>919</v>
      </c>
      <c r="U834" s="3" t="s">
        <v>96</v>
      </c>
      <c r="V834">
        <v>800</v>
      </c>
      <c r="W834" s="3" t="str">
        <f>VLOOKUP(V834,DictionaryTableID,3,FALSE)</f>
        <v>exSubscriber</v>
      </c>
      <c r="Y834" t="s">
        <v>92</v>
      </c>
      <c r="AB834" t="s">
        <v>92</v>
      </c>
      <c r="AJ834" t="e">
        <f>VLOOKUP(E834,temp1,1,FALSE)</f>
        <v>#NAME?</v>
      </c>
      <c r="AL834" t="str">
        <f>"ALTER TABLE "&amp;E834&amp;" ALTER COLUMN "&amp;F834&amp;" DROP NOT NULL"</f>
        <v>ALTER TABLE exSubscription ALTER COLUMN exSubscriberID DROP NOT NULL</v>
      </c>
      <c r="AP834" t="e">
        <f>VLOOKUP(E834,temp6,1,FALSE)</f>
        <v>#NAME?</v>
      </c>
    </row>
    <row r="835" spans="1:42" ht="15" hidden="1" customHeight="1">
      <c r="A835">
        <v>22830</v>
      </c>
      <c r="B835" s="3" t="s">
        <v>1475</v>
      </c>
      <c r="C835" s="3" t="str">
        <f t="shared" si="64"/>
        <v>exSubscription.exRecordGroupID</v>
      </c>
      <c r="D835" s="3">
        <v>802</v>
      </c>
      <c r="E835" s="3" t="str">
        <f t="shared" si="62"/>
        <v>exSubscription</v>
      </c>
      <c r="F835" t="str">
        <f>VLOOKUP(V835,DictionaryTableID,3,FALSE)&amp;"ID"&amp;X835</f>
        <v>exRecordGroupID</v>
      </c>
      <c r="G835" s="3" t="s">
        <v>6869</v>
      </c>
      <c r="H835" s="3" t="str">
        <f t="shared" si="63"/>
        <v>DataExchange.Subscription</v>
      </c>
      <c r="I835"/>
      <c r="K835" t="s">
        <v>6212</v>
      </c>
      <c r="M835" t="s">
        <v>6007</v>
      </c>
      <c r="Q835" s="3" t="s">
        <v>919</v>
      </c>
      <c r="U835" s="3" t="s">
        <v>96</v>
      </c>
      <c r="V835">
        <v>801</v>
      </c>
      <c r="W835" s="3" t="str">
        <f>VLOOKUP(V835,DictionaryTableID,3,FALSE)</f>
        <v>exRecordGroup</v>
      </c>
      <c r="Y835" t="s">
        <v>92</v>
      </c>
      <c r="AB835" t="s">
        <v>92</v>
      </c>
      <c r="AJ835" t="e">
        <f>VLOOKUP(E835,temp1,1,FALSE)</f>
        <v>#NAME?</v>
      </c>
      <c r="AL835" t="str">
        <f>"ALTER TABLE "&amp;E835&amp;" ALTER COLUMN "&amp;F835&amp;" DROP NOT NULL"</f>
        <v>ALTER TABLE exSubscription ALTER COLUMN exRecordGroupID DROP NOT NULL</v>
      </c>
      <c r="AP835" t="e">
        <f>VLOOKUP(E835,temp6,1,FALSE)</f>
        <v>#NAME?</v>
      </c>
    </row>
    <row r="836" spans="1:42" ht="15" hidden="1" customHeight="1">
      <c r="A836">
        <v>22840</v>
      </c>
      <c r="B836" s="3" t="s">
        <v>1475</v>
      </c>
      <c r="C836" s="3" t="str">
        <f t="shared" si="64"/>
        <v>exSubscription.RowIDSubscribedTo</v>
      </c>
      <c r="D836" s="3">
        <v>802</v>
      </c>
      <c r="E836" s="3" t="str">
        <f t="shared" si="62"/>
        <v>exSubscription</v>
      </c>
      <c r="F836" t="s">
        <v>6216</v>
      </c>
      <c r="G836" s="3" t="s">
        <v>6870</v>
      </c>
      <c r="H836" s="3" t="str">
        <f t="shared" si="63"/>
        <v>DataExchange.Subscription</v>
      </c>
      <c r="I836"/>
      <c r="K836" t="s">
        <v>6217</v>
      </c>
      <c r="M836" t="s">
        <v>6007</v>
      </c>
      <c r="Q836" s="3" t="s">
        <v>92</v>
      </c>
      <c r="U836" s="3" t="s">
        <v>93</v>
      </c>
      <c r="Y836" t="s">
        <v>92</v>
      </c>
      <c r="AB836" t="s">
        <v>92</v>
      </c>
      <c r="AJ836" t="e">
        <f>VLOOKUP(E836,temp1,1,FALSE)</f>
        <v>#NAME?</v>
      </c>
      <c r="AP836" t="e">
        <f>VLOOKUP(E836,temp6,1,FALSE)</f>
        <v>#NAME?</v>
      </c>
    </row>
    <row r="837" spans="1:42" ht="15" hidden="1" customHeight="1">
      <c r="A837">
        <v>22850</v>
      </c>
      <c r="B837" s="3" t="s">
        <v>1475</v>
      </c>
      <c r="C837" s="3" t="str">
        <f t="shared" si="64"/>
        <v>exSubscription.EffectiveDate</v>
      </c>
      <c r="D837" s="3">
        <v>802</v>
      </c>
      <c r="E837" s="3" t="str">
        <f t="shared" si="62"/>
        <v>exSubscription</v>
      </c>
      <c r="F837" t="s">
        <v>51</v>
      </c>
      <c r="G837" s="3" t="s">
        <v>6494</v>
      </c>
      <c r="H837" s="3" t="str">
        <f t="shared" si="63"/>
        <v>DataExchange.Subscription</v>
      </c>
      <c r="I837"/>
      <c r="K837" t="s">
        <v>410</v>
      </c>
      <c r="M837" s="3" t="s">
        <v>81</v>
      </c>
      <c r="Q837" s="3" t="s">
        <v>92</v>
      </c>
      <c r="U837" s="3" t="s">
        <v>93</v>
      </c>
      <c r="Y837" t="s">
        <v>92</v>
      </c>
      <c r="AB837" t="s">
        <v>92</v>
      </c>
      <c r="AJ837" t="e">
        <f>VLOOKUP(E837,temp1,1,FALSE)</f>
        <v>#NAME?</v>
      </c>
      <c r="AP837" t="e">
        <f>VLOOKUP(E837,temp6,1,FALSE)</f>
        <v>#NAME?</v>
      </c>
    </row>
    <row r="838" spans="1:42" ht="15" hidden="1" customHeight="1">
      <c r="A838">
        <v>22860</v>
      </c>
      <c r="B838" s="3" t="s">
        <v>1475</v>
      </c>
      <c r="C838" s="3" t="str">
        <f t="shared" si="64"/>
        <v>exSubscription.ExpiryDate</v>
      </c>
      <c r="D838" s="3">
        <v>802</v>
      </c>
      <c r="E838" s="3" t="str">
        <f t="shared" si="62"/>
        <v>exSubscription</v>
      </c>
      <c r="F838" t="s">
        <v>48</v>
      </c>
      <c r="G838" s="3" t="s">
        <v>6871</v>
      </c>
      <c r="H838" s="3" t="str">
        <f t="shared" si="63"/>
        <v>DataExchange.Subscription</v>
      </c>
      <c r="I838"/>
      <c r="K838" t="s">
        <v>100</v>
      </c>
      <c r="M838" s="3" t="s">
        <v>81</v>
      </c>
      <c r="N838"/>
      <c r="Q838" s="3" t="s">
        <v>92</v>
      </c>
      <c r="U838" s="3" t="s">
        <v>93</v>
      </c>
      <c r="Y838" t="s">
        <v>92</v>
      </c>
      <c r="AJ838" t="e">
        <f>VLOOKUP(E838,temp1,1,FALSE)</f>
        <v>#NAME?</v>
      </c>
      <c r="AP838" t="e">
        <f>VLOOKUP(E838,temp6,1,FALSE)</f>
        <v>#NAME?</v>
      </c>
    </row>
    <row r="839" spans="1:42" ht="15" hidden="1" customHeight="1">
      <c r="A839">
        <v>22870</v>
      </c>
      <c r="B839" t="s">
        <v>1475</v>
      </c>
      <c r="C839" s="3" t="str">
        <f t="shared" si="64"/>
        <v>exSubscription.sysChangeHistoryID</v>
      </c>
      <c r="D839" s="3">
        <v>802</v>
      </c>
      <c r="E839" s="3" t="str">
        <f t="shared" si="62"/>
        <v>exSubscription</v>
      </c>
      <c r="F839" t="s">
        <v>2497</v>
      </c>
      <c r="G839" s="3" t="s">
        <v>6403</v>
      </c>
      <c r="H839" s="3" t="str">
        <f t="shared" si="63"/>
        <v>DataExchange.Subscription</v>
      </c>
      <c r="I839"/>
      <c r="K839" t="s">
        <v>1210</v>
      </c>
      <c r="L839"/>
      <c r="M839" t="s">
        <v>6007</v>
      </c>
      <c r="N839"/>
      <c r="O839"/>
      <c r="P839"/>
      <c r="Q839" t="s">
        <v>92</v>
      </c>
      <c r="R839"/>
      <c r="S839"/>
      <c r="U839" t="s">
        <v>1429</v>
      </c>
      <c r="W839" s="3"/>
      <c r="X839" s="3"/>
      <c r="AJ839" t="e">
        <f>VLOOKUP(E839,temp1,1,FALSE)</f>
        <v>#NAME?</v>
      </c>
      <c r="AK839" t="str">
        <f>"SELECT (SELECT '"&amp;C839&amp;"' ColumnName from "&amp;E839&amp;" where "&amp;F839&amp;" is null and exists (select from "&amp;E839&amp;") limit 1) a union all"</f>
        <v>SELECT (SELECT 'exSubscription.sysChangeHistoryID' ColumnName from exSubscription where sysChangeHistoryID is null and exists (select from exSubscription) limit 1) a union all</v>
      </c>
      <c r="AP839" t="e">
        <f>VLOOKUP(E839,temp6,1,FALSE)</f>
        <v>#NAME?</v>
      </c>
    </row>
    <row r="840" spans="1:42" ht="15" hidden="1" customHeight="1">
      <c r="A840">
        <v>22880</v>
      </c>
      <c r="B840" s="3" t="s">
        <v>1475</v>
      </c>
      <c r="C840" s="3" t="str">
        <f t="shared" si="64"/>
        <v>exSubscriptionDetail.ID</v>
      </c>
      <c r="D840" s="3">
        <v>803</v>
      </c>
      <c r="E840" s="3" t="str">
        <f t="shared" si="62"/>
        <v>exSubscriptionDetail</v>
      </c>
      <c r="F840" t="s">
        <v>0</v>
      </c>
      <c r="G840" s="3" t="s">
        <v>6872</v>
      </c>
      <c r="H840" s="3" t="str">
        <f t="shared" si="63"/>
        <v>DataExchange.Subscription Detail</v>
      </c>
      <c r="I840"/>
      <c r="K840" t="s">
        <v>0</v>
      </c>
      <c r="M840" t="s">
        <v>6007</v>
      </c>
      <c r="Q840" s="3" t="s">
        <v>919</v>
      </c>
      <c r="U840" s="3" t="s">
        <v>95</v>
      </c>
      <c r="AJ840" t="e">
        <f>VLOOKUP(E840,temp1,1,FALSE)</f>
        <v>#NAME?</v>
      </c>
      <c r="AL840" t="str">
        <f>"ALTER TABLE "&amp;E840&amp;" ALTER COLUMN "&amp;F840&amp;" DROP NOT NULL"</f>
        <v>ALTER TABLE exSubscriptionDetail ALTER COLUMN ID DROP NOT NULL</v>
      </c>
      <c r="AP840" t="e">
        <f>VLOOKUP(E840,temp6,1,FALSE)</f>
        <v>#NAME?</v>
      </c>
    </row>
    <row r="841" spans="1:42" ht="15" hidden="1" customHeight="1">
      <c r="A841">
        <v>22890</v>
      </c>
      <c r="B841" s="3" t="s">
        <v>1475</v>
      </c>
      <c r="C841" s="3" t="str">
        <f t="shared" si="64"/>
        <v>exSubscriptionDetail.exSubscriptionID</v>
      </c>
      <c r="D841" s="3">
        <v>803</v>
      </c>
      <c r="E841" s="3" t="str">
        <f t="shared" si="62"/>
        <v>exSubscriptionDetail</v>
      </c>
      <c r="F841" t="str">
        <f>VLOOKUP(V841,DictionaryTableID,3,FALSE)&amp;"ID"&amp;X841</f>
        <v>exSubscriptionID</v>
      </c>
      <c r="G841" s="3" t="s">
        <v>6873</v>
      </c>
      <c r="H841" s="3" t="str">
        <f t="shared" si="63"/>
        <v>DataExchange.Subscription Detail</v>
      </c>
      <c r="I841"/>
      <c r="K841" t="s">
        <v>6189</v>
      </c>
      <c r="M841" t="s">
        <v>6007</v>
      </c>
      <c r="Q841" s="3" t="s">
        <v>919</v>
      </c>
      <c r="U841" s="3" t="s">
        <v>96</v>
      </c>
      <c r="V841">
        <v>802</v>
      </c>
      <c r="W841" s="3" t="str">
        <f>VLOOKUP(V841,DictionaryTableID,3,FALSE)</f>
        <v>exSubscription</v>
      </c>
      <c r="AJ841" t="e">
        <f>VLOOKUP(E841,temp1,1,FALSE)</f>
        <v>#NAME?</v>
      </c>
      <c r="AL841" t="str">
        <f>"ALTER TABLE "&amp;E841&amp;" ALTER COLUMN "&amp;F841&amp;" DROP NOT NULL"</f>
        <v>ALTER TABLE exSubscriptionDetail ALTER COLUMN exSubscriptionID DROP NOT NULL</v>
      </c>
      <c r="AP841" t="e">
        <f>VLOOKUP(E841,temp6,1,FALSE)</f>
        <v>#NAME?</v>
      </c>
    </row>
    <row r="842" spans="1:42" ht="15" hidden="1" customHeight="1">
      <c r="A842">
        <v>22900</v>
      </c>
      <c r="B842" s="3" t="s">
        <v>1475</v>
      </c>
      <c r="C842" s="3" t="str">
        <f t="shared" si="64"/>
        <v>exSubscriptionDetail.exSubscriberID</v>
      </c>
      <c r="D842" s="3">
        <v>803</v>
      </c>
      <c r="E842" s="3" t="str">
        <f t="shared" si="62"/>
        <v>exSubscriptionDetail</v>
      </c>
      <c r="F842" t="str">
        <f>VLOOKUP(V842,DictionaryTableID,3,FALSE)&amp;"ID"&amp;X842</f>
        <v>exSubscriberID</v>
      </c>
      <c r="G842" s="3" t="s">
        <v>6863</v>
      </c>
      <c r="H842" s="3" t="str">
        <f t="shared" si="63"/>
        <v>DataExchange.Subscription Detail</v>
      </c>
      <c r="I842"/>
      <c r="K842" t="s">
        <v>6188</v>
      </c>
      <c r="M842" t="s">
        <v>6007</v>
      </c>
      <c r="Q842" s="3" t="s">
        <v>919</v>
      </c>
      <c r="U842" s="3" t="s">
        <v>96</v>
      </c>
      <c r="V842">
        <v>800</v>
      </c>
      <c r="W842" s="3" t="str">
        <f>VLOOKUP(V842,DictionaryTableID,3,FALSE)</f>
        <v>exSubscriber</v>
      </c>
      <c r="AJ842" t="e">
        <f>VLOOKUP(E842,temp1,1,FALSE)</f>
        <v>#NAME?</v>
      </c>
      <c r="AL842" t="str">
        <f>"ALTER TABLE "&amp;E842&amp;" ALTER COLUMN "&amp;F842&amp;" DROP NOT NULL"</f>
        <v>ALTER TABLE exSubscriptionDetail ALTER COLUMN exSubscriberID DROP NOT NULL</v>
      </c>
      <c r="AP842" t="e">
        <f>VLOOKUP(E842,temp6,1,FALSE)</f>
        <v>#NAME?</v>
      </c>
    </row>
    <row r="843" spans="1:42" ht="15" hidden="1" customHeight="1">
      <c r="A843">
        <v>22910</v>
      </c>
      <c r="B843" s="3" t="s">
        <v>1475</v>
      </c>
      <c r="C843" s="3" t="str">
        <f t="shared" si="64"/>
        <v>exSubscriptionDetail.exRecordGroupID</v>
      </c>
      <c r="D843" s="3">
        <v>803</v>
      </c>
      <c r="E843" s="3" t="str">
        <f t="shared" si="62"/>
        <v>exSubscriptionDetail</v>
      </c>
      <c r="F843" t="str">
        <f>VLOOKUP(V843,DictionaryTableID,3,FALSE)&amp;"ID"&amp;X843</f>
        <v>exRecordGroupID</v>
      </c>
      <c r="G843" s="3" t="s">
        <v>6869</v>
      </c>
      <c r="H843" s="3" t="str">
        <f t="shared" si="63"/>
        <v>DataExchange.Subscription Detail</v>
      </c>
      <c r="I843"/>
      <c r="K843" t="s">
        <v>6212</v>
      </c>
      <c r="M843" t="s">
        <v>6007</v>
      </c>
      <c r="Q843" s="3" t="s">
        <v>919</v>
      </c>
      <c r="U843" s="3" t="s">
        <v>96</v>
      </c>
      <c r="V843">
        <v>801</v>
      </c>
      <c r="W843" s="3" t="str">
        <f>VLOOKUP(V843,DictionaryTableID,3,FALSE)</f>
        <v>exRecordGroup</v>
      </c>
      <c r="AJ843" t="e">
        <f>VLOOKUP(E843,temp1,1,FALSE)</f>
        <v>#NAME?</v>
      </c>
      <c r="AL843" t="str">
        <f>"ALTER TABLE "&amp;E843&amp;" ALTER COLUMN "&amp;F843&amp;" DROP NOT NULL"</f>
        <v>ALTER TABLE exSubscriptionDetail ALTER COLUMN exRecordGroupID DROP NOT NULL</v>
      </c>
      <c r="AP843" t="e">
        <f>VLOOKUP(E843,temp6,1,FALSE)</f>
        <v>#NAME?</v>
      </c>
    </row>
    <row r="844" spans="1:42" ht="15" customHeight="1">
      <c r="A844">
        <v>22920</v>
      </c>
      <c r="B844" s="3" t="s">
        <v>1475</v>
      </c>
      <c r="C844" s="3" t="str">
        <f t="shared" si="64"/>
        <v>exSubscriptionDetail.sysDictionaryTableIDSubscribedTo</v>
      </c>
      <c r="D844" s="3">
        <v>803</v>
      </c>
      <c r="E844" s="3" t="str">
        <f t="shared" si="62"/>
        <v>exSubscriptionDetail</v>
      </c>
      <c r="F844" t="s">
        <v>6218</v>
      </c>
      <c r="G844" s="3" t="s">
        <v>6874</v>
      </c>
      <c r="H844" s="3" t="str">
        <f t="shared" si="63"/>
        <v>DataExchange.Subscription Detail</v>
      </c>
      <c r="I844"/>
      <c r="K844" t="s">
        <v>6219</v>
      </c>
      <c r="M844" t="s">
        <v>6007</v>
      </c>
      <c r="Q844" s="3" t="s">
        <v>919</v>
      </c>
      <c r="U844" s="3" t="s">
        <v>1072</v>
      </c>
      <c r="V844">
        <v>1</v>
      </c>
      <c r="W844" s="3" t="str">
        <f>VLOOKUP(V844,DictionaryTableID,3,FALSE)</f>
        <v>sysDictionaryTable</v>
      </c>
      <c r="X844" s="3" t="s">
        <v>6205</v>
      </c>
      <c r="AJ844" t="e">
        <f>VLOOKUP(E844,temp1,1,FALSE)</f>
        <v>#NAME?</v>
      </c>
      <c r="AL844" t="str">
        <f>"ALTER TABLE "&amp;E844&amp;" ALTER COLUMN "&amp;F844&amp;" DROP NOT NULL"</f>
        <v>ALTER TABLE exSubscriptionDetail ALTER COLUMN sysDictionaryTableIDSubscribedTo DROP NOT NULL</v>
      </c>
      <c r="AP844" t="e">
        <f>VLOOKUP(E844,temp6,1,FALSE)</f>
        <v>#NAME?</v>
      </c>
    </row>
    <row r="845" spans="1:42" ht="15" customHeight="1">
      <c r="A845">
        <v>22930</v>
      </c>
      <c r="B845" s="3" t="s">
        <v>1475</v>
      </c>
      <c r="C845" s="3" t="str">
        <f t="shared" si="64"/>
        <v>exSubscriptionDetail.RowIDSubscribedTo</v>
      </c>
      <c r="D845" s="3">
        <v>803</v>
      </c>
      <c r="E845" s="3" t="str">
        <f t="shared" si="62"/>
        <v>exSubscriptionDetail</v>
      </c>
      <c r="F845" t="s">
        <v>6216</v>
      </c>
      <c r="G845" s="3" t="s">
        <v>6875</v>
      </c>
      <c r="H845" s="3" t="str">
        <f t="shared" si="63"/>
        <v>DataExchange.Subscription Detail</v>
      </c>
      <c r="I845"/>
      <c r="K845" t="s">
        <v>6217</v>
      </c>
      <c r="M845" t="s">
        <v>6007</v>
      </c>
      <c r="Q845" s="3" t="s">
        <v>92</v>
      </c>
      <c r="U845" s="3" t="s">
        <v>1072</v>
      </c>
      <c r="X845" s="3" t="s">
        <v>6205</v>
      </c>
      <c r="AJ845" t="e">
        <f>VLOOKUP(E845,temp1,1,FALSE)</f>
        <v>#NAME?</v>
      </c>
      <c r="AP845" t="e">
        <f>VLOOKUP(E845,temp6,1,FALSE)</f>
        <v>#NAME?</v>
      </c>
    </row>
    <row r="846" spans="1:42" ht="15" hidden="1" customHeight="1">
      <c r="A846">
        <v>22935</v>
      </c>
      <c r="B846" s="3" t="s">
        <v>1475</v>
      </c>
      <c r="C846" s="3" t="str">
        <f t="shared" si="64"/>
        <v>exSubscriptionDetail.RowIDMaster</v>
      </c>
      <c r="D846" s="3">
        <v>803</v>
      </c>
      <c r="E846" s="3" t="str">
        <f t="shared" si="62"/>
        <v>exSubscriptionDetail</v>
      </c>
      <c r="F846" t="s">
        <v>7224</v>
      </c>
      <c r="G846" s="3" t="s">
        <v>7225</v>
      </c>
      <c r="H846" s="3" t="str">
        <f t="shared" si="63"/>
        <v>DataExchange.Subscription Detail</v>
      </c>
      <c r="I846"/>
      <c r="K846" t="s">
        <v>7226</v>
      </c>
      <c r="M846" t="s">
        <v>6007</v>
      </c>
      <c r="Q846" s="3" t="s">
        <v>92</v>
      </c>
      <c r="U846" s="3" t="s">
        <v>93</v>
      </c>
      <c r="X846" s="3"/>
      <c r="AJ846" t="e">
        <f>VLOOKUP(E846,temp1,1,FALSE)</f>
        <v>#NAME?</v>
      </c>
      <c r="AP846" t="e">
        <f>VLOOKUP(E846,temp6,1,FALSE)</f>
        <v>#NAME?</v>
      </c>
    </row>
    <row r="847" spans="1:42" ht="15" hidden="1" customHeight="1">
      <c r="A847">
        <v>22940</v>
      </c>
      <c r="B847" s="3" t="s">
        <v>1475</v>
      </c>
      <c r="C847" s="3" t="str">
        <f t="shared" si="64"/>
        <v>exSubscriptionDetail.RowStatus</v>
      </c>
      <c r="D847" s="3">
        <v>803</v>
      </c>
      <c r="E847" s="3" t="str">
        <f t="shared" si="62"/>
        <v>exSubscriptionDetail</v>
      </c>
      <c r="F847" t="s">
        <v>1445</v>
      </c>
      <c r="G847" s="3" t="s">
        <v>6411</v>
      </c>
      <c r="H847" s="3" t="str">
        <f t="shared" si="63"/>
        <v>DataExchange.Subscription Detail</v>
      </c>
      <c r="I847"/>
      <c r="K847" t="s">
        <v>2471</v>
      </c>
      <c r="M847" t="s">
        <v>976</v>
      </c>
      <c r="N847">
        <v>1</v>
      </c>
      <c r="Q847" s="3" t="s">
        <v>919</v>
      </c>
      <c r="U847" s="3" t="s">
        <v>94</v>
      </c>
      <c r="AJ847" t="e">
        <f>VLOOKUP(E847,temp1,1,FALSE)</f>
        <v>#NAME?</v>
      </c>
      <c r="AL847" t="str">
        <f>"ALTER TABLE "&amp;E847&amp;" ALTER COLUMN "&amp;F847&amp;" DROP NOT NULL"</f>
        <v>ALTER TABLE exSubscriptionDetail ALTER COLUMN RowStatus DROP NOT NULL</v>
      </c>
      <c r="AP847" t="e">
        <f>VLOOKUP(E847,temp6,1,FALSE)</f>
        <v>#NAME?</v>
      </c>
    </row>
    <row r="848" spans="1:42" ht="15" hidden="1" customHeight="1">
      <c r="A848">
        <v>22950</v>
      </c>
      <c r="B848" t="s">
        <v>1475</v>
      </c>
      <c r="C848" s="3" t="str">
        <f t="shared" si="64"/>
        <v>exSubscriptionDetail.sysChangeHistoryID</v>
      </c>
      <c r="D848" s="3">
        <v>803</v>
      </c>
      <c r="E848" s="3" t="str">
        <f t="shared" si="62"/>
        <v>exSubscriptionDetail</v>
      </c>
      <c r="F848" t="s">
        <v>2497</v>
      </c>
      <c r="G848" s="3" t="s">
        <v>6403</v>
      </c>
      <c r="H848" s="3" t="str">
        <f t="shared" si="63"/>
        <v>DataExchange.Subscription Detail</v>
      </c>
      <c r="I848"/>
      <c r="K848" t="s">
        <v>1210</v>
      </c>
      <c r="L848"/>
      <c r="M848" t="s">
        <v>6007</v>
      </c>
      <c r="N848"/>
      <c r="O848"/>
      <c r="P848"/>
      <c r="Q848" t="s">
        <v>92</v>
      </c>
      <c r="R848"/>
      <c r="S848"/>
      <c r="U848" t="s">
        <v>1429</v>
      </c>
      <c r="W848" s="3"/>
      <c r="X848" s="3"/>
      <c r="AJ848" t="e">
        <f>VLOOKUP(E848,temp1,1,FALSE)</f>
        <v>#NAME?</v>
      </c>
      <c r="AK848" t="str">
        <f>"SELECT (SELECT '"&amp;C848&amp;"' ColumnName from "&amp;E848&amp;" where "&amp;F848&amp;" is null and exists (select from "&amp;E848&amp;") limit 1) a union all"</f>
        <v>SELECT (SELECT 'exSubscriptionDetail.sysChangeHistoryID' ColumnName from exSubscriptionDetail where sysChangeHistoryID is null and exists (select from exSubscriptionDetail) limit 1) a union all</v>
      </c>
      <c r="AP848" t="e">
        <f>VLOOKUP(E848,temp6,1,FALSE)</f>
        <v>#NAME?</v>
      </c>
    </row>
    <row r="849" spans="1:42" ht="15" hidden="1" customHeight="1">
      <c r="A849">
        <v>22951</v>
      </c>
      <c r="B849" s="3" t="s">
        <v>1475</v>
      </c>
      <c r="C849" s="3" t="str">
        <f t="shared" si="64"/>
        <v>exSubscriptionRedaction.ID</v>
      </c>
      <c r="D849" s="3">
        <v>813</v>
      </c>
      <c r="E849" s="3" t="str">
        <f t="shared" si="62"/>
        <v>exSubscriptionRedaction</v>
      </c>
      <c r="F849" t="s">
        <v>0</v>
      </c>
      <c r="G849" s="3" t="s">
        <v>6872</v>
      </c>
      <c r="H849" s="3" t="str">
        <f t="shared" si="63"/>
        <v>DataExchange.Subscription Redaction</v>
      </c>
      <c r="I849"/>
      <c r="K849" t="s">
        <v>0</v>
      </c>
      <c r="M849" t="s">
        <v>6007</v>
      </c>
      <c r="Q849" s="3" t="s">
        <v>919</v>
      </c>
      <c r="U849" s="3" t="s">
        <v>95</v>
      </c>
      <c r="AJ849" t="e">
        <f>VLOOKUP(E849,temp1,1,FALSE)</f>
        <v>#NAME?</v>
      </c>
      <c r="AL849" t="str">
        <f t="shared" ref="AL849:AL855" si="65">"ALTER TABLE "&amp;E849&amp;" ALTER COLUMN "&amp;F849&amp;" DROP NOT NULL"</f>
        <v>ALTER TABLE exSubscriptionRedaction ALTER COLUMN ID DROP NOT NULL</v>
      </c>
      <c r="AP849" t="e">
        <f>VLOOKUP(E849,temp6,1,FALSE)</f>
        <v>#NAME?</v>
      </c>
    </row>
    <row r="850" spans="1:42" ht="15" hidden="1" customHeight="1">
      <c r="A850">
        <v>22952</v>
      </c>
      <c r="B850" s="3" t="s">
        <v>1475</v>
      </c>
      <c r="C850" s="3" t="str">
        <f t="shared" si="64"/>
        <v>exSubscriptionRedaction.exSubscriptionID</v>
      </c>
      <c r="D850" s="3">
        <v>813</v>
      </c>
      <c r="E850" s="3" t="str">
        <f t="shared" si="62"/>
        <v>exSubscriptionRedaction</v>
      </c>
      <c r="F850" t="str">
        <f>VLOOKUP(V850,DictionaryTableID,3,FALSE)&amp;"ID"&amp;X850</f>
        <v>exSubscriptionID</v>
      </c>
      <c r="G850" s="3" t="s">
        <v>6873</v>
      </c>
      <c r="H850" s="3" t="str">
        <f t="shared" si="63"/>
        <v>DataExchange.Subscription Redaction</v>
      </c>
      <c r="I850"/>
      <c r="K850" t="s">
        <v>6189</v>
      </c>
      <c r="M850" t="s">
        <v>6007</v>
      </c>
      <c r="Q850" s="3" t="s">
        <v>919</v>
      </c>
      <c r="U850" s="3" t="s">
        <v>96</v>
      </c>
      <c r="V850">
        <v>802</v>
      </c>
      <c r="W850" s="3" t="str">
        <f>VLOOKUP(V850,DictionaryTableID,3,FALSE)</f>
        <v>exSubscription</v>
      </c>
      <c r="Y850" t="s">
        <v>92</v>
      </c>
      <c r="AB850" t="s">
        <v>92</v>
      </c>
      <c r="AJ850" t="e">
        <f>VLOOKUP(E850,temp1,1,FALSE)</f>
        <v>#NAME?</v>
      </c>
      <c r="AL850" t="str">
        <f t="shared" si="65"/>
        <v>ALTER TABLE exSubscriptionRedaction ALTER COLUMN exSubscriptionID DROP NOT NULL</v>
      </c>
      <c r="AP850" t="e">
        <f>VLOOKUP(E850,temp6,1,FALSE)</f>
        <v>#NAME?</v>
      </c>
    </row>
    <row r="851" spans="1:42" ht="15" hidden="1" customHeight="1">
      <c r="A851">
        <v>22953</v>
      </c>
      <c r="B851" s="3" t="s">
        <v>1475</v>
      </c>
      <c r="C851" s="3" t="str">
        <f t="shared" si="64"/>
        <v>exSubscriptionRedaction.sysDictionaryColumnIDRedacted</v>
      </c>
      <c r="D851" s="3">
        <v>813</v>
      </c>
      <c r="E851" s="3" t="str">
        <f t="shared" si="62"/>
        <v>exSubscriptionRedaction</v>
      </c>
      <c r="F851" t="str">
        <f>VLOOKUP(V851,DictionaryTableID,3,FALSE)&amp;"ID"&amp;X851</f>
        <v>sysDictionaryColumnIDRedacted</v>
      </c>
      <c r="G851" s="3" t="s">
        <v>7033</v>
      </c>
      <c r="H851" s="3" t="str">
        <f t="shared" si="63"/>
        <v>DataExchange.Subscription Redaction</v>
      </c>
      <c r="I851"/>
      <c r="K851" t="s">
        <v>7036</v>
      </c>
      <c r="M851" t="s">
        <v>6007</v>
      </c>
      <c r="Q851" s="3" t="s">
        <v>919</v>
      </c>
      <c r="U851" s="3" t="s">
        <v>96</v>
      </c>
      <c r="V851">
        <v>2</v>
      </c>
      <c r="W851" s="3" t="str">
        <f>VLOOKUP(V851,DictionaryTableID,3,FALSE)</f>
        <v>sysDictionaryColumn</v>
      </c>
      <c r="X851" s="3" t="s">
        <v>7030</v>
      </c>
      <c r="Y851" t="s">
        <v>92</v>
      </c>
      <c r="AB851" t="s">
        <v>92</v>
      </c>
      <c r="AJ851" t="e">
        <f>VLOOKUP(E851,temp1,1,FALSE)</f>
        <v>#NAME?</v>
      </c>
      <c r="AL851" t="str">
        <f t="shared" si="65"/>
        <v>ALTER TABLE exSubscriptionRedaction ALTER COLUMN sysDictionaryColumnIDRedacted DROP NOT NULL</v>
      </c>
      <c r="AP851" t="e">
        <f>VLOOKUP(E851,temp6,1,FALSE)</f>
        <v>#NAME?</v>
      </c>
    </row>
    <row r="852" spans="1:42" ht="15" hidden="1" customHeight="1">
      <c r="A852">
        <v>22954</v>
      </c>
      <c r="B852" s="3" t="s">
        <v>1475</v>
      </c>
      <c r="C852" s="3" t="str">
        <f t="shared" si="64"/>
        <v>exSubscriptionRedaction.RedactedSQL</v>
      </c>
      <c r="D852" s="3">
        <v>813</v>
      </c>
      <c r="E852" s="3" t="str">
        <f t="shared" si="62"/>
        <v>exSubscriptionRedaction</v>
      </c>
      <c r="F852" t="s">
        <v>7041</v>
      </c>
      <c r="G852" s="3" t="s">
        <v>7040</v>
      </c>
      <c r="H852" s="3" t="str">
        <f t="shared" si="63"/>
        <v>DataExchange.Subscription Redaction</v>
      </c>
      <c r="I852"/>
      <c r="K852" t="s">
        <v>7039</v>
      </c>
      <c r="M852" t="s">
        <v>196</v>
      </c>
      <c r="Q852" s="3" t="s">
        <v>92</v>
      </c>
      <c r="U852" s="3" t="s">
        <v>93</v>
      </c>
      <c r="W852" s="3"/>
      <c r="AB852" t="s">
        <v>92</v>
      </c>
      <c r="AJ852" t="e">
        <f>VLOOKUP(E852,temp1,1,FALSE)</f>
        <v>#NAME?</v>
      </c>
      <c r="AL852" t="str">
        <f t="shared" si="65"/>
        <v>ALTER TABLE exSubscriptionRedaction ALTER COLUMN RedactedSQL DROP NOT NULL</v>
      </c>
      <c r="AP852" t="e">
        <f>VLOOKUP(E852,temp6,1,FALSE)</f>
        <v>#NAME?</v>
      </c>
    </row>
    <row r="853" spans="1:42" ht="15" hidden="1" customHeight="1">
      <c r="A853">
        <v>22955</v>
      </c>
      <c r="B853" s="3" t="s">
        <v>1475</v>
      </c>
      <c r="C853" s="3" t="str">
        <f t="shared" si="64"/>
        <v>exSubscriptionRedaction.RedactedValue</v>
      </c>
      <c r="D853" s="3">
        <v>813</v>
      </c>
      <c r="E853" s="3" t="str">
        <f t="shared" si="62"/>
        <v>exSubscriptionRedaction</v>
      </c>
      <c r="F853" t="s">
        <v>7031</v>
      </c>
      <c r="G853" s="3" t="s">
        <v>7034</v>
      </c>
      <c r="H853" s="3" t="str">
        <f t="shared" si="63"/>
        <v>DataExchange.Subscription Redaction</v>
      </c>
      <c r="I853"/>
      <c r="K853" t="s">
        <v>7037</v>
      </c>
      <c r="M853" t="s">
        <v>196</v>
      </c>
      <c r="Q853" s="3" t="s">
        <v>92</v>
      </c>
      <c r="U853" s="3" t="s">
        <v>93</v>
      </c>
      <c r="W853" s="3"/>
      <c r="AB853" t="s">
        <v>92</v>
      </c>
      <c r="AJ853" t="e">
        <f>VLOOKUP(E853,temp1,1,FALSE)</f>
        <v>#NAME?</v>
      </c>
      <c r="AL853" t="str">
        <f t="shared" si="65"/>
        <v>ALTER TABLE exSubscriptionRedaction ALTER COLUMN RedactedValue DROP NOT NULL</v>
      </c>
      <c r="AP853" t="e">
        <f>VLOOKUP(E853,temp6,1,FALSE)</f>
        <v>#NAME?</v>
      </c>
    </row>
    <row r="854" spans="1:42" ht="15" hidden="1" customHeight="1">
      <c r="A854">
        <v>22956</v>
      </c>
      <c r="B854" s="3" t="s">
        <v>1475</v>
      </c>
      <c r="C854" s="3" t="str">
        <f t="shared" si="64"/>
        <v>exSubscriptionRedaction.RedactedTranslation</v>
      </c>
      <c r="D854" s="3">
        <v>813</v>
      </c>
      <c r="E854" s="3" t="str">
        <f t="shared" si="62"/>
        <v>exSubscriptionRedaction</v>
      </c>
      <c r="F854" t="s">
        <v>7032</v>
      </c>
      <c r="G854" s="3" t="s">
        <v>7035</v>
      </c>
      <c r="H854" s="3" t="str">
        <f t="shared" si="63"/>
        <v>DataExchange.Subscription Redaction</v>
      </c>
      <c r="I854"/>
      <c r="K854" t="s">
        <v>7038</v>
      </c>
      <c r="M854" t="s">
        <v>196</v>
      </c>
      <c r="Q854" s="3" t="s">
        <v>92</v>
      </c>
      <c r="U854" s="3" t="s">
        <v>93</v>
      </c>
      <c r="W854" s="3"/>
      <c r="AB854" t="s">
        <v>92</v>
      </c>
      <c r="AJ854" t="e">
        <f>VLOOKUP(E854,temp1,1,FALSE)</f>
        <v>#NAME?</v>
      </c>
      <c r="AL854" t="str">
        <f t="shared" si="65"/>
        <v>ALTER TABLE exSubscriptionRedaction ALTER COLUMN RedactedTranslation DROP NOT NULL</v>
      </c>
      <c r="AP854" t="e">
        <f>VLOOKUP(E854,temp6,1,FALSE)</f>
        <v>#NAME?</v>
      </c>
    </row>
    <row r="855" spans="1:42" ht="15" hidden="1" customHeight="1">
      <c r="A855">
        <v>22957</v>
      </c>
      <c r="B855" s="3" t="s">
        <v>1475</v>
      </c>
      <c r="C855" s="3" t="str">
        <f t="shared" si="64"/>
        <v>exSubscriptionRedaction.RowStatus</v>
      </c>
      <c r="D855" s="3">
        <v>813</v>
      </c>
      <c r="E855" s="3" t="str">
        <f t="shared" si="62"/>
        <v>exSubscriptionRedaction</v>
      </c>
      <c r="F855" t="s">
        <v>1445</v>
      </c>
      <c r="G855" s="3" t="s">
        <v>6411</v>
      </c>
      <c r="H855" s="3" t="str">
        <f t="shared" si="63"/>
        <v>DataExchange.Subscription Redaction</v>
      </c>
      <c r="I855"/>
      <c r="K855" t="s">
        <v>2471</v>
      </c>
      <c r="M855" t="s">
        <v>976</v>
      </c>
      <c r="N855">
        <v>1</v>
      </c>
      <c r="Q855" s="3" t="s">
        <v>919</v>
      </c>
      <c r="U855" s="3" t="s">
        <v>94</v>
      </c>
      <c r="AJ855" t="e">
        <f>VLOOKUP(E855,temp1,1,FALSE)</f>
        <v>#NAME?</v>
      </c>
      <c r="AL855" t="str">
        <f t="shared" si="65"/>
        <v>ALTER TABLE exSubscriptionRedaction ALTER COLUMN RowStatus DROP NOT NULL</v>
      </c>
      <c r="AP855" t="e">
        <f>VLOOKUP(E855,temp6,1,FALSE)</f>
        <v>#NAME?</v>
      </c>
    </row>
    <row r="856" spans="1:42" ht="15" hidden="1" customHeight="1">
      <c r="A856">
        <v>22958</v>
      </c>
      <c r="B856" t="s">
        <v>1475</v>
      </c>
      <c r="C856" s="3" t="str">
        <f t="shared" si="64"/>
        <v>exSubscriptionRedaction.sysChangeHistoryID</v>
      </c>
      <c r="D856" s="3">
        <v>813</v>
      </c>
      <c r="E856" s="3" t="str">
        <f t="shared" si="62"/>
        <v>exSubscriptionRedaction</v>
      </c>
      <c r="F856" t="s">
        <v>2497</v>
      </c>
      <c r="G856" s="3" t="s">
        <v>6403</v>
      </c>
      <c r="H856" s="3" t="str">
        <f t="shared" si="63"/>
        <v>DataExchange.Subscription Redaction</v>
      </c>
      <c r="I856"/>
      <c r="K856" t="s">
        <v>1210</v>
      </c>
      <c r="L856"/>
      <c r="M856" t="s">
        <v>6007</v>
      </c>
      <c r="N856"/>
      <c r="O856"/>
      <c r="P856"/>
      <c r="Q856" t="s">
        <v>92</v>
      </c>
      <c r="R856"/>
      <c r="S856"/>
      <c r="U856" t="s">
        <v>1429</v>
      </c>
      <c r="W856" s="3"/>
      <c r="X856" s="3"/>
      <c r="AJ856" t="e">
        <f>VLOOKUP(E856,temp1,1,FALSE)</f>
        <v>#NAME?</v>
      </c>
      <c r="AK856" t="str">
        <f>"SELECT (SELECT '"&amp;C856&amp;"' ColumnName from "&amp;E856&amp;" where "&amp;F856&amp;" is null and exists (select from "&amp;E856&amp;") limit 1) a union all"</f>
        <v>SELECT (SELECT 'exSubscriptionRedaction.sysChangeHistoryID' ColumnName from exSubscriptionRedaction where sysChangeHistoryID is null and exists (select from exSubscriptionRedaction) limit 1) a union all</v>
      </c>
      <c r="AP856" t="e">
        <f>VLOOKUP(E856,temp6,1,FALSE)</f>
        <v>#NAME?</v>
      </c>
    </row>
    <row r="857" spans="1:42" ht="15" hidden="1" customHeight="1">
      <c r="A857">
        <v>22960</v>
      </c>
      <c r="B857" s="3" t="s">
        <v>1475</v>
      </c>
      <c r="C857" s="3" t="str">
        <f t="shared" si="64"/>
        <v>exPackage.ID</v>
      </c>
      <c r="D857" s="3">
        <v>804</v>
      </c>
      <c r="E857" s="3" t="str">
        <f t="shared" si="62"/>
        <v>exPackage</v>
      </c>
      <c r="F857" t="s">
        <v>0</v>
      </c>
      <c r="G857" s="3" t="s">
        <v>6876</v>
      </c>
      <c r="H857" s="3" t="str">
        <f t="shared" si="63"/>
        <v>DataExchange.Package</v>
      </c>
      <c r="I857"/>
      <c r="K857" t="s">
        <v>0</v>
      </c>
      <c r="M857" t="s">
        <v>6007</v>
      </c>
      <c r="Q857" s="3" t="s">
        <v>919</v>
      </c>
      <c r="U857" s="3" t="s">
        <v>95</v>
      </c>
      <c r="AJ857" t="e">
        <f>VLOOKUP(E857,temp1,1,FALSE)</f>
        <v>#NAME?</v>
      </c>
      <c r="AL857" t="str">
        <f>"ALTER TABLE "&amp;E857&amp;" ALTER COLUMN "&amp;F857&amp;" DROP NOT NULL"</f>
        <v>ALTER TABLE exPackage ALTER COLUMN ID DROP NOT NULL</v>
      </c>
      <c r="AP857" t="e">
        <f>VLOOKUP(E857,temp6,1,FALSE)</f>
        <v>#NAME?</v>
      </c>
    </row>
    <row r="858" spans="1:42" ht="15" hidden="1" customHeight="1">
      <c r="A858">
        <v>22970</v>
      </c>
      <c r="B858" s="3" t="s">
        <v>1475</v>
      </c>
      <c r="C858" s="3" t="str">
        <f t="shared" si="64"/>
        <v>exPackage.exSubnetServerID</v>
      </c>
      <c r="D858" s="3">
        <v>804</v>
      </c>
      <c r="E858" s="3" t="str">
        <f t="shared" si="62"/>
        <v>exPackage</v>
      </c>
      <c r="F858" t="str">
        <f>VLOOKUP(V858,DictionaryTableID,3,FALSE)&amp;"ID"&amp;X858</f>
        <v>exSubnetServerID</v>
      </c>
      <c r="G858" s="3" t="s">
        <v>7022</v>
      </c>
      <c r="H858" s="3" t="str">
        <f t="shared" si="63"/>
        <v>DataExchange.Package</v>
      </c>
      <c r="I858"/>
      <c r="K858" t="s">
        <v>6188</v>
      </c>
      <c r="M858" t="s">
        <v>6007</v>
      </c>
      <c r="Q858" s="3" t="s">
        <v>919</v>
      </c>
      <c r="U858" s="3" t="s">
        <v>96</v>
      </c>
      <c r="V858">
        <v>808</v>
      </c>
      <c r="W858" s="3" t="str">
        <f>VLOOKUP(V858,DictionaryTableID,3,FALSE)</f>
        <v>exSubnetServer</v>
      </c>
      <c r="AH858" t="s">
        <v>92</v>
      </c>
      <c r="AJ858" t="e">
        <f>VLOOKUP(E858,temp1,1,FALSE)</f>
        <v>#NAME?</v>
      </c>
      <c r="AL858" t="str">
        <f>"ALTER TABLE "&amp;E858&amp;" ALTER COLUMN "&amp;F858&amp;" DROP NOT NULL"</f>
        <v>ALTER TABLE exPackage ALTER COLUMN exSubnetServerID DROP NOT NULL</v>
      </c>
      <c r="AP858" t="e">
        <f>VLOOKUP(E858,temp6,1,FALSE)</f>
        <v>#NAME?</v>
      </c>
    </row>
    <row r="859" spans="1:42" ht="15" hidden="1" customHeight="1">
      <c r="A859">
        <v>22980</v>
      </c>
      <c r="B859" s="3" t="s">
        <v>1475</v>
      </c>
      <c r="C859" s="3" t="str">
        <f t="shared" si="64"/>
        <v>exPackage.Package</v>
      </c>
      <c r="D859" s="3">
        <v>804</v>
      </c>
      <c r="E859" s="3" t="str">
        <f t="shared" si="62"/>
        <v>exPackage</v>
      </c>
      <c r="F859" t="s">
        <v>6313</v>
      </c>
      <c r="G859" s="3" t="s">
        <v>6877</v>
      </c>
      <c r="H859" s="3" t="str">
        <f t="shared" si="63"/>
        <v>DataExchange.Package</v>
      </c>
      <c r="I859"/>
      <c r="K859" t="s">
        <v>6210</v>
      </c>
      <c r="M859" s="3" t="s">
        <v>7047</v>
      </c>
      <c r="Q859" s="3" t="s">
        <v>919</v>
      </c>
      <c r="U859" s="3" t="s">
        <v>93</v>
      </c>
      <c r="AJ859" t="e">
        <f>VLOOKUP(E859,temp1,1,FALSE)</f>
        <v>#NAME?</v>
      </c>
      <c r="AP859" t="e">
        <f>VLOOKUP(E859,temp6,1,FALSE)</f>
        <v>#NAME?</v>
      </c>
    </row>
    <row r="860" spans="1:42" ht="15" hidden="1" customHeight="1">
      <c r="A860">
        <v>22990</v>
      </c>
      <c r="B860" s="3" t="s">
        <v>1475</v>
      </c>
      <c r="C860" s="3" t="str">
        <f t="shared" si="64"/>
        <v>exPackage.CreateDate</v>
      </c>
      <c r="D860" s="3">
        <v>804</v>
      </c>
      <c r="E860" s="3" t="str">
        <f t="shared" si="62"/>
        <v>exPackage</v>
      </c>
      <c r="F860" t="s">
        <v>11</v>
      </c>
      <c r="G860" s="3" t="s">
        <v>6568</v>
      </c>
      <c r="H860" s="3" t="str">
        <f t="shared" si="63"/>
        <v>DataExchange.Package</v>
      </c>
      <c r="I860"/>
      <c r="K860" t="s">
        <v>111</v>
      </c>
      <c r="M860" s="3" t="s">
        <v>329</v>
      </c>
      <c r="Q860" s="3" t="s">
        <v>919</v>
      </c>
      <c r="S860" s="3" t="s">
        <v>7045</v>
      </c>
      <c r="U860" s="3" t="s">
        <v>93</v>
      </c>
      <c r="AJ860" t="e">
        <f>VLOOKUP(E860,temp1,1,FALSE)</f>
        <v>#NAME?</v>
      </c>
      <c r="AL860" t="str">
        <f>"ALTER TABLE "&amp;E860&amp;" ALTER COLUMN "&amp;F860&amp;" DROP NOT NULL"</f>
        <v>ALTER TABLE exPackage ALTER COLUMN CreateDate DROP NOT NULL</v>
      </c>
      <c r="AP860" t="e">
        <f>VLOOKUP(E860,temp6,1,FALSE)</f>
        <v>#NAME?</v>
      </c>
    </row>
    <row r="861" spans="1:42" ht="15" hidden="1" customHeight="1">
      <c r="A861">
        <v>23000</v>
      </c>
      <c r="B861" s="3" t="s">
        <v>1475</v>
      </c>
      <c r="C861" s="3" t="str">
        <f t="shared" si="64"/>
        <v>exPackage.ReadDate</v>
      </c>
      <c r="D861" s="3">
        <v>804</v>
      </c>
      <c r="E861" s="3" t="str">
        <f t="shared" si="62"/>
        <v>exPackage</v>
      </c>
      <c r="F861" t="s">
        <v>6346</v>
      </c>
      <c r="G861" s="3" t="s">
        <v>6878</v>
      </c>
      <c r="H861" s="3" t="str">
        <f t="shared" si="63"/>
        <v>DataExchange.Package</v>
      </c>
      <c r="I861"/>
      <c r="K861" t="s">
        <v>6347</v>
      </c>
      <c r="M861" s="3" t="s">
        <v>2402</v>
      </c>
      <c r="Q861" s="3" t="s">
        <v>92</v>
      </c>
      <c r="U861" s="3" t="s">
        <v>93</v>
      </c>
      <c r="AJ861" t="e">
        <f>VLOOKUP(E861,temp1,1,FALSE)</f>
        <v>#NAME?</v>
      </c>
      <c r="AP861" t="e">
        <f>VLOOKUP(E861,temp6,1,FALSE)</f>
        <v>#NAME?</v>
      </c>
    </row>
    <row r="862" spans="1:42" ht="15" hidden="1" customHeight="1">
      <c r="A862">
        <v>23010</v>
      </c>
      <c r="B862" t="s">
        <v>1475</v>
      </c>
      <c r="C862" s="3" t="str">
        <f t="shared" si="64"/>
        <v>exPackage.sysChangeHistoryID</v>
      </c>
      <c r="D862" s="3">
        <v>804</v>
      </c>
      <c r="E862" s="3" t="str">
        <f t="shared" si="62"/>
        <v>exPackage</v>
      </c>
      <c r="F862" t="s">
        <v>2497</v>
      </c>
      <c r="G862" s="3" t="s">
        <v>6403</v>
      </c>
      <c r="H862" s="3" t="str">
        <f t="shared" si="63"/>
        <v>DataExchange.Package</v>
      </c>
      <c r="I862"/>
      <c r="K862" t="s">
        <v>1210</v>
      </c>
      <c r="L862"/>
      <c r="M862" t="s">
        <v>6007</v>
      </c>
      <c r="N862"/>
      <c r="O862"/>
      <c r="P862"/>
      <c r="Q862" t="s">
        <v>92</v>
      </c>
      <c r="R862"/>
      <c r="S862"/>
      <c r="U862" t="s">
        <v>1429</v>
      </c>
      <c r="W862" s="3"/>
      <c r="X862" s="3"/>
      <c r="AJ862" t="e">
        <f>VLOOKUP(E862,temp1,1,FALSE)</f>
        <v>#NAME?</v>
      </c>
      <c r="AK862" t="str">
        <f>"SELECT (SELECT '"&amp;C862&amp;"' ColumnName from "&amp;E862&amp;" where "&amp;F862&amp;" is null and exists (select from "&amp;E862&amp;") limit 1) a union all"</f>
        <v>SELECT (SELECT 'exPackage.sysChangeHistoryID' ColumnName from exPackage where sysChangeHistoryID is null and exists (select from exPackage) limit 1) a union all</v>
      </c>
      <c r="AP862" t="e">
        <f>VLOOKUP(E862,temp6,1,FALSE)</f>
        <v>#NAME?</v>
      </c>
    </row>
    <row r="863" spans="1:42" ht="15" hidden="1" customHeight="1">
      <c r="A863">
        <v>23020</v>
      </c>
      <c r="B863" s="3" t="s">
        <v>1475</v>
      </c>
      <c r="C863" s="3" t="str">
        <f t="shared" si="64"/>
        <v>exHistoryBatch.ID</v>
      </c>
      <c r="D863" s="3">
        <v>805</v>
      </c>
      <c r="E863" s="3" t="str">
        <f t="shared" si="62"/>
        <v>exHistoryBatch</v>
      </c>
      <c r="F863" t="s">
        <v>0</v>
      </c>
      <c r="G863" s="3" t="s">
        <v>6879</v>
      </c>
      <c r="H863" s="3" t="str">
        <f t="shared" si="63"/>
        <v>DataExchange.History Batch</v>
      </c>
      <c r="I863"/>
      <c r="K863" t="s">
        <v>0</v>
      </c>
      <c r="M863" t="s">
        <v>6007</v>
      </c>
      <c r="Q863" s="3" t="s">
        <v>919</v>
      </c>
      <c r="U863" s="3" t="s">
        <v>95</v>
      </c>
      <c r="AJ863" t="e">
        <f>VLOOKUP(E863,temp1,1,FALSE)</f>
        <v>#NAME?</v>
      </c>
      <c r="AL863" t="str">
        <f>"ALTER TABLE "&amp;E863&amp;" ALTER COLUMN "&amp;F863&amp;" DROP NOT NULL"</f>
        <v>ALTER TABLE exHistoryBatch ALTER COLUMN ID DROP NOT NULL</v>
      </c>
      <c r="AP863" t="e">
        <f>VLOOKUP(E863,temp6,1,FALSE)</f>
        <v>#NAME?</v>
      </c>
    </row>
    <row r="864" spans="1:42" ht="15" hidden="1" customHeight="1">
      <c r="A864">
        <v>23030</v>
      </c>
      <c r="B864" t="s">
        <v>1475</v>
      </c>
      <c r="C864" s="3" t="str">
        <f t="shared" si="64"/>
        <v>exHistoryBatch.CreateDate</v>
      </c>
      <c r="D864" s="3">
        <v>805</v>
      </c>
      <c r="E864" s="3" t="str">
        <f t="shared" si="62"/>
        <v>exHistoryBatch</v>
      </c>
      <c r="F864" t="s">
        <v>11</v>
      </c>
      <c r="G864" s="3" t="s">
        <v>6568</v>
      </c>
      <c r="H864" s="3" t="str">
        <f t="shared" si="63"/>
        <v>DataExchange.History Batch</v>
      </c>
      <c r="I864"/>
      <c r="K864" t="s">
        <v>111</v>
      </c>
      <c r="L864"/>
      <c r="M864" t="s">
        <v>329</v>
      </c>
      <c r="N864"/>
      <c r="O864"/>
      <c r="P864"/>
      <c r="Q864" t="s">
        <v>919</v>
      </c>
      <c r="R864"/>
      <c r="S864" s="3" t="s">
        <v>7045</v>
      </c>
      <c r="U864" t="s">
        <v>93</v>
      </c>
      <c r="W864" s="3"/>
      <c r="X864" s="3"/>
      <c r="AJ864" t="e">
        <f>VLOOKUP(E864,temp1,1,FALSE)</f>
        <v>#NAME?</v>
      </c>
      <c r="AK864" t="str">
        <f>"SELECT (SELECT '"&amp;C864&amp;"' ColumnName from "&amp;E864&amp;" where "&amp;F864&amp;" is null and exists (select from "&amp;E864&amp;") limit 1) a union all"</f>
        <v>SELECT (SELECT 'exHistoryBatch.CreateDate' ColumnName from exHistoryBatch where CreateDate is null and exists (select from exHistoryBatch) limit 1) a union all</v>
      </c>
      <c r="AP864" t="e">
        <f>VLOOKUP(E864,temp6,1,FALSE)</f>
        <v>#NAME?</v>
      </c>
    </row>
    <row r="865" spans="1:42" ht="15" hidden="1" customHeight="1">
      <c r="A865">
        <v>23040</v>
      </c>
      <c r="B865" t="s">
        <v>1475</v>
      </c>
      <c r="C865" s="3" t="str">
        <f t="shared" si="64"/>
        <v>exHistoryBatch.DistributionDate</v>
      </c>
      <c r="D865" s="3">
        <v>805</v>
      </c>
      <c r="E865" s="3" t="str">
        <f t="shared" si="62"/>
        <v>exHistoryBatch</v>
      </c>
      <c r="F865" t="s">
        <v>6344</v>
      </c>
      <c r="G865" s="3" t="s">
        <v>6358</v>
      </c>
      <c r="H865" s="3" t="str">
        <f t="shared" si="63"/>
        <v>DataExchange.History Batch</v>
      </c>
      <c r="I865"/>
      <c r="K865" t="s">
        <v>6348</v>
      </c>
      <c r="L865"/>
      <c r="M865" t="s">
        <v>329</v>
      </c>
      <c r="N865"/>
      <c r="O865"/>
      <c r="P865"/>
      <c r="Q865" t="s">
        <v>92</v>
      </c>
      <c r="R865"/>
      <c r="S865"/>
      <c r="U865" t="s">
        <v>93</v>
      </c>
      <c r="W865" s="3"/>
      <c r="X865" s="3"/>
      <c r="AJ865" t="e">
        <f>VLOOKUP(E865,temp1,1,FALSE)</f>
        <v>#NAME?</v>
      </c>
      <c r="AK865" t="str">
        <f>"SELECT (SELECT '"&amp;C865&amp;"' ColumnName from "&amp;E865&amp;" where "&amp;F865&amp;" is null and exists (select from "&amp;E865&amp;") limit 1) a union all"</f>
        <v>SELECT (SELECT 'exHistoryBatch.DistributionDate' ColumnName from exHistoryBatch where DistributionDate is null and exists (select from exHistoryBatch) limit 1) a union all</v>
      </c>
      <c r="AP865" t="e">
        <f>VLOOKUP(E865,temp6,1,FALSE)</f>
        <v>#NAME?</v>
      </c>
    </row>
    <row r="866" spans="1:42" ht="15" hidden="1" customHeight="1">
      <c r="A866">
        <v>23050</v>
      </c>
      <c r="B866" t="s">
        <v>1475</v>
      </c>
      <c r="C866" s="3" t="str">
        <f t="shared" si="64"/>
        <v>exHistoryBatch.AppliedDate</v>
      </c>
      <c r="D866" s="3">
        <v>805</v>
      </c>
      <c r="E866" s="3" t="str">
        <f t="shared" si="62"/>
        <v>exHistoryBatch</v>
      </c>
      <c r="F866" t="s">
        <v>6345</v>
      </c>
      <c r="G866" s="3" t="s">
        <v>7023</v>
      </c>
      <c r="H866" s="3" t="str">
        <f t="shared" si="63"/>
        <v>DataExchange.History Batch</v>
      </c>
      <c r="I866"/>
      <c r="K866" t="s">
        <v>6349</v>
      </c>
      <c r="L866"/>
      <c r="M866" t="s">
        <v>329</v>
      </c>
      <c r="N866"/>
      <c r="O866"/>
      <c r="P866"/>
      <c r="Q866" t="s">
        <v>92</v>
      </c>
      <c r="R866"/>
      <c r="S866"/>
      <c r="U866" t="s">
        <v>93</v>
      </c>
      <c r="W866" s="3"/>
      <c r="X866" s="3"/>
      <c r="AJ866" t="e">
        <f>VLOOKUP(E866,temp1,1,FALSE)</f>
        <v>#NAME?</v>
      </c>
      <c r="AK866" t="str">
        <f>"SELECT (SELECT '"&amp;C866&amp;"' ColumnName from "&amp;E866&amp;" where "&amp;F866&amp;" is null and exists (select from "&amp;E866&amp;") limit 1) a union all"</f>
        <v>SELECT (SELECT 'exHistoryBatch.AppliedDate' ColumnName from exHistoryBatch where AppliedDate is null and exists (select from exHistoryBatch) limit 1) a union all</v>
      </c>
      <c r="AP866" t="e">
        <f>VLOOKUP(E866,temp6,1,FALSE)</f>
        <v>#NAME?</v>
      </c>
    </row>
    <row r="867" spans="1:42" ht="15" hidden="1" customHeight="1">
      <c r="A867">
        <v>23060</v>
      </c>
      <c r="B867" t="s">
        <v>1475</v>
      </c>
      <c r="C867" s="3" t="str">
        <f t="shared" si="64"/>
        <v>exHistoryBatch.sysChangeHistoryID</v>
      </c>
      <c r="D867" s="3">
        <v>805</v>
      </c>
      <c r="E867" s="3" t="str">
        <f t="shared" si="62"/>
        <v>exHistoryBatch</v>
      </c>
      <c r="F867" t="s">
        <v>2497</v>
      </c>
      <c r="G867" s="3" t="s">
        <v>6403</v>
      </c>
      <c r="H867" s="3" t="str">
        <f t="shared" si="63"/>
        <v>DataExchange.History Batch</v>
      </c>
      <c r="I867"/>
      <c r="K867" t="s">
        <v>1210</v>
      </c>
      <c r="L867"/>
      <c r="M867" t="s">
        <v>6007</v>
      </c>
      <c r="N867"/>
      <c r="O867"/>
      <c r="P867"/>
      <c r="Q867" t="s">
        <v>92</v>
      </c>
      <c r="R867"/>
      <c r="S867"/>
      <c r="U867" t="s">
        <v>1429</v>
      </c>
      <c r="W867" s="3"/>
      <c r="X867" s="3"/>
      <c r="AJ867" t="e">
        <f>VLOOKUP(E867,temp1,1,FALSE)</f>
        <v>#NAME?</v>
      </c>
      <c r="AK867" t="str">
        <f>"SELECT (SELECT '"&amp;C867&amp;"' ColumnName from "&amp;E867&amp;" where "&amp;F867&amp;" is null and exists (select from "&amp;E867&amp;") limit 1) a union all"</f>
        <v>SELECT (SELECT 'exHistoryBatch.sysChangeHistoryID' ColumnName from exHistoryBatch where sysChangeHistoryID is null and exists (select from exHistoryBatch) limit 1) a union all</v>
      </c>
      <c r="AP867" t="e">
        <f>VLOOKUP(E867,temp6,1,FALSE)</f>
        <v>#NAME?</v>
      </c>
    </row>
    <row r="868" spans="1:42" ht="15" hidden="1" customHeight="1">
      <c r="A868">
        <v>23070</v>
      </c>
      <c r="B868" s="3" t="s">
        <v>1475</v>
      </c>
      <c r="C868" s="3" t="str">
        <f t="shared" si="64"/>
        <v>exHistory.ID</v>
      </c>
      <c r="D868" s="3">
        <v>806</v>
      </c>
      <c r="E868" s="3" t="str">
        <f t="shared" si="62"/>
        <v>exHistory</v>
      </c>
      <c r="F868" t="s">
        <v>0</v>
      </c>
      <c r="G868" s="3" t="s">
        <v>6880</v>
      </c>
      <c r="H868" s="3" t="str">
        <f t="shared" si="63"/>
        <v>DataExchange.History</v>
      </c>
      <c r="I868"/>
      <c r="K868" t="s">
        <v>0</v>
      </c>
      <c r="M868" t="s">
        <v>6007</v>
      </c>
      <c r="Q868" s="3" t="s">
        <v>919</v>
      </c>
      <c r="U868" s="3" t="s">
        <v>95</v>
      </c>
      <c r="AJ868" t="e">
        <f>VLOOKUP(E868,temp1,1,FALSE)</f>
        <v>#NAME?</v>
      </c>
      <c r="AL868" t="str">
        <f t="shared" ref="AL868:AL876" si="66">"ALTER TABLE "&amp;E868&amp;" ALTER COLUMN "&amp;F868&amp;" DROP NOT NULL"</f>
        <v>ALTER TABLE exHistory ALTER COLUMN ID DROP NOT NULL</v>
      </c>
      <c r="AP868" t="e">
        <f>VLOOKUP(E868,temp6,1,FALSE)</f>
        <v>#NAME?</v>
      </c>
    </row>
    <row r="869" spans="1:42" ht="15" hidden="1" customHeight="1">
      <c r="A869">
        <v>23080</v>
      </c>
      <c r="B869" t="s">
        <v>1475</v>
      </c>
      <c r="C869" s="3" t="str">
        <f t="shared" si="64"/>
        <v>exHistory.exHistoryBatchID</v>
      </c>
      <c r="D869" s="3">
        <v>806</v>
      </c>
      <c r="E869" s="3" t="str">
        <f t="shared" si="62"/>
        <v>exHistory</v>
      </c>
      <c r="F869" t="str">
        <f>VLOOKUP(V869,DictionaryTableID,3,FALSE)&amp;"ID"&amp;X869</f>
        <v>exHistoryBatchID</v>
      </c>
      <c r="G869" s="3" t="s">
        <v>6286</v>
      </c>
      <c r="H869" s="3" t="str">
        <f t="shared" si="63"/>
        <v>DataExchange.History</v>
      </c>
      <c r="I869"/>
      <c r="K869" t="s">
        <v>6283</v>
      </c>
      <c r="L869"/>
      <c r="M869" t="s">
        <v>6007</v>
      </c>
      <c r="N869"/>
      <c r="O869"/>
      <c r="P869"/>
      <c r="Q869" t="s">
        <v>919</v>
      </c>
      <c r="R869"/>
      <c r="S869"/>
      <c r="U869" t="s">
        <v>96</v>
      </c>
      <c r="V869">
        <v>805</v>
      </c>
      <c r="W869" s="3" t="str">
        <f>VLOOKUP(V869,DictionaryTableID,3,FALSE)</f>
        <v>exHistoryBatch</v>
      </c>
      <c r="X869" s="3"/>
      <c r="AJ869" t="e">
        <f>VLOOKUP(E869,temp1,1,FALSE)</f>
        <v>#NAME?</v>
      </c>
      <c r="AL869" t="str">
        <f t="shared" si="66"/>
        <v>ALTER TABLE exHistory ALTER COLUMN exHistoryBatchID DROP NOT NULL</v>
      </c>
      <c r="AP869" t="e">
        <f>VLOOKUP(E869,temp6,1,FALSE)</f>
        <v>#NAME?</v>
      </c>
    </row>
    <row r="870" spans="1:42" ht="15" hidden="1" customHeight="1">
      <c r="A870">
        <v>23090</v>
      </c>
      <c r="B870" t="s">
        <v>1475</v>
      </c>
      <c r="C870" s="3" t="str">
        <f t="shared" si="64"/>
        <v>exHistory.sysChangeHistoryRowIDExported</v>
      </c>
      <c r="D870" s="3">
        <v>806</v>
      </c>
      <c r="E870" s="3" t="str">
        <f t="shared" si="62"/>
        <v>exHistory</v>
      </c>
      <c r="F870" t="str">
        <f>VLOOKUP(V870,DictionaryTableID,3,FALSE)&amp;"ID"&amp;X870</f>
        <v>sysChangeHistoryRowIDExported</v>
      </c>
      <c r="G870" s="3" t="s">
        <v>6287</v>
      </c>
      <c r="H870" s="3" t="str">
        <f t="shared" si="63"/>
        <v>DataExchange.History</v>
      </c>
      <c r="I870"/>
      <c r="K870" t="s">
        <v>5991</v>
      </c>
      <c r="L870"/>
      <c r="M870" t="s">
        <v>6007</v>
      </c>
      <c r="N870"/>
      <c r="O870"/>
      <c r="P870"/>
      <c r="Q870" t="s">
        <v>919</v>
      </c>
      <c r="R870"/>
      <c r="S870"/>
      <c r="U870" t="s">
        <v>96</v>
      </c>
      <c r="V870">
        <v>6</v>
      </c>
      <c r="W870" s="3" t="str">
        <f>VLOOKUP(V870,DictionaryTableID,3,FALSE)</f>
        <v>sysChangeHistoryRow</v>
      </c>
      <c r="X870" t="s">
        <v>1180</v>
      </c>
      <c r="AJ870" t="e">
        <f>VLOOKUP(E870,temp1,1,FALSE)</f>
        <v>#NAME?</v>
      </c>
      <c r="AL870" t="str">
        <f t="shared" si="66"/>
        <v>ALTER TABLE exHistory ALTER COLUMN sysChangeHistoryRowIDExported DROP NOT NULL</v>
      </c>
      <c r="AP870" t="e">
        <f>VLOOKUP(E870,temp6,1,FALSE)</f>
        <v>#NAME?</v>
      </c>
    </row>
    <row r="871" spans="1:42" ht="15" hidden="1" customHeight="1">
      <c r="A871">
        <v>23100</v>
      </c>
      <c r="B871" s="3" t="s">
        <v>1475</v>
      </c>
      <c r="C871" s="3" t="str">
        <f t="shared" si="64"/>
        <v>exHistory.exSystemIDDestination</v>
      </c>
      <c r="D871" s="3">
        <v>806</v>
      </c>
      <c r="E871" s="3" t="str">
        <f t="shared" si="62"/>
        <v>exHistory</v>
      </c>
      <c r="F871" t="str">
        <f>VLOOKUP(V871,DictionaryTableID,3,FALSE)&amp;"ID"&amp;X871</f>
        <v>exSystemIDDestination</v>
      </c>
      <c r="G871" s="3" t="s">
        <v>6288</v>
      </c>
      <c r="H871" s="3" t="str">
        <f t="shared" si="63"/>
        <v>DataExchange.History</v>
      </c>
      <c r="I871"/>
      <c r="K871" t="s">
        <v>6188</v>
      </c>
      <c r="M871" t="s">
        <v>6007</v>
      </c>
      <c r="Q871" s="3" t="s">
        <v>919</v>
      </c>
      <c r="U871" s="3" t="s">
        <v>96</v>
      </c>
      <c r="V871">
        <v>807</v>
      </c>
      <c r="W871" s="3" t="str">
        <f>VLOOKUP(V871,DictionaryTableID,3,FALSE)</f>
        <v>exSystem</v>
      </c>
      <c r="X871" t="s">
        <v>6285</v>
      </c>
      <c r="AJ871" t="e">
        <f>VLOOKUP(E871,temp1,1,FALSE)</f>
        <v>#NAME?</v>
      </c>
      <c r="AL871" t="str">
        <f t="shared" si="66"/>
        <v>ALTER TABLE exHistory ALTER COLUMN exSystemIDDestination DROP NOT NULL</v>
      </c>
      <c r="AP871" t="e">
        <f>VLOOKUP(E871,temp6,1,FALSE)</f>
        <v>#NAME?</v>
      </c>
    </row>
    <row r="872" spans="1:42" ht="15" hidden="1" customHeight="1">
      <c r="A872">
        <v>23110</v>
      </c>
      <c r="B872" t="s">
        <v>1475</v>
      </c>
      <c r="C872" s="3" t="str">
        <f t="shared" si="64"/>
        <v>exHistory.Source</v>
      </c>
      <c r="D872" s="3">
        <v>806</v>
      </c>
      <c r="E872" s="3" t="str">
        <f t="shared" si="62"/>
        <v>exHistory</v>
      </c>
      <c r="F872" t="s">
        <v>83</v>
      </c>
      <c r="G872" s="3" t="s">
        <v>6284</v>
      </c>
      <c r="H872" s="3" t="str">
        <f t="shared" si="63"/>
        <v>DataExchange.History</v>
      </c>
      <c r="I872"/>
      <c r="K872" t="s">
        <v>83</v>
      </c>
      <c r="L872"/>
      <c r="M872" t="s">
        <v>976</v>
      </c>
      <c r="N872">
        <v>1</v>
      </c>
      <c r="O872"/>
      <c r="P872"/>
      <c r="Q872" t="s">
        <v>919</v>
      </c>
      <c r="R872"/>
      <c r="S872"/>
      <c r="U872" t="s">
        <v>93</v>
      </c>
      <c r="W872" s="3"/>
      <c r="X872" s="3"/>
      <c r="AJ872" t="e">
        <f>VLOOKUP(E872,temp1,1,FALSE)</f>
        <v>#NAME?</v>
      </c>
      <c r="AL872" t="str">
        <f t="shared" si="66"/>
        <v>ALTER TABLE exHistory ALTER COLUMN Source DROP NOT NULL</v>
      </c>
      <c r="AP872" t="e">
        <f>VLOOKUP(E872,temp6,1,FALSE)</f>
        <v>#NAME?</v>
      </c>
    </row>
    <row r="873" spans="1:42" ht="15" hidden="1" customHeight="1">
      <c r="A873">
        <v>23120</v>
      </c>
      <c r="B873" s="3" t="s">
        <v>1475</v>
      </c>
      <c r="C873" s="3" t="str">
        <f t="shared" si="64"/>
        <v>exSystem.ID</v>
      </c>
      <c r="D873" s="3">
        <v>807</v>
      </c>
      <c r="E873" s="3" t="str">
        <f t="shared" si="62"/>
        <v>exSystem</v>
      </c>
      <c r="F873" t="s">
        <v>0</v>
      </c>
      <c r="G873" s="3" t="s">
        <v>6881</v>
      </c>
      <c r="H873" s="3" t="str">
        <f t="shared" si="63"/>
        <v>DataExchange.System</v>
      </c>
      <c r="I873"/>
      <c r="K873" t="s">
        <v>0</v>
      </c>
      <c r="M873" t="s">
        <v>6007</v>
      </c>
      <c r="Q873" s="3" t="s">
        <v>919</v>
      </c>
      <c r="U873" s="3" t="s">
        <v>95</v>
      </c>
      <c r="AJ873" t="e">
        <f>VLOOKUP(E873,temp1,1,FALSE)</f>
        <v>#NAME?</v>
      </c>
      <c r="AL873" t="str">
        <f t="shared" si="66"/>
        <v>ALTER TABLE exSystem ALTER COLUMN ID DROP NOT NULL</v>
      </c>
      <c r="AP873" t="e">
        <f>VLOOKUP(E873,temp6,1,FALSE)</f>
        <v>#NAME?</v>
      </c>
    </row>
    <row r="874" spans="1:42" ht="15" hidden="1" customHeight="1">
      <c r="A874">
        <v>23130</v>
      </c>
      <c r="B874" s="3" t="s">
        <v>1475</v>
      </c>
      <c r="C874" s="3" t="str">
        <f t="shared" si="64"/>
        <v>exSystem.exSubnetServerID</v>
      </c>
      <c r="D874" s="3">
        <v>807</v>
      </c>
      <c r="E874" s="3" t="str">
        <f t="shared" si="62"/>
        <v>exSystem</v>
      </c>
      <c r="F874" t="str">
        <f>VLOOKUP(V874,DictionaryTableID,3,FALSE)&amp;"ID"&amp;X874</f>
        <v>exSubnetServerID</v>
      </c>
      <c r="G874" s="3" t="s">
        <v>7022</v>
      </c>
      <c r="H874" s="3" t="str">
        <f t="shared" si="63"/>
        <v>DataExchange.System</v>
      </c>
      <c r="I874"/>
      <c r="K874" t="s">
        <v>6188</v>
      </c>
      <c r="M874" t="s">
        <v>6007</v>
      </c>
      <c r="Q874" s="3" t="s">
        <v>919</v>
      </c>
      <c r="U874" s="3" t="s">
        <v>96</v>
      </c>
      <c r="V874">
        <v>808</v>
      </c>
      <c r="W874" s="3" t="str">
        <f>VLOOKUP(V874,DictionaryTableID,3,FALSE)</f>
        <v>exSubnetServer</v>
      </c>
      <c r="AB874" t="s">
        <v>92</v>
      </c>
      <c r="AH874" t="s">
        <v>92</v>
      </c>
      <c r="AJ874" t="e">
        <f>VLOOKUP(E874,temp1,1,FALSE)</f>
        <v>#NAME?</v>
      </c>
      <c r="AL874" t="str">
        <f t="shared" si="66"/>
        <v>ALTER TABLE exSystem ALTER COLUMN exSubnetServerID DROP NOT NULL</v>
      </c>
      <c r="AP874" t="e">
        <f>VLOOKUP(E874,temp6,1,FALSE)</f>
        <v>#NAME?</v>
      </c>
    </row>
    <row r="875" spans="1:42" ht="15" hidden="1" customHeight="1">
      <c r="A875">
        <v>23140</v>
      </c>
      <c r="B875" s="3" t="s">
        <v>1475</v>
      </c>
      <c r="C875" s="3" t="str">
        <f t="shared" si="64"/>
        <v>exSystem.Name</v>
      </c>
      <c r="D875" s="3">
        <v>807</v>
      </c>
      <c r="E875" s="3" t="str">
        <f t="shared" si="62"/>
        <v>exSystem</v>
      </c>
      <c r="F875" t="s">
        <v>22</v>
      </c>
      <c r="G875" s="3" t="s">
        <v>6994</v>
      </c>
      <c r="H875" s="3" t="str">
        <f t="shared" si="63"/>
        <v>DataExchange.System</v>
      </c>
      <c r="I875"/>
      <c r="K875" t="s">
        <v>22</v>
      </c>
      <c r="M875" s="3" t="s">
        <v>196</v>
      </c>
      <c r="Q875" s="3" t="s">
        <v>919</v>
      </c>
      <c r="U875" s="3" t="s">
        <v>93</v>
      </c>
      <c r="AB875" t="s">
        <v>92</v>
      </c>
      <c r="AH875" t="s">
        <v>92</v>
      </c>
      <c r="AJ875" t="e">
        <f>VLOOKUP(E875,temp1,1,FALSE)</f>
        <v>#NAME?</v>
      </c>
      <c r="AL875" t="str">
        <f t="shared" si="66"/>
        <v>ALTER TABLE exSystem ALTER COLUMN Name DROP NOT NULL</v>
      </c>
      <c r="AP875" t="e">
        <f>VLOOKUP(E875,temp6,1,FALSE)</f>
        <v>#NAME?</v>
      </c>
    </row>
    <row r="876" spans="1:42" ht="15" hidden="1" customHeight="1">
      <c r="A876">
        <v>23150</v>
      </c>
      <c r="B876" s="3" t="s">
        <v>1475</v>
      </c>
      <c r="C876" s="3" t="str">
        <f t="shared" si="64"/>
        <v>exSystem.SchemaName</v>
      </c>
      <c r="D876" s="3">
        <v>807</v>
      </c>
      <c r="E876" s="3" t="str">
        <f t="shared" si="62"/>
        <v>exSystem</v>
      </c>
      <c r="F876" t="s">
        <v>6318</v>
      </c>
      <c r="G876" s="3" t="s">
        <v>6995</v>
      </c>
      <c r="H876" s="3" t="str">
        <f t="shared" si="63"/>
        <v>DataExchange.System</v>
      </c>
      <c r="I876"/>
      <c r="K876" t="s">
        <v>6319</v>
      </c>
      <c r="M876" s="3" t="s">
        <v>196</v>
      </c>
      <c r="Q876" s="3" t="s">
        <v>919</v>
      </c>
      <c r="U876" s="3" t="s">
        <v>93</v>
      </c>
      <c r="Y876" t="s">
        <v>92</v>
      </c>
      <c r="AB876" t="s">
        <v>92</v>
      </c>
      <c r="AH876" t="s">
        <v>92</v>
      </c>
      <c r="AJ876" t="e">
        <f>VLOOKUP(E876,temp1,1,FALSE)</f>
        <v>#NAME?</v>
      </c>
      <c r="AL876" t="str">
        <f t="shared" si="66"/>
        <v>ALTER TABLE exSystem ALTER COLUMN SchemaName DROP NOT NULL</v>
      </c>
      <c r="AP876" t="e">
        <f>VLOOKUP(E876,temp6,1,FALSE)</f>
        <v>#NAME?</v>
      </c>
    </row>
    <row r="877" spans="1:42" ht="15" hidden="1" customHeight="1">
      <c r="A877">
        <v>23160</v>
      </c>
      <c r="B877" s="3" t="s">
        <v>1475</v>
      </c>
      <c r="C877" s="3" t="str">
        <f t="shared" si="64"/>
        <v>exSystem.ProductionVersion</v>
      </c>
      <c r="D877" s="3">
        <v>807</v>
      </c>
      <c r="E877" s="3" t="str">
        <f t="shared" si="62"/>
        <v>exSystem</v>
      </c>
      <c r="F877" t="s">
        <v>6302</v>
      </c>
      <c r="G877" s="3" t="s">
        <v>6305</v>
      </c>
      <c r="H877" s="3" t="str">
        <f t="shared" si="63"/>
        <v>DataExchange.System</v>
      </c>
      <c r="I877"/>
      <c r="K877" s="3" t="s">
        <v>1228</v>
      </c>
      <c r="M877" t="s">
        <v>195</v>
      </c>
      <c r="Q877" s="3" t="s">
        <v>92</v>
      </c>
      <c r="U877" s="3" t="s">
        <v>93</v>
      </c>
      <c r="W877" s="3"/>
      <c r="X877" s="3"/>
      <c r="AB877" t="s">
        <v>92</v>
      </c>
      <c r="AH877" t="s">
        <v>92</v>
      </c>
      <c r="AJ877" t="e">
        <f>VLOOKUP(E877,temp1,1,FALSE)</f>
        <v>#NAME?</v>
      </c>
      <c r="AK877" t="str">
        <f>"SELECT (SELECT '"&amp;C877&amp;"' ColumnName from "&amp;E877&amp;" where "&amp;F877&amp;" is null and exists (select from "&amp;E877&amp;") limit 1) a union all"</f>
        <v>SELECT (SELECT 'exSystem.ProductionVersion' ColumnName from exSystem where ProductionVersion is null and exists (select from exSystem) limit 1) a union all</v>
      </c>
      <c r="AP877" t="e">
        <f>VLOOKUP(E877,temp6,1,FALSE)</f>
        <v>#NAME?</v>
      </c>
    </row>
    <row r="878" spans="1:42" ht="15" hidden="1" customHeight="1">
      <c r="A878">
        <v>23170</v>
      </c>
      <c r="B878" s="3" t="s">
        <v>1475</v>
      </c>
      <c r="C878" s="3" t="str">
        <f t="shared" si="64"/>
        <v>exSystem.TestVersion</v>
      </c>
      <c r="D878" s="3">
        <v>807</v>
      </c>
      <c r="E878" s="3" t="str">
        <f t="shared" si="62"/>
        <v>exSystem</v>
      </c>
      <c r="F878" t="s">
        <v>6303</v>
      </c>
      <c r="G878" s="3" t="s">
        <v>6304</v>
      </c>
      <c r="H878" s="3" t="str">
        <f t="shared" si="63"/>
        <v>DataExchange.System</v>
      </c>
      <c r="I878"/>
      <c r="K878" s="3" t="s">
        <v>6295</v>
      </c>
      <c r="M878" t="s">
        <v>195</v>
      </c>
      <c r="Q878" s="3" t="s">
        <v>92</v>
      </c>
      <c r="U878" s="3" t="s">
        <v>93</v>
      </c>
      <c r="W878" s="3"/>
      <c r="X878" s="3"/>
      <c r="AB878" t="s">
        <v>92</v>
      </c>
      <c r="AH878" t="s">
        <v>92</v>
      </c>
      <c r="AJ878" t="e">
        <f>VLOOKUP(E878,temp1,1,FALSE)</f>
        <v>#NAME?</v>
      </c>
      <c r="AK878" t="str">
        <f>"SELECT (SELECT '"&amp;C878&amp;"' ColumnName from "&amp;E878&amp;" where "&amp;F878&amp;" is null and exists (select from "&amp;E878&amp;") limit 1) a union all"</f>
        <v>SELECT (SELECT 'exSystem.TestVersion' ColumnName from exSystem where TestVersion is null and exists (select from exSystem) limit 1) a union all</v>
      </c>
      <c r="AP878" t="e">
        <f>VLOOKUP(E878,temp6,1,FALSE)</f>
        <v>#NAME?</v>
      </c>
    </row>
    <row r="879" spans="1:42" ht="15" hidden="1" customHeight="1">
      <c r="A879">
        <v>23180</v>
      </c>
      <c r="B879" s="3" t="s">
        <v>1475</v>
      </c>
      <c r="C879" s="3" t="str">
        <f t="shared" si="64"/>
        <v>exSystem.SubscriptionKey</v>
      </c>
      <c r="D879" s="3">
        <v>807</v>
      </c>
      <c r="E879" s="3" t="str">
        <f t="shared" si="62"/>
        <v>exSystem</v>
      </c>
      <c r="F879" t="s">
        <v>6317</v>
      </c>
      <c r="G879" s="3" t="s">
        <v>6321</v>
      </c>
      <c r="H879" s="3" t="str">
        <f t="shared" si="63"/>
        <v>DataExchange.System</v>
      </c>
      <c r="I879"/>
      <c r="K879" t="s">
        <v>6320</v>
      </c>
      <c r="M879" t="s">
        <v>196</v>
      </c>
      <c r="Q879" s="3" t="s">
        <v>92</v>
      </c>
      <c r="U879" s="3" t="s">
        <v>93</v>
      </c>
      <c r="W879" s="3"/>
      <c r="X879" s="3"/>
      <c r="AB879" t="s">
        <v>92</v>
      </c>
      <c r="AH879" t="s">
        <v>92</v>
      </c>
      <c r="AJ879" t="e">
        <f>VLOOKUP(E879,temp1,1,FALSE)</f>
        <v>#NAME?</v>
      </c>
      <c r="AK879" t="str">
        <f>"SELECT (SELECT '"&amp;C879&amp;"' ColumnName from "&amp;E879&amp;" where "&amp;F879&amp;" is null and exists (select from "&amp;E879&amp;") limit 1) a union all"</f>
        <v>SELECT (SELECT 'exSystem.SubscriptionKey' ColumnName from exSystem where SubscriptionKey is null and exists (select from exSystem) limit 1) a union all</v>
      </c>
      <c r="AP879" t="e">
        <f>VLOOKUP(E879,temp6,1,FALSE)</f>
        <v>#NAME?</v>
      </c>
    </row>
    <row r="880" spans="1:42" ht="15" hidden="1" customHeight="1">
      <c r="A880">
        <v>23190</v>
      </c>
      <c r="B880" s="3" t="s">
        <v>1475</v>
      </c>
      <c r="C880" s="3" t="str">
        <f t="shared" si="64"/>
        <v>exSystem.RowStatus</v>
      </c>
      <c r="D880" s="3">
        <v>807</v>
      </c>
      <c r="E880" s="3" t="str">
        <f t="shared" si="62"/>
        <v>exSystem</v>
      </c>
      <c r="F880" t="s">
        <v>1445</v>
      </c>
      <c r="G880" s="3" t="s">
        <v>6411</v>
      </c>
      <c r="H880" s="3" t="str">
        <f t="shared" si="63"/>
        <v>DataExchange.System</v>
      </c>
      <c r="I880"/>
      <c r="K880" t="s">
        <v>2471</v>
      </c>
      <c r="M880" t="s">
        <v>976</v>
      </c>
      <c r="N880">
        <v>1</v>
      </c>
      <c r="Q880" s="3" t="s">
        <v>919</v>
      </c>
      <c r="U880" s="3" t="s">
        <v>94</v>
      </c>
      <c r="AJ880" t="e">
        <f>VLOOKUP(E880,temp1,1,FALSE)</f>
        <v>#NAME?</v>
      </c>
      <c r="AL880" t="str">
        <f>"ALTER TABLE "&amp;E880&amp;" ALTER COLUMN "&amp;F880&amp;" DROP NOT NULL"</f>
        <v>ALTER TABLE exSystem ALTER COLUMN RowStatus DROP NOT NULL</v>
      </c>
      <c r="AP880" t="e">
        <f>VLOOKUP(E880,temp6,1,FALSE)</f>
        <v>#NAME?</v>
      </c>
    </row>
    <row r="881" spans="1:42" ht="15" hidden="1" customHeight="1">
      <c r="A881">
        <v>23200</v>
      </c>
      <c r="B881" t="s">
        <v>1475</v>
      </c>
      <c r="C881" s="3" t="str">
        <f t="shared" si="64"/>
        <v>exSystem.sysChangeHistoryID</v>
      </c>
      <c r="D881" s="3">
        <v>807</v>
      </c>
      <c r="E881" s="3" t="str">
        <f t="shared" si="62"/>
        <v>exSystem</v>
      </c>
      <c r="F881" t="s">
        <v>2497</v>
      </c>
      <c r="G881" s="3" t="s">
        <v>6403</v>
      </c>
      <c r="H881" s="3" t="str">
        <f t="shared" si="63"/>
        <v>DataExchange.System</v>
      </c>
      <c r="I881"/>
      <c r="K881" t="s">
        <v>1210</v>
      </c>
      <c r="L881"/>
      <c r="M881" t="s">
        <v>6007</v>
      </c>
      <c r="N881"/>
      <c r="O881"/>
      <c r="P881"/>
      <c r="Q881" t="s">
        <v>92</v>
      </c>
      <c r="R881"/>
      <c r="S881"/>
      <c r="U881" t="s">
        <v>1429</v>
      </c>
      <c r="W881" s="3"/>
      <c r="X881" s="3"/>
      <c r="AJ881" t="e">
        <f>VLOOKUP(E881,temp1,1,FALSE)</f>
        <v>#NAME?</v>
      </c>
      <c r="AK881" t="str">
        <f>"SELECT (SELECT '"&amp;C881&amp;"' ColumnName from "&amp;E881&amp;" where "&amp;F881&amp;" is null and exists (select from "&amp;E881&amp;") limit 1) a union all"</f>
        <v>SELECT (SELECT 'exSystem.sysChangeHistoryID' ColumnName from exSystem where sysChangeHistoryID is null and exists (select from exSystem) limit 1) a union all</v>
      </c>
      <c r="AP881" t="e">
        <f>VLOOKUP(E881,temp6,1,FALSE)</f>
        <v>#NAME?</v>
      </c>
    </row>
    <row r="882" spans="1:42" ht="15" hidden="1" customHeight="1">
      <c r="A882">
        <v>23210</v>
      </c>
      <c r="B882" s="3" t="s">
        <v>1475</v>
      </c>
      <c r="C882" s="3" t="str">
        <f t="shared" si="64"/>
        <v>exSubnetServer.ID</v>
      </c>
      <c r="D882" s="3">
        <v>808</v>
      </c>
      <c r="E882" s="3" t="str">
        <f t="shared" si="62"/>
        <v>exSubnetServer</v>
      </c>
      <c r="F882" t="s">
        <v>0</v>
      </c>
      <c r="G882" s="3" t="s">
        <v>7024</v>
      </c>
      <c r="H882" s="3" t="str">
        <f t="shared" si="63"/>
        <v>DataExchange.Subnet Server</v>
      </c>
      <c r="I882"/>
      <c r="K882" t="s">
        <v>0</v>
      </c>
      <c r="M882" t="s">
        <v>6007</v>
      </c>
      <c r="Q882" s="3" t="s">
        <v>919</v>
      </c>
      <c r="U882" s="3" t="s">
        <v>95</v>
      </c>
      <c r="AJ882" t="e">
        <f>VLOOKUP(E882,temp1,1,FALSE)</f>
        <v>#NAME?</v>
      </c>
      <c r="AL882" t="str">
        <f>"ALTER TABLE "&amp;E882&amp;" ALTER COLUMN "&amp;F882&amp;" DROP NOT NULL"</f>
        <v>ALTER TABLE exSubnetServer ALTER COLUMN ID DROP NOT NULL</v>
      </c>
      <c r="AP882" t="e">
        <f>VLOOKUP(E882,temp6,1,FALSE)</f>
        <v>#NAME?</v>
      </c>
    </row>
    <row r="883" spans="1:42" ht="15" hidden="1" customHeight="1">
      <c r="A883">
        <v>23220</v>
      </c>
      <c r="B883" s="3" t="s">
        <v>1475</v>
      </c>
      <c r="C883" s="3" t="str">
        <f t="shared" si="64"/>
        <v>exSubnetServer.Name</v>
      </c>
      <c r="D883" s="3">
        <v>808</v>
      </c>
      <c r="E883" s="3" t="str">
        <f t="shared" si="62"/>
        <v>exSubnetServer</v>
      </c>
      <c r="F883" t="s">
        <v>22</v>
      </c>
      <c r="G883" s="3" t="s">
        <v>6996</v>
      </c>
      <c r="H883" s="3" t="str">
        <f t="shared" si="63"/>
        <v>DataExchange.Subnet Server</v>
      </c>
      <c r="I883"/>
      <c r="K883" t="s">
        <v>6293</v>
      </c>
      <c r="M883" s="3" t="s">
        <v>196</v>
      </c>
      <c r="Q883" s="3" t="s">
        <v>919</v>
      </c>
      <c r="U883" s="3" t="s">
        <v>93</v>
      </c>
      <c r="Y883" t="s">
        <v>92</v>
      </c>
      <c r="AB883" t="s">
        <v>92</v>
      </c>
      <c r="AH883" t="s">
        <v>92</v>
      </c>
      <c r="AJ883" t="e">
        <f>VLOOKUP(E883,temp1,1,FALSE)</f>
        <v>#NAME?</v>
      </c>
      <c r="AL883" t="str">
        <f>"ALTER TABLE "&amp;E883&amp;" ALTER COLUMN "&amp;F883&amp;" DROP NOT NULL"</f>
        <v>ALTER TABLE exSubnetServer ALTER COLUMN Name DROP NOT NULL</v>
      </c>
      <c r="AP883" t="e">
        <f>VLOOKUP(E883,temp6,1,FALSE)</f>
        <v>#NAME?</v>
      </c>
    </row>
    <row r="884" spans="1:42" ht="15" hidden="1" customHeight="1">
      <c r="A884">
        <v>23230</v>
      </c>
      <c r="B884" s="3" t="s">
        <v>1475</v>
      </c>
      <c r="C884" s="3" t="str">
        <f t="shared" si="64"/>
        <v>exSubnetServer.SystemIDSubnetServer</v>
      </c>
      <c r="D884" s="3">
        <v>808</v>
      </c>
      <c r="E884" s="3" t="str">
        <f t="shared" si="62"/>
        <v>exSubnetServer</v>
      </c>
      <c r="F884" t="s">
        <v>7025</v>
      </c>
      <c r="G884" s="3" t="s">
        <v>6292</v>
      </c>
      <c r="H884" s="3" t="str">
        <f t="shared" si="63"/>
        <v>DataExchange.Subnet Server</v>
      </c>
      <c r="I884"/>
      <c r="K884" t="s">
        <v>6206</v>
      </c>
      <c r="M884" s="3" t="s">
        <v>195</v>
      </c>
      <c r="Q884" s="3" t="s">
        <v>919</v>
      </c>
      <c r="U884" s="3" t="s">
        <v>93</v>
      </c>
      <c r="AB884" t="s">
        <v>92</v>
      </c>
      <c r="AJ884" t="e">
        <f>VLOOKUP(E884,temp1,1,FALSE)</f>
        <v>#NAME?</v>
      </c>
      <c r="AL884" t="str">
        <f>"ALTER TABLE "&amp;E884&amp;" ALTER COLUMN "&amp;F884&amp;" DROP NOT NULL"</f>
        <v>ALTER TABLE exSubnetServer ALTER COLUMN SystemIDSubnetServer DROP NOT NULL</v>
      </c>
      <c r="AP884" t="e">
        <f>VLOOKUP(E884,temp6,1,FALSE)</f>
        <v>#NAME?</v>
      </c>
    </row>
    <row r="885" spans="1:42" ht="15" hidden="1" customHeight="1">
      <c r="A885">
        <v>23240</v>
      </c>
      <c r="B885" s="3" t="s">
        <v>1475</v>
      </c>
      <c r="C885" s="3" t="str">
        <f t="shared" si="64"/>
        <v>exSubnetServer.RowStatus</v>
      </c>
      <c r="D885" s="3">
        <v>808</v>
      </c>
      <c r="E885" s="3" t="str">
        <f t="shared" si="62"/>
        <v>exSubnetServer</v>
      </c>
      <c r="F885" t="s">
        <v>1445</v>
      </c>
      <c r="G885" s="3" t="s">
        <v>6411</v>
      </c>
      <c r="H885" s="3" t="str">
        <f t="shared" si="63"/>
        <v>DataExchange.Subnet Server</v>
      </c>
      <c r="I885"/>
      <c r="K885" t="s">
        <v>6294</v>
      </c>
      <c r="M885" t="s">
        <v>976</v>
      </c>
      <c r="N885">
        <v>1</v>
      </c>
      <c r="Q885" s="3" t="s">
        <v>919</v>
      </c>
      <c r="U885" s="3" t="s">
        <v>94</v>
      </c>
      <c r="AJ885" t="e">
        <f>VLOOKUP(E885,temp1,1,FALSE)</f>
        <v>#NAME?</v>
      </c>
      <c r="AL885" t="str">
        <f>"ALTER TABLE "&amp;E885&amp;" ALTER COLUMN "&amp;F885&amp;" DROP NOT NULL"</f>
        <v>ALTER TABLE exSubnetServer ALTER COLUMN RowStatus DROP NOT NULL</v>
      </c>
      <c r="AP885" t="e">
        <f>VLOOKUP(E885,temp6,1,FALSE)</f>
        <v>#NAME?</v>
      </c>
    </row>
    <row r="886" spans="1:42" ht="15" hidden="1" customHeight="1">
      <c r="A886">
        <v>23250</v>
      </c>
      <c r="B886" t="s">
        <v>1475</v>
      </c>
      <c r="C886" s="3" t="str">
        <f t="shared" si="64"/>
        <v>exSubnetServer.sysChangeHistoryID</v>
      </c>
      <c r="D886" s="3">
        <v>808</v>
      </c>
      <c r="E886" s="3" t="str">
        <f t="shared" si="62"/>
        <v>exSubnetServer</v>
      </c>
      <c r="F886" t="s">
        <v>2497</v>
      </c>
      <c r="G886" s="3" t="s">
        <v>6403</v>
      </c>
      <c r="H886" s="3" t="str">
        <f t="shared" si="63"/>
        <v>DataExchange.Subnet Server</v>
      </c>
      <c r="I886"/>
      <c r="K886" t="s">
        <v>1210</v>
      </c>
      <c r="L886"/>
      <c r="M886" t="s">
        <v>6007</v>
      </c>
      <c r="N886"/>
      <c r="O886"/>
      <c r="P886"/>
      <c r="Q886" t="s">
        <v>92</v>
      </c>
      <c r="R886"/>
      <c r="S886"/>
      <c r="U886" t="s">
        <v>1429</v>
      </c>
      <c r="W886" s="3"/>
      <c r="X886" s="3"/>
      <c r="AJ886" t="e">
        <f>VLOOKUP(E886,temp1,1,FALSE)</f>
        <v>#NAME?</v>
      </c>
      <c r="AK886" t="str">
        <f>"SELECT (SELECT '"&amp;C886&amp;"' ColumnName from "&amp;E886&amp;" where "&amp;F886&amp;" is null and exists (select from "&amp;E886&amp;") limit 1) a union all"</f>
        <v>SELECT (SELECT 'exSubnetServer.sysChangeHistoryID' ColumnName from exSubnetServer where sysChangeHistoryID is null and exists (select from exSubnetServer) limit 1) a union all</v>
      </c>
      <c r="AP886" t="e">
        <f>VLOOKUP(E886,temp6,1,FALSE)</f>
        <v>#NAME?</v>
      </c>
    </row>
    <row r="887" spans="1:42" ht="15" hidden="1" customHeight="1">
      <c r="A887">
        <v>23260</v>
      </c>
      <c r="B887" s="3" t="s">
        <v>1475</v>
      </c>
      <c r="C887" s="3" t="str">
        <f t="shared" si="64"/>
        <v>exMessage.ID</v>
      </c>
      <c r="D887" s="3">
        <v>809</v>
      </c>
      <c r="E887" s="3" t="str">
        <f t="shared" si="62"/>
        <v>exMessage</v>
      </c>
      <c r="F887" t="s">
        <v>0</v>
      </c>
      <c r="G887" s="3" t="s">
        <v>6882</v>
      </c>
      <c r="H887" s="3" t="str">
        <f t="shared" si="63"/>
        <v>DataExchange.Message</v>
      </c>
      <c r="I887"/>
      <c r="K887" t="s">
        <v>0</v>
      </c>
      <c r="M887" t="s">
        <v>6007</v>
      </c>
      <c r="Q887" s="3" t="s">
        <v>919</v>
      </c>
      <c r="U887" s="3" t="s">
        <v>95</v>
      </c>
      <c r="AJ887" t="e">
        <f>VLOOKUP(E887,temp1,1,FALSE)</f>
        <v>#NAME?</v>
      </c>
      <c r="AL887" t="str">
        <f>"ALTER TABLE "&amp;E887&amp;" ALTER COLUMN "&amp;F887&amp;" DROP NOT NULL"</f>
        <v>ALTER TABLE exMessage ALTER COLUMN ID DROP NOT NULL</v>
      </c>
      <c r="AP887" t="e">
        <f>VLOOKUP(E887,temp6,1,FALSE)</f>
        <v>#NAME?</v>
      </c>
    </row>
    <row r="888" spans="1:42" ht="15" hidden="1" customHeight="1">
      <c r="A888">
        <v>23270</v>
      </c>
      <c r="B888" t="s">
        <v>1475</v>
      </c>
      <c r="C888" s="3" t="str">
        <f t="shared" si="64"/>
        <v>exMessage.exHistoryBatchID</v>
      </c>
      <c r="D888" s="3">
        <v>809</v>
      </c>
      <c r="E888" s="3" t="str">
        <f t="shared" si="62"/>
        <v>exMessage</v>
      </c>
      <c r="F888" t="str">
        <f>VLOOKUP(V888,DictionaryTableID,3,FALSE)&amp;"ID"&amp;X888</f>
        <v>exHistoryBatchID</v>
      </c>
      <c r="G888" s="3" t="s">
        <v>6334</v>
      </c>
      <c r="H888" s="3" t="str">
        <f t="shared" si="63"/>
        <v>DataExchange.Message</v>
      </c>
      <c r="I888"/>
      <c r="K888" t="s">
        <v>6364</v>
      </c>
      <c r="L888"/>
      <c r="M888" t="s">
        <v>6007</v>
      </c>
      <c r="N888"/>
      <c r="O888"/>
      <c r="P888"/>
      <c r="Q888" t="s">
        <v>919</v>
      </c>
      <c r="R888"/>
      <c r="S888"/>
      <c r="U888" t="s">
        <v>96</v>
      </c>
      <c r="V888">
        <v>805</v>
      </c>
      <c r="W888" s="3" t="str">
        <f>VLOOKUP(V888,DictionaryTableID,3,FALSE)</f>
        <v>exHistoryBatch</v>
      </c>
      <c r="X888" s="3"/>
      <c r="AJ888" t="e">
        <f>VLOOKUP(E888,temp1,1,FALSE)</f>
        <v>#NAME?</v>
      </c>
      <c r="AL888" t="str">
        <f>"ALTER TABLE "&amp;E888&amp;" ALTER COLUMN "&amp;F888&amp;" DROP NOT NULL"</f>
        <v>ALTER TABLE exMessage ALTER COLUMN exHistoryBatchID DROP NOT NULL</v>
      </c>
      <c r="AP888" t="e">
        <f>VLOOKUP(E888,temp6,1,FALSE)</f>
        <v>#NAME?</v>
      </c>
    </row>
    <row r="889" spans="1:42" ht="15" hidden="1" customHeight="1">
      <c r="A889">
        <v>23280</v>
      </c>
      <c r="B889" t="s">
        <v>1475</v>
      </c>
      <c r="C889" s="3" t="str">
        <f t="shared" si="64"/>
        <v>exMessage.exHistoryID</v>
      </c>
      <c r="D889" s="3">
        <v>809</v>
      </c>
      <c r="E889" s="3" t="str">
        <f t="shared" si="62"/>
        <v>exMessage</v>
      </c>
      <c r="F889" t="str">
        <f>VLOOKUP(V889,DictionaryTableID,3,FALSE)&amp;"ID"&amp;X889</f>
        <v>exHistoryID</v>
      </c>
      <c r="G889" s="3" t="s">
        <v>6335</v>
      </c>
      <c r="H889" s="3" t="str">
        <f t="shared" si="63"/>
        <v>DataExchange.Message</v>
      </c>
      <c r="I889"/>
      <c r="K889" t="s">
        <v>6365</v>
      </c>
      <c r="L889"/>
      <c r="M889" t="s">
        <v>6007</v>
      </c>
      <c r="N889"/>
      <c r="O889"/>
      <c r="P889"/>
      <c r="Q889" t="s">
        <v>92</v>
      </c>
      <c r="R889"/>
      <c r="S889"/>
      <c r="U889" t="s">
        <v>96</v>
      </c>
      <c r="V889">
        <v>806</v>
      </c>
      <c r="W889" s="3" t="str">
        <f>VLOOKUP(V889,DictionaryTableID,3,FALSE)</f>
        <v>exHistory</v>
      </c>
      <c r="AJ889" t="e">
        <f>VLOOKUP(E889,temp1,1,FALSE)</f>
        <v>#NAME?</v>
      </c>
      <c r="AK889" t="str">
        <f>"SELECT (SELECT '"&amp;C889&amp;"' ColumnName from "&amp;E889&amp;" where "&amp;F889&amp;" is null and exists (select from "&amp;E889&amp;") limit 1) a union all"</f>
        <v>SELECT (SELECT 'exMessage.exHistoryID' ColumnName from exMessage where exHistoryID is null and exists (select from exMessage) limit 1) a union all</v>
      </c>
      <c r="AP889" t="e">
        <f>VLOOKUP(E889,temp6,1,FALSE)</f>
        <v>#NAME?</v>
      </c>
    </row>
    <row r="890" spans="1:42" ht="15" hidden="1" customHeight="1">
      <c r="A890">
        <v>23290</v>
      </c>
      <c r="B890" s="3" t="s">
        <v>1475</v>
      </c>
      <c r="C890" s="3" t="str">
        <f t="shared" si="64"/>
        <v>exMessage.sysDictionaryTableID</v>
      </c>
      <c r="D890" s="3">
        <v>809</v>
      </c>
      <c r="E890" s="3" t="str">
        <f t="shared" si="62"/>
        <v>exMessage</v>
      </c>
      <c r="F890" t="str">
        <f>VLOOKUP(V890,DictionaryTableID,3,FALSE)&amp;"ID"&amp;X890</f>
        <v>sysDictionaryTableID</v>
      </c>
      <c r="G890" s="3" t="s">
        <v>6336</v>
      </c>
      <c r="H890" s="3" t="str">
        <f t="shared" si="63"/>
        <v>DataExchange.Message</v>
      </c>
      <c r="I890"/>
      <c r="K890" t="s">
        <v>2488</v>
      </c>
      <c r="M890" t="s">
        <v>6007</v>
      </c>
      <c r="Q890" s="3" t="s">
        <v>92</v>
      </c>
      <c r="U890" s="3" t="s">
        <v>96</v>
      </c>
      <c r="V890">
        <v>1</v>
      </c>
      <c r="W890" s="3" t="str">
        <f>VLOOKUP(V890,DictionaryTableID,3,FALSE)</f>
        <v>sysDictionaryTable</v>
      </c>
      <c r="AJ890" t="e">
        <f>VLOOKUP(E890,temp1,1,FALSE)</f>
        <v>#NAME?</v>
      </c>
      <c r="AK890" t="str">
        <f>"SELECT (SELECT '"&amp;C890&amp;"' ColumnName from "&amp;E890&amp;" where "&amp;F890&amp;" is null and exists (select from "&amp;E890&amp;") limit 1) a union all"</f>
        <v>SELECT (SELECT 'exMessage.sysDictionaryTableID' ColumnName from exMessage where sysDictionaryTableID is null and exists (select from exMessage) limit 1) a union all</v>
      </c>
      <c r="AP890" t="e">
        <f>VLOOKUP(E890,temp6,1,FALSE)</f>
        <v>#NAME?</v>
      </c>
    </row>
    <row r="891" spans="1:42" ht="15" hidden="1" customHeight="1">
      <c r="A891">
        <v>23295</v>
      </c>
      <c r="B891" t="s">
        <v>1475</v>
      </c>
      <c r="C891" s="3" t="str">
        <f t="shared" si="64"/>
        <v>exMessage.sysMessageID</v>
      </c>
      <c r="D891" s="3">
        <v>809</v>
      </c>
      <c r="E891" s="3" t="str">
        <f t="shared" si="62"/>
        <v>exMessage</v>
      </c>
      <c r="F891" t="str">
        <f>VLOOKUP(V891,DictionaryTableID,3,FALSE)&amp;"ID"&amp;X891</f>
        <v>sysMessageID</v>
      </c>
      <c r="G891" s="3" t="s">
        <v>6362</v>
      </c>
      <c r="H891" s="3" t="str">
        <f t="shared" si="63"/>
        <v>DataExchange.Message</v>
      </c>
      <c r="I891"/>
      <c r="K891" t="s">
        <v>6363</v>
      </c>
      <c r="L891"/>
      <c r="M891" t="s">
        <v>6007</v>
      </c>
      <c r="N891"/>
      <c r="O891"/>
      <c r="P891"/>
      <c r="Q891" t="s">
        <v>92</v>
      </c>
      <c r="R891"/>
      <c r="S891"/>
      <c r="U891" t="s">
        <v>96</v>
      </c>
      <c r="V891">
        <v>9</v>
      </c>
      <c r="W891" s="3" t="str">
        <f>VLOOKUP(V891,DictionaryTableID,3,FALSE)</f>
        <v>sysMessage</v>
      </c>
      <c r="X891" s="3"/>
      <c r="AJ891" t="e">
        <f>VLOOKUP(E891,temp1,1,FALSE)</f>
        <v>#NAME?</v>
      </c>
      <c r="AL891" t="str">
        <f>"ALTER TABLE "&amp;E891&amp;" ALTER COLUMN "&amp;F891&amp;" DROP NOT NULL"</f>
        <v>ALTER TABLE exMessage ALTER COLUMN sysMessageID DROP NOT NULL</v>
      </c>
      <c r="AP891" t="e">
        <f>VLOOKUP(E891,temp6,1,FALSE)</f>
        <v>#NAME?</v>
      </c>
    </row>
    <row r="892" spans="1:42" ht="15" hidden="1" customHeight="1">
      <c r="A892">
        <v>23300</v>
      </c>
      <c r="B892" t="s">
        <v>1475</v>
      </c>
      <c r="C892" s="3" t="str">
        <f t="shared" si="64"/>
        <v>exMessage.MessageSeverity</v>
      </c>
      <c r="D892" s="3">
        <v>809</v>
      </c>
      <c r="E892" s="3" t="str">
        <f t="shared" si="62"/>
        <v>exMessage</v>
      </c>
      <c r="F892" t="s">
        <v>6330</v>
      </c>
      <c r="G892" s="3" t="s">
        <v>6343</v>
      </c>
      <c r="H892" s="3" t="str">
        <f t="shared" si="63"/>
        <v>DataExchange.Message</v>
      </c>
      <c r="I892"/>
      <c r="K892" t="s">
        <v>6331</v>
      </c>
      <c r="L892"/>
      <c r="M892" t="s">
        <v>195</v>
      </c>
      <c r="N892"/>
      <c r="O892"/>
      <c r="P892"/>
      <c r="Q892" t="s">
        <v>919</v>
      </c>
      <c r="R892"/>
      <c r="S892"/>
      <c r="U892" t="s">
        <v>93</v>
      </c>
      <c r="W892" s="3"/>
      <c r="X892" s="3"/>
      <c r="AJ892" t="e">
        <f>VLOOKUP(E892,temp1,1,FALSE)</f>
        <v>#NAME?</v>
      </c>
      <c r="AK892" t="str">
        <f>"SELECT (SELECT '"&amp;C892&amp;"' ColumnName from "&amp;E892&amp;" where "&amp;F892&amp;" is null and exists (select from "&amp;E892&amp;") limit 1) a union all"</f>
        <v>SELECT (SELECT 'exMessage.MessageSeverity' ColumnName from exMessage where MessageSeverity is null and exists (select from exMessage) limit 1) a union all</v>
      </c>
      <c r="AP892" t="e">
        <f>VLOOKUP(E892,temp6,1,FALSE)</f>
        <v>#NAME?</v>
      </c>
    </row>
    <row r="893" spans="1:42" ht="15" hidden="1" customHeight="1">
      <c r="A893">
        <v>23310</v>
      </c>
      <c r="B893" t="s">
        <v>1475</v>
      </c>
      <c r="C893" s="3" t="str">
        <f t="shared" si="64"/>
        <v>exMessage.IsOverridden</v>
      </c>
      <c r="D893" s="3">
        <v>809</v>
      </c>
      <c r="E893" s="3" t="str">
        <f t="shared" si="62"/>
        <v>exMessage</v>
      </c>
      <c r="F893" t="s">
        <v>6332</v>
      </c>
      <c r="G893" s="3" t="s">
        <v>6337</v>
      </c>
      <c r="H893" s="3" t="str">
        <f t="shared" si="63"/>
        <v>DataExchange.Message</v>
      </c>
      <c r="I893"/>
      <c r="K893" t="s">
        <v>6333</v>
      </c>
      <c r="L893"/>
      <c r="M893" t="s">
        <v>2402</v>
      </c>
      <c r="N893"/>
      <c r="O893"/>
      <c r="P893"/>
      <c r="Q893" t="s">
        <v>919</v>
      </c>
      <c r="R893"/>
      <c r="S893" t="b">
        <v>0</v>
      </c>
      <c r="U893" t="s">
        <v>93</v>
      </c>
      <c r="W893" s="3"/>
      <c r="X893" s="3"/>
      <c r="AJ893" t="e">
        <f>VLOOKUP(E893,temp1,1,FALSE)</f>
        <v>#NAME?</v>
      </c>
      <c r="AK893" t="str">
        <f>"SELECT (SELECT '"&amp;C893&amp;"' ColumnName from "&amp;E893&amp;" where "&amp;F893&amp;" is null and exists (select from "&amp;E893&amp;") limit 1) a union all"</f>
        <v>SELECT (SELECT 'exMessage.IsOverridden' ColumnName from exMessage where IsOverridden is null and exists (select from exMessage) limit 1) a union all</v>
      </c>
      <c r="AP893" t="e">
        <f>VLOOKUP(E893,temp6,1,FALSE)</f>
        <v>#NAME?</v>
      </c>
    </row>
    <row r="894" spans="1:42" ht="15" hidden="1" customHeight="1">
      <c r="A894">
        <v>23320</v>
      </c>
      <c r="B894" t="s">
        <v>1475</v>
      </c>
      <c r="C894" s="3" t="str">
        <f t="shared" si="64"/>
        <v>exMessage.Description</v>
      </c>
      <c r="D894" s="3">
        <v>809</v>
      </c>
      <c r="E894" s="3" t="str">
        <f t="shared" si="62"/>
        <v>exMessage</v>
      </c>
      <c r="F894" t="s">
        <v>12</v>
      </c>
      <c r="G894" s="3" t="s">
        <v>1375</v>
      </c>
      <c r="H894" s="3" t="str">
        <f t="shared" si="63"/>
        <v>DataExchange.Message</v>
      </c>
      <c r="I894"/>
      <c r="K894" t="s">
        <v>12</v>
      </c>
      <c r="L894"/>
      <c r="M894" t="s">
        <v>196</v>
      </c>
      <c r="N894"/>
      <c r="O894"/>
      <c r="P894"/>
      <c r="Q894" t="s">
        <v>919</v>
      </c>
      <c r="R894"/>
      <c r="S894"/>
      <c r="U894" t="s">
        <v>93</v>
      </c>
      <c r="W894" s="3"/>
      <c r="X894" s="3"/>
      <c r="AJ894" t="e">
        <f>VLOOKUP(E894,temp1,1,FALSE)</f>
        <v>#NAME?</v>
      </c>
      <c r="AL894" t="str">
        <f>"ALTER TABLE "&amp;E894&amp;" ALTER COLUMN "&amp;F894&amp;" DROP NOT NULL"</f>
        <v>ALTER TABLE exMessage ALTER COLUMN Description DROP NOT NULL</v>
      </c>
      <c r="AP894" t="e">
        <f>VLOOKUP(E894,temp6,1,FALSE)</f>
        <v>#NAME?</v>
      </c>
    </row>
    <row r="895" spans="1:42" ht="15" hidden="1" customHeight="1">
      <c r="A895">
        <v>23330</v>
      </c>
      <c r="B895" t="s">
        <v>1475</v>
      </c>
      <c r="C895" s="3" t="str">
        <f t="shared" si="64"/>
        <v>exMessage.sysChangeHistoryID</v>
      </c>
      <c r="D895" s="3">
        <v>809</v>
      </c>
      <c r="E895" s="3" t="str">
        <f t="shared" ref="E895:E958" si="67">VLOOKUP(D895,DictionaryTableID,3,FALSE)</f>
        <v>exMessage</v>
      </c>
      <c r="F895" t="s">
        <v>2497</v>
      </c>
      <c r="G895" s="3" t="s">
        <v>6403</v>
      </c>
      <c r="H895" s="3" t="str">
        <f t="shared" ref="H895:H958" si="68">VLOOKUP(E895,DictionaryTables,14,FALSE)</f>
        <v>DataExchange.Message</v>
      </c>
      <c r="I895"/>
      <c r="K895" t="s">
        <v>1210</v>
      </c>
      <c r="L895"/>
      <c r="M895" t="s">
        <v>6007</v>
      </c>
      <c r="N895"/>
      <c r="O895"/>
      <c r="P895"/>
      <c r="Q895" t="s">
        <v>92</v>
      </c>
      <c r="R895"/>
      <c r="S895"/>
      <c r="U895" t="s">
        <v>1429</v>
      </c>
      <c r="W895" s="3"/>
      <c r="X895" s="3"/>
      <c r="AJ895" t="e">
        <f>VLOOKUP(E895,temp1,1,FALSE)</f>
        <v>#NAME?</v>
      </c>
      <c r="AK895" t="str">
        <f>"SELECT (SELECT '"&amp;C895&amp;"' ColumnName from "&amp;E895&amp;" where "&amp;F895&amp;" is null and exists (select from "&amp;E895&amp;") limit 1) a union all"</f>
        <v>SELECT (SELECT 'exMessage.sysChangeHistoryID' ColumnName from exMessage where sysChangeHistoryID is null and exists (select from exMessage) limit 1) a union all</v>
      </c>
      <c r="AP895" t="e">
        <f>VLOOKUP(E895,temp6,1,FALSE)</f>
        <v>#NAME?</v>
      </c>
    </row>
    <row r="896" spans="1:42" ht="15" hidden="1" customHeight="1">
      <c r="A896">
        <v>23340</v>
      </c>
      <c r="B896" s="3" t="s">
        <v>1475</v>
      </c>
      <c r="C896" s="3" t="str">
        <f t="shared" si="64"/>
        <v>exMessageOverride.ID</v>
      </c>
      <c r="D896" s="3">
        <v>810</v>
      </c>
      <c r="E896" s="3" t="str">
        <f t="shared" si="67"/>
        <v>exMessageOverride</v>
      </c>
      <c r="F896" t="s">
        <v>0</v>
      </c>
      <c r="G896" s="3" t="s">
        <v>6883</v>
      </c>
      <c r="H896" s="3" t="str">
        <f t="shared" si="68"/>
        <v>DataExchange.Message Override</v>
      </c>
      <c r="I896"/>
      <c r="K896" t="s">
        <v>0</v>
      </c>
      <c r="M896" t="s">
        <v>6007</v>
      </c>
      <c r="Q896" s="3" t="s">
        <v>919</v>
      </c>
      <c r="U896" s="3" t="s">
        <v>95</v>
      </c>
      <c r="AJ896" t="e">
        <f>VLOOKUP(E896,temp1,1,FALSE)</f>
        <v>#NAME?</v>
      </c>
      <c r="AL896" t="str">
        <f>"ALTER TABLE "&amp;E896&amp;" ALTER COLUMN "&amp;F896&amp;" DROP NOT NULL"</f>
        <v>ALTER TABLE exMessageOverride ALTER COLUMN ID DROP NOT NULL</v>
      </c>
      <c r="AP896" t="e">
        <f>VLOOKUP(E896,temp6,1,FALSE)</f>
        <v>#NAME?</v>
      </c>
    </row>
    <row r="897" spans="1:42" ht="15" hidden="1" customHeight="1">
      <c r="A897">
        <v>23360</v>
      </c>
      <c r="B897" s="3" t="s">
        <v>1475</v>
      </c>
      <c r="C897" s="3" t="str">
        <f t="shared" si="64"/>
        <v>exMessageOverride.sysDictionaryTableID</v>
      </c>
      <c r="D897" s="3">
        <v>810</v>
      </c>
      <c r="E897" s="3" t="str">
        <f t="shared" si="67"/>
        <v>exMessageOverride</v>
      </c>
      <c r="F897" t="str">
        <f>VLOOKUP(V897,DictionaryTableID,3,FALSE)&amp;"ID"&amp;X897</f>
        <v>sysDictionaryTableID</v>
      </c>
      <c r="G897" s="3" t="s">
        <v>6373</v>
      </c>
      <c r="H897" s="3" t="str">
        <f t="shared" si="68"/>
        <v>DataExchange.Message Override</v>
      </c>
      <c r="I897"/>
      <c r="K897" t="s">
        <v>2488</v>
      </c>
      <c r="M897" t="s">
        <v>6007</v>
      </c>
      <c r="Q897" s="3" t="s">
        <v>919</v>
      </c>
      <c r="U897" s="3" t="s">
        <v>96</v>
      </c>
      <c r="V897">
        <v>1</v>
      </c>
      <c r="W897" s="3" t="str">
        <f>VLOOKUP(V897,DictionaryTableID,3,FALSE)</f>
        <v>sysDictionaryTable</v>
      </c>
      <c r="AB897" t="s">
        <v>92</v>
      </c>
      <c r="AJ897" t="e">
        <f>VLOOKUP(E897,temp1,1,FALSE)</f>
        <v>#NAME?</v>
      </c>
      <c r="AK897" t="str">
        <f>"SELECT (SELECT '"&amp;C897&amp;"' ColumnName from "&amp;E897&amp;" where "&amp;F897&amp;" is null and exists (select from "&amp;E897&amp;") limit 1) a union all"</f>
        <v>SELECT (SELECT 'exMessageOverride.sysDictionaryTableID' ColumnName from exMessageOverride where sysDictionaryTableID is null and exists (select from exMessageOverride) limit 1) a union all</v>
      </c>
      <c r="AP897" t="e">
        <f>VLOOKUP(E897,temp6,1,FALSE)</f>
        <v>#NAME?</v>
      </c>
    </row>
    <row r="898" spans="1:42" ht="15" hidden="1" customHeight="1">
      <c r="A898">
        <v>23370</v>
      </c>
      <c r="B898" t="s">
        <v>1475</v>
      </c>
      <c r="C898" s="3" t="str">
        <f t="shared" ref="C898:C961" si="69">CONCATENATE(E898,".",F898)</f>
        <v>exMessageOverride.sysMessageID</v>
      </c>
      <c r="D898" s="3">
        <v>810</v>
      </c>
      <c r="E898" s="3" t="str">
        <f t="shared" si="67"/>
        <v>exMessageOverride</v>
      </c>
      <c r="F898" t="str">
        <f>VLOOKUP(V898,DictionaryTableID,3,FALSE)&amp;"ID"&amp;X898</f>
        <v>sysMessageID</v>
      </c>
      <c r="G898" s="3" t="s">
        <v>6374</v>
      </c>
      <c r="H898" s="3" t="str">
        <f t="shared" si="68"/>
        <v>DataExchange.Message Override</v>
      </c>
      <c r="I898"/>
      <c r="K898" t="s">
        <v>6363</v>
      </c>
      <c r="L898"/>
      <c r="M898" t="s">
        <v>6007</v>
      </c>
      <c r="N898"/>
      <c r="O898"/>
      <c r="P898"/>
      <c r="Q898" t="s">
        <v>92</v>
      </c>
      <c r="R898"/>
      <c r="S898"/>
      <c r="U898" t="s">
        <v>96</v>
      </c>
      <c r="V898">
        <v>9</v>
      </c>
      <c r="W898" s="3" t="str">
        <f>VLOOKUP(V898,DictionaryTableID,3,FALSE)</f>
        <v>sysMessage</v>
      </c>
      <c r="X898" s="3"/>
      <c r="AB898" t="s">
        <v>92</v>
      </c>
      <c r="AJ898" t="e">
        <f>VLOOKUP(E898,temp1,1,FALSE)</f>
        <v>#NAME?</v>
      </c>
      <c r="AL898" t="str">
        <f>"ALTER TABLE "&amp;E898&amp;" ALTER COLUMN "&amp;F898&amp;" DROP NOT NULL"</f>
        <v>ALTER TABLE exMessageOverride ALTER COLUMN sysMessageID DROP NOT NULL</v>
      </c>
      <c r="AP898" t="e">
        <f>VLOOKUP(E898,temp6,1,FALSE)</f>
        <v>#NAME?</v>
      </c>
    </row>
    <row r="899" spans="1:42" ht="15" hidden="1" customHeight="1">
      <c r="A899">
        <v>23380</v>
      </c>
      <c r="B899" t="s">
        <v>1475</v>
      </c>
      <c r="C899" s="3" t="str">
        <f t="shared" si="69"/>
        <v>exMessageOverride.Description</v>
      </c>
      <c r="D899" s="3">
        <v>810</v>
      </c>
      <c r="E899" s="3" t="str">
        <f t="shared" si="67"/>
        <v>exMessageOverride</v>
      </c>
      <c r="F899" t="s">
        <v>12</v>
      </c>
      <c r="G899" s="3" t="s">
        <v>6375</v>
      </c>
      <c r="H899" s="3" t="str">
        <f t="shared" si="68"/>
        <v>DataExchange.Message Override</v>
      </c>
      <c r="I899"/>
      <c r="K899" t="s">
        <v>12</v>
      </c>
      <c r="L899"/>
      <c r="M899" t="s">
        <v>196</v>
      </c>
      <c r="N899"/>
      <c r="O899"/>
      <c r="P899"/>
      <c r="Q899" t="s">
        <v>919</v>
      </c>
      <c r="R899"/>
      <c r="S899"/>
      <c r="U899" t="s">
        <v>93</v>
      </c>
      <c r="W899" s="3"/>
      <c r="X899" s="3"/>
      <c r="AB899" t="s">
        <v>92</v>
      </c>
      <c r="AJ899" t="e">
        <f>VLOOKUP(E899,temp1,1,FALSE)</f>
        <v>#NAME?</v>
      </c>
      <c r="AL899" t="str">
        <f>"ALTER TABLE "&amp;E899&amp;" ALTER COLUMN "&amp;F899&amp;" DROP NOT NULL"</f>
        <v>ALTER TABLE exMessageOverride ALTER COLUMN Description DROP NOT NULL</v>
      </c>
      <c r="AP899" t="e">
        <f>VLOOKUP(E899,temp6,1,FALSE)</f>
        <v>#NAME?</v>
      </c>
    </row>
    <row r="900" spans="1:42" ht="15" hidden="1" customHeight="1">
      <c r="A900">
        <v>23390</v>
      </c>
      <c r="B900" t="s">
        <v>1475</v>
      </c>
      <c r="C900" s="3" t="str">
        <f t="shared" si="69"/>
        <v>exMessageOverride.sysChangeHistoryID</v>
      </c>
      <c r="D900" s="3">
        <v>810</v>
      </c>
      <c r="E900" s="3" t="str">
        <f t="shared" si="67"/>
        <v>exMessageOverride</v>
      </c>
      <c r="F900" t="s">
        <v>2497</v>
      </c>
      <c r="G900" s="3" t="s">
        <v>6403</v>
      </c>
      <c r="H900" s="3" t="str">
        <f t="shared" si="68"/>
        <v>DataExchange.Message Override</v>
      </c>
      <c r="I900"/>
      <c r="K900" t="s">
        <v>1210</v>
      </c>
      <c r="L900"/>
      <c r="M900" t="s">
        <v>6007</v>
      </c>
      <c r="N900"/>
      <c r="O900"/>
      <c r="P900"/>
      <c r="Q900" t="s">
        <v>92</v>
      </c>
      <c r="R900"/>
      <c r="S900"/>
      <c r="U900" t="s">
        <v>1429</v>
      </c>
      <c r="W900" s="3"/>
      <c r="X900" s="3"/>
      <c r="AJ900" t="e">
        <f>VLOOKUP(E900,temp1,1,FALSE)</f>
        <v>#NAME?</v>
      </c>
      <c r="AK900" t="str">
        <f>"SELECT (SELECT '"&amp;C900&amp;"' ColumnName from "&amp;E900&amp;" where "&amp;F900&amp;" is null and exists (select from "&amp;E900&amp;") limit 1) a union all"</f>
        <v>SELECT (SELECT 'exMessageOverride.sysChangeHistoryID' ColumnName from exMessageOverride where sysChangeHistoryID is null and exists (select from exMessageOverride) limit 1) a union all</v>
      </c>
      <c r="AP900" t="e">
        <f>VLOOKUP(E900,temp6,1,FALSE)</f>
        <v>#NAME?</v>
      </c>
    </row>
    <row r="901" spans="1:42" ht="15" hidden="1" customHeight="1">
      <c r="A901">
        <v>23400</v>
      </c>
      <c r="B901" s="3" t="s">
        <v>1475</v>
      </c>
      <c r="C901" s="3" t="str">
        <f t="shared" si="69"/>
        <v>exGovernance.ID</v>
      </c>
      <c r="D901" s="3">
        <v>811</v>
      </c>
      <c r="E901" s="3" t="str">
        <f t="shared" si="67"/>
        <v>exGovernance</v>
      </c>
      <c r="F901" t="s">
        <v>0</v>
      </c>
      <c r="G901" s="3" t="s">
        <v>6884</v>
      </c>
      <c r="H901" s="3" t="str">
        <f t="shared" si="68"/>
        <v>DataExchange.Governance</v>
      </c>
      <c r="I901"/>
      <c r="K901" t="s">
        <v>0</v>
      </c>
      <c r="M901" t="s">
        <v>6007</v>
      </c>
      <c r="Q901" s="3" t="s">
        <v>919</v>
      </c>
      <c r="U901" s="3" t="s">
        <v>95</v>
      </c>
      <c r="AJ901" t="e">
        <f>VLOOKUP(E901,temp1,1,FALSE)</f>
        <v>#NAME?</v>
      </c>
      <c r="AL901" t="str">
        <f>"ALTER TABLE "&amp;E901&amp;" ALTER COLUMN "&amp;F901&amp;" DROP NOT NULL"</f>
        <v>ALTER TABLE exGovernance ALTER COLUMN ID DROP NOT NULL</v>
      </c>
      <c r="AP901" t="e">
        <f>VLOOKUP(E901,temp6,1,FALSE)</f>
        <v>#NAME?</v>
      </c>
    </row>
    <row r="902" spans="1:42" ht="15" hidden="1" customHeight="1">
      <c r="A902">
        <v>23410</v>
      </c>
      <c r="B902" s="3" t="s">
        <v>1475</v>
      </c>
      <c r="C902" s="3" t="str">
        <f t="shared" si="69"/>
        <v>exGovernance.exSystemID</v>
      </c>
      <c r="D902" s="3">
        <v>811</v>
      </c>
      <c r="E902" s="3" t="str">
        <f t="shared" si="67"/>
        <v>exGovernance</v>
      </c>
      <c r="F902" t="str">
        <f>VLOOKUP(V902,DictionaryTableID,3,FALSE)&amp;"ID"&amp;X902</f>
        <v>exSystemID</v>
      </c>
      <c r="G902" s="3" t="s">
        <v>6885</v>
      </c>
      <c r="H902" s="3" t="str">
        <f t="shared" si="68"/>
        <v>DataExchange.Governance</v>
      </c>
      <c r="I902"/>
      <c r="K902" t="s">
        <v>6188</v>
      </c>
      <c r="M902" t="s">
        <v>6007</v>
      </c>
      <c r="Q902" s="3" t="s">
        <v>919</v>
      </c>
      <c r="U902" s="3" t="s">
        <v>96</v>
      </c>
      <c r="V902">
        <v>807</v>
      </c>
      <c r="W902" s="3" t="str">
        <f>VLOOKUP(V902,DictionaryTableID,3,FALSE)</f>
        <v>exSystem</v>
      </c>
      <c r="Y902" t="s">
        <v>92</v>
      </c>
      <c r="AB902" t="s">
        <v>92</v>
      </c>
      <c r="AJ902" t="e">
        <f>VLOOKUP(E902,temp1,1,FALSE)</f>
        <v>#NAME?</v>
      </c>
      <c r="AL902" t="str">
        <f>"ALTER TABLE "&amp;E902&amp;" ALTER COLUMN "&amp;F902&amp;" DROP NOT NULL"</f>
        <v>ALTER TABLE exGovernance ALTER COLUMN exSystemID DROP NOT NULL</v>
      </c>
      <c r="AP902" t="e">
        <f>VLOOKUP(E902,temp6,1,FALSE)</f>
        <v>#NAME?</v>
      </c>
    </row>
    <row r="903" spans="1:42" ht="15" hidden="1" customHeight="1">
      <c r="A903">
        <v>23420</v>
      </c>
      <c r="B903" s="3" t="s">
        <v>1475</v>
      </c>
      <c r="C903" s="3" t="str">
        <f t="shared" si="69"/>
        <v>exGovernance.exRecordGroupID</v>
      </c>
      <c r="D903" s="3">
        <v>811</v>
      </c>
      <c r="E903" s="3" t="str">
        <f t="shared" si="67"/>
        <v>exGovernance</v>
      </c>
      <c r="F903" t="str">
        <f>VLOOKUP(V903,DictionaryTableID,3,FALSE)&amp;"ID"&amp;X903</f>
        <v>exRecordGroupID</v>
      </c>
      <c r="G903" s="3" t="s">
        <v>6869</v>
      </c>
      <c r="H903" s="3" t="str">
        <f t="shared" si="68"/>
        <v>DataExchange.Governance</v>
      </c>
      <c r="I903"/>
      <c r="K903" t="s">
        <v>6212</v>
      </c>
      <c r="M903" t="s">
        <v>6007</v>
      </c>
      <c r="Q903" s="3" t="s">
        <v>919</v>
      </c>
      <c r="U903" s="3" t="s">
        <v>96</v>
      </c>
      <c r="V903">
        <v>801</v>
      </c>
      <c r="W903" s="3" t="str">
        <f>VLOOKUP(V903,DictionaryTableID,3,FALSE)</f>
        <v>exRecordGroup</v>
      </c>
      <c r="Y903" t="s">
        <v>92</v>
      </c>
      <c r="AB903" t="s">
        <v>92</v>
      </c>
      <c r="AJ903" t="e">
        <f>VLOOKUP(E903,temp1,1,FALSE)</f>
        <v>#NAME?</v>
      </c>
      <c r="AL903" t="str">
        <f>"ALTER TABLE "&amp;E903&amp;" ALTER COLUMN "&amp;F903&amp;" DROP NOT NULL"</f>
        <v>ALTER TABLE exGovernance ALTER COLUMN exRecordGroupID DROP NOT NULL</v>
      </c>
      <c r="AP903" t="e">
        <f>VLOOKUP(E903,temp6,1,FALSE)</f>
        <v>#NAME?</v>
      </c>
    </row>
    <row r="904" spans="1:42" ht="15" hidden="1" customHeight="1">
      <c r="A904">
        <v>23430</v>
      </c>
      <c r="B904" s="3" t="s">
        <v>1475</v>
      </c>
      <c r="C904" s="3" t="str">
        <f t="shared" si="69"/>
        <v>exGovernance.RowIDSubscribedTo</v>
      </c>
      <c r="D904" s="3">
        <v>811</v>
      </c>
      <c r="E904" s="3" t="str">
        <f t="shared" si="67"/>
        <v>exGovernance</v>
      </c>
      <c r="F904" t="s">
        <v>6216</v>
      </c>
      <c r="G904" s="3" t="s">
        <v>6870</v>
      </c>
      <c r="H904" s="3" t="str">
        <f t="shared" si="68"/>
        <v>DataExchange.Governance</v>
      </c>
      <c r="I904"/>
      <c r="K904" t="s">
        <v>6217</v>
      </c>
      <c r="M904" t="s">
        <v>6007</v>
      </c>
      <c r="Q904" s="3" t="s">
        <v>92</v>
      </c>
      <c r="U904" s="3" t="s">
        <v>93</v>
      </c>
      <c r="Y904" t="s">
        <v>92</v>
      </c>
      <c r="AB904" t="s">
        <v>92</v>
      </c>
      <c r="AJ904" t="e">
        <f>VLOOKUP(E904,temp1,1,FALSE)</f>
        <v>#NAME?</v>
      </c>
      <c r="AP904" t="e">
        <f>VLOOKUP(E904,temp6,1,FALSE)</f>
        <v>#NAME?</v>
      </c>
    </row>
    <row r="905" spans="1:42" ht="15" hidden="1" customHeight="1">
      <c r="A905">
        <v>23450</v>
      </c>
      <c r="B905" s="3" t="s">
        <v>1475</v>
      </c>
      <c r="C905" s="3" t="str">
        <f t="shared" si="69"/>
        <v>exGovernance.TransferDate</v>
      </c>
      <c r="D905" s="3">
        <v>811</v>
      </c>
      <c r="E905" s="3" t="str">
        <f t="shared" si="67"/>
        <v>exGovernance</v>
      </c>
      <c r="F905" t="s">
        <v>6382</v>
      </c>
      <c r="G905" s="3" t="s">
        <v>6871</v>
      </c>
      <c r="H905" s="3" t="str">
        <f t="shared" si="68"/>
        <v>DataExchange.Governance</v>
      </c>
      <c r="I905"/>
      <c r="K905" t="s">
        <v>7227</v>
      </c>
      <c r="M905" s="3" t="s">
        <v>329</v>
      </c>
      <c r="N905"/>
      <c r="Q905" s="3" t="s">
        <v>92</v>
      </c>
      <c r="U905" s="3" t="s">
        <v>93</v>
      </c>
      <c r="Y905" t="s">
        <v>92</v>
      </c>
      <c r="AB905" t="s">
        <v>92</v>
      </c>
      <c r="AJ905" t="e">
        <f>VLOOKUP(E905,temp1,1,FALSE)</f>
        <v>#NAME?</v>
      </c>
      <c r="AP905" t="e">
        <f>VLOOKUP(E905,temp6,1,FALSE)</f>
        <v>#NAME?</v>
      </c>
    </row>
    <row r="906" spans="1:42" ht="15" hidden="1" customHeight="1">
      <c r="A906">
        <v>23460</v>
      </c>
      <c r="B906" t="s">
        <v>1475</v>
      </c>
      <c r="C906" s="3" t="str">
        <f t="shared" si="69"/>
        <v>exGovernance.sysChangeHistoryID</v>
      </c>
      <c r="D906" s="3">
        <v>811</v>
      </c>
      <c r="E906" s="3" t="str">
        <f t="shared" si="67"/>
        <v>exGovernance</v>
      </c>
      <c r="F906" t="s">
        <v>2497</v>
      </c>
      <c r="G906" s="3" t="s">
        <v>6403</v>
      </c>
      <c r="H906" s="3" t="str">
        <f t="shared" si="68"/>
        <v>DataExchange.Governance</v>
      </c>
      <c r="I906"/>
      <c r="K906" t="s">
        <v>1210</v>
      </c>
      <c r="L906"/>
      <c r="M906" t="s">
        <v>6007</v>
      </c>
      <c r="N906"/>
      <c r="O906"/>
      <c r="P906"/>
      <c r="Q906" t="s">
        <v>92</v>
      </c>
      <c r="R906"/>
      <c r="S906"/>
      <c r="U906" t="s">
        <v>1429</v>
      </c>
      <c r="W906" s="3"/>
      <c r="X906" s="3"/>
      <c r="AJ906" t="e">
        <f>VLOOKUP(E906,temp1,1,FALSE)</f>
        <v>#NAME?</v>
      </c>
      <c r="AK906" t="str">
        <f>"SELECT (SELECT '"&amp;C906&amp;"' ColumnName from "&amp;E906&amp;" where "&amp;F906&amp;" is null and exists (select from "&amp;E906&amp;") limit 1) a union all"</f>
        <v>SELECT (SELECT 'exGovernance.sysChangeHistoryID' ColumnName from exGovernance where sysChangeHistoryID is null and exists (select from exGovernance) limit 1) a union all</v>
      </c>
      <c r="AP906" t="e">
        <f>VLOOKUP(E906,temp6,1,FALSE)</f>
        <v>#NAME?</v>
      </c>
    </row>
    <row r="907" spans="1:42" ht="15" hidden="1" customHeight="1">
      <c r="A907">
        <v>23470</v>
      </c>
      <c r="B907" s="3" t="s">
        <v>1475</v>
      </c>
      <c r="C907" s="3" t="str">
        <f t="shared" si="69"/>
        <v>exGovernanceDetail.ID</v>
      </c>
      <c r="D907" s="3">
        <v>812</v>
      </c>
      <c r="E907" s="3" t="str">
        <f t="shared" si="67"/>
        <v>exGovernanceDetail</v>
      </c>
      <c r="F907" t="s">
        <v>0</v>
      </c>
      <c r="G907" s="3" t="s">
        <v>6886</v>
      </c>
      <c r="H907" s="3" t="str">
        <f t="shared" si="68"/>
        <v>DataExchange.Governance Detail</v>
      </c>
      <c r="I907"/>
      <c r="K907" t="s">
        <v>0</v>
      </c>
      <c r="M907" t="s">
        <v>6007</v>
      </c>
      <c r="Q907" s="3" t="s">
        <v>919</v>
      </c>
      <c r="U907" s="3" t="s">
        <v>95</v>
      </c>
      <c r="AJ907" t="e">
        <f>VLOOKUP(E907,temp1,1,FALSE)</f>
        <v>#NAME?</v>
      </c>
      <c r="AL907" t="str">
        <f>"ALTER TABLE "&amp;E907&amp;" ALTER COLUMN "&amp;F907&amp;" DROP NOT NULL"</f>
        <v>ALTER TABLE exGovernanceDetail ALTER COLUMN ID DROP NOT NULL</v>
      </c>
      <c r="AP907" t="e">
        <f>VLOOKUP(E907,temp6,1,FALSE)</f>
        <v>#NAME?</v>
      </c>
    </row>
    <row r="908" spans="1:42" ht="15" hidden="1" customHeight="1">
      <c r="A908">
        <v>23480</v>
      </c>
      <c r="B908" s="3" t="s">
        <v>1475</v>
      </c>
      <c r="C908" s="3" t="str">
        <f t="shared" si="69"/>
        <v>exGovernanceDetail.exGovernanceID</v>
      </c>
      <c r="D908" s="3">
        <v>812</v>
      </c>
      <c r="E908" s="3" t="str">
        <f t="shared" si="67"/>
        <v>exGovernanceDetail</v>
      </c>
      <c r="F908" t="str">
        <f>VLOOKUP(V908,DictionaryTableID,3,FALSE)&amp;"ID"&amp;X908</f>
        <v>exGovernanceID</v>
      </c>
      <c r="G908" s="3" t="s">
        <v>6887</v>
      </c>
      <c r="H908" s="3" t="str">
        <f t="shared" si="68"/>
        <v>DataExchange.Governance Detail</v>
      </c>
      <c r="I908"/>
      <c r="K908" t="s">
        <v>6189</v>
      </c>
      <c r="M908" t="s">
        <v>6007</v>
      </c>
      <c r="Q908" s="3" t="s">
        <v>919</v>
      </c>
      <c r="U908" s="3" t="s">
        <v>96</v>
      </c>
      <c r="V908">
        <v>811</v>
      </c>
      <c r="W908" s="3" t="str">
        <f>VLOOKUP(V908,DictionaryTableID,3,FALSE)</f>
        <v>exGovernance</v>
      </c>
      <c r="AJ908" t="e">
        <f>VLOOKUP(E908,temp1,1,FALSE)</f>
        <v>#NAME?</v>
      </c>
      <c r="AL908" t="str">
        <f>"ALTER TABLE "&amp;E908&amp;" ALTER COLUMN "&amp;F908&amp;" DROP NOT NULL"</f>
        <v>ALTER TABLE exGovernanceDetail ALTER COLUMN exGovernanceID DROP NOT NULL</v>
      </c>
      <c r="AP908" t="e">
        <f>VLOOKUP(E908,temp6,1,FALSE)</f>
        <v>#NAME?</v>
      </c>
    </row>
    <row r="909" spans="1:42" ht="15" hidden="1" customHeight="1">
      <c r="A909">
        <v>23490</v>
      </c>
      <c r="B909" s="3" t="s">
        <v>1475</v>
      </c>
      <c r="C909" s="3" t="str">
        <f t="shared" si="69"/>
        <v>exGovernanceDetail.exSystemID</v>
      </c>
      <c r="D909" s="3">
        <v>812</v>
      </c>
      <c r="E909" s="3" t="str">
        <f t="shared" si="67"/>
        <v>exGovernanceDetail</v>
      </c>
      <c r="F909" t="str">
        <f>VLOOKUP(V909,DictionaryTableID,3,FALSE)&amp;"ID"&amp;X909</f>
        <v>exSystemID</v>
      </c>
      <c r="G909" s="3" t="s">
        <v>6885</v>
      </c>
      <c r="H909" s="3" t="str">
        <f t="shared" si="68"/>
        <v>DataExchange.Governance Detail</v>
      </c>
      <c r="I909"/>
      <c r="K909" t="s">
        <v>6188</v>
      </c>
      <c r="M909" t="s">
        <v>6007</v>
      </c>
      <c r="Q909" s="3" t="s">
        <v>919</v>
      </c>
      <c r="U909" s="3" t="s">
        <v>96</v>
      </c>
      <c r="V909">
        <v>807</v>
      </c>
      <c r="W909" s="3" t="str">
        <f>VLOOKUP(V909,DictionaryTableID,3,FALSE)</f>
        <v>exSystem</v>
      </c>
      <c r="AJ909" t="e">
        <f>VLOOKUP(E909,temp1,1,FALSE)</f>
        <v>#NAME?</v>
      </c>
      <c r="AL909" t="str">
        <f>"ALTER TABLE "&amp;E909&amp;" ALTER COLUMN "&amp;F909&amp;" DROP NOT NULL"</f>
        <v>ALTER TABLE exGovernanceDetail ALTER COLUMN exSystemID DROP NOT NULL</v>
      </c>
      <c r="AP909" t="e">
        <f>VLOOKUP(E909,temp6,1,FALSE)</f>
        <v>#NAME?</v>
      </c>
    </row>
    <row r="910" spans="1:42" ht="15" hidden="1" customHeight="1">
      <c r="A910">
        <v>23500</v>
      </c>
      <c r="B910" s="3" t="s">
        <v>1475</v>
      </c>
      <c r="C910" s="3" t="str">
        <f t="shared" si="69"/>
        <v>exGovernanceDetail.exRecordGroupID</v>
      </c>
      <c r="D910" s="3">
        <v>812</v>
      </c>
      <c r="E910" s="3" t="str">
        <f t="shared" si="67"/>
        <v>exGovernanceDetail</v>
      </c>
      <c r="F910" t="str">
        <f>VLOOKUP(V910,DictionaryTableID,3,FALSE)&amp;"ID"&amp;X910</f>
        <v>exRecordGroupID</v>
      </c>
      <c r="G910" s="3" t="s">
        <v>6869</v>
      </c>
      <c r="H910" s="3" t="str">
        <f t="shared" si="68"/>
        <v>DataExchange.Governance Detail</v>
      </c>
      <c r="I910"/>
      <c r="K910" t="s">
        <v>6212</v>
      </c>
      <c r="M910" t="s">
        <v>6007</v>
      </c>
      <c r="Q910" s="3" t="s">
        <v>919</v>
      </c>
      <c r="U910" s="3" t="s">
        <v>96</v>
      </c>
      <c r="V910">
        <v>801</v>
      </c>
      <c r="W910" s="3" t="str">
        <f>VLOOKUP(V910,DictionaryTableID,3,FALSE)</f>
        <v>exRecordGroup</v>
      </c>
      <c r="AJ910" t="e">
        <f>VLOOKUP(E910,temp1,1,FALSE)</f>
        <v>#NAME?</v>
      </c>
      <c r="AL910" t="str">
        <f>"ALTER TABLE "&amp;E910&amp;" ALTER COLUMN "&amp;F910&amp;" DROP NOT NULL"</f>
        <v>ALTER TABLE exGovernanceDetail ALTER COLUMN exRecordGroupID DROP NOT NULL</v>
      </c>
      <c r="AP910" t="e">
        <f>VLOOKUP(E910,temp6,1,FALSE)</f>
        <v>#NAME?</v>
      </c>
    </row>
    <row r="911" spans="1:42" ht="15" customHeight="1">
      <c r="A911">
        <v>23510</v>
      </c>
      <c r="B911" s="3" t="s">
        <v>1475</v>
      </c>
      <c r="C911" s="3" t="str">
        <f t="shared" si="69"/>
        <v>exGovernanceDetail.sysDictionaryTableIDSubscribedTo</v>
      </c>
      <c r="D911" s="3">
        <v>812</v>
      </c>
      <c r="E911" s="3" t="str">
        <f t="shared" si="67"/>
        <v>exGovernanceDetail</v>
      </c>
      <c r="F911" t="s">
        <v>6218</v>
      </c>
      <c r="G911" s="3" t="s">
        <v>6874</v>
      </c>
      <c r="H911" s="3" t="str">
        <f t="shared" si="68"/>
        <v>DataExchange.Governance Detail</v>
      </c>
      <c r="I911"/>
      <c r="K911" t="s">
        <v>6219</v>
      </c>
      <c r="M911" t="s">
        <v>6007</v>
      </c>
      <c r="Q911" s="3" t="s">
        <v>919</v>
      </c>
      <c r="U911" s="3" t="s">
        <v>1072</v>
      </c>
      <c r="V911">
        <v>1</v>
      </c>
      <c r="W911" s="3" t="str">
        <f>VLOOKUP(V911,DictionaryTableID,3,FALSE)</f>
        <v>sysDictionaryTable</v>
      </c>
      <c r="X911" s="3" t="s">
        <v>6205</v>
      </c>
      <c r="AJ911" t="e">
        <f>VLOOKUP(E911,temp1,1,FALSE)</f>
        <v>#NAME?</v>
      </c>
      <c r="AL911" t="str">
        <f>"ALTER TABLE "&amp;E911&amp;" ALTER COLUMN "&amp;F911&amp;" DROP NOT NULL"</f>
        <v>ALTER TABLE exGovernanceDetail ALTER COLUMN sysDictionaryTableIDSubscribedTo DROP NOT NULL</v>
      </c>
      <c r="AP911" t="e">
        <f>VLOOKUP(E911,temp6,1,FALSE)</f>
        <v>#NAME?</v>
      </c>
    </row>
    <row r="912" spans="1:42" ht="15" hidden="1" customHeight="1">
      <c r="A912">
        <v>23520</v>
      </c>
      <c r="B912" s="3" t="s">
        <v>1475</v>
      </c>
      <c r="C912" s="3" t="str">
        <f t="shared" si="69"/>
        <v>exGovernanceDetail.RowIDMaster</v>
      </c>
      <c r="D912" s="3">
        <v>812</v>
      </c>
      <c r="E912" s="3" t="str">
        <f t="shared" si="67"/>
        <v>exGovernanceDetail</v>
      </c>
      <c r="F912" t="s">
        <v>7224</v>
      </c>
      <c r="G912" s="3" t="s">
        <v>7225</v>
      </c>
      <c r="H912" s="3" t="str">
        <f t="shared" si="68"/>
        <v>DataExchange.Governance Detail</v>
      </c>
      <c r="I912"/>
      <c r="K912" t="s">
        <v>7226</v>
      </c>
      <c r="M912" t="s">
        <v>6007</v>
      </c>
      <c r="Q912" s="3" t="s">
        <v>92</v>
      </c>
      <c r="U912" s="3" t="s">
        <v>93</v>
      </c>
      <c r="X912" s="3"/>
      <c r="AJ912" t="e">
        <f>VLOOKUP(E912,temp1,1,FALSE)</f>
        <v>#NAME?</v>
      </c>
      <c r="AP912" t="e">
        <f>VLOOKUP(E912,temp6,1,FALSE)</f>
        <v>#NAME?</v>
      </c>
    </row>
    <row r="913" spans="1:42" ht="15" customHeight="1">
      <c r="A913">
        <v>23525</v>
      </c>
      <c r="B913" s="3" t="s">
        <v>1475</v>
      </c>
      <c r="C913" s="3" t="str">
        <f t="shared" si="69"/>
        <v>exGovernanceDetail.RowIDSubscribedTo</v>
      </c>
      <c r="D913" s="3">
        <v>812</v>
      </c>
      <c r="E913" s="3" t="str">
        <f t="shared" si="67"/>
        <v>exGovernanceDetail</v>
      </c>
      <c r="F913" t="s">
        <v>6216</v>
      </c>
      <c r="G913" s="3" t="s">
        <v>6875</v>
      </c>
      <c r="H913" s="3" t="str">
        <f t="shared" si="68"/>
        <v>DataExchange.Governance Detail</v>
      </c>
      <c r="I913"/>
      <c r="K913" t="s">
        <v>6217</v>
      </c>
      <c r="M913" t="s">
        <v>6007</v>
      </c>
      <c r="Q913" s="3" t="s">
        <v>92</v>
      </c>
      <c r="U913" s="3" t="s">
        <v>1072</v>
      </c>
      <c r="X913" s="3" t="s">
        <v>6205</v>
      </c>
      <c r="AJ913" t="e">
        <f>VLOOKUP(E913,temp1,1,FALSE)</f>
        <v>#NAME?</v>
      </c>
      <c r="AP913" t="e">
        <f>VLOOKUP(E913,temp6,1,FALSE)</f>
        <v>#NAME?</v>
      </c>
    </row>
    <row r="914" spans="1:42" ht="15" hidden="1" customHeight="1">
      <c r="A914">
        <v>23540</v>
      </c>
      <c r="B914" t="s">
        <v>1475</v>
      </c>
      <c r="C914" s="3" t="str">
        <f t="shared" si="69"/>
        <v>exGovernanceDetail.sysChangeHistoryID</v>
      </c>
      <c r="D914" s="3">
        <v>812</v>
      </c>
      <c r="E914" s="3" t="str">
        <f t="shared" si="67"/>
        <v>exGovernanceDetail</v>
      </c>
      <c r="F914" t="s">
        <v>2497</v>
      </c>
      <c r="G914" s="3" t="s">
        <v>6403</v>
      </c>
      <c r="H914" s="3" t="str">
        <f t="shared" si="68"/>
        <v>DataExchange.Governance Detail</v>
      </c>
      <c r="I914"/>
      <c r="K914" t="s">
        <v>1210</v>
      </c>
      <c r="L914"/>
      <c r="M914" t="s">
        <v>6007</v>
      </c>
      <c r="N914"/>
      <c r="O914"/>
      <c r="P914"/>
      <c r="Q914" t="s">
        <v>92</v>
      </c>
      <c r="R914"/>
      <c r="S914"/>
      <c r="U914" t="s">
        <v>1429</v>
      </c>
      <c r="W914" s="3"/>
      <c r="X914" s="3"/>
      <c r="AJ914" t="e">
        <f>VLOOKUP(E914,temp1,1,FALSE)</f>
        <v>#NAME?</v>
      </c>
      <c r="AK914" t="str">
        <f>"SELECT (SELECT '"&amp;C914&amp;"' ColumnName from "&amp;E914&amp;" where "&amp;F914&amp;" is null and exists (select from "&amp;E914&amp;") limit 1) a union all"</f>
        <v>SELECT (SELECT 'exGovernanceDetail.sysChangeHistoryID' ColumnName from exGovernanceDetail where sysChangeHistoryID is null and exists (select from exGovernanceDetail) limit 1) a union all</v>
      </c>
      <c r="AP914" t="e">
        <f>VLOOKUP(E914,temp6,1,FALSE)</f>
        <v>#NAME?</v>
      </c>
    </row>
    <row r="915" spans="1:42" ht="15" hidden="1" customHeight="1">
      <c r="A915">
        <v>200000</v>
      </c>
      <c r="B915" s="3" t="s">
        <v>464</v>
      </c>
      <c r="C915" s="3" t="str">
        <f t="shared" si="69"/>
        <v>FixedAssetLocationHistory.ID</v>
      </c>
      <c r="D915" s="3">
        <v>200230</v>
      </c>
      <c r="E915" s="3" t="str">
        <f t="shared" si="67"/>
        <v>FixedAssetLocationHistory</v>
      </c>
      <c r="F915" s="3" t="s">
        <v>0</v>
      </c>
      <c r="H915" s="3" t="str">
        <f t="shared" si="68"/>
        <v>ass.FixedAssetLocationHistory</v>
      </c>
      <c r="I915" s="3" t="s">
        <v>0</v>
      </c>
      <c r="K915" s="3" t="s">
        <v>0</v>
      </c>
      <c r="M915" s="3" t="s">
        <v>195</v>
      </c>
      <c r="Q915" s="3" t="s">
        <v>919</v>
      </c>
      <c r="U915" s="3" t="s">
        <v>95</v>
      </c>
      <c r="W915" s="3"/>
      <c r="AD915">
        <v>-1</v>
      </c>
      <c r="AE915" t="str">
        <f t="shared" ref="AE915:AE920" si="70">IF(AD915=-1,"All",VLOOKUP(AD915,ColumnId,3,FALSE))</f>
        <v>All</v>
      </c>
      <c r="AF915" t="s">
        <v>472</v>
      </c>
      <c r="AJ915" t="e">
        <f>VLOOKUP(E915,temp1,1,FALSE)</f>
        <v>#NAME?</v>
      </c>
      <c r="AP915" t="e">
        <f>VLOOKUP(E915,temp6,1,FALSE)</f>
        <v>#NAME?</v>
      </c>
    </row>
    <row r="916" spans="1:42" ht="15" hidden="1" customHeight="1">
      <c r="A916">
        <v>200010</v>
      </c>
      <c r="B916" s="3" t="s">
        <v>464</v>
      </c>
      <c r="C916" s="3" t="str">
        <f t="shared" si="69"/>
        <v>FixedAssetLocationHistory.FixedAssetID</v>
      </c>
      <c r="D916" s="3">
        <v>200230</v>
      </c>
      <c r="E916" s="3" t="str">
        <f t="shared" si="67"/>
        <v>FixedAssetLocationHistory</v>
      </c>
      <c r="F916" s="3" t="s">
        <v>215</v>
      </c>
      <c r="H916" s="3" t="str">
        <f t="shared" si="68"/>
        <v>ass.FixedAssetLocationHistory</v>
      </c>
      <c r="I916" s="3" t="s">
        <v>215</v>
      </c>
      <c r="K916" s="3" t="s">
        <v>437</v>
      </c>
      <c r="M916" s="3" t="s">
        <v>195</v>
      </c>
      <c r="Q916" s="3" t="s">
        <v>92</v>
      </c>
      <c r="U916" s="3" t="s">
        <v>96</v>
      </c>
      <c r="V916">
        <v>200240</v>
      </c>
      <c r="W916" s="3" t="str">
        <f>VLOOKUP(V916,DictionaryTableID,3,FALSE)</f>
        <v>FixedAssets</v>
      </c>
      <c r="AD916">
        <v>13190</v>
      </c>
      <c r="AE916" t="str">
        <f t="shared" si="70"/>
        <v>faLocationHistory.faFixedAssetID</v>
      </c>
      <c r="AF916" t="s">
        <v>473</v>
      </c>
      <c r="AJ916" t="e">
        <f>VLOOKUP(E916,temp1,1,FALSE)</f>
        <v>#NAME?</v>
      </c>
      <c r="AP916" t="e">
        <f>VLOOKUP(E916,temp6,1,FALSE)</f>
        <v>#NAME?</v>
      </c>
    </row>
    <row r="917" spans="1:42" ht="15" hidden="1" customHeight="1">
      <c r="A917">
        <v>200020</v>
      </c>
      <c r="B917" s="3" t="s">
        <v>464</v>
      </c>
      <c r="C917" s="3" t="str">
        <f t="shared" si="69"/>
        <v>FixedAssetLocationHistory.DBID</v>
      </c>
      <c r="D917" s="3">
        <v>200230</v>
      </c>
      <c r="E917" s="3" t="str">
        <f t="shared" si="67"/>
        <v>FixedAssetLocationHistory</v>
      </c>
      <c r="F917" s="3" t="s">
        <v>54</v>
      </c>
      <c r="H917" s="3" t="str">
        <f t="shared" si="68"/>
        <v>ass.FixedAssetLocationHistory</v>
      </c>
      <c r="I917" s="3" t="s">
        <v>54</v>
      </c>
      <c r="K917" s="3" t="s">
        <v>54</v>
      </c>
      <c r="L917" s="21" t="s">
        <v>2871</v>
      </c>
      <c r="M917" s="3" t="s">
        <v>196</v>
      </c>
      <c r="O917" s="3">
        <v>0</v>
      </c>
      <c r="Q917" s="3" t="s">
        <v>92</v>
      </c>
      <c r="U917" s="3" t="s">
        <v>93</v>
      </c>
      <c r="W917" s="3"/>
      <c r="AD917">
        <v>13210</v>
      </c>
      <c r="AE917" t="str">
        <f t="shared" si="70"/>
        <v>faLocationHistory.sysDictionaryTableIDLocation</v>
      </c>
      <c r="AF917" t="s">
        <v>474</v>
      </c>
      <c r="AJ917" t="e">
        <f>VLOOKUP(E917,temp1,1,FALSE)</f>
        <v>#NAME?</v>
      </c>
      <c r="AP917" t="e">
        <f>VLOOKUP(E917,temp6,1,FALSE)</f>
        <v>#NAME?</v>
      </c>
    </row>
    <row r="918" spans="1:42" ht="15" hidden="1" customHeight="1">
      <c r="A918">
        <v>200030</v>
      </c>
      <c r="B918" s="3" t="s">
        <v>464</v>
      </c>
      <c r="C918" s="3" t="str">
        <f t="shared" si="69"/>
        <v>FixedAssetLocationHistory.DBCODEID</v>
      </c>
      <c r="D918" s="3">
        <v>200230</v>
      </c>
      <c r="E918" s="3" t="str">
        <f t="shared" si="67"/>
        <v>FixedAssetLocationHistory</v>
      </c>
      <c r="F918" s="3" t="s">
        <v>64</v>
      </c>
      <c r="H918" s="3" t="str">
        <f t="shared" si="68"/>
        <v>ass.FixedAssetLocationHistory</v>
      </c>
      <c r="I918" s="3" t="s">
        <v>64</v>
      </c>
      <c r="K918" s="3" t="s">
        <v>340</v>
      </c>
      <c r="M918" s="3" t="s">
        <v>195</v>
      </c>
      <c r="Q918" s="3" t="s">
        <v>92</v>
      </c>
      <c r="U918" s="3" t="s">
        <v>93</v>
      </c>
      <c r="W918" s="3"/>
      <c r="AD918">
        <v>13220</v>
      </c>
      <c r="AE918" t="str">
        <f t="shared" si="70"/>
        <v>faLocationHistory.RowIDLocation</v>
      </c>
      <c r="AF918" t="s">
        <v>475</v>
      </c>
      <c r="AJ918" t="e">
        <f>VLOOKUP(E918,temp1,1,FALSE)</f>
        <v>#NAME?</v>
      </c>
      <c r="AP918" t="e">
        <f>VLOOKUP(E918,temp6,1,FALSE)</f>
        <v>#NAME?</v>
      </c>
    </row>
    <row r="919" spans="1:42" ht="15" hidden="1" customHeight="1">
      <c r="A919">
        <v>200040</v>
      </c>
      <c r="B919" s="3" t="s">
        <v>464</v>
      </c>
      <c r="C919" s="3" t="str">
        <f t="shared" si="69"/>
        <v>FixedAssetLocationHistory.EffectiveDate</v>
      </c>
      <c r="D919" s="3">
        <v>200230</v>
      </c>
      <c r="E919" s="3" t="str">
        <f t="shared" si="67"/>
        <v>FixedAssetLocationHistory</v>
      </c>
      <c r="F919" s="3" t="s">
        <v>51</v>
      </c>
      <c r="H919" s="3" t="str">
        <f t="shared" si="68"/>
        <v>ass.FixedAssetLocationHistory</v>
      </c>
      <c r="I919" s="3" t="s">
        <v>51</v>
      </c>
      <c r="K919" s="3" t="s">
        <v>410</v>
      </c>
      <c r="M919" s="3" t="s">
        <v>329</v>
      </c>
      <c r="N919" s="3">
        <v>8</v>
      </c>
      <c r="O919" s="3">
        <v>0</v>
      </c>
      <c r="Q919" s="3" t="s">
        <v>92</v>
      </c>
      <c r="U919" s="3" t="s">
        <v>93</v>
      </c>
      <c r="W919" s="3"/>
      <c r="AD919">
        <v>13265</v>
      </c>
      <c r="AE919" t="str">
        <f t="shared" si="70"/>
        <v>faLocationHistory.TemporalStartDate</v>
      </c>
      <c r="AF919" t="s">
        <v>476</v>
      </c>
      <c r="AJ919" t="e">
        <f>VLOOKUP(E919,temp1,1,FALSE)</f>
        <v>#NAME?</v>
      </c>
      <c r="AP919" t="e">
        <f>VLOOKUP(E919,temp6,1,FALSE)</f>
        <v>#NAME?</v>
      </c>
    </row>
    <row r="920" spans="1:42" ht="15" hidden="1" customHeight="1">
      <c r="A920">
        <v>200050</v>
      </c>
      <c r="B920" s="3" t="s">
        <v>464</v>
      </c>
      <c r="C920" s="3" t="str">
        <f t="shared" si="69"/>
        <v>FixedAssetLocationHistory.Confirm</v>
      </c>
      <c r="D920" s="3">
        <v>200230</v>
      </c>
      <c r="E920" s="3" t="str">
        <f t="shared" si="67"/>
        <v>FixedAssetLocationHistory</v>
      </c>
      <c r="F920" s="3" t="s">
        <v>229</v>
      </c>
      <c r="H920" s="3" t="str">
        <f t="shared" si="68"/>
        <v>ass.FixedAssetLocationHistory</v>
      </c>
      <c r="I920" s="3" t="s">
        <v>229</v>
      </c>
      <c r="K920" s="3" t="s">
        <v>229</v>
      </c>
      <c r="L920" t="s">
        <v>2416</v>
      </c>
      <c r="M920" s="3" t="s">
        <v>196</v>
      </c>
      <c r="O920" s="3">
        <v>0</v>
      </c>
      <c r="Q920" s="3" t="s">
        <v>92</v>
      </c>
      <c r="U920" s="3" t="s">
        <v>93</v>
      </c>
      <c r="W920" s="3"/>
      <c r="AD920">
        <v>13250</v>
      </c>
      <c r="AE920" t="str">
        <f t="shared" si="70"/>
        <v>faLocationHistory.IsConfirmed</v>
      </c>
      <c r="AF920" t="s">
        <v>477</v>
      </c>
      <c r="AJ920" t="e">
        <f>VLOOKUP(E920,temp1,1,FALSE)</f>
        <v>#NAME?</v>
      </c>
      <c r="AP920" t="e">
        <f>VLOOKUP(E920,temp6,1,FALSE)</f>
        <v>#NAME?</v>
      </c>
    </row>
    <row r="921" spans="1:42" ht="15" hidden="1" customHeight="1">
      <c r="A921">
        <v>200060</v>
      </c>
      <c r="B921" s="3" t="s">
        <v>464</v>
      </c>
      <c r="C921" s="3" t="str">
        <f t="shared" si="69"/>
        <v>FixedAssetLocationHistory.CommandID</v>
      </c>
      <c r="D921" s="3">
        <v>200230</v>
      </c>
      <c r="E921" s="3" t="str">
        <f t="shared" si="67"/>
        <v>FixedAssetLocationHistory</v>
      </c>
      <c r="F921" s="3" t="s">
        <v>36</v>
      </c>
      <c r="H921" s="3" t="str">
        <f t="shared" si="68"/>
        <v>ass.FixedAssetLocationHistory</v>
      </c>
      <c r="I921" s="3" t="s">
        <v>36</v>
      </c>
      <c r="K921" s="3" t="s">
        <v>35</v>
      </c>
      <c r="M921" s="3" t="s">
        <v>195</v>
      </c>
      <c r="Q921" s="3" t="s">
        <v>92</v>
      </c>
      <c r="U921" s="3" t="s">
        <v>96</v>
      </c>
      <c r="V921">
        <v>200140</v>
      </c>
      <c r="W921" s="3" t="str">
        <f>VLOOKUP(V921,DictionaryTableID,3,FALSE)</f>
        <v>Commands</v>
      </c>
      <c r="AF921" t="s">
        <v>478</v>
      </c>
      <c r="AJ921" t="e">
        <f>VLOOKUP(E921,temp1,1,FALSE)</f>
        <v>#NAME?</v>
      </c>
      <c r="AP921" t="e">
        <f>VLOOKUP(E921,temp6,1,FALSE)</f>
        <v>#NAME?</v>
      </c>
    </row>
    <row r="922" spans="1:42" ht="15" hidden="1" customHeight="1">
      <c r="A922">
        <v>200070</v>
      </c>
      <c r="B922" s="3" t="s">
        <v>464</v>
      </c>
      <c r="C922" s="3" t="str">
        <f t="shared" si="69"/>
        <v>FixedAssetLocationHistory.Active</v>
      </c>
      <c r="D922" s="3">
        <v>200230</v>
      </c>
      <c r="E922" s="3" t="str">
        <f t="shared" si="67"/>
        <v>FixedAssetLocationHistory</v>
      </c>
      <c r="F922" s="3" t="s">
        <v>132</v>
      </c>
      <c r="H922" s="3" t="str">
        <f t="shared" si="68"/>
        <v>ass.FixedAssetLocationHistory</v>
      </c>
      <c r="I922" s="3" t="s">
        <v>132</v>
      </c>
      <c r="K922" s="3" t="s">
        <v>132</v>
      </c>
      <c r="L922" t="s">
        <v>2415</v>
      </c>
      <c r="M922" s="3" t="s">
        <v>196</v>
      </c>
      <c r="O922" s="3">
        <v>0</v>
      </c>
      <c r="Q922" s="3" t="s">
        <v>92</v>
      </c>
      <c r="U922" s="3" t="s">
        <v>93</v>
      </c>
      <c r="W922" s="3"/>
      <c r="AD922">
        <v>13240</v>
      </c>
      <c r="AE922" t="str">
        <f>IF(AD922=-1,"All",VLOOKUP(AD922,ColumnId,3,FALSE))</f>
        <v>faLocationHistory.IsActive</v>
      </c>
      <c r="AF922" t="s">
        <v>479</v>
      </c>
      <c r="AJ922" t="e">
        <f>VLOOKUP(E922,temp1,1,FALSE)</f>
        <v>#NAME?</v>
      </c>
      <c r="AP922" t="e">
        <f>VLOOKUP(E922,temp6,1,FALSE)</f>
        <v>#NAME?</v>
      </c>
    </row>
    <row r="923" spans="1:42" ht="15" hidden="1" customHeight="1">
      <c r="A923">
        <v>200080</v>
      </c>
      <c r="B923" s="3" t="s">
        <v>464</v>
      </c>
      <c r="C923" s="3" t="str">
        <f t="shared" si="69"/>
        <v>FixedAssetLocationHistory.Details</v>
      </c>
      <c r="D923" s="3">
        <v>200230</v>
      </c>
      <c r="E923" s="3" t="str">
        <f t="shared" si="67"/>
        <v>FixedAssetLocationHistory</v>
      </c>
      <c r="F923" s="3" t="s">
        <v>87</v>
      </c>
      <c r="H923" s="3" t="str">
        <f t="shared" si="68"/>
        <v>ass.FixedAssetLocationHistory</v>
      </c>
      <c r="I923" s="3" t="s">
        <v>87</v>
      </c>
      <c r="K923" s="3" t="s">
        <v>87</v>
      </c>
      <c r="M923" s="3" t="s">
        <v>196</v>
      </c>
      <c r="O923" s="3">
        <v>0</v>
      </c>
      <c r="Q923" s="3" t="s">
        <v>92</v>
      </c>
      <c r="U923" s="3" t="s">
        <v>93</v>
      </c>
      <c r="W923" s="3"/>
      <c r="AD923">
        <v>13230</v>
      </c>
      <c r="AE923" t="str">
        <f>IF(AD923=-1,"All",VLOOKUP(AD923,ColumnId,3,FALSE))</f>
        <v>faLocationHistory.Details</v>
      </c>
      <c r="AF923" t="s">
        <v>480</v>
      </c>
      <c r="AJ923" t="e">
        <f>VLOOKUP(E923,temp1,1,FALSE)</f>
        <v>#NAME?</v>
      </c>
      <c r="AP923" t="e">
        <f>VLOOKUP(E923,temp6,1,FALSE)</f>
        <v>#NAME?</v>
      </c>
    </row>
    <row r="924" spans="1:42" ht="15" hidden="1" customHeight="1">
      <c r="A924">
        <v>200090</v>
      </c>
      <c r="B924" s="3" t="s">
        <v>464</v>
      </c>
      <c r="C924" s="3" t="str">
        <f t="shared" si="69"/>
        <v>FixedAssetLocationHistory.ContactID</v>
      </c>
      <c r="D924" s="3">
        <v>200230</v>
      </c>
      <c r="E924" s="3" t="str">
        <f t="shared" si="67"/>
        <v>FixedAssetLocationHistory</v>
      </c>
      <c r="F924" s="3" t="s">
        <v>73</v>
      </c>
      <c r="H924" s="3" t="str">
        <f t="shared" si="68"/>
        <v>ass.FixedAssetLocationHistory</v>
      </c>
      <c r="I924" s="3" t="s">
        <v>73</v>
      </c>
      <c r="K924" s="3" t="s">
        <v>29</v>
      </c>
      <c r="M924" s="3" t="s">
        <v>195</v>
      </c>
      <c r="Q924" s="3" t="s">
        <v>92</v>
      </c>
      <c r="U924" s="3" t="s">
        <v>96</v>
      </c>
      <c r="V924">
        <v>200150</v>
      </c>
      <c r="W924" s="3" t="str">
        <f>VLOOKUP(V924,DictionaryTableID,3,FALSE)</f>
        <v>Contacts</v>
      </c>
      <c r="AD924">
        <v>13180</v>
      </c>
      <c r="AE924" t="str">
        <f>IF(AD924=-1,"All",VLOOKUP(AD924,ColumnId,3,FALSE))</f>
        <v>faLocationHistory.crmContactIDAssignedTo</v>
      </c>
      <c r="AF924" t="s">
        <v>481</v>
      </c>
      <c r="AJ924" t="e">
        <f>VLOOKUP(E924,temp1,1,FALSE)</f>
        <v>#NAME?</v>
      </c>
      <c r="AP924" t="e">
        <f>VLOOKUP(E924,temp6,1,FALSE)</f>
        <v>#NAME?</v>
      </c>
    </row>
    <row r="925" spans="1:42" ht="15" hidden="1" customHeight="1">
      <c r="A925">
        <v>200100</v>
      </c>
      <c r="B925" s="3" t="s">
        <v>464</v>
      </c>
      <c r="C925" s="3" t="str">
        <f t="shared" si="69"/>
        <v>FixedAssetLocationHistory.RecordStatus</v>
      </c>
      <c r="D925" s="3">
        <v>200230</v>
      </c>
      <c r="E925" s="3" t="str">
        <f t="shared" si="67"/>
        <v>FixedAssetLocationHistory</v>
      </c>
      <c r="F925" s="3" t="s">
        <v>4</v>
      </c>
      <c r="H925" s="3" t="str">
        <f t="shared" si="68"/>
        <v>ass.FixedAssetLocationHistory</v>
      </c>
      <c r="I925" s="3" t="s">
        <v>4</v>
      </c>
      <c r="K925" s="3" t="s">
        <v>4</v>
      </c>
      <c r="M925" s="3" t="s">
        <v>196</v>
      </c>
      <c r="O925" s="3">
        <v>0</v>
      </c>
      <c r="Q925" s="3" t="s">
        <v>92</v>
      </c>
      <c r="U925" s="3" t="s">
        <v>94</v>
      </c>
      <c r="W925" s="3"/>
      <c r="AD925">
        <v>13290</v>
      </c>
      <c r="AE925" t="str">
        <f>IF(AD925=-1,"All",VLOOKUP(AD925,ColumnId,3,FALSE))</f>
        <v>faLocationHistory.RowStatus</v>
      </c>
      <c r="AJ925" t="e">
        <f>VLOOKUP(E925,temp1,1,FALSE)</f>
        <v>#NAME?</v>
      </c>
      <c r="AP925" t="e">
        <f>VLOOKUP(E925,temp6,1,FALSE)</f>
        <v>#NAME?</v>
      </c>
    </row>
    <row r="926" spans="1:42" ht="15" hidden="1" customHeight="1">
      <c r="A926">
        <v>200200</v>
      </c>
      <c r="B926" s="3" t="s">
        <v>464</v>
      </c>
      <c r="C926" s="3" t="str">
        <f t="shared" si="69"/>
        <v>ReferenceFields.ID</v>
      </c>
      <c r="D926" s="3">
        <v>200360</v>
      </c>
      <c r="E926" s="3" t="str">
        <f t="shared" si="67"/>
        <v>ReferenceFields</v>
      </c>
      <c r="F926" s="3" t="s">
        <v>0</v>
      </c>
      <c r="H926" s="3" t="str">
        <f t="shared" si="68"/>
        <v>system.ReferenceField</v>
      </c>
      <c r="I926" s="3" t="s">
        <v>0</v>
      </c>
      <c r="K926" s="3" t="s">
        <v>0</v>
      </c>
      <c r="M926" s="3" t="s">
        <v>195</v>
      </c>
      <c r="Q926" s="3" t="s">
        <v>919</v>
      </c>
      <c r="U926" s="3" t="s">
        <v>95</v>
      </c>
      <c r="W926" s="3"/>
      <c r="AF926" t="s">
        <v>482</v>
      </c>
      <c r="AJ926" t="e">
        <f>VLOOKUP(E926,temp1,1,FALSE)</f>
        <v>#NAME?</v>
      </c>
      <c r="AP926" t="e">
        <f>VLOOKUP(E926,temp6,1,FALSE)</f>
        <v>#NAME?</v>
      </c>
    </row>
    <row r="927" spans="1:42" ht="15" hidden="1" customHeight="1">
      <c r="A927">
        <v>200210</v>
      </c>
      <c r="B927" s="3" t="s">
        <v>464</v>
      </c>
      <c r="C927" s="3" t="str">
        <f t="shared" si="69"/>
        <v>ReferenceFields.ReferenceTableID</v>
      </c>
      <c r="D927" s="3">
        <v>200360</v>
      </c>
      <c r="E927" s="3" t="str">
        <f t="shared" si="67"/>
        <v>ReferenceFields</v>
      </c>
      <c r="F927" s="3" t="s">
        <v>332</v>
      </c>
      <c r="H927" s="3" t="str">
        <f t="shared" si="68"/>
        <v>system.ReferenceField</v>
      </c>
      <c r="I927" s="3" t="s">
        <v>332</v>
      </c>
      <c r="K927" s="3" t="s">
        <v>104</v>
      </c>
      <c r="M927" s="3" t="s">
        <v>195</v>
      </c>
      <c r="Q927" s="3" t="s">
        <v>92</v>
      </c>
      <c r="U927" s="3" t="s">
        <v>96</v>
      </c>
      <c r="V927">
        <v>200370</v>
      </c>
      <c r="W927" s="3" t="str">
        <f>VLOOKUP(V927,DictionaryTableID,3,FALSE)</f>
        <v>ReferenceTables</v>
      </c>
      <c r="AF927" t="s">
        <v>483</v>
      </c>
      <c r="AJ927" t="e">
        <f>VLOOKUP(E927,temp1,1,FALSE)</f>
        <v>#NAME?</v>
      </c>
      <c r="AP927" t="e">
        <f>VLOOKUP(E927,temp6,1,FALSE)</f>
        <v>#NAME?</v>
      </c>
    </row>
    <row r="928" spans="1:42" ht="15" hidden="1" customHeight="1">
      <c r="A928">
        <v>200220</v>
      </c>
      <c r="B928" s="3" t="s">
        <v>464</v>
      </c>
      <c r="C928" s="3" t="str">
        <f t="shared" si="69"/>
        <v>ReferenceFields.SeqNo</v>
      </c>
      <c r="D928" s="3">
        <v>200360</v>
      </c>
      <c r="E928" s="3" t="str">
        <f t="shared" si="67"/>
        <v>ReferenceFields</v>
      </c>
      <c r="F928" s="3" t="s">
        <v>1360</v>
      </c>
      <c r="H928" s="3" t="str">
        <f t="shared" si="68"/>
        <v>system.ReferenceField</v>
      </c>
      <c r="I928" s="3" t="s">
        <v>1360</v>
      </c>
      <c r="K928" s="3" t="s">
        <v>360</v>
      </c>
      <c r="M928" s="3" t="s">
        <v>195</v>
      </c>
      <c r="Q928" s="3" t="s">
        <v>92</v>
      </c>
      <c r="U928" s="3" t="s">
        <v>93</v>
      </c>
      <c r="W928" s="3"/>
      <c r="AF928" t="s">
        <v>484</v>
      </c>
      <c r="AJ928" t="e">
        <f>VLOOKUP(E928,temp1,1,FALSE)</f>
        <v>#NAME?</v>
      </c>
      <c r="AP928" t="e">
        <f>VLOOKUP(E928,temp6,1,FALSE)</f>
        <v>#NAME?</v>
      </c>
    </row>
    <row r="929" spans="1:42" ht="15" hidden="1" customHeight="1">
      <c r="A929">
        <v>200230</v>
      </c>
      <c r="B929" s="3" t="s">
        <v>464</v>
      </c>
      <c r="C929" s="3" t="str">
        <f t="shared" si="69"/>
        <v>ReferenceFields.ShortCode</v>
      </c>
      <c r="D929" s="3">
        <v>200360</v>
      </c>
      <c r="E929" s="3" t="str">
        <f t="shared" si="67"/>
        <v>ReferenceFields</v>
      </c>
      <c r="F929" s="3" t="s">
        <v>16</v>
      </c>
      <c r="H929" s="3" t="str">
        <f t="shared" si="68"/>
        <v>system.ReferenceField</v>
      </c>
      <c r="I929" s="3" t="s">
        <v>16</v>
      </c>
      <c r="K929" s="3" t="s">
        <v>117</v>
      </c>
      <c r="M929" s="3" t="s">
        <v>196</v>
      </c>
      <c r="O929" s="3">
        <v>0</v>
      </c>
      <c r="Q929" s="3" t="s">
        <v>92</v>
      </c>
      <c r="U929" s="3" t="s">
        <v>93</v>
      </c>
      <c r="W929" s="3"/>
      <c r="AF929" t="s">
        <v>485</v>
      </c>
      <c r="AJ929" t="e">
        <f>VLOOKUP(E929,temp1,1,FALSE)</f>
        <v>#NAME?</v>
      </c>
      <c r="AP929" t="e">
        <f>VLOOKUP(E929,temp6,1,FALSE)</f>
        <v>#NAME?</v>
      </c>
    </row>
    <row r="930" spans="1:42" ht="15" hidden="1" customHeight="1">
      <c r="A930">
        <v>200240</v>
      </c>
      <c r="B930" s="3" t="s">
        <v>464</v>
      </c>
      <c r="C930" s="3" t="str">
        <f t="shared" si="69"/>
        <v>ReferenceFields.Description</v>
      </c>
      <c r="D930" s="3">
        <v>200360</v>
      </c>
      <c r="E930" s="3" t="str">
        <f t="shared" si="67"/>
        <v>ReferenceFields</v>
      </c>
      <c r="F930" s="3" t="s">
        <v>12</v>
      </c>
      <c r="H930" s="3" t="str">
        <f t="shared" si="68"/>
        <v>system.ReferenceField</v>
      </c>
      <c r="I930" s="3" t="s">
        <v>12</v>
      </c>
      <c r="K930" s="3" t="s">
        <v>12</v>
      </c>
      <c r="M930" s="3" t="s">
        <v>196</v>
      </c>
      <c r="O930" s="3">
        <v>0</v>
      </c>
      <c r="Q930" s="3" t="s">
        <v>92</v>
      </c>
      <c r="U930" s="3" t="s">
        <v>93</v>
      </c>
      <c r="W930" s="3"/>
      <c r="AF930" t="s">
        <v>486</v>
      </c>
      <c r="AJ930" t="e">
        <f>VLOOKUP(E930,temp1,1,FALSE)</f>
        <v>#NAME?</v>
      </c>
      <c r="AP930" t="e">
        <f>VLOOKUP(E930,temp6,1,FALSE)</f>
        <v>#NAME?</v>
      </c>
    </row>
    <row r="931" spans="1:42" ht="15" hidden="1" customHeight="1">
      <c r="A931">
        <v>200250</v>
      </c>
      <c r="B931" s="3" t="s">
        <v>464</v>
      </c>
      <c r="C931" s="3" t="str">
        <f t="shared" si="69"/>
        <v>ReferenceFields.Val2</v>
      </c>
      <c r="D931" s="3">
        <v>200360</v>
      </c>
      <c r="E931" s="3" t="str">
        <f t="shared" si="67"/>
        <v>ReferenceFields</v>
      </c>
      <c r="F931" s="3" t="s">
        <v>274</v>
      </c>
      <c r="H931" s="3" t="str">
        <f t="shared" si="68"/>
        <v>system.ReferenceField</v>
      </c>
      <c r="I931" s="3" t="s">
        <v>274</v>
      </c>
      <c r="K931" s="3" t="s">
        <v>408</v>
      </c>
      <c r="M931" s="3" t="s">
        <v>196</v>
      </c>
      <c r="O931" s="3">
        <v>0</v>
      </c>
      <c r="Q931" s="3" t="s">
        <v>92</v>
      </c>
      <c r="U931" s="3" t="s">
        <v>93</v>
      </c>
      <c r="W931" s="3"/>
      <c r="AF931" t="s">
        <v>487</v>
      </c>
      <c r="AJ931" t="e">
        <f>VLOOKUP(E931,temp1,1,FALSE)</f>
        <v>#NAME?</v>
      </c>
      <c r="AP931" t="e">
        <f>VLOOKUP(E931,temp6,1,FALSE)</f>
        <v>#NAME?</v>
      </c>
    </row>
    <row r="932" spans="1:42" ht="15" hidden="1" customHeight="1">
      <c r="A932">
        <v>200260</v>
      </c>
      <c r="B932" s="3" t="s">
        <v>464</v>
      </c>
      <c r="C932" s="3" t="str">
        <f t="shared" si="69"/>
        <v>ReferenceFields.Comments</v>
      </c>
      <c r="D932" s="3">
        <v>200360</v>
      </c>
      <c r="E932" s="3" t="str">
        <f t="shared" si="67"/>
        <v>ReferenceFields</v>
      </c>
      <c r="F932" s="3" t="s">
        <v>14</v>
      </c>
      <c r="H932" s="3" t="str">
        <f t="shared" si="68"/>
        <v>system.ReferenceField</v>
      </c>
      <c r="I932" s="3" t="s">
        <v>14</v>
      </c>
      <c r="K932" s="3" t="s">
        <v>14</v>
      </c>
      <c r="M932" s="3" t="s">
        <v>196</v>
      </c>
      <c r="O932" s="3">
        <v>0</v>
      </c>
      <c r="Q932" s="3" t="s">
        <v>92</v>
      </c>
      <c r="U932" s="3" t="s">
        <v>93</v>
      </c>
      <c r="W932" s="3"/>
      <c r="AF932" t="s">
        <v>488</v>
      </c>
      <c r="AJ932" t="e">
        <f>VLOOKUP(E932,temp1,1,FALSE)</f>
        <v>#NAME?</v>
      </c>
      <c r="AP932" t="e">
        <f>VLOOKUP(E932,temp6,1,FALSE)</f>
        <v>#NAME?</v>
      </c>
    </row>
    <row r="933" spans="1:42" ht="15" hidden="1" customHeight="1">
      <c r="A933">
        <v>200270</v>
      </c>
      <c r="B933" s="3" t="s">
        <v>464</v>
      </c>
      <c r="C933" s="3" t="str">
        <f t="shared" si="69"/>
        <v>ReferenceFields.ReferenceFieldID</v>
      </c>
      <c r="D933" s="3">
        <v>200360</v>
      </c>
      <c r="E933" s="3" t="str">
        <f t="shared" si="67"/>
        <v>ReferenceFields</v>
      </c>
      <c r="F933" s="3" t="s">
        <v>218</v>
      </c>
      <c r="H933" s="3" t="str">
        <f t="shared" si="68"/>
        <v>system.ReferenceField</v>
      </c>
      <c r="I933" s="3" t="s">
        <v>218</v>
      </c>
      <c r="K933" s="3" t="s">
        <v>441</v>
      </c>
      <c r="M933" s="3" t="s">
        <v>195</v>
      </c>
      <c r="Q933" s="3" t="s">
        <v>92</v>
      </c>
      <c r="U933" s="3" t="s">
        <v>96</v>
      </c>
      <c r="V933">
        <v>200360</v>
      </c>
      <c r="W933" s="3" t="str">
        <f>VLOOKUP(V933,DictionaryTableID,3,FALSE)</f>
        <v>ReferenceFields</v>
      </c>
      <c r="AF933" t="s">
        <v>489</v>
      </c>
      <c r="AJ933" t="e">
        <f>VLOOKUP(E933,temp1,1,FALSE)</f>
        <v>#NAME?</v>
      </c>
      <c r="AP933" t="e">
        <f>VLOOKUP(E933,temp6,1,FALSE)</f>
        <v>#NAME?</v>
      </c>
    </row>
    <row r="934" spans="1:42" ht="15" hidden="1" customHeight="1">
      <c r="A934">
        <v>200280</v>
      </c>
      <c r="B934" s="3" t="s">
        <v>464</v>
      </c>
      <c r="C934" s="3" t="str">
        <f t="shared" si="69"/>
        <v>ReferenceFields.Classify</v>
      </c>
      <c r="D934" s="3">
        <v>200360</v>
      </c>
      <c r="E934" s="3" t="str">
        <f t="shared" si="67"/>
        <v>ReferenceFields</v>
      </c>
      <c r="F934" s="3" t="s">
        <v>26</v>
      </c>
      <c r="H934" s="3" t="str">
        <f t="shared" si="68"/>
        <v>system.ReferenceField</v>
      </c>
      <c r="I934" s="3" t="s">
        <v>26</v>
      </c>
      <c r="K934" s="3" t="s">
        <v>26</v>
      </c>
      <c r="M934" s="3" t="s">
        <v>196</v>
      </c>
      <c r="O934" s="3">
        <v>0</v>
      </c>
      <c r="Q934" s="3" t="s">
        <v>92</v>
      </c>
      <c r="U934" s="3" t="s">
        <v>93</v>
      </c>
      <c r="W934" s="3"/>
      <c r="AF934" t="s">
        <v>490</v>
      </c>
      <c r="AJ934" t="e">
        <f>VLOOKUP(E934,temp1,1,FALSE)</f>
        <v>#NAME?</v>
      </c>
      <c r="AP934" t="e">
        <f>VLOOKUP(E934,temp6,1,FALSE)</f>
        <v>#NAME?</v>
      </c>
    </row>
    <row r="935" spans="1:42" ht="15" hidden="1" customHeight="1">
      <c r="A935">
        <v>200290</v>
      </c>
      <c r="B935" s="3" t="s">
        <v>464</v>
      </c>
      <c r="C935" s="3" t="str">
        <f t="shared" si="69"/>
        <v>ReferenceFields.RecordStatus</v>
      </c>
      <c r="D935" s="3">
        <v>200360</v>
      </c>
      <c r="E935" s="3" t="str">
        <f t="shared" si="67"/>
        <v>ReferenceFields</v>
      </c>
      <c r="F935" s="3" t="s">
        <v>4</v>
      </c>
      <c r="H935" s="3" t="str">
        <f t="shared" si="68"/>
        <v>system.ReferenceField</v>
      </c>
      <c r="I935" s="3" t="s">
        <v>4</v>
      </c>
      <c r="K935" s="3" t="s">
        <v>4</v>
      </c>
      <c r="M935" s="3" t="s">
        <v>196</v>
      </c>
      <c r="O935" s="3">
        <v>0</v>
      </c>
      <c r="Q935" s="3" t="s">
        <v>92</v>
      </c>
      <c r="U935" s="3" t="s">
        <v>94</v>
      </c>
      <c r="W935" s="3"/>
      <c r="AJ935" t="e">
        <f>VLOOKUP(E935,temp1,1,FALSE)</f>
        <v>#NAME?</v>
      </c>
      <c r="AP935" t="e">
        <f>VLOOKUP(E935,temp6,1,FALSE)</f>
        <v>#NAME?</v>
      </c>
    </row>
    <row r="936" spans="1:42" ht="15" hidden="1" customHeight="1">
      <c r="A936">
        <v>200300</v>
      </c>
      <c r="B936" s="3" t="s">
        <v>464</v>
      </c>
      <c r="C936" s="3" t="str">
        <f t="shared" si="69"/>
        <v>ReferenceTables.ID</v>
      </c>
      <c r="D936" s="3">
        <v>200370</v>
      </c>
      <c r="E936" s="3" t="str">
        <f t="shared" si="67"/>
        <v>ReferenceTables</v>
      </c>
      <c r="F936" s="3" t="s">
        <v>0</v>
      </c>
      <c r="H936" s="3" t="str">
        <f t="shared" si="68"/>
        <v>system.ReferenceTable</v>
      </c>
      <c r="I936" s="3" t="s">
        <v>0</v>
      </c>
      <c r="K936" s="3" t="s">
        <v>0</v>
      </c>
      <c r="M936" s="3" t="s">
        <v>195</v>
      </c>
      <c r="Q936" s="3" t="s">
        <v>919</v>
      </c>
      <c r="U936" s="3" t="s">
        <v>95</v>
      </c>
      <c r="W936" s="3"/>
      <c r="AF936" t="s">
        <v>491</v>
      </c>
      <c r="AJ936" t="e">
        <f>VLOOKUP(E936,temp1,1,FALSE)</f>
        <v>#NAME?</v>
      </c>
      <c r="AP936" t="e">
        <f>VLOOKUP(E936,temp6,1,FALSE)</f>
        <v>#NAME?</v>
      </c>
    </row>
    <row r="937" spans="1:42" ht="15" hidden="1" customHeight="1">
      <c r="A937">
        <v>200310</v>
      </c>
      <c r="B937" s="3" t="s">
        <v>464</v>
      </c>
      <c r="C937" s="3" t="str">
        <f t="shared" si="69"/>
        <v>ReferenceTables.RefTypeID</v>
      </c>
      <c r="D937" s="3">
        <v>200370</v>
      </c>
      <c r="E937" s="3" t="str">
        <f t="shared" si="67"/>
        <v>ReferenceTables</v>
      </c>
      <c r="F937" s="3" t="s">
        <v>277</v>
      </c>
      <c r="H937" s="3" t="str">
        <f t="shared" si="68"/>
        <v>system.ReferenceTable</v>
      </c>
      <c r="I937" s="3" t="s">
        <v>277</v>
      </c>
      <c r="K937" s="3" t="s">
        <v>431</v>
      </c>
      <c r="M937" s="3" t="s">
        <v>196</v>
      </c>
      <c r="O937" s="3">
        <v>0</v>
      </c>
      <c r="Q937" s="3" t="s">
        <v>92</v>
      </c>
      <c r="U937" s="3" t="s">
        <v>97</v>
      </c>
      <c r="V937">
        <v>200360</v>
      </c>
      <c r="W937" s="3" t="str">
        <f>VLOOKUP(V937,DictionaryTableID,3,FALSE)</f>
        <v>ReferenceFields</v>
      </c>
      <c r="AF937" t="s">
        <v>492</v>
      </c>
      <c r="AJ937" t="e">
        <f>VLOOKUP(E937,temp1,1,FALSE)</f>
        <v>#NAME?</v>
      </c>
      <c r="AP937" t="e">
        <f>VLOOKUP(E937,temp6,1,FALSE)</f>
        <v>#NAME?</v>
      </c>
    </row>
    <row r="938" spans="1:42" ht="15" hidden="1" customHeight="1">
      <c r="A938">
        <v>200320</v>
      </c>
      <c r="B938" s="3" t="s">
        <v>464</v>
      </c>
      <c r="C938" s="3" t="str">
        <f t="shared" si="69"/>
        <v>ReferenceTables.ShortCode</v>
      </c>
      <c r="D938" s="3">
        <v>200370</v>
      </c>
      <c r="E938" s="3" t="str">
        <f t="shared" si="67"/>
        <v>ReferenceTables</v>
      </c>
      <c r="F938" s="3" t="s">
        <v>16</v>
      </c>
      <c r="H938" s="3" t="str">
        <f t="shared" si="68"/>
        <v>system.ReferenceTable</v>
      </c>
      <c r="I938" s="3" t="s">
        <v>16</v>
      </c>
      <c r="K938" s="3" t="s">
        <v>117</v>
      </c>
      <c r="M938" s="3" t="s">
        <v>196</v>
      </c>
      <c r="O938" s="3">
        <v>0</v>
      </c>
      <c r="Q938" s="3" t="s">
        <v>92</v>
      </c>
      <c r="U938" s="3" t="s">
        <v>93</v>
      </c>
      <c r="AF938" t="s">
        <v>493</v>
      </c>
      <c r="AJ938" t="e">
        <f>VLOOKUP(E938,temp1,1,FALSE)</f>
        <v>#NAME?</v>
      </c>
      <c r="AP938" t="e">
        <f>VLOOKUP(E938,temp6,1,FALSE)</f>
        <v>#NAME?</v>
      </c>
    </row>
    <row r="939" spans="1:42" ht="15" hidden="1" customHeight="1">
      <c r="A939">
        <v>200330</v>
      </c>
      <c r="B939" s="3" t="s">
        <v>464</v>
      </c>
      <c r="C939" s="3" t="str">
        <f t="shared" si="69"/>
        <v>ReferenceTables.Val1Label</v>
      </c>
      <c r="D939" s="3">
        <v>200370</v>
      </c>
      <c r="E939" s="3" t="str">
        <f t="shared" si="67"/>
        <v>ReferenceTables</v>
      </c>
      <c r="F939" s="3" t="s">
        <v>330</v>
      </c>
      <c r="H939" s="3" t="str">
        <f t="shared" si="68"/>
        <v>system.ReferenceTable</v>
      </c>
      <c r="I939" s="3" t="s">
        <v>330</v>
      </c>
      <c r="K939" s="3" t="s">
        <v>427</v>
      </c>
      <c r="M939" s="3" t="s">
        <v>196</v>
      </c>
      <c r="O939" s="3">
        <v>0</v>
      </c>
      <c r="Q939" s="3" t="s">
        <v>92</v>
      </c>
      <c r="U939" s="3" t="s">
        <v>93</v>
      </c>
      <c r="AF939" t="s">
        <v>494</v>
      </c>
      <c r="AJ939" t="e">
        <f>VLOOKUP(E939,temp1,1,FALSE)</f>
        <v>#NAME?</v>
      </c>
      <c r="AP939" t="e">
        <f>VLOOKUP(E939,temp6,1,FALSE)</f>
        <v>#NAME?</v>
      </c>
    </row>
    <row r="940" spans="1:42" ht="15" hidden="1" customHeight="1">
      <c r="A940">
        <v>200340</v>
      </c>
      <c r="B940" s="3" t="s">
        <v>464</v>
      </c>
      <c r="C940" s="3" t="str">
        <f t="shared" si="69"/>
        <v>ReferenceTables.Val2Label</v>
      </c>
      <c r="D940" s="3">
        <v>200370</v>
      </c>
      <c r="E940" s="3" t="str">
        <f t="shared" si="67"/>
        <v>ReferenceTables</v>
      </c>
      <c r="F940" s="3" t="s">
        <v>331</v>
      </c>
      <c r="H940" s="3" t="str">
        <f t="shared" si="68"/>
        <v>system.ReferenceTable</v>
      </c>
      <c r="I940" s="3" t="s">
        <v>331</v>
      </c>
      <c r="K940" s="3" t="s">
        <v>428</v>
      </c>
      <c r="M940" s="3" t="s">
        <v>196</v>
      </c>
      <c r="O940" s="3">
        <v>0</v>
      </c>
      <c r="Q940" s="3" t="s">
        <v>92</v>
      </c>
      <c r="U940" s="3" t="s">
        <v>93</v>
      </c>
      <c r="AF940" t="s">
        <v>495</v>
      </c>
      <c r="AJ940" t="e">
        <f>VLOOKUP(E940,temp1,1,FALSE)</f>
        <v>#NAME?</v>
      </c>
      <c r="AP940" t="e">
        <f>VLOOKUP(E940,temp6,1,FALSE)</f>
        <v>#NAME?</v>
      </c>
    </row>
    <row r="941" spans="1:42" ht="15" hidden="1" customHeight="1">
      <c r="A941">
        <v>200350</v>
      </c>
      <c r="B941" s="3" t="s">
        <v>464</v>
      </c>
      <c r="C941" s="3" t="str">
        <f t="shared" si="69"/>
        <v>ReferenceTables.Length</v>
      </c>
      <c r="D941" s="3">
        <v>200370</v>
      </c>
      <c r="E941" s="3" t="str">
        <f t="shared" si="67"/>
        <v>ReferenceTables</v>
      </c>
      <c r="F941" s="3" t="s">
        <v>63</v>
      </c>
      <c r="H941" s="3" t="str">
        <f t="shared" si="68"/>
        <v>system.ReferenceTable</v>
      </c>
      <c r="I941" s="3" t="s">
        <v>63</v>
      </c>
      <c r="K941" s="3" t="s">
        <v>63</v>
      </c>
      <c r="M941" s="3" t="s">
        <v>196</v>
      </c>
      <c r="O941" s="3">
        <v>0</v>
      </c>
      <c r="Q941" s="3" t="s">
        <v>92</v>
      </c>
      <c r="U941" s="3" t="s">
        <v>93</v>
      </c>
      <c r="AF941" t="s">
        <v>496</v>
      </c>
      <c r="AJ941" t="e">
        <f>VLOOKUP(E941,temp1,1,FALSE)</f>
        <v>#NAME?</v>
      </c>
      <c r="AP941" t="e">
        <f>VLOOKUP(E941,temp6,1,FALSE)</f>
        <v>#NAME?</v>
      </c>
    </row>
    <row r="942" spans="1:42" ht="15" hidden="1" customHeight="1">
      <c r="A942">
        <v>200360</v>
      </c>
      <c r="B942" s="3" t="s">
        <v>464</v>
      </c>
      <c r="C942" s="3" t="str">
        <f t="shared" si="69"/>
        <v>ReferenceTables.Description</v>
      </c>
      <c r="D942" s="3">
        <v>200370</v>
      </c>
      <c r="E942" s="3" t="str">
        <f t="shared" si="67"/>
        <v>ReferenceTables</v>
      </c>
      <c r="F942" s="3" t="s">
        <v>12</v>
      </c>
      <c r="H942" s="3" t="str">
        <f t="shared" si="68"/>
        <v>system.ReferenceTable</v>
      </c>
      <c r="I942" s="3" t="s">
        <v>12</v>
      </c>
      <c r="K942" s="3" t="s">
        <v>12</v>
      </c>
      <c r="M942" s="3" t="s">
        <v>196</v>
      </c>
      <c r="O942" s="3">
        <v>0</v>
      </c>
      <c r="Q942" s="3" t="s">
        <v>92</v>
      </c>
      <c r="U942" s="3" t="s">
        <v>93</v>
      </c>
      <c r="AF942" t="s">
        <v>497</v>
      </c>
      <c r="AJ942" t="e">
        <f>VLOOKUP(E942,temp1,1,FALSE)</f>
        <v>#NAME?</v>
      </c>
      <c r="AP942" t="e">
        <f>VLOOKUP(E942,temp6,1,FALSE)</f>
        <v>#NAME?</v>
      </c>
    </row>
    <row r="943" spans="1:42" ht="15" hidden="1" customHeight="1">
      <c r="A943">
        <v>200380</v>
      </c>
      <c r="B943" s="3" t="s">
        <v>464</v>
      </c>
      <c r="C943" s="3" t="str">
        <f t="shared" si="69"/>
        <v>ReferenceTables.RecordStatus</v>
      </c>
      <c r="D943" s="3">
        <v>200370</v>
      </c>
      <c r="E943" s="3" t="str">
        <f t="shared" si="67"/>
        <v>ReferenceTables</v>
      </c>
      <c r="F943" s="3" t="s">
        <v>4</v>
      </c>
      <c r="H943" s="3" t="str">
        <f t="shared" si="68"/>
        <v>system.ReferenceTable</v>
      </c>
      <c r="I943" s="3" t="s">
        <v>4</v>
      </c>
      <c r="K943" s="3" t="s">
        <v>4</v>
      </c>
      <c r="M943" s="3" t="s">
        <v>196</v>
      </c>
      <c r="O943" s="3">
        <v>0</v>
      </c>
      <c r="Q943" s="3" t="s">
        <v>92</v>
      </c>
      <c r="U943" s="3" t="s">
        <v>94</v>
      </c>
      <c r="AJ943" t="e">
        <f>VLOOKUP(E943,temp1,1,FALSE)</f>
        <v>#NAME?</v>
      </c>
      <c r="AP943" t="e">
        <f>VLOOKUP(E943,temp6,1,FALSE)</f>
        <v>#NAME?</v>
      </c>
    </row>
    <row r="944" spans="1:42" ht="15" hidden="1" customHeight="1">
      <c r="A944">
        <v>200390</v>
      </c>
      <c r="B944" s="3" t="s">
        <v>464</v>
      </c>
      <c r="C944" s="3" t="str">
        <f t="shared" si="69"/>
        <v>Contacts.ID</v>
      </c>
      <c r="D944" s="3">
        <v>200150</v>
      </c>
      <c r="E944" s="3" t="str">
        <f t="shared" si="67"/>
        <v>Contacts</v>
      </c>
      <c r="F944" s="3" t="s">
        <v>0</v>
      </c>
      <c r="H944" s="3" t="str">
        <f t="shared" si="68"/>
        <v>crm.Contact</v>
      </c>
      <c r="I944" s="3" t="s">
        <v>0</v>
      </c>
      <c r="K944" s="3" t="s">
        <v>0</v>
      </c>
      <c r="M944" s="3" t="s">
        <v>195</v>
      </c>
      <c r="Q944" s="3" t="s">
        <v>919</v>
      </c>
      <c r="U944" s="3" t="s">
        <v>95</v>
      </c>
      <c r="W944" s="3"/>
      <c r="AD944">
        <v>-1</v>
      </c>
      <c r="AE944" t="str">
        <f>IF(AD944=-1,"All",VLOOKUP(AD944,ColumnId,3,FALSE))</f>
        <v>All</v>
      </c>
      <c r="AF944" t="s">
        <v>498</v>
      </c>
      <c r="AJ944" t="e">
        <f>VLOOKUP(E944,temp1,1,FALSE)</f>
        <v>#NAME?</v>
      </c>
      <c r="AP944" t="e">
        <f>VLOOKUP(E944,temp6,1,FALSE)</f>
        <v>#NAME?</v>
      </c>
    </row>
    <row r="945" spans="1:42" ht="15" hidden="1" customHeight="1">
      <c r="A945">
        <v>200400</v>
      </c>
      <c r="B945" s="3" t="s">
        <v>464</v>
      </c>
      <c r="C945" s="3" t="str">
        <f t="shared" si="69"/>
        <v>Contacts.Name</v>
      </c>
      <c r="D945" s="3">
        <v>200150</v>
      </c>
      <c r="E945" s="3" t="str">
        <f t="shared" si="67"/>
        <v>Contacts</v>
      </c>
      <c r="F945" s="3" t="s">
        <v>22</v>
      </c>
      <c r="H945" s="3" t="str">
        <f t="shared" si="68"/>
        <v>crm.Contact</v>
      </c>
      <c r="I945" s="3" t="s">
        <v>22</v>
      </c>
      <c r="K945" s="3" t="s">
        <v>22</v>
      </c>
      <c r="M945" s="3" t="s">
        <v>196</v>
      </c>
      <c r="O945" s="3">
        <v>0</v>
      </c>
      <c r="Q945" s="3" t="s">
        <v>92</v>
      </c>
      <c r="U945" s="3" t="s">
        <v>93</v>
      </c>
      <c r="AD945">
        <v>12370</v>
      </c>
      <c r="AE945" t="str">
        <f>IF(AD945=-1,"All",VLOOKUP(AD945,ColumnId,3,FALSE))</f>
        <v>crmContact.Name</v>
      </c>
      <c r="AF945" t="s">
        <v>499</v>
      </c>
      <c r="AJ945" t="e">
        <f>VLOOKUP(E945,temp1,1,FALSE)</f>
        <v>#NAME?</v>
      </c>
      <c r="AP945" t="e">
        <f>VLOOKUP(E945,temp6,1,FALSE)</f>
        <v>#NAME?</v>
      </c>
    </row>
    <row r="946" spans="1:42" ht="15" hidden="1" customHeight="1">
      <c r="A946">
        <v>200410</v>
      </c>
      <c r="B946" s="3" t="s">
        <v>464</v>
      </c>
      <c r="C946" s="3" t="str">
        <f t="shared" si="69"/>
        <v>Contacts.Phone1</v>
      </c>
      <c r="D946" s="3">
        <v>200150</v>
      </c>
      <c r="E946" s="3" t="str">
        <f t="shared" si="67"/>
        <v>Contacts</v>
      </c>
      <c r="F946" s="3" t="s">
        <v>33</v>
      </c>
      <c r="H946" s="3" t="str">
        <f t="shared" si="68"/>
        <v>crm.Contact</v>
      </c>
      <c r="I946" s="3" t="s">
        <v>33</v>
      </c>
      <c r="K946" s="3" t="s">
        <v>382</v>
      </c>
      <c r="M946" s="3" t="s">
        <v>196</v>
      </c>
      <c r="O946" s="3">
        <v>0</v>
      </c>
      <c r="Q946" s="3" t="s">
        <v>92</v>
      </c>
      <c r="U946" s="3" t="s">
        <v>93</v>
      </c>
      <c r="AD946">
        <v>12150</v>
      </c>
      <c r="AE946" t="str">
        <f>IF(AD946=-1,"All",VLOOKUP(AD946,ColumnId,3,FALSE))</f>
        <v>crmAddressPhone.Phone</v>
      </c>
      <c r="AF946" t="s">
        <v>500</v>
      </c>
      <c r="AJ946" t="e">
        <f>VLOOKUP(E946,temp1,1,FALSE)</f>
        <v>#NAME?</v>
      </c>
      <c r="AP946" t="e">
        <f>VLOOKUP(E946,temp6,1,FALSE)</f>
        <v>#NAME?</v>
      </c>
    </row>
    <row r="947" spans="1:42" ht="15" hidden="1" customHeight="1">
      <c r="A947">
        <v>200420</v>
      </c>
      <c r="B947" s="3" t="s">
        <v>464</v>
      </c>
      <c r="C947" s="3" t="str">
        <f t="shared" si="69"/>
        <v>Contacts.Phone2</v>
      </c>
      <c r="D947" s="3">
        <v>200150</v>
      </c>
      <c r="E947" s="3" t="str">
        <f t="shared" si="67"/>
        <v>Contacts</v>
      </c>
      <c r="F947" s="3" t="s">
        <v>34</v>
      </c>
      <c r="H947" s="3" t="str">
        <f t="shared" si="68"/>
        <v>crm.Contact</v>
      </c>
      <c r="I947" s="3" t="s">
        <v>34</v>
      </c>
      <c r="K947" s="3" t="s">
        <v>383</v>
      </c>
      <c r="M947" s="3" t="s">
        <v>196</v>
      </c>
      <c r="O947" s="3">
        <v>0</v>
      </c>
      <c r="Q947" s="3" t="s">
        <v>92</v>
      </c>
      <c r="U947" s="3" t="s">
        <v>93</v>
      </c>
      <c r="AF947" t="s">
        <v>501</v>
      </c>
      <c r="AJ947" t="e">
        <f>VLOOKUP(E947,temp1,1,FALSE)</f>
        <v>#NAME?</v>
      </c>
      <c r="AP947" t="e">
        <f>VLOOKUP(E947,temp6,1,FALSE)</f>
        <v>#NAME?</v>
      </c>
    </row>
    <row r="948" spans="1:42" ht="15" hidden="1" customHeight="1">
      <c r="A948">
        <v>200430</v>
      </c>
      <c r="B948" s="3" t="s">
        <v>464</v>
      </c>
      <c r="C948" s="3" t="str">
        <f t="shared" si="69"/>
        <v>Contacts.Address1</v>
      </c>
      <c r="D948" s="3">
        <v>200150</v>
      </c>
      <c r="E948" s="3" t="str">
        <f t="shared" si="67"/>
        <v>Contacts</v>
      </c>
      <c r="F948" s="3" t="s">
        <v>1</v>
      </c>
      <c r="H948" s="3" t="str">
        <f t="shared" si="68"/>
        <v>crm.Contact</v>
      </c>
      <c r="I948" s="3" t="s">
        <v>1</v>
      </c>
      <c r="K948" s="3" t="s">
        <v>113</v>
      </c>
      <c r="M948" s="3" t="s">
        <v>196</v>
      </c>
      <c r="O948" s="3">
        <v>0</v>
      </c>
      <c r="Q948" s="3" t="s">
        <v>92</v>
      </c>
      <c r="U948" s="3" t="s">
        <v>93</v>
      </c>
      <c r="AD948">
        <v>11920</v>
      </c>
      <c r="AE948" t="str">
        <f>IF(AD948=-1,"All",VLOOKUP(AD948,ColumnId,3,FALSE))</f>
        <v>crmAddress.Address1</v>
      </c>
      <c r="AF948" t="s">
        <v>502</v>
      </c>
      <c r="AJ948" t="e">
        <f>VLOOKUP(E948,temp1,1,FALSE)</f>
        <v>#NAME?</v>
      </c>
      <c r="AP948" t="e">
        <f>VLOOKUP(E948,temp6,1,FALSE)</f>
        <v>#NAME?</v>
      </c>
    </row>
    <row r="949" spans="1:42" ht="15" hidden="1" customHeight="1">
      <c r="A949">
        <v>200440</v>
      </c>
      <c r="B949" s="3" t="s">
        <v>464</v>
      </c>
      <c r="C949" s="3" t="str">
        <f t="shared" si="69"/>
        <v>Contacts.Address2</v>
      </c>
      <c r="D949" s="3">
        <v>200150</v>
      </c>
      <c r="E949" s="3" t="str">
        <f t="shared" si="67"/>
        <v>Contacts</v>
      </c>
      <c r="F949" s="3" t="s">
        <v>2</v>
      </c>
      <c r="H949" s="3" t="str">
        <f t="shared" si="68"/>
        <v>crm.Contact</v>
      </c>
      <c r="I949" s="3" t="s">
        <v>2</v>
      </c>
      <c r="K949" s="3" t="s">
        <v>114</v>
      </c>
      <c r="M949" s="3" t="s">
        <v>196</v>
      </c>
      <c r="O949" s="3">
        <v>0</v>
      </c>
      <c r="Q949" s="3" t="s">
        <v>92</v>
      </c>
      <c r="U949" s="3" t="s">
        <v>93</v>
      </c>
      <c r="AD949">
        <v>11930</v>
      </c>
      <c r="AE949" t="str">
        <f>IF(AD949=-1,"All",VLOOKUP(AD949,ColumnId,3,FALSE))</f>
        <v>crmAddress.Address2</v>
      </c>
      <c r="AF949" t="s">
        <v>503</v>
      </c>
      <c r="AJ949" t="e">
        <f>VLOOKUP(E949,temp1,1,FALSE)</f>
        <v>#NAME?</v>
      </c>
      <c r="AP949" t="e">
        <f>VLOOKUP(E949,temp6,1,FALSE)</f>
        <v>#NAME?</v>
      </c>
    </row>
    <row r="950" spans="1:42" ht="15" hidden="1" customHeight="1">
      <c r="A950">
        <v>200450</v>
      </c>
      <c r="B950" s="3" t="s">
        <v>464</v>
      </c>
      <c r="C950" s="3" t="str">
        <f t="shared" si="69"/>
        <v>Contacts.City</v>
      </c>
      <c r="D950" s="3">
        <v>200150</v>
      </c>
      <c r="E950" s="3" t="str">
        <f t="shared" si="67"/>
        <v>Contacts</v>
      </c>
      <c r="F950" s="3" t="s">
        <v>24</v>
      </c>
      <c r="H950" s="3" t="str">
        <f t="shared" si="68"/>
        <v>crm.Contact</v>
      </c>
      <c r="I950" s="3" t="s">
        <v>24</v>
      </c>
      <c r="K950" s="3" t="s">
        <v>24</v>
      </c>
      <c r="M950" s="3" t="s">
        <v>196</v>
      </c>
      <c r="O950" s="3">
        <v>0</v>
      </c>
      <c r="Q950" s="3" t="s">
        <v>92</v>
      </c>
      <c r="U950" s="3" t="s">
        <v>93</v>
      </c>
      <c r="AD950">
        <v>11960</v>
      </c>
      <c r="AE950" t="str">
        <f>IF(AD950=-1,"All",VLOOKUP(AD950,ColumnId,3,FALSE))</f>
        <v>crmAddress.City</v>
      </c>
      <c r="AF950" t="s">
        <v>504</v>
      </c>
      <c r="AJ950" t="e">
        <f>VLOOKUP(E950,temp1,1,FALSE)</f>
        <v>#NAME?</v>
      </c>
      <c r="AP950" t="e">
        <f>VLOOKUP(E950,temp6,1,FALSE)</f>
        <v>#NAME?</v>
      </c>
    </row>
    <row r="951" spans="1:42" ht="15" hidden="1" customHeight="1">
      <c r="A951">
        <v>200460</v>
      </c>
      <c r="B951" s="3" t="s">
        <v>464</v>
      </c>
      <c r="C951" s="3" t="str">
        <f t="shared" si="69"/>
        <v>Contacts.Province</v>
      </c>
      <c r="D951" s="3">
        <v>200150</v>
      </c>
      <c r="E951" s="3" t="str">
        <f t="shared" si="67"/>
        <v>Contacts</v>
      </c>
      <c r="F951" s="3" t="s">
        <v>3</v>
      </c>
      <c r="H951" s="3" t="str">
        <f t="shared" si="68"/>
        <v>crm.Contact</v>
      </c>
      <c r="I951" s="3" t="s">
        <v>3</v>
      </c>
      <c r="K951" s="3" t="s">
        <v>3</v>
      </c>
      <c r="M951" s="3" t="s">
        <v>196</v>
      </c>
      <c r="O951" s="3">
        <v>0</v>
      </c>
      <c r="Q951" s="3" t="s">
        <v>92</v>
      </c>
      <c r="U951" s="3" t="s">
        <v>93</v>
      </c>
      <c r="AD951">
        <v>12000</v>
      </c>
      <c r="AE951" t="str">
        <f>IF(AD951=-1,"All",VLOOKUP(AD951,ColumnId,3,FALSE))</f>
        <v>crmAddress.ProvinceState</v>
      </c>
      <c r="AF951" t="s">
        <v>505</v>
      </c>
      <c r="AJ951" t="e">
        <f>VLOOKUP(E951,temp1,1,FALSE)</f>
        <v>#NAME?</v>
      </c>
      <c r="AP951" t="e">
        <f>VLOOKUP(E951,temp6,1,FALSE)</f>
        <v>#NAME?</v>
      </c>
    </row>
    <row r="952" spans="1:42" ht="15" hidden="1" customHeight="1">
      <c r="A952">
        <v>200470</v>
      </c>
      <c r="B952" s="3" t="s">
        <v>464</v>
      </c>
      <c r="C952" s="3" t="str">
        <f t="shared" si="69"/>
        <v>Contacts.MailingAddress1</v>
      </c>
      <c r="D952" s="3">
        <v>200150</v>
      </c>
      <c r="E952" s="3" t="str">
        <f t="shared" si="67"/>
        <v>Contacts</v>
      </c>
      <c r="F952" s="3" t="s">
        <v>30</v>
      </c>
      <c r="H952" s="3" t="str">
        <f t="shared" si="68"/>
        <v>crm.Contact</v>
      </c>
      <c r="I952" s="3" t="s">
        <v>30</v>
      </c>
      <c r="K952" s="3" t="s">
        <v>384</v>
      </c>
      <c r="M952" s="3" t="s">
        <v>196</v>
      </c>
      <c r="O952" s="3">
        <v>0</v>
      </c>
      <c r="Q952" s="3" t="s">
        <v>92</v>
      </c>
      <c r="U952" s="3" t="s">
        <v>93</v>
      </c>
      <c r="AF952" t="s">
        <v>506</v>
      </c>
      <c r="AJ952" t="e">
        <f>VLOOKUP(E952,temp1,1,FALSE)</f>
        <v>#NAME?</v>
      </c>
      <c r="AP952" t="e">
        <f>VLOOKUP(E952,temp6,1,FALSE)</f>
        <v>#NAME?</v>
      </c>
    </row>
    <row r="953" spans="1:42" ht="15" hidden="1" customHeight="1">
      <c r="A953">
        <v>200480</v>
      </c>
      <c r="B953" s="3" t="s">
        <v>464</v>
      </c>
      <c r="C953" s="3" t="str">
        <f t="shared" si="69"/>
        <v>Contacts.MailingAddress2</v>
      </c>
      <c r="D953" s="3">
        <v>200150</v>
      </c>
      <c r="E953" s="3" t="str">
        <f t="shared" si="67"/>
        <v>Contacts</v>
      </c>
      <c r="F953" s="3" t="s">
        <v>31</v>
      </c>
      <c r="H953" s="3" t="str">
        <f t="shared" si="68"/>
        <v>crm.Contact</v>
      </c>
      <c r="I953" s="3" t="s">
        <v>31</v>
      </c>
      <c r="K953" s="3" t="s">
        <v>385</v>
      </c>
      <c r="M953" s="3" t="s">
        <v>196</v>
      </c>
      <c r="O953" s="3">
        <v>0</v>
      </c>
      <c r="Q953" s="3" t="s">
        <v>92</v>
      </c>
      <c r="U953" s="3" t="s">
        <v>93</v>
      </c>
      <c r="AF953" t="s">
        <v>507</v>
      </c>
      <c r="AJ953" t="e">
        <f>VLOOKUP(E953,temp1,1,FALSE)</f>
        <v>#NAME?</v>
      </c>
      <c r="AP953" t="e">
        <f>VLOOKUP(E953,temp6,1,FALSE)</f>
        <v>#NAME?</v>
      </c>
    </row>
    <row r="954" spans="1:42" ht="15" hidden="1" customHeight="1">
      <c r="A954">
        <v>200490</v>
      </c>
      <c r="B954" s="3" t="s">
        <v>464</v>
      </c>
      <c r="C954" s="3" t="str">
        <f t="shared" si="69"/>
        <v>Contacts.MailingCity</v>
      </c>
      <c r="D954" s="3">
        <v>200150</v>
      </c>
      <c r="E954" s="3" t="str">
        <f t="shared" si="67"/>
        <v>Contacts</v>
      </c>
      <c r="F954" s="3" t="s">
        <v>32</v>
      </c>
      <c r="H954" s="3" t="str">
        <f t="shared" si="68"/>
        <v>crm.Contact</v>
      </c>
      <c r="I954" s="3" t="s">
        <v>32</v>
      </c>
      <c r="K954" s="3" t="s">
        <v>386</v>
      </c>
      <c r="M954" s="3" t="s">
        <v>196</v>
      </c>
      <c r="O954" s="3">
        <v>0</v>
      </c>
      <c r="Q954" s="3" t="s">
        <v>92</v>
      </c>
      <c r="U954" s="3" t="s">
        <v>93</v>
      </c>
      <c r="AF954" t="s">
        <v>508</v>
      </c>
      <c r="AJ954" t="e">
        <f>VLOOKUP(E954,temp1,1,FALSE)</f>
        <v>#NAME?</v>
      </c>
      <c r="AP954" t="e">
        <f>VLOOKUP(E954,temp6,1,FALSE)</f>
        <v>#NAME?</v>
      </c>
    </row>
    <row r="955" spans="1:42" ht="15" hidden="1" customHeight="1">
      <c r="A955">
        <v>200500</v>
      </c>
      <c r="B955" s="3" t="s">
        <v>464</v>
      </c>
      <c r="C955" s="3" t="str">
        <f t="shared" si="69"/>
        <v>Contacts.MaillingProvince</v>
      </c>
      <c r="D955" s="3">
        <v>200150</v>
      </c>
      <c r="E955" s="3" t="str">
        <f t="shared" si="67"/>
        <v>Contacts</v>
      </c>
      <c r="F955" s="3" t="s">
        <v>317</v>
      </c>
      <c r="H955" s="3" t="str">
        <f t="shared" si="68"/>
        <v>crm.Contact</v>
      </c>
      <c r="I955" s="3" t="s">
        <v>317</v>
      </c>
      <c r="K955" s="3" t="s">
        <v>387</v>
      </c>
      <c r="M955" s="3" t="s">
        <v>196</v>
      </c>
      <c r="O955" s="3">
        <v>0</v>
      </c>
      <c r="Q955" s="3" t="s">
        <v>92</v>
      </c>
      <c r="U955" s="3" t="s">
        <v>93</v>
      </c>
      <c r="AF955" t="s">
        <v>509</v>
      </c>
      <c r="AJ955" t="e">
        <f>VLOOKUP(E955,temp1,1,FALSE)</f>
        <v>#NAME?</v>
      </c>
      <c r="AP955" t="e">
        <f>VLOOKUP(E955,temp6,1,FALSE)</f>
        <v>#NAME?</v>
      </c>
    </row>
    <row r="956" spans="1:42" ht="15" hidden="1" customHeight="1">
      <c r="A956">
        <v>200510</v>
      </c>
      <c r="B956" s="3" t="s">
        <v>464</v>
      </c>
      <c r="C956" s="3" t="str">
        <f t="shared" si="69"/>
        <v>Contacts.Postal</v>
      </c>
      <c r="D956" s="3">
        <v>200150</v>
      </c>
      <c r="E956" s="3" t="str">
        <f t="shared" si="67"/>
        <v>Contacts</v>
      </c>
      <c r="F956" s="3" t="s">
        <v>270</v>
      </c>
      <c r="H956" s="3" t="str">
        <f t="shared" si="68"/>
        <v>crm.Contact</v>
      </c>
      <c r="I956" s="3" t="s">
        <v>270</v>
      </c>
      <c r="K956" s="3" t="s">
        <v>270</v>
      </c>
      <c r="M956" s="3" t="s">
        <v>196</v>
      </c>
      <c r="O956" s="3">
        <v>0</v>
      </c>
      <c r="Q956" s="3" t="s">
        <v>92</v>
      </c>
      <c r="U956" s="3" t="s">
        <v>93</v>
      </c>
      <c r="AD956">
        <v>11990</v>
      </c>
      <c r="AE956" t="str">
        <f>IF(AD956=-1,"All",VLOOKUP(AD956,ColumnId,3,FALSE))</f>
        <v>crmAddress.PostalZip</v>
      </c>
      <c r="AF956" t="s">
        <v>510</v>
      </c>
      <c r="AJ956" t="e">
        <f>VLOOKUP(E956,temp1,1,FALSE)</f>
        <v>#NAME?</v>
      </c>
      <c r="AP956" t="e">
        <f>VLOOKUP(E956,temp6,1,FALSE)</f>
        <v>#NAME?</v>
      </c>
    </row>
    <row r="957" spans="1:42" ht="15" hidden="1" customHeight="1">
      <c r="A957">
        <v>200520</v>
      </c>
      <c r="B957" s="3" t="s">
        <v>464</v>
      </c>
      <c r="C957" s="3" t="str">
        <f t="shared" si="69"/>
        <v>Contacts.RefTypeID</v>
      </c>
      <c r="D957" s="3">
        <v>200150</v>
      </c>
      <c r="E957" s="3" t="str">
        <f t="shared" si="67"/>
        <v>Contacts</v>
      </c>
      <c r="F957" s="3" t="s">
        <v>277</v>
      </c>
      <c r="H957" s="3" t="str">
        <f t="shared" si="68"/>
        <v>crm.Contact</v>
      </c>
      <c r="I957" s="3" t="s">
        <v>277</v>
      </c>
      <c r="K957" s="3" t="s">
        <v>40</v>
      </c>
      <c r="M957" s="3" t="s">
        <v>195</v>
      </c>
      <c r="Q957" s="3" t="s">
        <v>92</v>
      </c>
      <c r="U957" s="3" t="s">
        <v>97</v>
      </c>
      <c r="V957">
        <v>200360</v>
      </c>
      <c r="W957" s="3" t="str">
        <f>VLOOKUP(V957,DictionaryTableID,3,FALSE)</f>
        <v>ReferenceFields</v>
      </c>
      <c r="AF957" t="s">
        <v>511</v>
      </c>
      <c r="AJ957" t="e">
        <f>VLOOKUP(E957,temp1,1,FALSE)</f>
        <v>#NAME?</v>
      </c>
      <c r="AP957" t="e">
        <f>VLOOKUP(E957,temp6,1,FALSE)</f>
        <v>#NAME?</v>
      </c>
    </row>
    <row r="958" spans="1:42" ht="15" hidden="1" customHeight="1">
      <c r="A958">
        <v>200530</v>
      </c>
      <c r="B958" s="3" t="s">
        <v>464</v>
      </c>
      <c r="C958" s="3" t="str">
        <f t="shared" si="69"/>
        <v>Contacts.Comments</v>
      </c>
      <c r="D958" s="3">
        <v>200150</v>
      </c>
      <c r="E958" s="3" t="str">
        <f t="shared" si="67"/>
        <v>Contacts</v>
      </c>
      <c r="F958" s="3" t="s">
        <v>14</v>
      </c>
      <c r="H958" s="3" t="str">
        <f t="shared" si="68"/>
        <v>crm.Contact</v>
      </c>
      <c r="I958" s="3" t="s">
        <v>14</v>
      </c>
      <c r="K958" s="3" t="s">
        <v>14</v>
      </c>
      <c r="M958" s="3" t="s">
        <v>196</v>
      </c>
      <c r="O958" s="3">
        <v>0</v>
      </c>
      <c r="Q958" s="3" t="s">
        <v>92</v>
      </c>
      <c r="U958" s="3" t="s">
        <v>93</v>
      </c>
      <c r="AD958">
        <v>12310</v>
      </c>
      <c r="AE958" t="str">
        <f>IF(AD958=-1,"All",VLOOKUP(AD958,ColumnId,3,FALSE))</f>
        <v>crmContact.Comments</v>
      </c>
      <c r="AF958" t="s">
        <v>512</v>
      </c>
      <c r="AJ958" t="e">
        <f>VLOOKUP(E958,temp1,1,FALSE)</f>
        <v>#NAME?</v>
      </c>
      <c r="AP958" t="e">
        <f>VLOOKUP(E958,temp6,1,FALSE)</f>
        <v>#NAME?</v>
      </c>
    </row>
    <row r="959" spans="1:42" ht="15" hidden="1" customHeight="1">
      <c r="A959">
        <v>200540</v>
      </c>
      <c r="B959" s="3" t="s">
        <v>464</v>
      </c>
      <c r="C959" s="3" t="str">
        <f t="shared" si="69"/>
        <v>Contacts.RecType</v>
      </c>
      <c r="D959" s="3">
        <v>200150</v>
      </c>
      <c r="E959" s="3" t="str">
        <f t="shared" ref="E959:E1022" si="71">VLOOKUP(D959,DictionaryTableID,3,FALSE)</f>
        <v>Contacts</v>
      </c>
      <c r="F959" s="3" t="s">
        <v>23</v>
      </c>
      <c r="H959" s="3" t="str">
        <f t="shared" ref="H959:H1022" si="72">VLOOKUP(E959,DictionaryTables,14,FALSE)</f>
        <v>crm.Contact</v>
      </c>
      <c r="I959" s="3" t="s">
        <v>23</v>
      </c>
      <c r="K959" s="3" t="s">
        <v>367</v>
      </c>
      <c r="M959" s="3" t="s">
        <v>196</v>
      </c>
      <c r="O959" s="3">
        <v>0</v>
      </c>
      <c r="Q959" s="3" t="s">
        <v>92</v>
      </c>
      <c r="U959" s="3" t="s">
        <v>93</v>
      </c>
      <c r="AF959" t="s">
        <v>513</v>
      </c>
      <c r="AJ959" t="e">
        <f>VLOOKUP(E959,temp1,1,FALSE)</f>
        <v>#NAME?</v>
      </c>
      <c r="AP959" t="e">
        <f>VLOOKUP(E959,temp6,1,FALSE)</f>
        <v>#NAME?</v>
      </c>
    </row>
    <row r="960" spans="1:42" ht="15" hidden="1" customHeight="1">
      <c r="A960">
        <v>200550</v>
      </c>
      <c r="B960" s="3" t="s">
        <v>464</v>
      </c>
      <c r="C960" s="3" t="str">
        <f t="shared" si="69"/>
        <v>Contacts.ContactID</v>
      </c>
      <c r="D960" s="3">
        <v>200150</v>
      </c>
      <c r="E960" s="3" t="str">
        <f t="shared" si="71"/>
        <v>Contacts</v>
      </c>
      <c r="F960" s="3" t="s">
        <v>73</v>
      </c>
      <c r="H960" s="3" t="str">
        <f t="shared" si="72"/>
        <v>crm.Contact</v>
      </c>
      <c r="I960" s="3" t="s">
        <v>73</v>
      </c>
      <c r="K960" s="3" t="s">
        <v>107</v>
      </c>
      <c r="M960" s="3" t="s">
        <v>195</v>
      </c>
      <c r="Q960" s="3" t="s">
        <v>92</v>
      </c>
      <c r="U960" s="3" t="s">
        <v>96</v>
      </c>
      <c r="V960">
        <v>200150</v>
      </c>
      <c r="W960" s="3" t="str">
        <f>VLOOKUP(V960,DictionaryTableID,3,FALSE)</f>
        <v>Contacts</v>
      </c>
      <c r="AF960" t="s">
        <v>514</v>
      </c>
      <c r="AJ960" t="e">
        <f>VLOOKUP(E960,temp1,1,FALSE)</f>
        <v>#NAME?</v>
      </c>
      <c r="AP960" t="e">
        <f>VLOOKUP(E960,temp6,1,FALSE)</f>
        <v>#NAME?</v>
      </c>
    </row>
    <row r="961" spans="1:46" ht="15" hidden="1" customHeight="1">
      <c r="A961">
        <v>200560</v>
      </c>
      <c r="B961" s="3" t="s">
        <v>464</v>
      </c>
      <c r="C961" s="3" t="str">
        <f t="shared" si="69"/>
        <v>Contacts.Contact</v>
      </c>
      <c r="D961" s="3">
        <v>200150</v>
      </c>
      <c r="E961" s="3" t="str">
        <f t="shared" si="71"/>
        <v>Contacts</v>
      </c>
      <c r="F961" s="3" t="s">
        <v>29</v>
      </c>
      <c r="H961" s="3" t="str">
        <f t="shared" si="72"/>
        <v>crm.Contact</v>
      </c>
      <c r="I961" s="3" t="s">
        <v>29</v>
      </c>
      <c r="K961" s="3" t="s">
        <v>29</v>
      </c>
      <c r="M961" s="3" t="s">
        <v>196</v>
      </c>
      <c r="O961" s="3">
        <v>0</v>
      </c>
      <c r="Q961" s="3" t="s">
        <v>92</v>
      </c>
      <c r="U961" s="3" t="s">
        <v>93</v>
      </c>
      <c r="AD961">
        <v>12330</v>
      </c>
      <c r="AE961" t="str">
        <f>IF(AD961=-1,"All",VLOOKUP(AD961,ColumnId,3,FALSE))</f>
        <v>crmContact.ContactPerson</v>
      </c>
      <c r="AF961" t="s">
        <v>515</v>
      </c>
      <c r="AJ961" t="e">
        <f>VLOOKUP(E961,temp1,1,FALSE)</f>
        <v>#NAME?</v>
      </c>
      <c r="AP961" t="e">
        <f>VLOOKUP(E961,temp6,1,FALSE)</f>
        <v>#NAME?</v>
      </c>
    </row>
    <row r="962" spans="1:46" ht="15" hidden="1" customHeight="1">
      <c r="A962">
        <v>200570</v>
      </c>
      <c r="B962" s="3" t="s">
        <v>464</v>
      </c>
      <c r="C962" s="3" t="str">
        <f t="shared" ref="C962:C1025" si="73">CONCATENATE(E962,".",F962)</f>
        <v>Contacts.CreateDate</v>
      </c>
      <c r="D962" s="3">
        <v>200150</v>
      </c>
      <c r="E962" s="3" t="str">
        <f t="shared" si="71"/>
        <v>Contacts</v>
      </c>
      <c r="F962" s="3" t="s">
        <v>11</v>
      </c>
      <c r="H962" s="3" t="str">
        <f t="shared" si="72"/>
        <v>crm.Contact</v>
      </c>
      <c r="I962" s="3" t="s">
        <v>11</v>
      </c>
      <c r="K962" s="3" t="s">
        <v>111</v>
      </c>
      <c r="M962" s="3" t="s">
        <v>329</v>
      </c>
      <c r="N962" s="3">
        <v>8</v>
      </c>
      <c r="O962" s="3">
        <v>0</v>
      </c>
      <c r="Q962" s="3" t="s">
        <v>92</v>
      </c>
      <c r="U962" s="3" t="s">
        <v>93</v>
      </c>
      <c r="AF962" t="s">
        <v>516</v>
      </c>
      <c r="AJ962" t="e">
        <f>VLOOKUP(E962,temp1,1,FALSE)</f>
        <v>#NAME?</v>
      </c>
      <c r="AP962" t="e">
        <f>VLOOKUP(E962,temp6,1,FALSE)</f>
        <v>#NAME?</v>
      </c>
    </row>
    <row r="963" spans="1:46" ht="15" hidden="1" customHeight="1">
      <c r="A963">
        <v>200580</v>
      </c>
      <c r="B963" s="3" t="s">
        <v>464</v>
      </c>
      <c r="C963" s="3" t="str">
        <f t="shared" si="73"/>
        <v>Contacts.Date</v>
      </c>
      <c r="D963" s="3">
        <v>200150</v>
      </c>
      <c r="E963" s="3" t="str">
        <f t="shared" si="71"/>
        <v>Contacts</v>
      </c>
      <c r="F963" s="3" t="s">
        <v>81</v>
      </c>
      <c r="H963" s="3" t="str">
        <f t="shared" si="72"/>
        <v>crm.Contact</v>
      </c>
      <c r="I963" s="3" t="s">
        <v>81</v>
      </c>
      <c r="K963" s="3" t="s">
        <v>81</v>
      </c>
      <c r="M963" s="3" t="s">
        <v>195</v>
      </c>
      <c r="Q963" s="3" t="s">
        <v>92</v>
      </c>
      <c r="U963" s="3" t="s">
        <v>93</v>
      </c>
      <c r="AF963" t="s">
        <v>517</v>
      </c>
      <c r="AJ963" t="e">
        <f>VLOOKUP(E963,temp1,1,FALSE)</f>
        <v>#NAME?</v>
      </c>
      <c r="AP963" t="e">
        <f>VLOOKUP(E963,temp6,1,FALSE)</f>
        <v>#NAME?</v>
      </c>
    </row>
    <row r="964" spans="1:46" ht="15" hidden="1" customHeight="1">
      <c r="A964">
        <v>200590</v>
      </c>
      <c r="B964" s="3" t="s">
        <v>464</v>
      </c>
      <c r="C964" s="3" t="str">
        <f t="shared" si="73"/>
        <v>Contacts.Number</v>
      </c>
      <c r="D964" s="3">
        <v>200150</v>
      </c>
      <c r="E964" s="3" t="str">
        <f t="shared" si="71"/>
        <v>Contacts</v>
      </c>
      <c r="F964" s="3" t="s">
        <v>279</v>
      </c>
      <c r="H964" s="3" t="str">
        <f t="shared" si="72"/>
        <v>crm.Contact</v>
      </c>
      <c r="I964" s="3" t="s">
        <v>279</v>
      </c>
      <c r="K964" s="3" t="s">
        <v>279</v>
      </c>
      <c r="M964" s="3" t="s">
        <v>196</v>
      </c>
      <c r="O964" s="3">
        <v>0</v>
      </c>
      <c r="Q964" s="3" t="s">
        <v>92</v>
      </c>
      <c r="U964" s="3" t="s">
        <v>93</v>
      </c>
      <c r="AF964" t="s">
        <v>518</v>
      </c>
      <c r="AJ964" t="e">
        <f>VLOOKUP(E964,temp1,1,FALSE)</f>
        <v>#NAME?</v>
      </c>
      <c r="AP964" t="e">
        <f>VLOOKUP(E964,temp6,1,FALSE)</f>
        <v>#NAME?</v>
      </c>
    </row>
    <row r="965" spans="1:46" ht="15" hidden="1" customHeight="1">
      <c r="A965">
        <v>200600</v>
      </c>
      <c r="B965" s="3" t="s">
        <v>464</v>
      </c>
      <c r="C965" s="3" t="str">
        <f t="shared" si="73"/>
        <v>Contacts.HoursPerDay</v>
      </c>
      <c r="D965" s="3">
        <v>200150</v>
      </c>
      <c r="E965" s="3" t="str">
        <f t="shared" si="71"/>
        <v>Contacts</v>
      </c>
      <c r="F965" s="3" t="s">
        <v>312</v>
      </c>
      <c r="H965" s="3" t="str">
        <f t="shared" si="72"/>
        <v>crm.Contact</v>
      </c>
      <c r="I965" s="3" t="s">
        <v>312</v>
      </c>
      <c r="K965" s="3" t="s">
        <v>388</v>
      </c>
      <c r="M965" s="3" t="s">
        <v>197</v>
      </c>
      <c r="N965" s="3">
        <v>5</v>
      </c>
      <c r="O965" s="3">
        <v>2</v>
      </c>
      <c r="Q965" s="3" t="s">
        <v>92</v>
      </c>
      <c r="U965" s="3" t="s">
        <v>93</v>
      </c>
      <c r="AF965" t="s">
        <v>519</v>
      </c>
      <c r="AJ965" t="e">
        <f>VLOOKUP(E965,temp1,1,FALSE)</f>
        <v>#NAME?</v>
      </c>
      <c r="AP965" t="e">
        <f>VLOOKUP(E965,temp6,1,FALSE)</f>
        <v>#NAME?</v>
      </c>
    </row>
    <row r="966" spans="1:46" ht="15" hidden="1" customHeight="1">
      <c r="A966">
        <v>200610</v>
      </c>
      <c r="B966" s="3" t="s">
        <v>464</v>
      </c>
      <c r="C966" s="3" t="str">
        <f t="shared" si="73"/>
        <v>Contacts.BillingMethod</v>
      </c>
      <c r="D966" s="3">
        <v>200150</v>
      </c>
      <c r="E966" s="3" t="str">
        <f t="shared" si="71"/>
        <v>Contacts</v>
      </c>
      <c r="F966" s="3" t="s">
        <v>286</v>
      </c>
      <c r="H966" s="3" t="str">
        <f t="shared" si="72"/>
        <v>crm.Contact</v>
      </c>
      <c r="I966" s="3" t="s">
        <v>286</v>
      </c>
      <c r="K966" s="3" t="s">
        <v>389</v>
      </c>
      <c r="M966" s="3" t="s">
        <v>196</v>
      </c>
      <c r="O966" s="3">
        <v>0</v>
      </c>
      <c r="Q966" s="3" t="s">
        <v>92</v>
      </c>
      <c r="U966" s="3" t="s">
        <v>93</v>
      </c>
      <c r="AF966" t="s">
        <v>520</v>
      </c>
      <c r="AJ966" t="e">
        <f>VLOOKUP(E966,temp1,1,FALSE)</f>
        <v>#NAME?</v>
      </c>
      <c r="AP966" t="e">
        <f>VLOOKUP(E966,temp6,1,FALSE)</f>
        <v>#NAME?</v>
      </c>
    </row>
    <row r="967" spans="1:46" ht="15" hidden="1" customHeight="1">
      <c r="A967">
        <v>200620</v>
      </c>
      <c r="B967" s="3" t="s">
        <v>464</v>
      </c>
      <c r="C967" s="3" t="str">
        <f t="shared" si="73"/>
        <v>Contacts.RefIndustryID</v>
      </c>
      <c r="D967" s="3">
        <v>200150</v>
      </c>
      <c r="E967" s="3" t="str">
        <f t="shared" si="71"/>
        <v>Contacts</v>
      </c>
      <c r="F967" s="3" t="s">
        <v>1362</v>
      </c>
      <c r="H967" s="3" t="str">
        <f t="shared" si="72"/>
        <v>crm.Contact</v>
      </c>
      <c r="I967" s="3" t="s">
        <v>1362</v>
      </c>
      <c r="K967" s="3" t="s">
        <v>447</v>
      </c>
      <c r="M967" s="3" t="s">
        <v>195</v>
      </c>
      <c r="Q967" s="3" t="s">
        <v>92</v>
      </c>
      <c r="U967" s="3" t="s">
        <v>97</v>
      </c>
      <c r="V967">
        <v>200360</v>
      </c>
      <c r="W967" s="3" t="str">
        <f>VLOOKUP(V967,DictionaryTableID,3,FALSE)</f>
        <v>ReferenceFields</v>
      </c>
      <c r="AF967" t="s">
        <v>521</v>
      </c>
      <c r="AJ967" t="e">
        <f>VLOOKUP(E967,temp1,1,FALSE)</f>
        <v>#NAME?</v>
      </c>
      <c r="AP967" t="e">
        <f>VLOOKUP(E967,temp6,1,FALSE)</f>
        <v>#NAME?</v>
      </c>
    </row>
    <row r="968" spans="1:46" ht="15" hidden="1" customHeight="1">
      <c r="A968">
        <v>200630</v>
      </c>
      <c r="B968" s="3" t="s">
        <v>464</v>
      </c>
      <c r="C968" s="3" t="str">
        <f t="shared" si="73"/>
        <v>Contacts.RefLocationID</v>
      </c>
      <c r="D968" s="3">
        <v>200150</v>
      </c>
      <c r="E968" s="3" t="str">
        <f t="shared" si="71"/>
        <v>Contacts</v>
      </c>
      <c r="F968" s="3" t="s">
        <v>1363</v>
      </c>
      <c r="H968" s="3" t="str">
        <f t="shared" si="72"/>
        <v>crm.Contact</v>
      </c>
      <c r="I968" s="3" t="s">
        <v>1363</v>
      </c>
      <c r="K968" s="3" t="s">
        <v>53</v>
      </c>
      <c r="M968" s="3" t="s">
        <v>195</v>
      </c>
      <c r="Q968" s="3" t="s">
        <v>92</v>
      </c>
      <c r="U968" s="3" t="s">
        <v>97</v>
      </c>
      <c r="V968">
        <v>200360</v>
      </c>
      <c r="W968" s="3" t="str">
        <f>VLOOKUP(V968,DictionaryTableID,3,FALSE)</f>
        <v>ReferenceFields</v>
      </c>
      <c r="AF968" t="s">
        <v>522</v>
      </c>
      <c r="AJ968" t="e">
        <f>VLOOKUP(E968,temp1,1,FALSE)</f>
        <v>#NAME?</v>
      </c>
      <c r="AP968" t="e">
        <f>VLOOKUP(E968,temp6,1,FALSE)</f>
        <v>#NAME?</v>
      </c>
    </row>
    <row r="969" spans="1:46" ht="15" hidden="1" customHeight="1">
      <c r="A969">
        <v>200640</v>
      </c>
      <c r="B969" s="3" t="s">
        <v>464</v>
      </c>
      <c r="C969" s="3" t="str">
        <f t="shared" si="73"/>
        <v>Contacts.EMail</v>
      </c>
      <c r="D969" s="3">
        <v>200150</v>
      </c>
      <c r="E969" s="3" t="str">
        <f t="shared" si="71"/>
        <v>Contacts</v>
      </c>
      <c r="F969" s="3" t="s">
        <v>235</v>
      </c>
      <c r="H969" s="3" t="str">
        <f t="shared" si="72"/>
        <v>crm.Contact</v>
      </c>
      <c r="I969" s="3" t="s">
        <v>235</v>
      </c>
      <c r="K969" s="3" t="s">
        <v>390</v>
      </c>
      <c r="M969" s="3" t="s">
        <v>196</v>
      </c>
      <c r="O969" s="3">
        <v>0</v>
      </c>
      <c r="Q969" s="3" t="s">
        <v>92</v>
      </c>
      <c r="U969" s="3" t="s">
        <v>93</v>
      </c>
      <c r="AD969">
        <v>12060</v>
      </c>
      <c r="AE969" t="str">
        <f>IF(AD969=-1,"All",VLOOKUP(AD969,ColumnId,3,FALSE))</f>
        <v>crmAddressEmail.Email</v>
      </c>
      <c r="AF969" t="s">
        <v>523</v>
      </c>
      <c r="AJ969" t="e">
        <f>VLOOKUP(E969,temp1,1,FALSE)</f>
        <v>#NAME?</v>
      </c>
      <c r="AP969" t="e">
        <f>VLOOKUP(E969,temp6,1,FALSE)</f>
        <v>#NAME?</v>
      </c>
    </row>
    <row r="970" spans="1:46" ht="15" hidden="1" customHeight="1">
      <c r="A970">
        <v>200650</v>
      </c>
      <c r="B970" s="3" t="s">
        <v>464</v>
      </c>
      <c r="C970" s="3" t="str">
        <f t="shared" si="73"/>
        <v>Contacts.Kms</v>
      </c>
      <c r="D970" s="3">
        <v>200150</v>
      </c>
      <c r="E970" s="3" t="str">
        <f t="shared" si="71"/>
        <v>Contacts</v>
      </c>
      <c r="F970" s="3" t="s">
        <v>266</v>
      </c>
      <c r="H970" s="3" t="str">
        <f t="shared" si="72"/>
        <v>crm.Contact</v>
      </c>
      <c r="I970" s="3" t="s">
        <v>266</v>
      </c>
      <c r="K970" s="3" t="s">
        <v>266</v>
      </c>
      <c r="M970" s="3" t="s">
        <v>195</v>
      </c>
      <c r="Q970" s="3" t="s">
        <v>92</v>
      </c>
      <c r="U970" s="3" t="s">
        <v>93</v>
      </c>
      <c r="AF970" t="s">
        <v>524</v>
      </c>
      <c r="AJ970" t="e">
        <f>VLOOKUP(E970,temp1,1,FALSE)</f>
        <v>#NAME?</v>
      </c>
      <c r="AP970" t="e">
        <f>VLOOKUP(E970,temp6,1,FALSE)</f>
        <v>#NAME?</v>
      </c>
    </row>
    <row r="971" spans="1:46" ht="15" hidden="1" customHeight="1">
      <c r="A971">
        <v>200660</v>
      </c>
      <c r="B971" s="3" t="s">
        <v>464</v>
      </c>
      <c r="C971" s="3" t="str">
        <f t="shared" si="73"/>
        <v>Contacts.RecordStatus</v>
      </c>
      <c r="D971" s="3">
        <v>200150</v>
      </c>
      <c r="E971" s="3" t="str">
        <f t="shared" si="71"/>
        <v>Contacts</v>
      </c>
      <c r="F971" s="3" t="s">
        <v>4</v>
      </c>
      <c r="H971" s="3" t="str">
        <f t="shared" si="72"/>
        <v>crm.Contact</v>
      </c>
      <c r="I971" s="3" t="s">
        <v>4</v>
      </c>
      <c r="K971" s="3" t="s">
        <v>4</v>
      </c>
      <c r="M971" s="3" t="s">
        <v>196</v>
      </c>
      <c r="O971" s="3">
        <v>0</v>
      </c>
      <c r="Q971" s="3" t="s">
        <v>92</v>
      </c>
      <c r="U971" s="3" t="s">
        <v>94</v>
      </c>
      <c r="AD971">
        <v>12430</v>
      </c>
      <c r="AE971" t="str">
        <f t="shared" ref="AE971:AE976" si="74">IF(AD971=-1,"All",VLOOKUP(AD971,ColumnId,3,FALSE))</f>
        <v>crmContact.RowStatus</v>
      </c>
      <c r="AJ971" t="e">
        <f>VLOOKUP(E971,temp1,1,FALSE)</f>
        <v>#NAME?</v>
      </c>
      <c r="AP971" t="e">
        <f>VLOOKUP(E971,temp6,1,FALSE)</f>
        <v>#NAME?</v>
      </c>
    </row>
    <row r="972" spans="1:46" ht="15" hidden="1" customHeight="1">
      <c r="A972">
        <v>200670</v>
      </c>
      <c r="B972" s="3" t="s">
        <v>464</v>
      </c>
      <c r="C972" s="3" t="str">
        <f t="shared" si="73"/>
        <v>PeopleDatabase.ID</v>
      </c>
      <c r="D972" s="3">
        <v>200300</v>
      </c>
      <c r="E972" s="3" t="str">
        <f t="shared" si="71"/>
        <v>PeopleDatabase</v>
      </c>
      <c r="F972" s="3" t="s">
        <v>0</v>
      </c>
      <c r="H972" s="3" t="str">
        <f t="shared" si="72"/>
        <v>crm.PeopleDatabase</v>
      </c>
      <c r="I972" s="3" t="s">
        <v>0</v>
      </c>
      <c r="K972" s="3" t="s">
        <v>29</v>
      </c>
      <c r="M972" s="3" t="s">
        <v>195</v>
      </c>
      <c r="Q972" s="3" t="s">
        <v>919</v>
      </c>
      <c r="U972" s="3" t="s">
        <v>96</v>
      </c>
      <c r="V972">
        <v>200150</v>
      </c>
      <c r="W972" s="3" t="str">
        <f>VLOOKUP(V972,DictionaryTableID,3,FALSE)</f>
        <v>Contacts</v>
      </c>
      <c r="AD972">
        <v>-1</v>
      </c>
      <c r="AE972" t="str">
        <f t="shared" si="74"/>
        <v>All</v>
      </c>
      <c r="AF972" t="s">
        <v>525</v>
      </c>
      <c r="AJ972" t="e">
        <f>VLOOKUP(E972,temp1,1,FALSE)</f>
        <v>#NAME?</v>
      </c>
      <c r="AP972" t="e">
        <f>VLOOKUP(E972,temp6,1,FALSE)</f>
        <v>#NAME?</v>
      </c>
      <c r="AS972" t="str">
        <f>"select distinct "&amp;F972&amp;" from "&amp;E972&amp;" union all"</f>
        <v>select distinct ID from PeopleDatabase union all</v>
      </c>
      <c r="AT972" t="str">
        <f>"update a set a."&amp;F972&amp;"=b.tableid from "&amp;E972&amp;" a join #dbidtranslation b on b.dbid="&amp;F972</f>
        <v>update a set a.ID=b.tableid from PeopleDatabase a join #dbidtranslation b on b.dbid=ID</v>
      </c>
    </row>
    <row r="973" spans="1:46" ht="15" hidden="1" customHeight="1">
      <c r="A973">
        <v>200680</v>
      </c>
      <c r="B973" s="3" t="s">
        <v>464</v>
      </c>
      <c r="C973" s="3" t="str">
        <f t="shared" si="73"/>
        <v>PeopleDatabase.FirstName</v>
      </c>
      <c r="D973" s="3">
        <v>200300</v>
      </c>
      <c r="E973" s="3" t="str">
        <f t="shared" si="71"/>
        <v>PeopleDatabase</v>
      </c>
      <c r="F973" s="3" t="s">
        <v>44</v>
      </c>
      <c r="H973" s="3" t="str">
        <f t="shared" si="72"/>
        <v>crm.PeopleDatabase</v>
      </c>
      <c r="I973" s="3" t="s">
        <v>44</v>
      </c>
      <c r="K973" s="3" t="s">
        <v>115</v>
      </c>
      <c r="M973" s="3" t="s">
        <v>196</v>
      </c>
      <c r="O973" s="3">
        <v>0</v>
      </c>
      <c r="Q973" s="3" t="s">
        <v>92</v>
      </c>
      <c r="U973" s="3" t="s">
        <v>93</v>
      </c>
      <c r="AD973">
        <v>12390</v>
      </c>
      <c r="AE973" t="str">
        <f t="shared" si="74"/>
        <v>crmContact.PreferredFirstName</v>
      </c>
      <c r="AF973" t="s">
        <v>526</v>
      </c>
      <c r="AJ973" t="e">
        <f>VLOOKUP(E973,temp1,1,FALSE)</f>
        <v>#NAME?</v>
      </c>
      <c r="AP973" t="e">
        <f>VLOOKUP(E973,temp6,1,FALSE)</f>
        <v>#NAME?</v>
      </c>
    </row>
    <row r="974" spans="1:46" ht="15" hidden="1" customHeight="1">
      <c r="A974">
        <v>200690</v>
      </c>
      <c r="B974" s="3" t="s">
        <v>464</v>
      </c>
      <c r="C974" s="3" t="str">
        <f t="shared" si="73"/>
        <v>PeopleDatabase.MiddleName</v>
      </c>
      <c r="D974" s="3">
        <v>200300</v>
      </c>
      <c r="E974" s="3" t="str">
        <f t="shared" si="71"/>
        <v>PeopleDatabase</v>
      </c>
      <c r="F974" s="3" t="s">
        <v>45</v>
      </c>
      <c r="H974" s="3" t="str">
        <f t="shared" si="72"/>
        <v>crm.PeopleDatabase</v>
      </c>
      <c r="I974" s="3" t="s">
        <v>45</v>
      </c>
      <c r="K974" s="3" t="s">
        <v>116</v>
      </c>
      <c r="M974" s="3" t="s">
        <v>196</v>
      </c>
      <c r="O974" s="3">
        <v>0</v>
      </c>
      <c r="Q974" s="3" t="s">
        <v>92</v>
      </c>
      <c r="U974" s="3" t="s">
        <v>93</v>
      </c>
      <c r="AD974">
        <v>12410</v>
      </c>
      <c r="AE974" t="str">
        <f t="shared" si="74"/>
        <v>crmContact.PreviousLastName</v>
      </c>
      <c r="AF974" t="s">
        <v>527</v>
      </c>
      <c r="AJ974" t="e">
        <f>VLOOKUP(E974,temp1,1,FALSE)</f>
        <v>#NAME?</v>
      </c>
      <c r="AP974" t="e">
        <f>VLOOKUP(E974,temp6,1,FALSE)</f>
        <v>#NAME?</v>
      </c>
      <c r="AS974" t="str">
        <f>"select distinct "&amp;F974&amp;" from "&amp;E974&amp;" union all"</f>
        <v>select distinct MiddleName from PeopleDatabase union all</v>
      </c>
      <c r="AT974" t="str">
        <f>"update a set a."&amp;F974&amp;"=b.tableid from "&amp;E974&amp;" a join #dbidtranslation b on b.dbid="&amp;F974</f>
        <v>update a set a.MiddleName=b.tableid from PeopleDatabase a join #dbidtranslation b on b.dbid=MiddleName</v>
      </c>
    </row>
    <row r="975" spans="1:46" ht="15" hidden="1" customHeight="1">
      <c r="A975">
        <v>200700</v>
      </c>
      <c r="B975" s="3" t="s">
        <v>464</v>
      </c>
      <c r="C975" s="3" t="str">
        <f t="shared" si="73"/>
        <v>PeopleDatabase.LastName</v>
      </c>
      <c r="D975" s="3">
        <v>200300</v>
      </c>
      <c r="E975" s="3" t="str">
        <f t="shared" si="71"/>
        <v>PeopleDatabase</v>
      </c>
      <c r="F975" s="3" t="s">
        <v>80</v>
      </c>
      <c r="H975" s="3" t="str">
        <f t="shared" si="72"/>
        <v>crm.PeopleDatabase</v>
      </c>
      <c r="I975" s="3" t="s">
        <v>80</v>
      </c>
      <c r="K975" s="3" t="s">
        <v>99</v>
      </c>
      <c r="M975" s="3" t="s">
        <v>196</v>
      </c>
      <c r="O975" s="3">
        <v>0</v>
      </c>
      <c r="Q975" s="3" t="s">
        <v>92</v>
      </c>
      <c r="U975" s="3" t="s">
        <v>93</v>
      </c>
      <c r="AD975">
        <v>12350</v>
      </c>
      <c r="AE975" t="str">
        <f t="shared" si="74"/>
        <v>crmContact.LastName</v>
      </c>
      <c r="AF975" t="s">
        <v>528</v>
      </c>
      <c r="AJ975" t="e">
        <f>VLOOKUP(E975,temp1,1,FALSE)</f>
        <v>#NAME?</v>
      </c>
      <c r="AP975" t="e">
        <f>VLOOKUP(E975,temp6,1,FALSE)</f>
        <v>#NAME?</v>
      </c>
    </row>
    <row r="976" spans="1:46" ht="15" hidden="1" customHeight="1">
      <c r="A976">
        <v>200710</v>
      </c>
      <c r="B976" s="3" t="s">
        <v>464</v>
      </c>
      <c r="C976" s="3" t="str">
        <f t="shared" si="73"/>
        <v>PeopleDatabase.BirthDate</v>
      </c>
      <c r="D976" s="3">
        <v>200300</v>
      </c>
      <c r="E976" s="3" t="str">
        <f t="shared" si="71"/>
        <v>PeopleDatabase</v>
      </c>
      <c r="F976" s="3" t="s">
        <v>42</v>
      </c>
      <c r="H976" s="3" t="str">
        <f t="shared" si="72"/>
        <v>crm.PeopleDatabase</v>
      </c>
      <c r="I976" s="3" t="s">
        <v>42</v>
      </c>
      <c r="K976" s="3" t="s">
        <v>405</v>
      </c>
      <c r="M976" s="3" t="s">
        <v>329</v>
      </c>
      <c r="N976" s="3">
        <v>8</v>
      </c>
      <c r="O976" s="3">
        <v>0</v>
      </c>
      <c r="Q976" s="3" t="s">
        <v>92</v>
      </c>
      <c r="U976" s="3" t="s">
        <v>93</v>
      </c>
      <c r="AD976">
        <v>12300</v>
      </c>
      <c r="AE976" t="str">
        <f t="shared" si="74"/>
        <v>crmContact.BirthDate</v>
      </c>
      <c r="AF976" t="s">
        <v>529</v>
      </c>
      <c r="AJ976" t="e">
        <f>VLOOKUP(E976,temp1,1,FALSE)</f>
        <v>#NAME?</v>
      </c>
      <c r="AP976" t="e">
        <f>VLOOKUP(E976,temp6,1,FALSE)</f>
        <v>#NAME?</v>
      </c>
    </row>
    <row r="977" spans="1:42" ht="15" hidden="1" customHeight="1">
      <c r="A977">
        <v>200720</v>
      </c>
      <c r="B977" s="3" t="s">
        <v>464</v>
      </c>
      <c r="C977" s="3" t="str">
        <f t="shared" si="73"/>
        <v>PeopleDatabase.Sex</v>
      </c>
      <c r="D977" s="3">
        <v>200300</v>
      </c>
      <c r="E977" s="3" t="str">
        <f t="shared" si="71"/>
        <v>PeopleDatabase</v>
      </c>
      <c r="F977" s="3" t="s">
        <v>46</v>
      </c>
      <c r="H977" s="3" t="str">
        <f t="shared" si="72"/>
        <v>crm.PeopleDatabase</v>
      </c>
      <c r="I977" s="3" t="s">
        <v>46</v>
      </c>
      <c r="K977" s="3" t="s">
        <v>46</v>
      </c>
      <c r="M977" s="3" t="s">
        <v>196</v>
      </c>
      <c r="O977" s="3">
        <v>0</v>
      </c>
      <c r="Q977" s="3" t="s">
        <v>92</v>
      </c>
      <c r="U977" s="3" t="s">
        <v>93</v>
      </c>
      <c r="AF977" t="s">
        <v>530</v>
      </c>
      <c r="AJ977" t="e">
        <f>VLOOKUP(E977,temp1,1,FALSE)</f>
        <v>#NAME?</v>
      </c>
      <c r="AP977" t="e">
        <f>VLOOKUP(E977,temp6,1,FALSE)</f>
        <v>#NAME?</v>
      </c>
    </row>
    <row r="978" spans="1:42" ht="15" hidden="1" customHeight="1">
      <c r="A978">
        <v>200730</v>
      </c>
      <c r="B978" s="3" t="s">
        <v>464</v>
      </c>
      <c r="C978" s="3" t="str">
        <f t="shared" si="73"/>
        <v>PeopleDatabase.SinNum</v>
      </c>
      <c r="D978" s="3">
        <v>200300</v>
      </c>
      <c r="E978" s="3" t="str">
        <f t="shared" si="71"/>
        <v>PeopleDatabase</v>
      </c>
      <c r="F978" s="3" t="s">
        <v>250</v>
      </c>
      <c r="H978" s="3" t="str">
        <f t="shared" si="72"/>
        <v>crm.PeopleDatabase</v>
      </c>
      <c r="I978" s="3" t="s">
        <v>250</v>
      </c>
      <c r="K978" s="3" t="s">
        <v>422</v>
      </c>
      <c r="M978" s="3" t="s">
        <v>196</v>
      </c>
      <c r="O978" s="3">
        <v>0</v>
      </c>
      <c r="Q978" s="3" t="s">
        <v>92</v>
      </c>
      <c r="U978" s="3" t="s">
        <v>93</v>
      </c>
      <c r="AF978" t="s">
        <v>531</v>
      </c>
      <c r="AJ978" t="e">
        <f>VLOOKUP(E978,temp1,1,FALSE)</f>
        <v>#NAME?</v>
      </c>
      <c r="AP978" t="e">
        <f>VLOOKUP(E978,temp6,1,FALSE)</f>
        <v>#NAME?</v>
      </c>
    </row>
    <row r="979" spans="1:42" ht="15" hidden="1" customHeight="1">
      <c r="A979">
        <v>200740</v>
      </c>
      <c r="B979" s="3" t="s">
        <v>464</v>
      </c>
      <c r="C979" s="3" t="str">
        <f t="shared" si="73"/>
        <v>PeopleDatabase.GivenName</v>
      </c>
      <c r="D979" s="3">
        <v>200300</v>
      </c>
      <c r="E979" s="3" t="str">
        <f t="shared" si="71"/>
        <v>PeopleDatabase</v>
      </c>
      <c r="F979" s="3" t="s">
        <v>311</v>
      </c>
      <c r="H979" s="3" t="str">
        <f t="shared" si="72"/>
        <v>crm.PeopleDatabase</v>
      </c>
      <c r="I979" s="3" t="s">
        <v>311</v>
      </c>
      <c r="K979" s="3" t="s">
        <v>423</v>
      </c>
      <c r="M979" s="3" t="s">
        <v>196</v>
      </c>
      <c r="O979" s="3">
        <v>0</v>
      </c>
      <c r="Q979" s="3" t="s">
        <v>92</v>
      </c>
      <c r="U979" s="3" t="s">
        <v>93</v>
      </c>
      <c r="AD979">
        <v>12340</v>
      </c>
      <c r="AE979" t="str">
        <f>IF(AD979=-1,"All",VLOOKUP(AD979,ColumnId,3,FALSE))</f>
        <v>crmContact.FirstName</v>
      </c>
      <c r="AF979" t="s">
        <v>532</v>
      </c>
      <c r="AJ979" t="e">
        <f>VLOOKUP(E979,temp1,1,FALSE)</f>
        <v>#NAME?</v>
      </c>
      <c r="AP979" t="e">
        <f>VLOOKUP(E979,temp6,1,FALSE)</f>
        <v>#NAME?</v>
      </c>
    </row>
    <row r="980" spans="1:42" ht="15" hidden="1" customHeight="1">
      <c r="A980">
        <v>200750</v>
      </c>
      <c r="B980" s="3" t="s">
        <v>464</v>
      </c>
      <c r="C980" s="3" t="str">
        <f t="shared" si="73"/>
        <v>PeopleDatabase.WTitle</v>
      </c>
      <c r="D980" s="3">
        <v>200300</v>
      </c>
      <c r="E980" s="3" t="str">
        <f t="shared" si="71"/>
        <v>PeopleDatabase</v>
      </c>
      <c r="F980" s="3" t="s">
        <v>257</v>
      </c>
      <c r="H980" s="3" t="str">
        <f t="shared" si="72"/>
        <v>crm.PeopleDatabase</v>
      </c>
      <c r="I980" s="3" t="s">
        <v>257</v>
      </c>
      <c r="K980" s="3" t="s">
        <v>6391</v>
      </c>
      <c r="M980" s="3" t="s">
        <v>196</v>
      </c>
      <c r="O980" s="3">
        <v>0</v>
      </c>
      <c r="Q980" s="3" t="s">
        <v>92</v>
      </c>
      <c r="U980" s="3" t="s">
        <v>93</v>
      </c>
      <c r="AF980" t="s">
        <v>533</v>
      </c>
      <c r="AJ980" t="e">
        <f>VLOOKUP(E980,temp1,1,FALSE)</f>
        <v>#NAME?</v>
      </c>
      <c r="AP980" t="e">
        <f>VLOOKUP(E980,temp6,1,FALSE)</f>
        <v>#NAME?</v>
      </c>
    </row>
    <row r="981" spans="1:42" ht="15" hidden="1" customHeight="1">
      <c r="A981">
        <v>200760</v>
      </c>
      <c r="B981" s="3" t="s">
        <v>464</v>
      </c>
      <c r="C981" s="3" t="str">
        <f t="shared" si="73"/>
        <v>PeopleDatabase.Extension</v>
      </c>
      <c r="D981" s="3">
        <v>200300</v>
      </c>
      <c r="E981" s="3" t="str">
        <f t="shared" si="71"/>
        <v>PeopleDatabase</v>
      </c>
      <c r="F981" s="3" t="s">
        <v>43</v>
      </c>
      <c r="H981" s="3" t="str">
        <f t="shared" si="72"/>
        <v>crm.PeopleDatabase</v>
      </c>
      <c r="I981" s="3" t="s">
        <v>43</v>
      </c>
      <c r="K981" s="3" t="s">
        <v>43</v>
      </c>
      <c r="M981" s="3" t="s">
        <v>196</v>
      </c>
      <c r="O981" s="3">
        <v>0</v>
      </c>
      <c r="Q981" s="3" t="s">
        <v>92</v>
      </c>
      <c r="U981" s="3" t="s">
        <v>93</v>
      </c>
      <c r="AF981" t="s">
        <v>534</v>
      </c>
      <c r="AJ981" t="e">
        <f>VLOOKUP(E981,temp1,1,FALSE)</f>
        <v>#NAME?</v>
      </c>
      <c r="AP981" t="e">
        <f>VLOOKUP(E981,temp6,1,FALSE)</f>
        <v>#NAME?</v>
      </c>
    </row>
    <row r="982" spans="1:42" ht="15" hidden="1" customHeight="1">
      <c r="A982">
        <v>200770</v>
      </c>
      <c r="B982" s="3" t="s">
        <v>464</v>
      </c>
      <c r="C982" s="3" t="str">
        <f t="shared" si="73"/>
        <v>PeopleDatabase.Salutation</v>
      </c>
      <c r="D982" s="3">
        <v>200300</v>
      </c>
      <c r="E982" s="3" t="str">
        <f t="shared" si="71"/>
        <v>PeopleDatabase</v>
      </c>
      <c r="F982" s="3" t="s">
        <v>272</v>
      </c>
      <c r="H982" s="3" t="str">
        <f t="shared" si="72"/>
        <v>crm.PeopleDatabase</v>
      </c>
      <c r="I982" s="3" t="s">
        <v>272</v>
      </c>
      <c r="K982" s="3" t="s">
        <v>272</v>
      </c>
      <c r="L982"/>
      <c r="M982" s="3" t="s">
        <v>196</v>
      </c>
      <c r="O982" s="3">
        <v>0</v>
      </c>
      <c r="Q982" s="3" t="s">
        <v>92</v>
      </c>
      <c r="U982" s="3" t="s">
        <v>93</v>
      </c>
      <c r="AF982" t="s">
        <v>535</v>
      </c>
      <c r="AJ982" t="e">
        <f>VLOOKUP(E982,temp1,1,FALSE)</f>
        <v>#NAME?</v>
      </c>
      <c r="AP982" t="e">
        <f>VLOOKUP(E982,temp6,1,FALSE)</f>
        <v>#NAME?</v>
      </c>
    </row>
    <row r="983" spans="1:42" ht="15" hidden="1" customHeight="1">
      <c r="A983">
        <v>200780</v>
      </c>
      <c r="B983" s="3" t="s">
        <v>464</v>
      </c>
      <c r="C983" s="3" t="str">
        <f t="shared" si="73"/>
        <v>PeopleDatabase.RecordStatus</v>
      </c>
      <c r="D983" s="3">
        <v>200300</v>
      </c>
      <c r="E983" s="3" t="str">
        <f t="shared" si="71"/>
        <v>PeopleDatabase</v>
      </c>
      <c r="F983" s="3" t="s">
        <v>4</v>
      </c>
      <c r="H983" s="3" t="str">
        <f t="shared" si="72"/>
        <v>crm.PeopleDatabase</v>
      </c>
      <c r="I983" s="3" t="s">
        <v>4</v>
      </c>
      <c r="K983" s="3" t="s">
        <v>4</v>
      </c>
      <c r="M983" s="3" t="s">
        <v>196</v>
      </c>
      <c r="O983" s="3">
        <v>0</v>
      </c>
      <c r="Q983" s="3" t="s">
        <v>92</v>
      </c>
      <c r="U983" s="3" t="s">
        <v>94</v>
      </c>
      <c r="AJ983" t="e">
        <f>VLOOKUP(E983,temp1,1,FALSE)</f>
        <v>#NAME?</v>
      </c>
      <c r="AP983" t="e">
        <f>VLOOKUP(E983,temp6,1,FALSE)</f>
        <v>#NAME?</v>
      </c>
    </row>
    <row r="984" spans="1:42" ht="15" hidden="1" customHeight="1">
      <c r="A984">
        <v>200790</v>
      </c>
      <c r="B984" s="3" t="s">
        <v>464</v>
      </c>
      <c r="C984" s="3" t="str">
        <f t="shared" si="73"/>
        <v>Relationships.ID</v>
      </c>
      <c r="D984" s="3">
        <v>200380</v>
      </c>
      <c r="E984" s="3" t="str">
        <f t="shared" si="71"/>
        <v>Relationships</v>
      </c>
      <c r="F984" s="3" t="s">
        <v>0</v>
      </c>
      <c r="H984" s="3" t="str">
        <f t="shared" si="72"/>
        <v>crm.Relationship</v>
      </c>
      <c r="I984" s="3" t="s">
        <v>0</v>
      </c>
      <c r="K984" s="3" t="s">
        <v>0</v>
      </c>
      <c r="M984" s="3" t="s">
        <v>195</v>
      </c>
      <c r="Q984" s="3" t="s">
        <v>919</v>
      </c>
      <c r="U984" s="3" t="s">
        <v>95</v>
      </c>
      <c r="W984" s="3"/>
      <c r="AD984">
        <v>-1</v>
      </c>
      <c r="AE984" t="str">
        <f>IF(AD984=-1,"All",VLOOKUP(AD984,ColumnId,3,FALSE))</f>
        <v>All</v>
      </c>
      <c r="AF984" t="s">
        <v>536</v>
      </c>
      <c r="AJ984" t="e">
        <f>VLOOKUP(E984,temp1,1,FALSE)</f>
        <v>#NAME?</v>
      </c>
      <c r="AP984" t="e">
        <f>VLOOKUP(E984,temp6,1,FALSE)</f>
        <v>#NAME?</v>
      </c>
    </row>
    <row r="985" spans="1:42" ht="15" hidden="1" customHeight="1">
      <c r="A985">
        <v>200800</v>
      </c>
      <c r="B985" s="3" t="s">
        <v>464</v>
      </c>
      <c r="C985" s="3" t="str">
        <f t="shared" si="73"/>
        <v>Relationships.ContactID1</v>
      </c>
      <c r="D985" s="3">
        <v>200380</v>
      </c>
      <c r="E985" s="3" t="str">
        <f t="shared" si="71"/>
        <v>Relationships</v>
      </c>
      <c r="F985" s="3" t="s">
        <v>90</v>
      </c>
      <c r="H985" s="3" t="str">
        <f t="shared" si="72"/>
        <v>crm.Relationship</v>
      </c>
      <c r="I985" s="3" t="s">
        <v>90</v>
      </c>
      <c r="K985" s="3" t="s">
        <v>121</v>
      </c>
      <c r="M985" s="3" t="s">
        <v>195</v>
      </c>
      <c r="Q985" s="3" t="s">
        <v>92</v>
      </c>
      <c r="U985" s="3" t="s">
        <v>96</v>
      </c>
      <c r="V985">
        <v>200150</v>
      </c>
      <c r="W985" s="3" t="str">
        <f>VLOOKUP(V985,DictionaryTableID,3,FALSE)</f>
        <v>Contacts</v>
      </c>
      <c r="X985" t="s">
        <v>1215</v>
      </c>
      <c r="AD985">
        <v>12710</v>
      </c>
      <c r="AE985" t="str">
        <f>IF(AD985=-1,"All",VLOOKUP(AD985,ColumnId,3,FALSE))</f>
        <v>crmRelationship.crmContactID1</v>
      </c>
      <c r="AF985" t="s">
        <v>537</v>
      </c>
      <c r="AJ985" t="e">
        <f>VLOOKUP(E985,temp1,1,FALSE)</f>
        <v>#NAME?</v>
      </c>
      <c r="AP985" t="e">
        <f>VLOOKUP(E985,temp6,1,FALSE)</f>
        <v>#NAME?</v>
      </c>
    </row>
    <row r="986" spans="1:42" ht="15" hidden="1" customHeight="1">
      <c r="A986">
        <v>200810</v>
      </c>
      <c r="B986" s="3" t="s">
        <v>464</v>
      </c>
      <c r="C986" s="3" t="str">
        <f t="shared" si="73"/>
        <v>Relationships.ContactID2</v>
      </c>
      <c r="D986" s="3">
        <v>200380</v>
      </c>
      <c r="E986" s="3" t="str">
        <f t="shared" si="71"/>
        <v>Relationships</v>
      </c>
      <c r="F986" s="3" t="s">
        <v>91</v>
      </c>
      <c r="H986" s="3" t="str">
        <f t="shared" si="72"/>
        <v>crm.Relationship</v>
      </c>
      <c r="I986" s="3" t="s">
        <v>91</v>
      </c>
      <c r="K986" s="3" t="s">
        <v>122</v>
      </c>
      <c r="M986" s="3" t="s">
        <v>195</v>
      </c>
      <c r="Q986" s="3" t="s">
        <v>92</v>
      </c>
      <c r="U986" s="3" t="s">
        <v>96</v>
      </c>
      <c r="V986">
        <v>200150</v>
      </c>
      <c r="W986" s="3" t="str">
        <f>VLOOKUP(V986,DictionaryTableID,3,FALSE)</f>
        <v>Contacts</v>
      </c>
      <c r="X986" t="s">
        <v>1216</v>
      </c>
      <c r="AD986">
        <v>12720</v>
      </c>
      <c r="AE986" t="str">
        <f>IF(AD986=-1,"All",VLOOKUP(AD986,ColumnId,3,FALSE))</f>
        <v>crmRelationship.crmContactID2</v>
      </c>
      <c r="AF986" t="s">
        <v>538</v>
      </c>
      <c r="AJ986" t="e">
        <f>VLOOKUP(E986,temp1,1,FALSE)</f>
        <v>#NAME?</v>
      </c>
      <c r="AO986" t="str">
        <f>SUBSTITUTE(VLOOKUP(V986,DictionaryTableID,16,FALSE)&amp;"ID",".","")</f>
        <v>crmContactID</v>
      </c>
      <c r="AP986" t="e">
        <f>VLOOKUP(E986,temp6,1,FALSE)</f>
        <v>#NAME?</v>
      </c>
    </row>
    <row r="987" spans="1:42" ht="15" hidden="1" customHeight="1">
      <c r="A987">
        <v>200820</v>
      </c>
      <c r="B987" s="3" t="s">
        <v>464</v>
      </c>
      <c r="C987" s="3" t="str">
        <f t="shared" si="73"/>
        <v>Relationships.RefTypeID</v>
      </c>
      <c r="D987" s="3">
        <v>200380</v>
      </c>
      <c r="E987" s="3" t="str">
        <f t="shared" si="71"/>
        <v>Relationships</v>
      </c>
      <c r="F987" s="3" t="s">
        <v>277</v>
      </c>
      <c r="H987" s="3" t="str">
        <f t="shared" si="72"/>
        <v>crm.Relationship</v>
      </c>
      <c r="I987" s="3" t="s">
        <v>277</v>
      </c>
      <c r="K987" s="3" t="s">
        <v>40</v>
      </c>
      <c r="M987" s="3" t="s">
        <v>195</v>
      </c>
      <c r="Q987" s="3" t="s">
        <v>92</v>
      </c>
      <c r="U987" s="3" t="s">
        <v>97</v>
      </c>
      <c r="V987">
        <v>200360</v>
      </c>
      <c r="W987" s="3" t="str">
        <f>VLOOKUP(V987,DictionaryTableID,3,FALSE)</f>
        <v>ReferenceFields</v>
      </c>
      <c r="AD987">
        <v>12730</v>
      </c>
      <c r="AE987" t="str">
        <f>IF(AD987=-1,"All",VLOOKUP(AD987,ColumnId,3,FALSE))</f>
        <v>crmRelationship.crmRelationshipTypeID</v>
      </c>
      <c r="AF987" t="s">
        <v>539</v>
      </c>
      <c r="AJ987" t="e">
        <f>VLOOKUP(E987,temp1,1,FALSE)</f>
        <v>#NAME?</v>
      </c>
      <c r="AP987" t="e">
        <f>VLOOKUP(E987,temp6,1,FALSE)</f>
        <v>#NAME?</v>
      </c>
    </row>
    <row r="988" spans="1:42" ht="15" hidden="1" customHeight="1">
      <c r="A988">
        <v>200830</v>
      </c>
      <c r="B988" s="3" t="s">
        <v>464</v>
      </c>
      <c r="C988" s="3" t="str">
        <f t="shared" si="73"/>
        <v>Relationships.Comments</v>
      </c>
      <c r="D988" s="3">
        <v>200380</v>
      </c>
      <c r="E988" s="3" t="str">
        <f t="shared" si="71"/>
        <v>Relationships</v>
      </c>
      <c r="F988" s="3" t="s">
        <v>14</v>
      </c>
      <c r="H988" s="3" t="str">
        <f t="shared" si="72"/>
        <v>crm.Relationship</v>
      </c>
      <c r="I988" s="3" t="s">
        <v>14</v>
      </c>
      <c r="K988" s="3" t="s">
        <v>14</v>
      </c>
      <c r="M988" s="3" t="s">
        <v>196</v>
      </c>
      <c r="O988" s="3">
        <v>0</v>
      </c>
      <c r="Q988" s="3" t="s">
        <v>92</v>
      </c>
      <c r="U988" s="3" t="s">
        <v>93</v>
      </c>
      <c r="AD988">
        <v>12740</v>
      </c>
      <c r="AE988" t="str">
        <f>IF(AD988=-1,"All",VLOOKUP(AD988,ColumnId,3,FALSE))</f>
        <v>crmRelationship.Comments</v>
      </c>
      <c r="AF988" t="s">
        <v>540</v>
      </c>
      <c r="AJ988" t="e">
        <f>VLOOKUP(E988,temp1,1,FALSE)</f>
        <v>#NAME?</v>
      </c>
      <c r="AP988" t="e">
        <f>VLOOKUP(E988,temp6,1,FALSE)</f>
        <v>#NAME?</v>
      </c>
    </row>
    <row r="989" spans="1:42" ht="15" hidden="1" customHeight="1">
      <c r="A989">
        <v>200840</v>
      </c>
      <c r="B989" s="3" t="s">
        <v>464</v>
      </c>
      <c r="C989" s="3" t="str">
        <f t="shared" si="73"/>
        <v>Relationships.RelationshipID</v>
      </c>
      <c r="D989" s="3">
        <v>200380</v>
      </c>
      <c r="E989" s="3" t="str">
        <f t="shared" si="71"/>
        <v>Relationships</v>
      </c>
      <c r="F989" s="3" t="s">
        <v>219</v>
      </c>
      <c r="H989" s="3" t="str">
        <f t="shared" si="72"/>
        <v>crm.Relationship</v>
      </c>
      <c r="I989" s="3" t="s">
        <v>219</v>
      </c>
      <c r="K989" s="3" t="s">
        <v>124</v>
      </c>
      <c r="M989" s="3" t="s">
        <v>195</v>
      </c>
      <c r="Q989" s="3" t="s">
        <v>92</v>
      </c>
      <c r="U989" s="3" t="s">
        <v>93</v>
      </c>
      <c r="W989" s="3"/>
      <c r="AF989" t="s">
        <v>541</v>
      </c>
      <c r="AJ989" t="e">
        <f>VLOOKUP(E989,temp1,1,FALSE)</f>
        <v>#NAME?</v>
      </c>
      <c r="AP989" t="e">
        <f>VLOOKUP(E989,temp6,1,FALSE)</f>
        <v>#NAME?</v>
      </c>
    </row>
    <row r="990" spans="1:42" ht="15" hidden="1" customHeight="1">
      <c r="A990">
        <v>200850</v>
      </c>
      <c r="B990" s="3" t="s">
        <v>464</v>
      </c>
      <c r="C990" s="3" t="str">
        <f t="shared" si="73"/>
        <v>Relationships.RecordStatus</v>
      </c>
      <c r="D990" s="3">
        <v>200380</v>
      </c>
      <c r="E990" s="3" t="str">
        <f t="shared" si="71"/>
        <v>Relationships</v>
      </c>
      <c r="F990" s="3" t="s">
        <v>4</v>
      </c>
      <c r="H990" s="3" t="str">
        <f t="shared" si="72"/>
        <v>crm.Relationship</v>
      </c>
      <c r="I990" s="3" t="s">
        <v>4</v>
      </c>
      <c r="K990" s="3" t="s">
        <v>4</v>
      </c>
      <c r="M990" s="3" t="s">
        <v>196</v>
      </c>
      <c r="O990" s="3">
        <v>0</v>
      </c>
      <c r="Q990" s="3" t="s">
        <v>92</v>
      </c>
      <c r="U990" s="3" t="s">
        <v>94</v>
      </c>
      <c r="AD990">
        <v>12780</v>
      </c>
      <c r="AE990" t="str">
        <f>IF(AD990=-1,"All",VLOOKUP(AD990,ColumnId,3,FALSE))</f>
        <v>crmRelationship.RowStatus</v>
      </c>
      <c r="AJ990" t="e">
        <f>VLOOKUP(E990,temp1,1,FALSE)</f>
        <v>#NAME?</v>
      </c>
      <c r="AP990" t="e">
        <f>VLOOKUP(E990,temp6,1,FALSE)</f>
        <v>#NAME?</v>
      </c>
    </row>
    <row r="991" spans="1:42" ht="15" hidden="1" customHeight="1">
      <c r="A991">
        <v>200860</v>
      </c>
      <c r="B991" s="3" t="s">
        <v>464</v>
      </c>
      <c r="C991" s="3" t="str">
        <f t="shared" si="73"/>
        <v>ActivityTypes.ID</v>
      </c>
      <c r="D991" s="3">
        <v>200040</v>
      </c>
      <c r="E991" s="3" t="str">
        <f t="shared" si="71"/>
        <v>ActivityTypes</v>
      </c>
      <c r="F991" s="3" t="s">
        <v>0</v>
      </c>
      <c r="H991" s="3" t="str">
        <f t="shared" si="72"/>
        <v>act.ActivityType</v>
      </c>
      <c r="I991" s="3" t="s">
        <v>0</v>
      </c>
      <c r="K991" s="3" t="s">
        <v>0</v>
      </c>
      <c r="M991" s="3" t="s">
        <v>195</v>
      </c>
      <c r="Q991" s="3" t="s">
        <v>919</v>
      </c>
      <c r="U991" s="3" t="s">
        <v>95</v>
      </c>
      <c r="W991" s="3"/>
      <c r="AD991">
        <v>-1</v>
      </c>
      <c r="AE991" t="str">
        <f>IF(AD991=-1,"All",VLOOKUP(AD991,ColumnId,3,FALSE))</f>
        <v>All</v>
      </c>
      <c r="AF991" t="s">
        <v>542</v>
      </c>
      <c r="AJ991" t="e">
        <f>VLOOKUP(E991,temp1,1,FALSE)</f>
        <v>#NAME?</v>
      </c>
      <c r="AP991" t="e">
        <f>VLOOKUP(E991,temp6,1,FALSE)</f>
        <v>#NAME?</v>
      </c>
    </row>
    <row r="992" spans="1:42" ht="15" hidden="1" customHeight="1">
      <c r="A992">
        <v>200870</v>
      </c>
      <c r="B992" s="3" t="s">
        <v>464</v>
      </c>
      <c r="C992" s="3" t="str">
        <f t="shared" si="73"/>
        <v>ActivityTypes.SeqNo</v>
      </c>
      <c r="D992" s="3">
        <v>200040</v>
      </c>
      <c r="E992" s="3" t="str">
        <f t="shared" si="71"/>
        <v>ActivityTypes</v>
      </c>
      <c r="F992" s="3" t="s">
        <v>1360</v>
      </c>
      <c r="H992" s="3" t="str">
        <f t="shared" si="72"/>
        <v>act.ActivityType</v>
      </c>
      <c r="I992" s="3" t="s">
        <v>1360</v>
      </c>
      <c r="K992" s="3" t="s">
        <v>360</v>
      </c>
      <c r="M992" s="3" t="s">
        <v>195</v>
      </c>
      <c r="Q992" s="3" t="s">
        <v>92</v>
      </c>
      <c r="U992" s="3" t="s">
        <v>93</v>
      </c>
      <c r="AD992">
        <v>11220</v>
      </c>
      <c r="AE992" t="str">
        <f>IF(AD992=-1,"All",VLOOKUP(AD992,ColumnId,3,FALSE))</f>
        <v>actType.DisplaySequence</v>
      </c>
      <c r="AF992" t="s">
        <v>543</v>
      </c>
      <c r="AJ992" t="e">
        <f>VLOOKUP(E992,temp1,1,FALSE)</f>
        <v>#NAME?</v>
      </c>
      <c r="AP992" t="e">
        <f>VLOOKUP(E992,temp6,1,FALSE)</f>
        <v>#NAME?</v>
      </c>
    </row>
    <row r="993" spans="1:42" ht="15" hidden="1" customHeight="1">
      <c r="A993">
        <v>200880</v>
      </c>
      <c r="B993" s="3" t="s">
        <v>464</v>
      </c>
      <c r="C993" s="3" t="str">
        <f t="shared" si="73"/>
        <v>ActivityTypes.Description</v>
      </c>
      <c r="D993" s="3">
        <v>200040</v>
      </c>
      <c r="E993" s="3" t="str">
        <f t="shared" si="71"/>
        <v>ActivityTypes</v>
      </c>
      <c r="F993" s="3" t="s">
        <v>12</v>
      </c>
      <c r="H993" s="3" t="str">
        <f t="shared" si="72"/>
        <v>act.ActivityType</v>
      </c>
      <c r="I993" s="3" t="s">
        <v>12</v>
      </c>
      <c r="K993" s="3" t="s">
        <v>12</v>
      </c>
      <c r="M993" s="3" t="s">
        <v>196</v>
      </c>
      <c r="O993" s="3">
        <v>0</v>
      </c>
      <c r="Q993" s="3" t="s">
        <v>92</v>
      </c>
      <c r="U993" s="3" t="s">
        <v>93</v>
      </c>
      <c r="AD993">
        <v>11210</v>
      </c>
      <c r="AE993" t="str">
        <f>IF(AD993=-1,"All",VLOOKUP(AD993,ColumnId,3,FALSE))</f>
        <v>actType.Description</v>
      </c>
      <c r="AF993" t="s">
        <v>544</v>
      </c>
      <c r="AJ993" t="e">
        <f>VLOOKUP(E993,temp1,1,FALSE)</f>
        <v>#NAME?</v>
      </c>
      <c r="AP993" t="e">
        <f>VLOOKUP(E993,temp6,1,FALSE)</f>
        <v>#NAME?</v>
      </c>
    </row>
    <row r="994" spans="1:42" ht="15" hidden="1" customHeight="1">
      <c r="A994">
        <v>200890</v>
      </c>
      <c r="B994" s="3" t="s">
        <v>464</v>
      </c>
      <c r="C994" s="3" t="str">
        <f t="shared" si="73"/>
        <v>ActivityTypes.ActivityTypeID</v>
      </c>
      <c r="D994" s="3">
        <v>200040</v>
      </c>
      <c r="E994" s="3" t="str">
        <f t="shared" si="71"/>
        <v>ActivityTypes</v>
      </c>
      <c r="F994" s="3" t="s">
        <v>70</v>
      </c>
      <c r="H994" s="3" t="str">
        <f t="shared" si="72"/>
        <v>act.ActivityType</v>
      </c>
      <c r="I994" s="3" t="s">
        <v>70</v>
      </c>
      <c r="K994" s="3" t="s">
        <v>119</v>
      </c>
      <c r="M994" s="3" t="s">
        <v>195</v>
      </c>
      <c r="Q994" s="3" t="s">
        <v>92</v>
      </c>
      <c r="U994" s="3" t="s">
        <v>96</v>
      </c>
      <c r="V994">
        <v>200040</v>
      </c>
      <c r="W994" s="3" t="str">
        <f>VLOOKUP(V994,DictionaryTableID,3,FALSE)</f>
        <v>ActivityTypes</v>
      </c>
      <c r="AD994">
        <v>11160</v>
      </c>
      <c r="AE994" t="str">
        <f>IF(AD994=-1,"All",VLOOKUP(AD994,ColumnId,3,FALSE))</f>
        <v>actType.actTypeIDParent</v>
      </c>
      <c r="AF994" t="s">
        <v>545</v>
      </c>
      <c r="AJ994" t="e">
        <f>VLOOKUP(E994,temp1,1,FALSE)</f>
        <v>#NAME?</v>
      </c>
      <c r="AP994" t="e">
        <f>VLOOKUP(E994,temp6,1,FALSE)</f>
        <v>#NAME?</v>
      </c>
    </row>
    <row r="995" spans="1:42" ht="15" hidden="1" customHeight="1">
      <c r="A995">
        <v>200900</v>
      </c>
      <c r="B995" s="3" t="s">
        <v>464</v>
      </c>
      <c r="C995" s="3" t="str">
        <f t="shared" si="73"/>
        <v>ActivityTypes.RefTypeID</v>
      </c>
      <c r="D995" s="3">
        <v>200040</v>
      </c>
      <c r="E995" s="3" t="str">
        <f t="shared" si="71"/>
        <v>ActivityTypes</v>
      </c>
      <c r="F995" s="3" t="s">
        <v>277</v>
      </c>
      <c r="H995" s="3" t="str">
        <f t="shared" si="72"/>
        <v>act.ActivityType</v>
      </c>
      <c r="I995" s="3" t="s">
        <v>277</v>
      </c>
      <c r="K995" s="3" t="s">
        <v>40</v>
      </c>
      <c r="M995" s="3" t="s">
        <v>195</v>
      </c>
      <c r="Q995" s="3" t="s">
        <v>92</v>
      </c>
      <c r="U995" s="3" t="s">
        <v>97</v>
      </c>
      <c r="V995">
        <v>200360</v>
      </c>
      <c r="W995" s="3" t="str">
        <f>VLOOKUP(V995,DictionaryTableID,3,FALSE)</f>
        <v>ReferenceFields</v>
      </c>
      <c r="AF995" t="s">
        <v>546</v>
      </c>
      <c r="AJ995" t="e">
        <f>VLOOKUP(E995,temp1,1,FALSE)</f>
        <v>#NAME?</v>
      </c>
      <c r="AP995" t="e">
        <f>VLOOKUP(E995,temp6,1,FALSE)</f>
        <v>#NAME?</v>
      </c>
    </row>
    <row r="996" spans="1:42" ht="15" hidden="1" customHeight="1">
      <c r="A996">
        <v>200910</v>
      </c>
      <c r="B996" s="3" t="s">
        <v>464</v>
      </c>
      <c r="C996" s="3" t="str">
        <f t="shared" si="73"/>
        <v>ActivityTypes.Narrative</v>
      </c>
      <c r="D996" s="3">
        <v>200040</v>
      </c>
      <c r="E996" s="3" t="str">
        <f t="shared" si="71"/>
        <v>ActivityTypes</v>
      </c>
      <c r="F996" s="3" t="s">
        <v>267</v>
      </c>
      <c r="H996" s="3" t="str">
        <f t="shared" si="72"/>
        <v>act.ActivityType</v>
      </c>
      <c r="I996" s="3" t="s">
        <v>267</v>
      </c>
      <c r="K996" s="3" t="s">
        <v>267</v>
      </c>
      <c r="M996" s="3" t="s">
        <v>196</v>
      </c>
      <c r="O996" s="3">
        <v>0</v>
      </c>
      <c r="Q996" s="3" t="s">
        <v>92</v>
      </c>
      <c r="U996" s="3" t="s">
        <v>93</v>
      </c>
      <c r="AD996">
        <v>11200</v>
      </c>
      <c r="AE996" t="str">
        <f>IF(AD996=-1,"All",VLOOKUP(AD996,ColumnId,3,FALSE))</f>
        <v>actType.Comments</v>
      </c>
      <c r="AF996" t="s">
        <v>547</v>
      </c>
      <c r="AJ996" t="e">
        <f>VLOOKUP(E996,temp1,1,FALSE)</f>
        <v>#NAME?</v>
      </c>
      <c r="AP996" t="e">
        <f>VLOOKUP(E996,temp6,1,FALSE)</f>
        <v>#NAME?</v>
      </c>
    </row>
    <row r="997" spans="1:42" ht="15" hidden="1" customHeight="1">
      <c r="A997">
        <v>200920</v>
      </c>
      <c r="B997" s="3" t="s">
        <v>464</v>
      </c>
      <c r="C997" s="3" t="str">
        <f t="shared" si="73"/>
        <v>ActivityTypes.RefSubClassifyByID</v>
      </c>
      <c r="D997" s="3">
        <v>200040</v>
      </c>
      <c r="E997" s="3" t="str">
        <f t="shared" si="71"/>
        <v>ActivityTypes</v>
      </c>
      <c r="F997" s="3" t="s">
        <v>292</v>
      </c>
      <c r="H997" s="3" t="str">
        <f t="shared" si="72"/>
        <v>act.ActivityType</v>
      </c>
      <c r="I997" s="3" t="s">
        <v>292</v>
      </c>
      <c r="K997" s="3" t="s">
        <v>444</v>
      </c>
      <c r="M997" s="3" t="s">
        <v>195</v>
      </c>
      <c r="Q997" s="3" t="s">
        <v>92</v>
      </c>
      <c r="U997" s="3" t="s">
        <v>97</v>
      </c>
      <c r="V997">
        <v>200360</v>
      </c>
      <c r="W997" s="3" t="str">
        <f>VLOOKUP(V997,DictionaryTableID,3,FALSE)</f>
        <v>ReferenceFields</v>
      </c>
      <c r="AD997">
        <v>11190</v>
      </c>
      <c r="AE997" t="str">
        <f>IF(AD997=-1,"All",VLOOKUP(AD997,ColumnId,3,FALSE))</f>
        <v>actType.sysMultilinkTableRuleIDPerformedFor</v>
      </c>
      <c r="AF997" t="s">
        <v>548</v>
      </c>
      <c r="AJ997" t="e">
        <f>VLOOKUP(E997,temp1,1,FALSE)</f>
        <v>#NAME?</v>
      </c>
      <c r="AP997" t="e">
        <f>VLOOKUP(E997,temp6,1,FALSE)</f>
        <v>#NAME?</v>
      </c>
    </row>
    <row r="998" spans="1:42" ht="15" hidden="1" customHeight="1">
      <c r="A998">
        <v>200930</v>
      </c>
      <c r="B998" s="3" t="s">
        <v>464</v>
      </c>
      <c r="C998" s="3" t="str">
        <f t="shared" si="73"/>
        <v>ActivityTypes.Template</v>
      </c>
      <c r="D998" s="3">
        <v>200040</v>
      </c>
      <c r="E998" s="3" t="str">
        <f t="shared" si="71"/>
        <v>ActivityTypes</v>
      </c>
      <c r="F998" s="3" t="s">
        <v>273</v>
      </c>
      <c r="H998" s="3" t="str">
        <f t="shared" si="72"/>
        <v>act.ActivityType</v>
      </c>
      <c r="I998" s="3" t="s">
        <v>273</v>
      </c>
      <c r="K998" s="3" t="s">
        <v>273</v>
      </c>
      <c r="M998" s="3" t="s">
        <v>196</v>
      </c>
      <c r="O998" s="3">
        <v>0</v>
      </c>
      <c r="Q998" s="3" t="s">
        <v>92</v>
      </c>
      <c r="U998" s="3" t="s">
        <v>93</v>
      </c>
      <c r="AF998" t="s">
        <v>549</v>
      </c>
      <c r="AJ998" t="e">
        <f>VLOOKUP(E998,temp1,1,FALSE)</f>
        <v>#NAME?</v>
      </c>
      <c r="AP998" t="e">
        <f>VLOOKUP(E998,temp6,1,FALSE)</f>
        <v>#NAME?</v>
      </c>
    </row>
    <row r="999" spans="1:42" ht="15" hidden="1" customHeight="1">
      <c r="A999">
        <v>200940</v>
      </c>
      <c r="B999" s="3" t="s">
        <v>464</v>
      </c>
      <c r="C999" s="3" t="str">
        <f t="shared" si="73"/>
        <v>ActivityTypes.SubCnt</v>
      </c>
      <c r="D999" s="3">
        <v>200040</v>
      </c>
      <c r="E999" s="3" t="str">
        <f t="shared" si="71"/>
        <v>ActivityTypes</v>
      </c>
      <c r="F999" s="3" t="s">
        <v>251</v>
      </c>
      <c r="H999" s="3" t="str">
        <f t="shared" si="72"/>
        <v>act.ActivityType</v>
      </c>
      <c r="I999" s="3" t="s">
        <v>251</v>
      </c>
      <c r="K999" s="3" t="s">
        <v>355</v>
      </c>
      <c r="M999" s="3" t="s">
        <v>195</v>
      </c>
      <c r="Q999" s="3" t="s">
        <v>92</v>
      </c>
      <c r="U999" s="3" t="s">
        <v>93</v>
      </c>
      <c r="AF999" t="s">
        <v>550</v>
      </c>
      <c r="AJ999" t="e">
        <f>VLOOKUP(E999,temp1,1,FALSE)</f>
        <v>#NAME?</v>
      </c>
      <c r="AP999" t="e">
        <f>VLOOKUP(E999,temp6,1,FALSE)</f>
        <v>#NAME?</v>
      </c>
    </row>
    <row r="1000" spans="1:42" ht="15" hidden="1" customHeight="1">
      <c r="A1000">
        <v>200950</v>
      </c>
      <c r="B1000" s="3" t="s">
        <v>464</v>
      </c>
      <c r="C1000" s="3" t="str">
        <f t="shared" si="73"/>
        <v>ActivityTypes.RefCostUnitID</v>
      </c>
      <c r="D1000" s="3">
        <v>200040</v>
      </c>
      <c r="E1000" s="3" t="str">
        <f t="shared" si="71"/>
        <v>ActivityTypes</v>
      </c>
      <c r="F1000" s="3" t="s">
        <v>290</v>
      </c>
      <c r="H1000" s="3" t="str">
        <f t="shared" si="72"/>
        <v>act.ActivityType</v>
      </c>
      <c r="I1000" s="3" t="s">
        <v>290</v>
      </c>
      <c r="K1000" s="3" t="s">
        <v>446</v>
      </c>
      <c r="M1000" s="3" t="s">
        <v>195</v>
      </c>
      <c r="Q1000" s="3" t="s">
        <v>92</v>
      </c>
      <c r="U1000" s="3" t="s">
        <v>97</v>
      </c>
      <c r="V1000">
        <v>200360</v>
      </c>
      <c r="W1000" s="3" t="str">
        <f>VLOOKUP(V1000,DictionaryTableID,3,FALSE)</f>
        <v>ReferenceFields</v>
      </c>
      <c r="AD1000">
        <v>11150</v>
      </c>
      <c r="AE1000" t="str">
        <f>IF(AD1000=-1,"All",VLOOKUP(AD1000,ColumnId,3,FALSE))</f>
        <v>actType.actCostUnitID</v>
      </c>
      <c r="AF1000" t="s">
        <v>551</v>
      </c>
      <c r="AJ1000" t="e">
        <f>VLOOKUP(E1000,temp1,1,FALSE)</f>
        <v>#NAME?</v>
      </c>
      <c r="AP1000" t="e">
        <f>VLOOKUP(E1000,temp6,1,FALSE)</f>
        <v>#NAME?</v>
      </c>
    </row>
    <row r="1001" spans="1:42" ht="15" hidden="1" customHeight="1">
      <c r="A1001">
        <v>200960</v>
      </c>
      <c r="B1001" s="3" t="s">
        <v>464</v>
      </c>
      <c r="C1001" s="3" t="str">
        <f t="shared" si="73"/>
        <v>ActivityTypes.GLAccountID</v>
      </c>
      <c r="D1001" s="3">
        <v>200040</v>
      </c>
      <c r="E1001" s="3" t="str">
        <f t="shared" si="71"/>
        <v>ActivityTypes</v>
      </c>
      <c r="F1001" s="3" t="s">
        <v>74</v>
      </c>
      <c r="H1001" s="3" t="str">
        <f t="shared" si="72"/>
        <v>act.ActivityType</v>
      </c>
      <c r="I1001" s="3" t="s">
        <v>74</v>
      </c>
      <c r="K1001" s="3" t="s">
        <v>123</v>
      </c>
      <c r="M1001" s="3" t="s">
        <v>195</v>
      </c>
      <c r="Q1001" s="3" t="s">
        <v>92</v>
      </c>
      <c r="U1001" s="3" t="s">
        <v>96</v>
      </c>
      <c r="V1001">
        <v>200260</v>
      </c>
      <c r="W1001" s="3" t="str">
        <f>VLOOKUP(V1001,DictionaryTableID,3,FALSE)</f>
        <v>GLAccounts</v>
      </c>
      <c r="AD1001">
        <v>11170</v>
      </c>
      <c r="AE1001" t="str">
        <f>IF(AD1001=-1,"All",VLOOKUP(AD1001,ColumnId,3,FALSE))</f>
        <v>actType.glAccountID</v>
      </c>
      <c r="AF1001" t="s">
        <v>552</v>
      </c>
      <c r="AJ1001" t="e">
        <f>VLOOKUP(E1001,temp1,1,FALSE)</f>
        <v>#NAME?</v>
      </c>
      <c r="AP1001" t="e">
        <f>VLOOKUP(E1001,temp6,1,FALSE)</f>
        <v>#NAME?</v>
      </c>
    </row>
    <row r="1002" spans="1:42" ht="15" hidden="1" customHeight="1">
      <c r="A1002">
        <v>200970</v>
      </c>
      <c r="B1002" s="3" t="s">
        <v>464</v>
      </c>
      <c r="C1002" s="3" t="str">
        <f t="shared" si="73"/>
        <v>ActivityTypes.TreeString</v>
      </c>
      <c r="D1002" s="3">
        <v>200040</v>
      </c>
      <c r="E1002" s="3" t="str">
        <f t="shared" si="71"/>
        <v>ActivityTypes</v>
      </c>
      <c r="F1002" s="3" t="s">
        <v>460</v>
      </c>
      <c r="H1002" s="3" t="str">
        <f t="shared" si="72"/>
        <v>act.ActivityType</v>
      </c>
      <c r="I1002" s="3" t="s">
        <v>460</v>
      </c>
      <c r="K1002" s="3" t="s">
        <v>460</v>
      </c>
      <c r="M1002" s="3" t="s">
        <v>196</v>
      </c>
      <c r="Q1002" s="3" t="s">
        <v>92</v>
      </c>
      <c r="U1002" s="3" t="s">
        <v>93</v>
      </c>
      <c r="AF1002" t="s">
        <v>553</v>
      </c>
      <c r="AJ1002" t="e">
        <f>VLOOKUP(E1002,temp1,1,FALSE)</f>
        <v>#NAME?</v>
      </c>
      <c r="AP1002" t="e">
        <f>VLOOKUP(E1002,temp6,1,FALSE)</f>
        <v>#NAME?</v>
      </c>
    </row>
    <row r="1003" spans="1:42" ht="15" hidden="1" customHeight="1">
      <c r="A1003">
        <v>200980</v>
      </c>
      <c r="B1003" s="3" t="s">
        <v>464</v>
      </c>
      <c r="C1003" s="3" t="str">
        <f t="shared" si="73"/>
        <v>ActivityTypes.TreeSeq</v>
      </c>
      <c r="D1003" s="3">
        <v>200040</v>
      </c>
      <c r="E1003" s="3" t="str">
        <f t="shared" si="71"/>
        <v>ActivityTypes</v>
      </c>
      <c r="F1003" s="3" t="s">
        <v>461</v>
      </c>
      <c r="H1003" s="3" t="str">
        <f t="shared" si="72"/>
        <v>act.ActivityType</v>
      </c>
      <c r="I1003" s="3" t="s">
        <v>461</v>
      </c>
      <c r="K1003" s="3" t="s">
        <v>461</v>
      </c>
      <c r="M1003" s="3" t="s">
        <v>195</v>
      </c>
      <c r="Q1003" s="3" t="s">
        <v>92</v>
      </c>
      <c r="U1003" s="3" t="s">
        <v>93</v>
      </c>
      <c r="AF1003" t="s">
        <v>554</v>
      </c>
      <c r="AJ1003" t="e">
        <f>VLOOKUP(E1003,temp1,1,FALSE)</f>
        <v>#NAME?</v>
      </c>
      <c r="AP1003" t="e">
        <f>VLOOKUP(E1003,temp6,1,FALSE)</f>
        <v>#NAME?</v>
      </c>
    </row>
    <row r="1004" spans="1:42" ht="15" hidden="1" customHeight="1">
      <c r="A1004">
        <v>200990</v>
      </c>
      <c r="B1004" s="3" t="s">
        <v>464</v>
      </c>
      <c r="C1004" s="3" t="str">
        <f t="shared" si="73"/>
        <v>ActivityTypes.RecordStatus</v>
      </c>
      <c r="D1004" s="3">
        <v>200040</v>
      </c>
      <c r="E1004" s="3" t="str">
        <f t="shared" si="71"/>
        <v>ActivityTypes</v>
      </c>
      <c r="F1004" s="3" t="s">
        <v>4</v>
      </c>
      <c r="H1004" s="3" t="str">
        <f t="shared" si="72"/>
        <v>act.ActivityType</v>
      </c>
      <c r="I1004" s="3" t="s">
        <v>4</v>
      </c>
      <c r="K1004" s="3" t="s">
        <v>4</v>
      </c>
      <c r="M1004" s="3" t="s">
        <v>196</v>
      </c>
      <c r="O1004" s="3">
        <v>0</v>
      </c>
      <c r="Q1004" s="3" t="s">
        <v>92</v>
      </c>
      <c r="U1004" s="3" t="s">
        <v>94</v>
      </c>
      <c r="AD1004">
        <v>11230</v>
      </c>
      <c r="AE1004" t="str">
        <f t="shared" ref="AE1004:AE1014" si="75">IF(AD1004=-1,"All",VLOOKUP(AD1004,ColumnId,3,FALSE))</f>
        <v>actType.RowStatus</v>
      </c>
      <c r="AJ1004" t="e">
        <f>VLOOKUP(E1004,temp1,1,FALSE)</f>
        <v>#NAME?</v>
      </c>
      <c r="AP1004" t="e">
        <f>VLOOKUP(E1004,temp6,1,FALSE)</f>
        <v>#NAME?</v>
      </c>
    </row>
    <row r="1005" spans="1:42" ht="15" hidden="1" customHeight="1">
      <c r="A1005">
        <v>201000</v>
      </c>
      <c r="B1005" s="3" t="s">
        <v>464</v>
      </c>
      <c r="C1005" s="3" t="str">
        <f t="shared" si="73"/>
        <v>Activities.ID</v>
      </c>
      <c r="D1005" s="3">
        <v>200010</v>
      </c>
      <c r="E1005" s="3" t="str">
        <f t="shared" si="71"/>
        <v>Activities</v>
      </c>
      <c r="F1005" s="3" t="s">
        <v>0</v>
      </c>
      <c r="H1005" s="3" t="str">
        <f t="shared" si="72"/>
        <v>act.Activity</v>
      </c>
      <c r="I1005" s="3" t="s">
        <v>0</v>
      </c>
      <c r="K1005" s="3" t="s">
        <v>0</v>
      </c>
      <c r="M1005" s="3" t="s">
        <v>195</v>
      </c>
      <c r="Q1005" s="3" t="s">
        <v>919</v>
      </c>
      <c r="U1005" s="3" t="s">
        <v>95</v>
      </c>
      <c r="W1005" s="3"/>
      <c r="AD1005">
        <v>-1</v>
      </c>
      <c r="AE1005" t="str">
        <f t="shared" si="75"/>
        <v>All</v>
      </c>
      <c r="AF1005" t="s">
        <v>555</v>
      </c>
      <c r="AJ1005" t="e">
        <f>VLOOKUP(E1005,temp1,1,FALSE)</f>
        <v>#NAME?</v>
      </c>
      <c r="AP1005" t="e">
        <f>VLOOKUP(E1005,temp6,1,FALSE)</f>
        <v>#NAME?</v>
      </c>
    </row>
    <row r="1006" spans="1:42" ht="15" hidden="1" customHeight="1">
      <c r="A1006">
        <v>201010</v>
      </c>
      <c r="B1006" s="3" t="s">
        <v>464</v>
      </c>
      <c r="C1006" s="3" t="str">
        <f t="shared" si="73"/>
        <v>Activities.CompletionDate</v>
      </c>
      <c r="D1006" s="3">
        <v>200010</v>
      </c>
      <c r="E1006" s="3" t="str">
        <f t="shared" si="71"/>
        <v>Activities</v>
      </c>
      <c r="F1006" s="3" t="s">
        <v>282</v>
      </c>
      <c r="H1006" s="3" t="str">
        <f t="shared" si="72"/>
        <v>act.Activity</v>
      </c>
      <c r="I1006" s="3" t="s">
        <v>282</v>
      </c>
      <c r="K1006" s="3" t="s">
        <v>351</v>
      </c>
      <c r="M1006" s="3" t="s">
        <v>329</v>
      </c>
      <c r="N1006" s="3">
        <v>8</v>
      </c>
      <c r="O1006" s="3">
        <v>0</v>
      </c>
      <c r="Q1006" s="3" t="s">
        <v>92</v>
      </c>
      <c r="U1006" s="3" t="s">
        <v>93</v>
      </c>
      <c r="AD1006">
        <v>10100</v>
      </c>
      <c r="AE1006" t="str">
        <f t="shared" si="75"/>
        <v>actActivity.CompletionDate</v>
      </c>
      <c r="AF1006" t="s">
        <v>556</v>
      </c>
      <c r="AJ1006" t="e">
        <f>VLOOKUP(E1006,temp1,1,FALSE)</f>
        <v>#NAME?</v>
      </c>
      <c r="AP1006" t="e">
        <f>VLOOKUP(E1006,temp6,1,FALSE)</f>
        <v>#NAME?</v>
      </c>
    </row>
    <row r="1007" spans="1:42" ht="15" hidden="1" customHeight="1">
      <c r="A1007">
        <v>201020</v>
      </c>
      <c r="B1007" s="3" t="s">
        <v>464</v>
      </c>
      <c r="C1007" s="3" t="str">
        <f t="shared" si="73"/>
        <v>Activities.Description</v>
      </c>
      <c r="D1007" s="3">
        <v>200010</v>
      </c>
      <c r="E1007" s="3" t="str">
        <f t="shared" si="71"/>
        <v>Activities</v>
      </c>
      <c r="F1007" s="3" t="s">
        <v>12</v>
      </c>
      <c r="H1007" s="3" t="str">
        <f t="shared" si="72"/>
        <v>act.Activity</v>
      </c>
      <c r="I1007" s="3" t="s">
        <v>12</v>
      </c>
      <c r="K1007" s="3" t="s">
        <v>12</v>
      </c>
      <c r="M1007" s="3" t="s">
        <v>196</v>
      </c>
      <c r="O1007" s="3">
        <v>0</v>
      </c>
      <c r="Q1007" s="3" t="s">
        <v>92</v>
      </c>
      <c r="U1007" s="3" t="s">
        <v>93</v>
      </c>
      <c r="AD1007">
        <v>10110</v>
      </c>
      <c r="AE1007" t="str">
        <f t="shared" si="75"/>
        <v>actActivity.Description</v>
      </c>
      <c r="AF1007" t="s">
        <v>557</v>
      </c>
      <c r="AJ1007" t="e">
        <f>VLOOKUP(E1007,temp1,1,FALSE)</f>
        <v>#NAME?</v>
      </c>
      <c r="AP1007" t="e">
        <f>VLOOKUP(E1007,temp6,1,FALSE)</f>
        <v>#NAME?</v>
      </c>
    </row>
    <row r="1008" spans="1:42" ht="15" hidden="1" customHeight="1">
      <c r="A1008">
        <v>201030</v>
      </c>
      <c r="B1008" s="3" t="s">
        <v>464</v>
      </c>
      <c r="C1008" s="3" t="str">
        <f t="shared" si="73"/>
        <v>Activities.ContactIDPerformedBY</v>
      </c>
      <c r="D1008" s="3">
        <v>200010</v>
      </c>
      <c r="E1008" s="3" t="str">
        <f t="shared" si="71"/>
        <v>Activities</v>
      </c>
      <c r="F1008" s="3" t="s">
        <v>220</v>
      </c>
      <c r="H1008" s="3" t="str">
        <f t="shared" si="72"/>
        <v>act.Activity</v>
      </c>
      <c r="I1008" s="3" t="s">
        <v>220</v>
      </c>
      <c r="K1008" s="3" t="s">
        <v>455</v>
      </c>
      <c r="M1008" s="3" t="s">
        <v>195</v>
      </c>
      <c r="Q1008" s="3" t="s">
        <v>92</v>
      </c>
      <c r="U1008" s="3" t="s">
        <v>96</v>
      </c>
      <c r="V1008">
        <v>200150</v>
      </c>
      <c r="W1008" s="3" t="str">
        <f>VLOOKUP(V1008,DictionaryTableID,3,FALSE)</f>
        <v>Contacts</v>
      </c>
      <c r="X1008" t="s">
        <v>1462</v>
      </c>
      <c r="AD1008">
        <v>10060</v>
      </c>
      <c r="AE1008" t="str">
        <f t="shared" si="75"/>
        <v>actActivity.RowIDPerformedBy</v>
      </c>
      <c r="AF1008" t="s">
        <v>558</v>
      </c>
      <c r="AJ1008" t="e">
        <f>VLOOKUP(E1008,temp1,1,FALSE)</f>
        <v>#NAME?</v>
      </c>
      <c r="AP1008" t="e">
        <f>VLOOKUP(E1008,temp6,1,FALSE)</f>
        <v>#NAME?</v>
      </c>
    </row>
    <row r="1009" spans="1:42" ht="15" hidden="1" customHeight="1">
      <c r="A1009">
        <v>201040</v>
      </c>
      <c r="B1009" s="3" t="s">
        <v>464</v>
      </c>
      <c r="C1009" s="3" t="str">
        <f t="shared" si="73"/>
        <v>Activities.RevenueAmount</v>
      </c>
      <c r="D1009" s="3">
        <v>200010</v>
      </c>
      <c r="E1009" s="3" t="str">
        <f t="shared" si="71"/>
        <v>Activities</v>
      </c>
      <c r="F1009" s="3" t="s">
        <v>321</v>
      </c>
      <c r="H1009" s="3" t="str">
        <f t="shared" si="72"/>
        <v>act.Activity</v>
      </c>
      <c r="I1009" s="3" t="s">
        <v>321</v>
      </c>
      <c r="K1009" s="3" t="s">
        <v>352</v>
      </c>
      <c r="M1009" s="3" t="s">
        <v>197</v>
      </c>
      <c r="N1009" s="3">
        <v>10</v>
      </c>
      <c r="O1009" s="3">
        <v>2</v>
      </c>
      <c r="Q1009" s="3" t="s">
        <v>92</v>
      </c>
      <c r="U1009" s="3" t="s">
        <v>93</v>
      </c>
      <c r="AD1009">
        <v>10230</v>
      </c>
      <c r="AE1009" t="str">
        <f t="shared" si="75"/>
        <v>actActivitySubTypeBilling.RevenueAmount</v>
      </c>
      <c r="AF1009" t="s">
        <v>559</v>
      </c>
      <c r="AJ1009" t="e">
        <f>VLOOKUP(E1009,temp1,1,FALSE)</f>
        <v>#NAME?</v>
      </c>
      <c r="AP1009" t="e">
        <f>VLOOKUP(E1009,temp6,1,FALSE)</f>
        <v>#NAME?</v>
      </c>
    </row>
    <row r="1010" spans="1:42" ht="15" hidden="1" customHeight="1">
      <c r="A1010">
        <v>201050</v>
      </c>
      <c r="B1010" s="3" t="s">
        <v>464</v>
      </c>
      <c r="C1010" s="3" t="str">
        <f t="shared" si="73"/>
        <v>Activities.ActivityTypeID</v>
      </c>
      <c r="D1010" s="3">
        <v>200010</v>
      </c>
      <c r="E1010" s="3" t="str">
        <f t="shared" si="71"/>
        <v>Activities</v>
      </c>
      <c r="F1010" s="3" t="s">
        <v>70</v>
      </c>
      <c r="H1010" s="3" t="str">
        <f t="shared" si="72"/>
        <v>act.Activity</v>
      </c>
      <c r="I1010" s="3" t="s">
        <v>70</v>
      </c>
      <c r="K1010" s="3" t="s">
        <v>119</v>
      </c>
      <c r="M1010" s="3" t="s">
        <v>195</v>
      </c>
      <c r="Q1010" s="3" t="s">
        <v>92</v>
      </c>
      <c r="U1010" s="3" t="s">
        <v>96</v>
      </c>
      <c r="V1010">
        <v>200040</v>
      </c>
      <c r="W1010" s="3" t="str">
        <f>VLOOKUP(V1010,DictionaryTableID,3,FALSE)</f>
        <v>ActivityTypes</v>
      </c>
      <c r="AD1010">
        <v>10040</v>
      </c>
      <c r="AE1010" t="str">
        <f t="shared" si="75"/>
        <v>actActivity.actTypeID</v>
      </c>
      <c r="AF1010" t="s">
        <v>560</v>
      </c>
      <c r="AJ1010" t="e">
        <f>VLOOKUP(E1010,temp1,1,FALSE)</f>
        <v>#NAME?</v>
      </c>
      <c r="AP1010" t="e">
        <f>VLOOKUP(E1010,temp6,1,FALSE)</f>
        <v>#NAME?</v>
      </c>
    </row>
    <row r="1011" spans="1:42" ht="15" hidden="1" customHeight="1">
      <c r="A1011">
        <v>201060</v>
      </c>
      <c r="B1011" s="3" t="s">
        <v>464</v>
      </c>
      <c r="C1011" s="3" t="str">
        <f t="shared" si="73"/>
        <v>Activities.DBCODEID</v>
      </c>
      <c r="D1011" s="3">
        <v>200010</v>
      </c>
      <c r="E1011" s="3" t="str">
        <f t="shared" si="71"/>
        <v>Activities</v>
      </c>
      <c r="F1011" s="3" t="s">
        <v>64</v>
      </c>
      <c r="H1011" s="3" t="str">
        <f t="shared" si="72"/>
        <v>act.Activity</v>
      </c>
      <c r="I1011" s="3" t="s">
        <v>64</v>
      </c>
      <c r="K1011" s="3" t="s">
        <v>339</v>
      </c>
      <c r="M1011" s="3" t="s">
        <v>195</v>
      </c>
      <c r="Q1011" s="3" t="s">
        <v>92</v>
      </c>
      <c r="U1011" s="3" t="s">
        <v>93</v>
      </c>
      <c r="W1011" s="3"/>
      <c r="AD1011">
        <v>10080</v>
      </c>
      <c r="AE1011" t="str">
        <f t="shared" si="75"/>
        <v>actActivity.RowIDPerformedFor</v>
      </c>
      <c r="AF1011" t="s">
        <v>561</v>
      </c>
      <c r="AJ1011" t="e">
        <f>VLOOKUP(E1011,temp1,1,FALSE)</f>
        <v>#NAME?</v>
      </c>
      <c r="AP1011" t="e">
        <f>VLOOKUP(E1011,temp6,1,FALSE)</f>
        <v>#NAME?</v>
      </c>
    </row>
    <row r="1012" spans="1:42" ht="15" hidden="1" customHeight="1">
      <c r="A1012">
        <v>201070</v>
      </c>
      <c r="B1012" s="3" t="s">
        <v>464</v>
      </c>
      <c r="C1012" s="3" t="str">
        <f t="shared" si="73"/>
        <v>Activities.RefBillingStatusID</v>
      </c>
      <c r="D1012" s="3">
        <v>200010</v>
      </c>
      <c r="E1012" s="3" t="str">
        <f t="shared" si="71"/>
        <v>Activities</v>
      </c>
      <c r="F1012" s="3" t="s">
        <v>288</v>
      </c>
      <c r="H1012" s="3" t="str">
        <f t="shared" si="72"/>
        <v>act.Activity</v>
      </c>
      <c r="I1012" s="3" t="s">
        <v>288</v>
      </c>
      <c r="K1012" s="3" t="s">
        <v>443</v>
      </c>
      <c r="M1012" s="3" t="s">
        <v>195</v>
      </c>
      <c r="Q1012" s="3" t="s">
        <v>92</v>
      </c>
      <c r="U1012" s="3" t="s">
        <v>97</v>
      </c>
      <c r="V1012">
        <v>200360</v>
      </c>
      <c r="W1012" s="3" t="str">
        <f>VLOOKUP(V1012,DictionaryTableID,3,FALSE)</f>
        <v>ReferenceFields</v>
      </c>
      <c r="AD1012">
        <v>10195</v>
      </c>
      <c r="AE1012" t="str">
        <f t="shared" si="75"/>
        <v>actActivitySubTypeBilling.actBillingStatusID</v>
      </c>
      <c r="AF1012" t="s">
        <v>562</v>
      </c>
      <c r="AJ1012" t="e">
        <f>VLOOKUP(E1012,temp1,1,FALSE)</f>
        <v>#NAME?</v>
      </c>
      <c r="AP1012" t="e">
        <f>VLOOKUP(E1012,temp6,1,FALSE)</f>
        <v>#NAME?</v>
      </c>
    </row>
    <row r="1013" spans="1:42" ht="15" hidden="1" customHeight="1">
      <c r="A1013">
        <v>201080</v>
      </c>
      <c r="B1013" s="3" t="s">
        <v>464</v>
      </c>
      <c r="C1013" s="3" t="str">
        <f t="shared" si="73"/>
        <v>Activities.TotalActual</v>
      </c>
      <c r="D1013" s="3">
        <v>200010</v>
      </c>
      <c r="E1013" s="3" t="str">
        <f t="shared" si="71"/>
        <v>Activities</v>
      </c>
      <c r="F1013" s="3" t="s">
        <v>323</v>
      </c>
      <c r="H1013" s="3" t="str">
        <f t="shared" si="72"/>
        <v>act.Activity</v>
      </c>
      <c r="I1013" s="3" t="s">
        <v>323</v>
      </c>
      <c r="K1013" s="3" t="s">
        <v>353</v>
      </c>
      <c r="M1013" s="3" t="s">
        <v>197</v>
      </c>
      <c r="N1013" s="3">
        <v>10</v>
      </c>
      <c r="O1013" s="3">
        <v>2</v>
      </c>
      <c r="Q1013" s="3" t="s">
        <v>92</v>
      </c>
      <c r="U1013" s="3" t="s">
        <v>93</v>
      </c>
      <c r="AD1013">
        <v>10130</v>
      </c>
      <c r="AE1013" t="str">
        <f t="shared" si="75"/>
        <v>actActivity.TotalActual</v>
      </c>
      <c r="AF1013" t="s">
        <v>563</v>
      </c>
      <c r="AJ1013" t="e">
        <f>VLOOKUP(E1013,temp1,1,FALSE)</f>
        <v>#NAME?</v>
      </c>
      <c r="AP1013" t="e">
        <f>VLOOKUP(E1013,temp6,1,FALSE)</f>
        <v>#NAME?</v>
      </c>
    </row>
    <row r="1014" spans="1:42" ht="15" hidden="1" customHeight="1">
      <c r="A1014">
        <v>201090</v>
      </c>
      <c r="B1014" s="3" t="s">
        <v>464</v>
      </c>
      <c r="C1014" s="3" t="str">
        <f t="shared" si="73"/>
        <v>Activities.DBID</v>
      </c>
      <c r="D1014" s="3">
        <v>200010</v>
      </c>
      <c r="E1014" s="3" t="str">
        <f t="shared" si="71"/>
        <v>Activities</v>
      </c>
      <c r="F1014" s="3" t="s">
        <v>54</v>
      </c>
      <c r="H1014" s="3" t="str">
        <f t="shared" si="72"/>
        <v>act.Activity</v>
      </c>
      <c r="I1014" s="3" t="s">
        <v>54</v>
      </c>
      <c r="K1014" s="3" t="s">
        <v>54</v>
      </c>
      <c r="L1014" s="21" t="s">
        <v>2871</v>
      </c>
      <c r="M1014" s="3" t="s">
        <v>196</v>
      </c>
      <c r="O1014" s="3">
        <v>0</v>
      </c>
      <c r="Q1014" s="3" t="s">
        <v>92</v>
      </c>
      <c r="U1014" s="3" t="s">
        <v>93</v>
      </c>
      <c r="AD1014">
        <v>10070</v>
      </c>
      <c r="AE1014" t="str">
        <f t="shared" si="75"/>
        <v>actActivity.sysDictionaryTableIDPerformedFor</v>
      </c>
      <c r="AF1014" t="s">
        <v>564</v>
      </c>
      <c r="AJ1014" t="e">
        <f>VLOOKUP(E1014,temp1,1,FALSE)</f>
        <v>#NAME?</v>
      </c>
      <c r="AP1014" t="e">
        <f>VLOOKUP(E1014,temp6,1,FALSE)</f>
        <v>#NAME?</v>
      </c>
    </row>
    <row r="1015" spans="1:42" ht="15" hidden="1" customHeight="1">
      <c r="A1015">
        <v>201100</v>
      </c>
      <c r="B1015" s="3" t="s">
        <v>464</v>
      </c>
      <c r="C1015" s="3" t="str">
        <f t="shared" si="73"/>
        <v>Activities.EmployeeID</v>
      </c>
      <c r="D1015" s="3">
        <v>200010</v>
      </c>
      <c r="E1015" s="3" t="str">
        <f t="shared" si="71"/>
        <v>Activities</v>
      </c>
      <c r="F1015" s="3" t="s">
        <v>25</v>
      </c>
      <c r="H1015" s="3" t="str">
        <f t="shared" si="72"/>
        <v>act.Activity</v>
      </c>
      <c r="I1015" s="3" t="s">
        <v>25</v>
      </c>
      <c r="K1015" s="3" t="s">
        <v>41</v>
      </c>
      <c r="M1015" s="3" t="s">
        <v>195</v>
      </c>
      <c r="Q1015" s="3" t="s">
        <v>92</v>
      </c>
      <c r="U1015" s="3" t="s">
        <v>96</v>
      </c>
      <c r="V1015">
        <v>200150</v>
      </c>
      <c r="W1015" s="3" t="str">
        <f>VLOOKUP(V1015,DictionaryTableID,3,FALSE)</f>
        <v>Contacts</v>
      </c>
      <c r="AF1015" t="s">
        <v>565</v>
      </c>
      <c r="AJ1015" t="e">
        <f>VLOOKUP(E1015,temp1,1,FALSE)</f>
        <v>#NAME?</v>
      </c>
      <c r="AP1015" t="e">
        <f>VLOOKUP(E1015,temp6,1,FALSE)</f>
        <v>#NAME?</v>
      </c>
    </row>
    <row r="1016" spans="1:42" ht="15" hidden="1" customHeight="1">
      <c r="A1016">
        <v>201110</v>
      </c>
      <c r="B1016" s="3" t="s">
        <v>464</v>
      </c>
      <c r="C1016" s="3" t="str">
        <f t="shared" si="73"/>
        <v>Activities.TransactionID</v>
      </c>
      <c r="D1016" s="3">
        <v>200010</v>
      </c>
      <c r="E1016" s="3" t="str">
        <f t="shared" si="71"/>
        <v>Activities</v>
      </c>
      <c r="F1016" s="3" t="s">
        <v>68</v>
      </c>
      <c r="H1016" s="3" t="str">
        <f t="shared" si="72"/>
        <v>act.Activity</v>
      </c>
      <c r="I1016" s="3" t="s">
        <v>68</v>
      </c>
      <c r="K1016" s="3" t="s">
        <v>120</v>
      </c>
      <c r="M1016" s="3" t="s">
        <v>195</v>
      </c>
      <c r="Q1016" s="3" t="s">
        <v>92</v>
      </c>
      <c r="U1016" s="3" t="s">
        <v>96</v>
      </c>
      <c r="V1016">
        <v>200390</v>
      </c>
      <c r="W1016" s="3" t="str">
        <f>VLOOKUP(V1016,DictionaryTableID,3,FALSE)</f>
        <v>Transactions</v>
      </c>
      <c r="AD1016">
        <v>10190</v>
      </c>
      <c r="AE1016" t="str">
        <f>IF(AD1016=-1,"All",VLOOKUP(AD1016,ColumnId,3,FALSE))</f>
        <v>actActivitySubTypeBilling.glTransactionID</v>
      </c>
      <c r="AF1016" t="s">
        <v>566</v>
      </c>
      <c r="AJ1016" t="e">
        <f>VLOOKUP(E1016,temp1,1,FALSE)</f>
        <v>#NAME?</v>
      </c>
      <c r="AP1016" t="e">
        <f>VLOOKUP(E1016,temp6,1,FALSE)</f>
        <v>#NAME?</v>
      </c>
    </row>
    <row r="1017" spans="1:42" ht="15" hidden="1" customHeight="1">
      <c r="A1017">
        <v>201120</v>
      </c>
      <c r="B1017" s="3" t="s">
        <v>464</v>
      </c>
      <c r="C1017" s="3" t="str">
        <f t="shared" si="73"/>
        <v>Activities.CreateDate</v>
      </c>
      <c r="D1017" s="3">
        <v>200010</v>
      </c>
      <c r="E1017" s="3" t="str">
        <f t="shared" si="71"/>
        <v>Activities</v>
      </c>
      <c r="F1017" s="3" t="s">
        <v>11</v>
      </c>
      <c r="H1017" s="3" t="str">
        <f t="shared" si="72"/>
        <v>act.Activity</v>
      </c>
      <c r="I1017" s="3" t="s">
        <v>11</v>
      </c>
      <c r="K1017" s="3" t="s">
        <v>111</v>
      </c>
      <c r="M1017" s="3" t="s">
        <v>329</v>
      </c>
      <c r="N1017" s="3">
        <v>8</v>
      </c>
      <c r="O1017" s="3">
        <v>0</v>
      </c>
      <c r="Q1017" s="3" t="s">
        <v>92</v>
      </c>
      <c r="U1017" s="3" t="s">
        <v>93</v>
      </c>
      <c r="AF1017" t="s">
        <v>567</v>
      </c>
      <c r="AJ1017" t="e">
        <f>VLOOKUP(E1017,temp1,1,FALSE)</f>
        <v>#NAME?</v>
      </c>
      <c r="AP1017" t="e">
        <f>VLOOKUP(E1017,temp6,1,FALSE)</f>
        <v>#NAME?</v>
      </c>
    </row>
    <row r="1018" spans="1:42" ht="15" hidden="1" customHeight="1">
      <c r="A1018">
        <v>201130</v>
      </c>
      <c r="B1018" s="3" t="s">
        <v>464</v>
      </c>
      <c r="C1018" s="3" t="str">
        <f t="shared" si="73"/>
        <v>Activities.OverrideHours</v>
      </c>
      <c r="D1018" s="3">
        <v>200010</v>
      </c>
      <c r="E1018" s="3" t="str">
        <f t="shared" si="71"/>
        <v>Activities</v>
      </c>
      <c r="F1018" s="3" t="s">
        <v>313</v>
      </c>
      <c r="H1018" s="3" t="str">
        <f t="shared" si="72"/>
        <v>act.Activity</v>
      </c>
      <c r="I1018" s="3" t="s">
        <v>313</v>
      </c>
      <c r="K1018" s="3" t="s">
        <v>354</v>
      </c>
      <c r="M1018" s="3" t="s">
        <v>196</v>
      </c>
      <c r="O1018" s="3">
        <v>0</v>
      </c>
      <c r="Q1018" s="3" t="s">
        <v>92</v>
      </c>
      <c r="U1018" s="3" t="s">
        <v>93</v>
      </c>
      <c r="AD1018">
        <v>10220</v>
      </c>
      <c r="AE1018" t="str">
        <f>IF(AD1018=-1,"All",VLOOKUP(AD1018,ColumnId,3,FALSE))</f>
        <v>actActivitySubTypeBilling.OverrideHours</v>
      </c>
      <c r="AF1018" t="s">
        <v>568</v>
      </c>
      <c r="AJ1018" t="e">
        <f>VLOOKUP(E1018,temp1,1,FALSE)</f>
        <v>#NAME?</v>
      </c>
      <c r="AP1018" t="e">
        <f>VLOOKUP(E1018,temp6,1,FALSE)</f>
        <v>#NAME?</v>
      </c>
    </row>
    <row r="1019" spans="1:42" ht="15" hidden="1" customHeight="1">
      <c r="A1019">
        <v>201140</v>
      </c>
      <c r="B1019" s="3" t="s">
        <v>464</v>
      </c>
      <c r="C1019" s="3" t="str">
        <f t="shared" si="73"/>
        <v>Activities.ContactIDInvoiceThrough</v>
      </c>
      <c r="D1019" s="3">
        <v>200010</v>
      </c>
      <c r="E1019" s="3" t="str">
        <f t="shared" si="71"/>
        <v>Activities</v>
      </c>
      <c r="F1019" s="3" t="s">
        <v>221</v>
      </c>
      <c r="H1019" s="3" t="str">
        <f t="shared" si="72"/>
        <v>act.Activity</v>
      </c>
      <c r="I1019" s="3" t="s">
        <v>221</v>
      </c>
      <c r="K1019" s="3" t="s">
        <v>456</v>
      </c>
      <c r="M1019" s="3" t="s">
        <v>195</v>
      </c>
      <c r="Q1019" s="3" t="s">
        <v>92</v>
      </c>
      <c r="U1019" s="3" t="s">
        <v>96</v>
      </c>
      <c r="V1019">
        <v>200150</v>
      </c>
      <c r="W1019" s="3" t="str">
        <f>VLOOKUP(V1019,DictionaryTableID,3,FALSE)</f>
        <v>Contacts</v>
      </c>
      <c r="X1019" t="s">
        <v>1213</v>
      </c>
      <c r="AD1019">
        <v>10180</v>
      </c>
      <c r="AE1019" t="str">
        <f>IF(AD1019=-1,"All",VLOOKUP(AD1019,ColumnId,3,FALSE))</f>
        <v>actActivitySubTypeBilling.crmContactIDInvoiceThrough</v>
      </c>
      <c r="AF1019" t="s">
        <v>569</v>
      </c>
      <c r="AJ1019" t="e">
        <f>VLOOKUP(E1019,temp1,1,FALSE)</f>
        <v>#NAME?</v>
      </c>
      <c r="AP1019" t="e">
        <f>VLOOKUP(E1019,temp6,1,FALSE)</f>
        <v>#NAME?</v>
      </c>
    </row>
    <row r="1020" spans="1:42" ht="15" hidden="1" customHeight="1">
      <c r="A1020">
        <v>201150</v>
      </c>
      <c r="B1020" s="3" t="s">
        <v>464</v>
      </c>
      <c r="C1020" s="3" t="str">
        <f t="shared" si="73"/>
        <v>Activities.Kms</v>
      </c>
      <c r="D1020" s="3">
        <v>200010</v>
      </c>
      <c r="E1020" s="3" t="str">
        <f t="shared" si="71"/>
        <v>Activities</v>
      </c>
      <c r="F1020" s="3" t="s">
        <v>266</v>
      </c>
      <c r="H1020" s="3" t="str">
        <f t="shared" si="72"/>
        <v>act.Activity</v>
      </c>
      <c r="I1020" s="3" t="s">
        <v>266</v>
      </c>
      <c r="K1020" s="3" t="s">
        <v>266</v>
      </c>
      <c r="M1020" s="3" t="s">
        <v>197</v>
      </c>
      <c r="N1020" s="3">
        <v>8</v>
      </c>
      <c r="O1020" s="3">
        <v>2</v>
      </c>
      <c r="Q1020" s="3" t="s">
        <v>92</v>
      </c>
      <c r="U1020" s="3" t="s">
        <v>93</v>
      </c>
      <c r="AF1020" t="s">
        <v>570</v>
      </c>
      <c r="AJ1020" t="e">
        <f>VLOOKUP(E1020,temp1,1,FALSE)</f>
        <v>#NAME?</v>
      </c>
      <c r="AP1020" t="e">
        <f>VLOOKUP(E1020,temp6,1,FALSE)</f>
        <v>#NAME?</v>
      </c>
    </row>
    <row r="1021" spans="1:42" ht="15" hidden="1" customHeight="1">
      <c r="A1021">
        <v>201160</v>
      </c>
      <c r="B1021" s="3" t="s">
        <v>464</v>
      </c>
      <c r="C1021" s="3" t="str">
        <f t="shared" si="73"/>
        <v>Activities.Override</v>
      </c>
      <c r="D1021" s="3">
        <v>200010</v>
      </c>
      <c r="E1021" s="3" t="str">
        <f t="shared" si="71"/>
        <v>Activities</v>
      </c>
      <c r="F1021" s="3" t="s">
        <v>269</v>
      </c>
      <c r="H1021" s="3" t="str">
        <f t="shared" si="72"/>
        <v>act.Activity</v>
      </c>
      <c r="I1021" s="3" t="s">
        <v>269</v>
      </c>
      <c r="K1021" s="3" t="s">
        <v>269</v>
      </c>
      <c r="M1021" s="3" t="s">
        <v>196</v>
      </c>
      <c r="O1021" s="3">
        <v>0</v>
      </c>
      <c r="Q1021" s="3" t="s">
        <v>92</v>
      </c>
      <c r="U1021" s="3" t="s">
        <v>93</v>
      </c>
      <c r="AD1021">
        <v>10210</v>
      </c>
      <c r="AE1021" t="str">
        <f>IF(AD1021=-1,"All",VLOOKUP(AD1021,ColumnId,3,FALSE))</f>
        <v>actActivitySubTypeBilling.OverrideBilledAmount</v>
      </c>
      <c r="AF1021" t="s">
        <v>571</v>
      </c>
      <c r="AJ1021" t="e">
        <f>VLOOKUP(E1021,temp1,1,FALSE)</f>
        <v>#NAME?</v>
      </c>
      <c r="AP1021" t="e">
        <f>VLOOKUP(E1021,temp6,1,FALSE)</f>
        <v>#NAME?</v>
      </c>
    </row>
    <row r="1022" spans="1:42" ht="15" hidden="1" customHeight="1">
      <c r="A1022">
        <v>201170</v>
      </c>
      <c r="B1022" s="3" t="s">
        <v>464</v>
      </c>
      <c r="C1022" s="3" t="str">
        <f t="shared" si="73"/>
        <v>Activities.RefSubClassifyByID</v>
      </c>
      <c r="D1022" s="3">
        <v>200010</v>
      </c>
      <c r="E1022" s="3" t="str">
        <f t="shared" si="71"/>
        <v>Activities</v>
      </c>
      <c r="F1022" s="3" t="s">
        <v>292</v>
      </c>
      <c r="H1022" s="3" t="str">
        <f t="shared" si="72"/>
        <v>act.Activity</v>
      </c>
      <c r="I1022" s="3" t="s">
        <v>292</v>
      </c>
      <c r="K1022" s="3" t="s">
        <v>444</v>
      </c>
      <c r="M1022" s="3" t="s">
        <v>195</v>
      </c>
      <c r="Q1022" s="3" t="s">
        <v>92</v>
      </c>
      <c r="U1022" s="3" t="s">
        <v>97</v>
      </c>
      <c r="V1022">
        <v>200360</v>
      </c>
      <c r="W1022" s="3" t="str">
        <f>VLOOKUP(V1022,DictionaryTableID,3,FALSE)</f>
        <v>ReferenceFields</v>
      </c>
      <c r="AF1022" t="s">
        <v>572</v>
      </c>
      <c r="AJ1022" t="e">
        <f>VLOOKUP(E1022,temp1,1,FALSE)</f>
        <v>#NAME?</v>
      </c>
      <c r="AP1022" t="e">
        <f>VLOOKUP(E1022,temp6,1,FALSE)</f>
        <v>#NAME?</v>
      </c>
    </row>
    <row r="1023" spans="1:42" ht="15" hidden="1" customHeight="1">
      <c r="A1023">
        <v>201180</v>
      </c>
      <c r="B1023" s="3" t="s">
        <v>464</v>
      </c>
      <c r="C1023" s="3" t="str">
        <f t="shared" si="73"/>
        <v>Activities.RefPriortyID</v>
      </c>
      <c r="D1023" s="3">
        <v>200010</v>
      </c>
      <c r="E1023" s="3" t="str">
        <f t="shared" ref="E1023:E1086" si="76">VLOOKUP(D1023,DictionaryTableID,3,FALSE)</f>
        <v>Activities</v>
      </c>
      <c r="F1023" s="3" t="s">
        <v>295</v>
      </c>
      <c r="H1023" s="3" t="str">
        <f t="shared" ref="H1023:H1086" si="77">VLOOKUP(E1023,DictionaryTables,14,FALSE)</f>
        <v>act.Activity</v>
      </c>
      <c r="I1023" s="3" t="s">
        <v>295</v>
      </c>
      <c r="K1023" s="3" t="s">
        <v>453</v>
      </c>
      <c r="M1023" s="3" t="s">
        <v>195</v>
      </c>
      <c r="Q1023" s="3" t="s">
        <v>92</v>
      </c>
      <c r="U1023" s="3" t="s">
        <v>97</v>
      </c>
      <c r="V1023">
        <v>200360</v>
      </c>
      <c r="W1023" s="3" t="str">
        <f>VLOOKUP(V1023,DictionaryTableID,3,FALSE)</f>
        <v>ReferenceFields</v>
      </c>
      <c r="AD1023">
        <v>10020</v>
      </c>
      <c r="AE1023" t="str">
        <f>IF(AD1023=-1,"All",VLOOKUP(AD1023,ColumnId,3,FALSE))</f>
        <v>actActivity.actPriorityID</v>
      </c>
      <c r="AF1023" t="s">
        <v>573</v>
      </c>
      <c r="AJ1023" t="e">
        <f>VLOOKUP(E1023,temp1,1,FALSE)</f>
        <v>#NAME?</v>
      </c>
      <c r="AP1023" t="e">
        <f>VLOOKUP(E1023,temp6,1,FALSE)</f>
        <v>#NAME?</v>
      </c>
    </row>
    <row r="1024" spans="1:42" ht="15" hidden="1" customHeight="1">
      <c r="A1024">
        <v>201190</v>
      </c>
      <c r="B1024" s="3" t="s">
        <v>464</v>
      </c>
      <c r="C1024" s="3" t="str">
        <f t="shared" si="73"/>
        <v>Activities.RefStatusID</v>
      </c>
      <c r="D1024" s="3">
        <v>200010</v>
      </c>
      <c r="E1024" s="3" t="str">
        <f t="shared" si="76"/>
        <v>Activities</v>
      </c>
      <c r="F1024" s="3" t="s">
        <v>5</v>
      </c>
      <c r="H1024" s="3" t="str">
        <f t="shared" si="77"/>
        <v>act.Activity</v>
      </c>
      <c r="I1024" s="3" t="s">
        <v>5</v>
      </c>
      <c r="K1024" s="3" t="s">
        <v>55</v>
      </c>
      <c r="M1024" s="3" t="s">
        <v>195</v>
      </c>
      <c r="Q1024" s="3" t="s">
        <v>92</v>
      </c>
      <c r="U1024" s="3" t="s">
        <v>97</v>
      </c>
      <c r="V1024">
        <v>200360</v>
      </c>
      <c r="W1024" s="3" t="str">
        <f>VLOOKUP(V1024,DictionaryTableID,3,FALSE)</f>
        <v>ReferenceFields</v>
      </c>
      <c r="AD1024">
        <v>10030</v>
      </c>
      <c r="AE1024" t="str">
        <f>IF(AD1024=-1,"All",VLOOKUP(AD1024,ColumnId,3,FALSE))</f>
        <v>actActivity.actStatusID</v>
      </c>
      <c r="AF1024" t="s">
        <v>574</v>
      </c>
      <c r="AJ1024" t="e">
        <f>VLOOKUP(E1024,temp1,1,FALSE)</f>
        <v>#NAME?</v>
      </c>
      <c r="AP1024" t="e">
        <f>VLOOKUP(E1024,temp6,1,FALSE)</f>
        <v>#NAME?</v>
      </c>
    </row>
    <row r="1025" spans="1:42" ht="15" hidden="1" customHeight="1">
      <c r="A1025">
        <v>201200</v>
      </c>
      <c r="B1025" s="3" t="s">
        <v>464</v>
      </c>
      <c r="C1025" s="3" t="str">
        <f t="shared" si="73"/>
        <v>Activities.StartDate</v>
      </c>
      <c r="D1025" s="3">
        <v>200010</v>
      </c>
      <c r="E1025" s="3" t="str">
        <f t="shared" si="76"/>
        <v>Activities</v>
      </c>
      <c r="F1025" s="3" t="s">
        <v>17</v>
      </c>
      <c r="H1025" s="3" t="str">
        <f t="shared" si="77"/>
        <v>act.Activity</v>
      </c>
      <c r="I1025" s="3" t="s">
        <v>17</v>
      </c>
      <c r="K1025" s="3" t="s">
        <v>108</v>
      </c>
      <c r="M1025" s="3" t="s">
        <v>329</v>
      </c>
      <c r="N1025" s="3">
        <v>8</v>
      </c>
      <c r="O1025" s="3">
        <v>0</v>
      </c>
      <c r="Q1025" s="3" t="s">
        <v>92</v>
      </c>
      <c r="U1025" s="3" t="s">
        <v>93</v>
      </c>
      <c r="AD1025">
        <v>10120</v>
      </c>
      <c r="AE1025" t="str">
        <f>IF(AD1025=-1,"All",VLOOKUP(AD1025,ColumnId,3,FALSE))</f>
        <v>actActivity.StartDate</v>
      </c>
      <c r="AF1025" t="s">
        <v>575</v>
      </c>
      <c r="AJ1025" t="e">
        <f>VLOOKUP(E1025,temp1,1,FALSE)</f>
        <v>#NAME?</v>
      </c>
      <c r="AP1025" t="e">
        <f>VLOOKUP(E1025,temp6,1,FALSE)</f>
        <v>#NAME?</v>
      </c>
    </row>
    <row r="1026" spans="1:42" ht="15" hidden="1" customHeight="1">
      <c r="A1026">
        <v>201210</v>
      </c>
      <c r="B1026" s="3" t="s">
        <v>464</v>
      </c>
      <c r="C1026" s="3" t="str">
        <f t="shared" ref="C1026:C1089" si="78">CONCATENATE(E1026,".",F1026)</f>
        <v>Activities.SubCnt</v>
      </c>
      <c r="D1026" s="3">
        <v>200010</v>
      </c>
      <c r="E1026" s="3" t="str">
        <f t="shared" si="76"/>
        <v>Activities</v>
      </c>
      <c r="F1026" s="3" t="s">
        <v>251</v>
      </c>
      <c r="H1026" s="3" t="str">
        <f t="shared" si="77"/>
        <v>act.Activity</v>
      </c>
      <c r="I1026" s="3" t="s">
        <v>251</v>
      </c>
      <c r="K1026" s="3" t="s">
        <v>355</v>
      </c>
      <c r="M1026" s="3" t="s">
        <v>195</v>
      </c>
      <c r="Q1026" s="3" t="s">
        <v>92</v>
      </c>
      <c r="U1026" s="3" t="s">
        <v>93</v>
      </c>
      <c r="AF1026" t="s">
        <v>576</v>
      </c>
      <c r="AJ1026" t="e">
        <f>VLOOKUP(E1026,temp1,1,FALSE)</f>
        <v>#NAME?</v>
      </c>
      <c r="AP1026" t="e">
        <f>VLOOKUP(E1026,temp6,1,FALSE)</f>
        <v>#NAME?</v>
      </c>
    </row>
    <row r="1027" spans="1:42" ht="15" hidden="1" customHeight="1">
      <c r="A1027">
        <v>201220</v>
      </c>
      <c r="B1027" s="3" t="s">
        <v>464</v>
      </c>
      <c r="C1027" s="3" t="str">
        <f t="shared" si="78"/>
        <v>Activities.UpdateDate</v>
      </c>
      <c r="D1027" s="3">
        <v>200010</v>
      </c>
      <c r="E1027" s="3" t="str">
        <f t="shared" si="76"/>
        <v>Activities</v>
      </c>
      <c r="F1027" s="3" t="s">
        <v>52</v>
      </c>
      <c r="H1027" s="3" t="str">
        <f t="shared" si="77"/>
        <v>act.Activity</v>
      </c>
      <c r="I1027" s="3" t="s">
        <v>52</v>
      </c>
      <c r="K1027" s="3" t="s">
        <v>356</v>
      </c>
      <c r="M1027" s="3" t="s">
        <v>329</v>
      </c>
      <c r="N1027" s="3">
        <v>8</v>
      </c>
      <c r="O1027" s="3">
        <v>0</v>
      </c>
      <c r="Q1027" s="3" t="s">
        <v>92</v>
      </c>
      <c r="U1027" s="3" t="s">
        <v>93</v>
      </c>
      <c r="AF1027" t="s">
        <v>577</v>
      </c>
      <c r="AJ1027" t="e">
        <f>VLOOKUP(E1027,temp1,1,FALSE)</f>
        <v>#NAME?</v>
      </c>
      <c r="AP1027" t="e">
        <f>VLOOKUP(E1027,temp6,1,FALSE)</f>
        <v>#NAME?</v>
      </c>
    </row>
    <row r="1028" spans="1:42" ht="15" hidden="1" customHeight="1">
      <c r="A1028">
        <v>201230</v>
      </c>
      <c r="B1028" s="3" t="s">
        <v>464</v>
      </c>
      <c r="C1028" s="3" t="str">
        <f t="shared" si="78"/>
        <v>Activities.ActivityProjectID</v>
      </c>
      <c r="D1028" s="3">
        <v>200010</v>
      </c>
      <c r="E1028" s="3" t="str">
        <f t="shared" si="76"/>
        <v>Activities</v>
      </c>
      <c r="F1028" s="3" t="s">
        <v>213</v>
      </c>
      <c r="H1028" s="3" t="str">
        <f t="shared" si="77"/>
        <v>act.Activity</v>
      </c>
      <c r="I1028" s="3" t="s">
        <v>213</v>
      </c>
      <c r="K1028" s="3" t="s">
        <v>433</v>
      </c>
      <c r="M1028" s="3" t="s">
        <v>195</v>
      </c>
      <c r="Q1028" s="3" t="s">
        <v>92</v>
      </c>
      <c r="U1028" s="3" t="s">
        <v>96</v>
      </c>
      <c r="V1028">
        <v>200030</v>
      </c>
      <c r="W1028" s="3" t="str">
        <f>VLOOKUP(V1028,DictionaryTableID,3,FALSE)</f>
        <v>ActivityProjects</v>
      </c>
      <c r="AD1028">
        <v>10045</v>
      </c>
      <c r="AE1028" t="str">
        <f t="shared" ref="AE1028:AE1035" si="79">IF(AD1028=-1,"All",VLOOKUP(AD1028,ColumnId,3,FALSE))</f>
        <v>actActivity.actProjectID</v>
      </c>
      <c r="AF1028" t="s">
        <v>578</v>
      </c>
      <c r="AJ1028" t="e">
        <f>VLOOKUP(E1028,temp1,1,FALSE)</f>
        <v>#NAME?</v>
      </c>
      <c r="AP1028" t="e">
        <f>VLOOKUP(E1028,temp6,1,FALSE)</f>
        <v>#NAME?</v>
      </c>
    </row>
    <row r="1029" spans="1:42" ht="15" hidden="1" customHeight="1">
      <c r="A1029">
        <v>201240</v>
      </c>
      <c r="B1029" s="3" t="s">
        <v>464</v>
      </c>
      <c r="C1029" s="3" t="str">
        <f t="shared" si="78"/>
        <v>Activities.BilledAmount</v>
      </c>
      <c r="D1029" s="3">
        <v>200010</v>
      </c>
      <c r="E1029" s="3" t="str">
        <f t="shared" si="76"/>
        <v>Activities</v>
      </c>
      <c r="F1029" s="3" t="s">
        <v>284</v>
      </c>
      <c r="H1029" s="3" t="str">
        <f t="shared" si="77"/>
        <v>act.Activity</v>
      </c>
      <c r="I1029" s="3" t="s">
        <v>284</v>
      </c>
      <c r="K1029" s="3" t="s">
        <v>357</v>
      </c>
      <c r="M1029" s="3" t="s">
        <v>197</v>
      </c>
      <c r="N1029" s="3">
        <v>10</v>
      </c>
      <c r="O1029" s="3">
        <v>2</v>
      </c>
      <c r="Q1029" s="3" t="s">
        <v>92</v>
      </c>
      <c r="U1029" s="3" t="s">
        <v>93</v>
      </c>
      <c r="AD1029">
        <v>10200</v>
      </c>
      <c r="AE1029" t="str">
        <f t="shared" si="79"/>
        <v>actActivitySubTypeBilling.BilledAmount</v>
      </c>
      <c r="AF1029" t="s">
        <v>579</v>
      </c>
      <c r="AJ1029" t="e">
        <f>VLOOKUP(E1029,temp1,1,FALSE)</f>
        <v>#NAME?</v>
      </c>
      <c r="AP1029" t="e">
        <f>VLOOKUP(E1029,temp6,1,FALSE)</f>
        <v>#NAME?</v>
      </c>
    </row>
    <row r="1030" spans="1:42" ht="15" hidden="1" customHeight="1">
      <c r="A1030">
        <v>201250</v>
      </c>
      <c r="B1030" s="3" t="s">
        <v>464</v>
      </c>
      <c r="C1030" s="3" t="str">
        <f t="shared" si="78"/>
        <v>Activities.Notes</v>
      </c>
      <c r="D1030" s="3">
        <v>200010</v>
      </c>
      <c r="E1030" s="3" t="str">
        <f t="shared" si="76"/>
        <v>Activities</v>
      </c>
      <c r="F1030" s="3" t="s">
        <v>268</v>
      </c>
      <c r="H1030" s="3" t="str">
        <f t="shared" si="77"/>
        <v>act.Activity</v>
      </c>
      <c r="I1030" s="3" t="s">
        <v>268</v>
      </c>
      <c r="K1030" s="3" t="s">
        <v>268</v>
      </c>
      <c r="M1030" s="3" t="s">
        <v>196</v>
      </c>
      <c r="O1030" s="3">
        <v>0</v>
      </c>
      <c r="Q1030" s="3" t="s">
        <v>92</v>
      </c>
      <c r="U1030" s="3" t="s">
        <v>93</v>
      </c>
      <c r="AD1030">
        <v>10090</v>
      </c>
      <c r="AE1030" t="str">
        <f t="shared" si="79"/>
        <v>actActivity.Comments</v>
      </c>
      <c r="AF1030" t="s">
        <v>580</v>
      </c>
      <c r="AJ1030" t="e">
        <f>VLOOKUP(E1030,temp1,1,FALSE)</f>
        <v>#NAME?</v>
      </c>
      <c r="AP1030" t="e">
        <f>VLOOKUP(E1030,temp6,1,FALSE)</f>
        <v>#NAME?</v>
      </c>
    </row>
    <row r="1031" spans="1:42" ht="15" hidden="1" customHeight="1">
      <c r="A1031">
        <v>201260</v>
      </c>
      <c r="B1031" s="3" t="s">
        <v>464</v>
      </c>
      <c r="C1031" s="3" t="str">
        <f t="shared" si="78"/>
        <v>Activities.RecordStatus</v>
      </c>
      <c r="D1031" s="3">
        <v>200010</v>
      </c>
      <c r="E1031" s="3" t="str">
        <f t="shared" si="76"/>
        <v>Activities</v>
      </c>
      <c r="F1031" s="3" t="s">
        <v>4</v>
      </c>
      <c r="H1031" s="3" t="str">
        <f t="shared" si="77"/>
        <v>act.Activity</v>
      </c>
      <c r="I1031" s="3" t="s">
        <v>4</v>
      </c>
      <c r="K1031" s="3" t="s">
        <v>4</v>
      </c>
      <c r="M1031" s="3" t="s">
        <v>196</v>
      </c>
      <c r="O1031" s="3">
        <v>0</v>
      </c>
      <c r="Q1031" s="3" t="s">
        <v>92</v>
      </c>
      <c r="U1031" s="3" t="s">
        <v>94</v>
      </c>
      <c r="AD1031">
        <v>10140</v>
      </c>
      <c r="AE1031" t="str">
        <f t="shared" si="79"/>
        <v>actActivity.RowStatus</v>
      </c>
      <c r="AJ1031" t="e">
        <f>VLOOKUP(E1031,temp1,1,FALSE)</f>
        <v>#NAME?</v>
      </c>
      <c r="AP1031" t="e">
        <f>VLOOKUP(E1031,temp6,1,FALSE)</f>
        <v>#NAME?</v>
      </c>
    </row>
    <row r="1032" spans="1:42" ht="15" hidden="1" customHeight="1">
      <c r="A1032">
        <v>201270</v>
      </c>
      <c r="B1032" s="3" t="s">
        <v>464</v>
      </c>
      <c r="C1032" s="3" t="str">
        <f t="shared" si="78"/>
        <v>Employees.ID</v>
      </c>
      <c r="D1032" s="3">
        <v>200210</v>
      </c>
      <c r="E1032" s="3" t="str">
        <f t="shared" si="76"/>
        <v>Employees</v>
      </c>
      <c r="F1032" s="3" t="s">
        <v>0</v>
      </c>
      <c r="H1032" s="3" t="str">
        <f t="shared" si="77"/>
        <v>crm.Employee</v>
      </c>
      <c r="I1032" s="3" t="s">
        <v>0</v>
      </c>
      <c r="K1032" s="3" t="s">
        <v>29</v>
      </c>
      <c r="M1032" s="3" t="s">
        <v>195</v>
      </c>
      <c r="Q1032" s="3" t="s">
        <v>919</v>
      </c>
      <c r="U1032" s="3" t="s">
        <v>96</v>
      </c>
      <c r="V1032">
        <v>200150</v>
      </c>
      <c r="W1032" s="3" t="str">
        <f>VLOOKUP(V1032,DictionaryTableID,3,FALSE)</f>
        <v>Contacts</v>
      </c>
      <c r="AD1032">
        <v>-1</v>
      </c>
      <c r="AE1032" t="str">
        <f t="shared" si="79"/>
        <v>All</v>
      </c>
      <c r="AF1032" t="s">
        <v>581</v>
      </c>
      <c r="AJ1032" t="e">
        <f>VLOOKUP(E1032,temp1,1,FALSE)</f>
        <v>#NAME?</v>
      </c>
      <c r="AP1032" t="e">
        <f>VLOOKUP(E1032,temp6,1,FALSE)</f>
        <v>#NAME?</v>
      </c>
    </row>
    <row r="1033" spans="1:42" ht="15" hidden="1" customHeight="1">
      <c r="A1033">
        <v>201280</v>
      </c>
      <c r="B1033" s="3" t="s">
        <v>464</v>
      </c>
      <c r="C1033" s="3" t="str">
        <f t="shared" si="78"/>
        <v>Employees.FirstName</v>
      </c>
      <c r="D1033" s="3">
        <v>200210</v>
      </c>
      <c r="E1033" s="3" t="str">
        <f t="shared" si="76"/>
        <v>Employees</v>
      </c>
      <c r="F1033" s="3" t="s">
        <v>44</v>
      </c>
      <c r="H1033" s="3" t="str">
        <f t="shared" si="77"/>
        <v>crm.Employee</v>
      </c>
      <c r="I1033" s="3" t="s">
        <v>44</v>
      </c>
      <c r="K1033" s="3" t="s">
        <v>115</v>
      </c>
      <c r="M1033" s="3" t="s">
        <v>196</v>
      </c>
      <c r="O1033" s="3">
        <v>0</v>
      </c>
      <c r="Q1033" s="3" t="s">
        <v>92</v>
      </c>
      <c r="U1033" s="3" t="s">
        <v>93</v>
      </c>
      <c r="AD1033">
        <v>12390</v>
      </c>
      <c r="AE1033" t="str">
        <f t="shared" si="79"/>
        <v>crmContact.PreferredFirstName</v>
      </c>
      <c r="AF1033" t="s">
        <v>582</v>
      </c>
      <c r="AJ1033" t="e">
        <f>VLOOKUP(E1033,temp1,1,FALSE)</f>
        <v>#NAME?</v>
      </c>
      <c r="AP1033" t="e">
        <f>VLOOKUP(E1033,temp6,1,FALSE)</f>
        <v>#NAME?</v>
      </c>
    </row>
    <row r="1034" spans="1:42" ht="15" hidden="1" customHeight="1">
      <c r="A1034">
        <v>201290</v>
      </c>
      <c r="B1034" s="3" t="s">
        <v>464</v>
      </c>
      <c r="C1034" s="3" t="str">
        <f t="shared" si="78"/>
        <v>Employees.MiddleName</v>
      </c>
      <c r="D1034" s="3">
        <v>200210</v>
      </c>
      <c r="E1034" s="3" t="str">
        <f t="shared" si="76"/>
        <v>Employees</v>
      </c>
      <c r="F1034" s="3" t="s">
        <v>45</v>
      </c>
      <c r="H1034" s="3" t="str">
        <f t="shared" si="77"/>
        <v>crm.Employee</v>
      </c>
      <c r="I1034" s="3" t="s">
        <v>45</v>
      </c>
      <c r="K1034" s="3" t="s">
        <v>116</v>
      </c>
      <c r="M1034" s="3" t="s">
        <v>196</v>
      </c>
      <c r="O1034" s="3">
        <v>0</v>
      </c>
      <c r="Q1034" s="3" t="s">
        <v>92</v>
      </c>
      <c r="U1034" s="3" t="s">
        <v>93</v>
      </c>
      <c r="AD1034">
        <v>12360</v>
      </c>
      <c r="AE1034" t="str">
        <f t="shared" si="79"/>
        <v>crmContact.MiddleName</v>
      </c>
      <c r="AF1034" t="s">
        <v>583</v>
      </c>
      <c r="AJ1034" t="e">
        <f>VLOOKUP(E1034,temp1,1,FALSE)</f>
        <v>#NAME?</v>
      </c>
      <c r="AP1034" t="e">
        <f>VLOOKUP(E1034,temp6,1,FALSE)</f>
        <v>#NAME?</v>
      </c>
    </row>
    <row r="1035" spans="1:42" ht="15" hidden="1" customHeight="1">
      <c r="A1035">
        <v>201300</v>
      </c>
      <c r="B1035" s="3" t="s">
        <v>464</v>
      </c>
      <c r="C1035" s="3" t="str">
        <f t="shared" si="78"/>
        <v>Employees.LastName</v>
      </c>
      <c r="D1035" s="3">
        <v>200210</v>
      </c>
      <c r="E1035" s="3" t="str">
        <f t="shared" si="76"/>
        <v>Employees</v>
      </c>
      <c r="F1035" s="3" t="s">
        <v>80</v>
      </c>
      <c r="H1035" s="3" t="str">
        <f t="shared" si="77"/>
        <v>crm.Employee</v>
      </c>
      <c r="I1035" s="3" t="s">
        <v>80</v>
      </c>
      <c r="K1035" s="3" t="s">
        <v>99</v>
      </c>
      <c r="M1035" s="3" t="s">
        <v>196</v>
      </c>
      <c r="O1035" s="3">
        <v>0</v>
      </c>
      <c r="Q1035" s="3" t="s">
        <v>92</v>
      </c>
      <c r="U1035" s="3" t="s">
        <v>93</v>
      </c>
      <c r="AD1035">
        <v>12350</v>
      </c>
      <c r="AE1035" t="str">
        <f t="shared" si="79"/>
        <v>crmContact.LastName</v>
      </c>
      <c r="AF1035" t="s">
        <v>584</v>
      </c>
      <c r="AJ1035" t="e">
        <f>VLOOKUP(E1035,temp1,1,FALSE)</f>
        <v>#NAME?</v>
      </c>
      <c r="AP1035" t="e">
        <f>VLOOKUP(E1035,temp6,1,FALSE)</f>
        <v>#NAME?</v>
      </c>
    </row>
    <row r="1036" spans="1:42" ht="15" hidden="1" customHeight="1">
      <c r="A1036">
        <v>201310</v>
      </c>
      <c r="B1036" s="3" t="s">
        <v>464</v>
      </c>
      <c r="C1036" s="3" t="str">
        <f t="shared" si="78"/>
        <v>Employees.RefTypeID</v>
      </c>
      <c r="D1036" s="3">
        <v>200210</v>
      </c>
      <c r="E1036" s="3" t="str">
        <f t="shared" si="76"/>
        <v>Employees</v>
      </c>
      <c r="F1036" s="3" t="s">
        <v>277</v>
      </c>
      <c r="H1036" s="3" t="str">
        <f t="shared" si="77"/>
        <v>crm.Employee</v>
      </c>
      <c r="I1036" s="3" t="s">
        <v>277</v>
      </c>
      <c r="K1036" s="3" t="s">
        <v>40</v>
      </c>
      <c r="M1036" s="3" t="s">
        <v>195</v>
      </c>
      <c r="Q1036" s="3" t="s">
        <v>92</v>
      </c>
      <c r="U1036" s="3" t="s">
        <v>97</v>
      </c>
      <c r="V1036">
        <v>200360</v>
      </c>
      <c r="W1036" s="3" t="str">
        <f>VLOOKUP(V1036,DictionaryTableID,3,FALSE)</f>
        <v>ReferenceFields</v>
      </c>
      <c r="AF1036" t="s">
        <v>585</v>
      </c>
      <c r="AJ1036" t="e">
        <f>VLOOKUP(E1036,temp1,1,FALSE)</f>
        <v>#NAME?</v>
      </c>
      <c r="AP1036" t="e">
        <f>VLOOKUP(E1036,temp6,1,FALSE)</f>
        <v>#NAME?</v>
      </c>
    </row>
    <row r="1037" spans="1:42" ht="15" hidden="1" customHeight="1">
      <c r="A1037">
        <v>201320</v>
      </c>
      <c r="B1037" s="3" t="s">
        <v>464</v>
      </c>
      <c r="C1037" s="3" t="str">
        <f t="shared" si="78"/>
        <v>Employees.Extension</v>
      </c>
      <c r="D1037" s="3">
        <v>200210</v>
      </c>
      <c r="E1037" s="3" t="str">
        <f t="shared" si="76"/>
        <v>Employees</v>
      </c>
      <c r="F1037" s="3" t="s">
        <v>43</v>
      </c>
      <c r="H1037" s="3" t="str">
        <f t="shared" si="77"/>
        <v>crm.Employee</v>
      </c>
      <c r="I1037" s="3" t="s">
        <v>43</v>
      </c>
      <c r="K1037" s="3" t="s">
        <v>43</v>
      </c>
      <c r="M1037" s="3" t="s">
        <v>196</v>
      </c>
      <c r="O1037" s="3">
        <v>0</v>
      </c>
      <c r="Q1037" s="3" t="s">
        <v>92</v>
      </c>
      <c r="U1037" s="3" t="s">
        <v>93</v>
      </c>
      <c r="AF1037" t="s">
        <v>586</v>
      </c>
      <c r="AJ1037" t="e">
        <f>VLOOKUP(E1037,temp1,1,FALSE)</f>
        <v>#NAME?</v>
      </c>
      <c r="AP1037" t="e">
        <f>VLOOKUP(E1037,temp6,1,FALSE)</f>
        <v>#NAME?</v>
      </c>
    </row>
    <row r="1038" spans="1:42" ht="15" hidden="1" customHeight="1">
      <c r="A1038">
        <v>201330</v>
      </c>
      <c r="B1038" s="3" t="s">
        <v>464</v>
      </c>
      <c r="C1038" s="3" t="str">
        <f t="shared" si="78"/>
        <v>Employees.StartDate</v>
      </c>
      <c r="D1038" s="3">
        <v>200210</v>
      </c>
      <c r="E1038" s="3" t="str">
        <f t="shared" si="76"/>
        <v>Employees</v>
      </c>
      <c r="F1038" s="3" t="s">
        <v>17</v>
      </c>
      <c r="H1038" s="3" t="str">
        <f t="shared" si="77"/>
        <v>crm.Employee</v>
      </c>
      <c r="I1038" s="3" t="s">
        <v>17</v>
      </c>
      <c r="K1038" s="3" t="s">
        <v>108</v>
      </c>
      <c r="M1038" s="3" t="s">
        <v>329</v>
      </c>
      <c r="N1038" s="3">
        <v>8</v>
      </c>
      <c r="O1038" s="3">
        <v>0</v>
      </c>
      <c r="Q1038" s="3" t="s">
        <v>92</v>
      </c>
      <c r="U1038" s="3" t="s">
        <v>93</v>
      </c>
      <c r="AD1038">
        <v>12470</v>
      </c>
      <c r="AE1038" t="str">
        <f>IF(AD1038=-1,"All",VLOOKUP(AD1038,ColumnId,3,FALSE))</f>
        <v>crmContactSubTypeEmployee.CommencementDate</v>
      </c>
      <c r="AF1038" t="s">
        <v>587</v>
      </c>
      <c r="AJ1038" t="e">
        <f>VLOOKUP(E1038,temp1,1,FALSE)</f>
        <v>#NAME?</v>
      </c>
      <c r="AP1038" t="e">
        <f>VLOOKUP(E1038,temp6,1,FALSE)</f>
        <v>#NAME?</v>
      </c>
    </row>
    <row r="1039" spans="1:42" ht="15" hidden="1" customHeight="1">
      <c r="A1039">
        <v>201340</v>
      </c>
      <c r="B1039" s="3" t="s">
        <v>464</v>
      </c>
      <c r="C1039" s="3" t="str">
        <f t="shared" si="78"/>
        <v>Employees.BirthDate</v>
      </c>
      <c r="D1039" s="3">
        <v>200210</v>
      </c>
      <c r="E1039" s="3" t="str">
        <f t="shared" si="76"/>
        <v>Employees</v>
      </c>
      <c r="F1039" s="3" t="s">
        <v>42</v>
      </c>
      <c r="H1039" s="3" t="str">
        <f t="shared" si="77"/>
        <v>crm.Employee</v>
      </c>
      <c r="I1039" s="3" t="s">
        <v>42</v>
      </c>
      <c r="K1039" s="3" t="s">
        <v>405</v>
      </c>
      <c r="M1039" s="3" t="s">
        <v>329</v>
      </c>
      <c r="N1039" s="3">
        <v>8</v>
      </c>
      <c r="O1039" s="3">
        <v>0</v>
      </c>
      <c r="Q1039" s="3" t="s">
        <v>92</v>
      </c>
      <c r="U1039" s="3" t="s">
        <v>93</v>
      </c>
      <c r="AD1039">
        <v>12300</v>
      </c>
      <c r="AE1039" t="str">
        <f>IF(AD1039=-1,"All",VLOOKUP(AD1039,ColumnId,3,FALSE))</f>
        <v>crmContact.BirthDate</v>
      </c>
      <c r="AF1039" t="s">
        <v>588</v>
      </c>
      <c r="AJ1039" t="e">
        <f>VLOOKUP(E1039,temp1,1,FALSE)</f>
        <v>#NAME?</v>
      </c>
      <c r="AP1039" t="e">
        <f>VLOOKUP(E1039,temp6,1,FALSE)</f>
        <v>#NAME?</v>
      </c>
    </row>
    <row r="1040" spans="1:42" ht="15" hidden="1" customHeight="1">
      <c r="A1040">
        <v>201350</v>
      </c>
      <c r="B1040" s="3" t="s">
        <v>464</v>
      </c>
      <c r="C1040" s="3" t="str">
        <f t="shared" si="78"/>
        <v>Employees.Sex</v>
      </c>
      <c r="D1040" s="3">
        <v>200210</v>
      </c>
      <c r="E1040" s="3" t="str">
        <f t="shared" si="76"/>
        <v>Employees</v>
      </c>
      <c r="F1040" s="3" t="s">
        <v>46</v>
      </c>
      <c r="H1040" s="3" t="str">
        <f t="shared" si="77"/>
        <v>crm.Employee</v>
      </c>
      <c r="I1040" s="3" t="s">
        <v>46</v>
      </c>
      <c r="K1040" s="3" t="s">
        <v>46</v>
      </c>
      <c r="M1040" s="3" t="s">
        <v>196</v>
      </c>
      <c r="O1040" s="3">
        <v>0</v>
      </c>
      <c r="Q1040" s="3" t="s">
        <v>92</v>
      </c>
      <c r="U1040" s="3" t="s">
        <v>93</v>
      </c>
      <c r="AF1040" t="s">
        <v>589</v>
      </c>
      <c r="AJ1040" t="e">
        <f>VLOOKUP(E1040,temp1,1,FALSE)</f>
        <v>#NAME?</v>
      </c>
      <c r="AP1040" t="e">
        <f>VLOOKUP(E1040,temp6,1,FALSE)</f>
        <v>#NAME?</v>
      </c>
    </row>
    <row r="1041" spans="1:42" ht="15" hidden="1" customHeight="1">
      <c r="A1041">
        <v>201360</v>
      </c>
      <c r="B1041" s="3" t="s">
        <v>464</v>
      </c>
      <c r="C1041" s="3" t="str">
        <f t="shared" si="78"/>
        <v>Employees.SignOn</v>
      </c>
      <c r="D1041" s="3">
        <v>200210</v>
      </c>
      <c r="E1041" s="3" t="str">
        <f t="shared" si="76"/>
        <v>Employees</v>
      </c>
      <c r="F1041" s="3" t="s">
        <v>249</v>
      </c>
      <c r="H1041" s="3" t="str">
        <f t="shared" si="77"/>
        <v>crm.Employee</v>
      </c>
      <c r="I1041" s="3" t="s">
        <v>249</v>
      </c>
      <c r="K1041" s="3" t="s">
        <v>406</v>
      </c>
      <c r="M1041" s="3" t="s">
        <v>196</v>
      </c>
      <c r="O1041" s="3">
        <v>0</v>
      </c>
      <c r="Q1041" s="3" t="s">
        <v>92</v>
      </c>
      <c r="U1041" s="3" t="s">
        <v>93</v>
      </c>
      <c r="AD1041">
        <v>12560</v>
      </c>
      <c r="AE1041" t="str">
        <f>IF(AD1041=-1,"All",VLOOKUP(AD1041,ColumnId,3,FALSE))</f>
        <v>crmContactSubTypeUser.Login</v>
      </c>
      <c r="AF1041" t="s">
        <v>590</v>
      </c>
      <c r="AJ1041" t="e">
        <f>VLOOKUP(E1041,temp1,1,FALSE)</f>
        <v>#NAME?</v>
      </c>
      <c r="AP1041" t="e">
        <f>VLOOKUP(E1041,temp6,1,FALSE)</f>
        <v>#NAME?</v>
      </c>
    </row>
    <row r="1042" spans="1:42" ht="15" hidden="1" customHeight="1">
      <c r="A1042">
        <v>201370</v>
      </c>
      <c r="B1042" s="3" t="s">
        <v>464</v>
      </c>
      <c r="C1042" s="3" t="str">
        <f t="shared" si="78"/>
        <v>Employees.Download</v>
      </c>
      <c r="D1042" s="3">
        <v>200210</v>
      </c>
      <c r="E1042" s="3" t="str">
        <f t="shared" si="76"/>
        <v>Employees</v>
      </c>
      <c r="F1042" s="3" t="s">
        <v>262</v>
      </c>
      <c r="H1042" s="3" t="str">
        <f t="shared" si="77"/>
        <v>crm.Employee</v>
      </c>
      <c r="I1042" s="3" t="s">
        <v>262</v>
      </c>
      <c r="K1042" s="3" t="s">
        <v>262</v>
      </c>
      <c r="M1042" s="3" t="s">
        <v>196</v>
      </c>
      <c r="O1042" s="3">
        <v>0</v>
      </c>
      <c r="Q1042" s="3" t="s">
        <v>92</v>
      </c>
      <c r="U1042" s="3" t="s">
        <v>93</v>
      </c>
      <c r="AF1042" t="s">
        <v>591</v>
      </c>
      <c r="AJ1042" t="e">
        <f>VLOOKUP(E1042,temp1,1,FALSE)</f>
        <v>#NAME?</v>
      </c>
      <c r="AP1042" t="e">
        <f>VLOOKUP(E1042,temp6,1,FALSE)</f>
        <v>#NAME?</v>
      </c>
    </row>
    <row r="1043" spans="1:42" ht="15" hidden="1" customHeight="1">
      <c r="A1043">
        <v>201380</v>
      </c>
      <c r="B1043" s="3" t="s">
        <v>464</v>
      </c>
      <c r="C1043" s="3" t="str">
        <f t="shared" si="78"/>
        <v>Employees.Comments</v>
      </c>
      <c r="D1043" s="3">
        <v>200210</v>
      </c>
      <c r="E1043" s="3" t="str">
        <f t="shared" si="76"/>
        <v>Employees</v>
      </c>
      <c r="F1043" s="3" t="s">
        <v>14</v>
      </c>
      <c r="H1043" s="3" t="str">
        <f t="shared" si="77"/>
        <v>crm.Employee</v>
      </c>
      <c r="I1043" s="3" t="s">
        <v>14</v>
      </c>
      <c r="K1043" s="3" t="s">
        <v>14</v>
      </c>
      <c r="M1043" s="3" t="s">
        <v>196</v>
      </c>
      <c r="O1043" s="3">
        <v>0</v>
      </c>
      <c r="Q1043" s="3" t="s">
        <v>92</v>
      </c>
      <c r="U1043" s="3" t="s">
        <v>93</v>
      </c>
      <c r="AD1043">
        <v>12310</v>
      </c>
      <c r="AE1043" t="str">
        <f>IF(AD1043=-1,"All",VLOOKUP(AD1043,ColumnId,3,FALSE))</f>
        <v>crmContact.Comments</v>
      </c>
      <c r="AF1043" t="s">
        <v>592</v>
      </c>
      <c r="AJ1043" t="e">
        <f>VLOOKUP(E1043,temp1,1,FALSE)</f>
        <v>#NAME?</v>
      </c>
      <c r="AP1043" t="e">
        <f>VLOOKUP(E1043,temp6,1,FALSE)</f>
        <v>#NAME?</v>
      </c>
    </row>
    <row r="1044" spans="1:42" ht="15" hidden="1" customHeight="1">
      <c r="A1044">
        <v>201390</v>
      </c>
      <c r="B1044" s="3" t="s">
        <v>464</v>
      </c>
      <c r="C1044" s="3" t="str">
        <f t="shared" si="78"/>
        <v>Employees.RefEmplStatusID</v>
      </c>
      <c r="D1044" s="3">
        <v>200210</v>
      </c>
      <c r="E1044" s="3" t="str">
        <f t="shared" si="76"/>
        <v>Employees</v>
      </c>
      <c r="F1044" s="3" t="s">
        <v>291</v>
      </c>
      <c r="H1044" s="3" t="str">
        <f t="shared" si="77"/>
        <v>crm.Employee</v>
      </c>
      <c r="I1044" s="3" t="s">
        <v>291</v>
      </c>
      <c r="K1044" s="3" t="s">
        <v>449</v>
      </c>
      <c r="M1044" s="3" t="s">
        <v>195</v>
      </c>
      <c r="Q1044" s="3" t="s">
        <v>92</v>
      </c>
      <c r="U1044" s="3" t="s">
        <v>97</v>
      </c>
      <c r="V1044">
        <v>200360</v>
      </c>
      <c r="W1044" s="3" t="str">
        <f>VLOOKUP(V1044,DictionaryTableID,3,FALSE)</f>
        <v>ReferenceFields</v>
      </c>
      <c r="AD1044">
        <v>12460</v>
      </c>
      <c r="AE1044" t="str">
        <f>IF(AD1044=-1,"All",VLOOKUP(AD1044,ColumnId,3,FALSE))</f>
        <v>crmContactSubTypeEmployee.hrEmploymentStatusID</v>
      </c>
      <c r="AF1044" t="s">
        <v>593</v>
      </c>
      <c r="AJ1044" t="e">
        <f>VLOOKUP(E1044,temp1,1,FALSE)</f>
        <v>#NAME?</v>
      </c>
      <c r="AP1044" t="e">
        <f>VLOOKUP(E1044,temp6,1,FALSE)</f>
        <v>#NAME?</v>
      </c>
    </row>
    <row r="1045" spans="1:42" ht="15" hidden="1" customHeight="1">
      <c r="A1045">
        <v>201400</v>
      </c>
      <c r="B1045" s="3" t="s">
        <v>464</v>
      </c>
      <c r="C1045" s="3" t="str">
        <f t="shared" si="78"/>
        <v>Employees.RefUserPathID</v>
      </c>
      <c r="D1045" s="3">
        <v>200210</v>
      </c>
      <c r="E1045" s="3" t="str">
        <f t="shared" si="76"/>
        <v>Employees</v>
      </c>
      <c r="F1045" s="3" t="s">
        <v>297</v>
      </c>
      <c r="H1045" s="3" t="str">
        <f t="shared" si="77"/>
        <v>crm.Employee</v>
      </c>
      <c r="I1045" s="3" t="s">
        <v>297</v>
      </c>
      <c r="K1045" s="3" t="s">
        <v>450</v>
      </c>
      <c r="M1045" s="3" t="s">
        <v>195</v>
      </c>
      <c r="Q1045" s="3" t="s">
        <v>92</v>
      </c>
      <c r="U1045" s="3" t="s">
        <v>97</v>
      </c>
      <c r="V1045">
        <v>200360</v>
      </c>
      <c r="W1045" s="3" t="str">
        <f>VLOOKUP(V1045,DictionaryTableID,3,FALSE)</f>
        <v>ReferenceFields</v>
      </c>
      <c r="AF1045" t="s">
        <v>594</v>
      </c>
      <c r="AJ1045" t="e">
        <f>VLOOKUP(E1045,temp1,1,FALSE)</f>
        <v>#NAME?</v>
      </c>
      <c r="AP1045" t="e">
        <f>VLOOKUP(E1045,temp6,1,FALSE)</f>
        <v>#NAME?</v>
      </c>
    </row>
    <row r="1046" spans="1:42" ht="15" hidden="1" customHeight="1">
      <c r="A1046">
        <v>201410</v>
      </c>
      <c r="B1046" s="3" t="s">
        <v>464</v>
      </c>
      <c r="C1046" s="3" t="str">
        <f t="shared" si="78"/>
        <v>Employees.CostCentreID</v>
      </c>
      <c r="D1046" s="3">
        <v>200210</v>
      </c>
      <c r="E1046" s="3" t="str">
        <f t="shared" si="76"/>
        <v>Employees</v>
      </c>
      <c r="F1046" s="3" t="s">
        <v>212</v>
      </c>
      <c r="H1046" s="3" t="str">
        <f t="shared" si="77"/>
        <v>crm.Employee</v>
      </c>
      <c r="I1046" s="3" t="s">
        <v>212</v>
      </c>
      <c r="K1046" s="3" t="s">
        <v>328</v>
      </c>
      <c r="M1046" s="3" t="s">
        <v>195</v>
      </c>
      <c r="Q1046" s="3" t="s">
        <v>92</v>
      </c>
      <c r="U1046" s="3" t="s">
        <v>96</v>
      </c>
      <c r="V1046">
        <v>200170</v>
      </c>
      <c r="W1046" s="3" t="str">
        <f>VLOOKUP(V1046,DictionaryTableID,3,FALSE)</f>
        <v>CostCentres</v>
      </c>
      <c r="AF1046" t="s">
        <v>595</v>
      </c>
      <c r="AJ1046" t="e">
        <f>VLOOKUP(E1046,temp1,1,FALSE)</f>
        <v>#NAME?</v>
      </c>
      <c r="AP1046" t="e">
        <f>VLOOKUP(E1046,temp6,1,FALSE)</f>
        <v>#NAME?</v>
      </c>
    </row>
    <row r="1047" spans="1:42" ht="15" hidden="1" customHeight="1">
      <c r="A1047">
        <v>201420</v>
      </c>
      <c r="B1047" s="3" t="s">
        <v>464</v>
      </c>
      <c r="C1047" s="3" t="str">
        <f t="shared" si="78"/>
        <v>Employees.TermDate</v>
      </c>
      <c r="D1047" s="3">
        <v>200210</v>
      </c>
      <c r="E1047" s="3" t="str">
        <f t="shared" si="76"/>
        <v>Employees</v>
      </c>
      <c r="F1047" s="3" t="s">
        <v>281</v>
      </c>
      <c r="H1047" s="3" t="str">
        <f t="shared" si="77"/>
        <v>crm.Employee</v>
      </c>
      <c r="I1047" s="3" t="s">
        <v>281</v>
      </c>
      <c r="K1047" s="3" t="s">
        <v>407</v>
      </c>
      <c r="M1047" s="3" t="s">
        <v>329</v>
      </c>
      <c r="N1047" s="3">
        <v>8</v>
      </c>
      <c r="O1047" s="3">
        <v>0</v>
      </c>
      <c r="Q1047" s="3" t="s">
        <v>92</v>
      </c>
      <c r="U1047" s="3" t="s">
        <v>93</v>
      </c>
      <c r="AD1047">
        <v>12490</v>
      </c>
      <c r="AE1047" t="str">
        <f>IF(AD1047=-1,"All",VLOOKUP(AD1047,ColumnId,3,FALSE))</f>
        <v>crmContactSubTypeEmployee.TerminationDate</v>
      </c>
      <c r="AF1047" t="s">
        <v>596</v>
      </c>
      <c r="AJ1047" t="e">
        <f>VLOOKUP(E1047,temp1,1,FALSE)</f>
        <v>#NAME?</v>
      </c>
      <c r="AP1047" t="e">
        <f>VLOOKUP(E1047,temp6,1,FALSE)</f>
        <v>#NAME?</v>
      </c>
    </row>
    <row r="1048" spans="1:42" ht="15" hidden="1" customHeight="1">
      <c r="A1048">
        <v>201430</v>
      </c>
      <c r="B1048" s="3" t="s">
        <v>464</v>
      </c>
      <c r="C1048" s="3" t="str">
        <f t="shared" si="78"/>
        <v>Employees.RecordStatus</v>
      </c>
      <c r="D1048" s="3">
        <v>200210</v>
      </c>
      <c r="E1048" s="3" t="str">
        <f t="shared" si="76"/>
        <v>Employees</v>
      </c>
      <c r="F1048" s="3" t="s">
        <v>4</v>
      </c>
      <c r="H1048" s="3" t="str">
        <f t="shared" si="77"/>
        <v>crm.Employee</v>
      </c>
      <c r="I1048" s="3" t="s">
        <v>4</v>
      </c>
      <c r="K1048" s="3" t="s">
        <v>4</v>
      </c>
      <c r="M1048" s="3" t="s">
        <v>196</v>
      </c>
      <c r="O1048" s="3">
        <v>0</v>
      </c>
      <c r="Q1048" s="3" t="s">
        <v>92</v>
      </c>
      <c r="U1048" s="3" t="s">
        <v>94</v>
      </c>
      <c r="AD1048">
        <v>-1</v>
      </c>
      <c r="AE1048" t="str">
        <f>IF(AD1048=-1,"All",VLOOKUP(AD1048,ColumnId,3,FALSE))</f>
        <v>All</v>
      </c>
      <c r="AJ1048" t="e">
        <f>VLOOKUP(E1048,temp1,1,FALSE)</f>
        <v>#NAME?</v>
      </c>
      <c r="AP1048" t="e">
        <f>VLOOKUP(E1048,temp6,1,FALSE)</f>
        <v>#NAME?</v>
      </c>
    </row>
    <row r="1049" spans="1:42" ht="15" hidden="1" customHeight="1">
      <c r="A1049">
        <v>201440</v>
      </c>
      <c r="B1049" s="3" t="s">
        <v>464</v>
      </c>
      <c r="C1049" s="3" t="str">
        <f t="shared" si="78"/>
        <v>Commands.ID</v>
      </c>
      <c r="D1049" s="3">
        <v>200140</v>
      </c>
      <c r="E1049" s="3" t="str">
        <f t="shared" si="76"/>
        <v>Commands</v>
      </c>
      <c r="F1049" s="3" t="s">
        <v>0</v>
      </c>
      <c r="H1049" s="3" t="str">
        <f t="shared" si="77"/>
        <v>system.Command</v>
      </c>
      <c r="I1049" s="3" t="s">
        <v>0</v>
      </c>
      <c r="K1049" s="3" t="s">
        <v>0</v>
      </c>
      <c r="M1049" s="3" t="s">
        <v>195</v>
      </c>
      <c r="Q1049" s="3" t="s">
        <v>919</v>
      </c>
      <c r="U1049" s="3" t="s">
        <v>95</v>
      </c>
      <c r="W1049" s="3"/>
      <c r="AF1049" t="s">
        <v>597</v>
      </c>
      <c r="AJ1049" t="e">
        <f>VLOOKUP(E1049,temp1,1,FALSE)</f>
        <v>#NAME?</v>
      </c>
      <c r="AP1049" t="e">
        <f>VLOOKUP(E1049,temp6,1,FALSE)</f>
        <v>#NAME?</v>
      </c>
    </row>
    <row r="1050" spans="1:42" ht="15" hidden="1" customHeight="1">
      <c r="A1050">
        <v>201450</v>
      </c>
      <c r="B1050" s="3" t="s">
        <v>464</v>
      </c>
      <c r="C1050" s="3" t="str">
        <f t="shared" si="78"/>
        <v>Commands.Description</v>
      </c>
      <c r="D1050" s="3">
        <v>200140</v>
      </c>
      <c r="E1050" s="3" t="str">
        <f t="shared" si="76"/>
        <v>Commands</v>
      </c>
      <c r="F1050" s="3" t="s">
        <v>12</v>
      </c>
      <c r="H1050" s="3" t="str">
        <f t="shared" si="77"/>
        <v>system.Command</v>
      </c>
      <c r="I1050" s="3" t="s">
        <v>12</v>
      </c>
      <c r="K1050" s="3" t="s">
        <v>12</v>
      </c>
      <c r="M1050" s="3" t="s">
        <v>196</v>
      </c>
      <c r="O1050" s="3">
        <v>0</v>
      </c>
      <c r="Q1050" s="3" t="s">
        <v>92</v>
      </c>
      <c r="U1050" s="3" t="s">
        <v>93</v>
      </c>
      <c r="AF1050" t="s">
        <v>598</v>
      </c>
      <c r="AJ1050" t="e">
        <f>VLOOKUP(E1050,temp1,1,FALSE)</f>
        <v>#NAME?</v>
      </c>
      <c r="AP1050" t="e">
        <f>VLOOKUP(E1050,temp6,1,FALSE)</f>
        <v>#NAME?</v>
      </c>
    </row>
    <row r="1051" spans="1:42" ht="15" hidden="1" customHeight="1">
      <c r="A1051">
        <v>201460</v>
      </c>
      <c r="B1051" s="3" t="s">
        <v>464</v>
      </c>
      <c r="C1051" s="3" t="str">
        <f t="shared" si="78"/>
        <v>Commands.ProcedureName</v>
      </c>
      <c r="D1051" s="3">
        <v>200140</v>
      </c>
      <c r="E1051" s="3" t="str">
        <f t="shared" si="76"/>
        <v>Commands</v>
      </c>
      <c r="F1051" s="3" t="s">
        <v>319</v>
      </c>
      <c r="H1051" s="3" t="str">
        <f t="shared" si="77"/>
        <v>system.Command</v>
      </c>
      <c r="I1051" s="3" t="s">
        <v>319</v>
      </c>
      <c r="K1051" s="3" t="s">
        <v>371</v>
      </c>
      <c r="M1051" s="3" t="s">
        <v>196</v>
      </c>
      <c r="O1051" s="3">
        <v>0</v>
      </c>
      <c r="Q1051" s="3" t="s">
        <v>92</v>
      </c>
      <c r="U1051" s="3" t="s">
        <v>93</v>
      </c>
      <c r="AF1051" t="s">
        <v>599</v>
      </c>
      <c r="AJ1051" t="e">
        <f>VLOOKUP(E1051,temp1,1,FALSE)</f>
        <v>#NAME?</v>
      </c>
      <c r="AP1051" t="e">
        <f>VLOOKUP(E1051,temp6,1,FALSE)</f>
        <v>#NAME?</v>
      </c>
    </row>
    <row r="1052" spans="1:42" ht="15" hidden="1" customHeight="1">
      <c r="A1052">
        <v>201470</v>
      </c>
      <c r="B1052" s="3" t="s">
        <v>464</v>
      </c>
      <c r="C1052" s="3" t="str">
        <f t="shared" si="78"/>
        <v>Commands.MenuPrmpt</v>
      </c>
      <c r="D1052" s="3">
        <v>200140</v>
      </c>
      <c r="E1052" s="3" t="str">
        <f t="shared" si="76"/>
        <v>Commands</v>
      </c>
      <c r="F1052" s="3" t="s">
        <v>244</v>
      </c>
      <c r="H1052" s="3" t="str">
        <f t="shared" si="77"/>
        <v>system.Command</v>
      </c>
      <c r="I1052" s="3" t="s">
        <v>244</v>
      </c>
      <c r="K1052" s="3" t="s">
        <v>372</v>
      </c>
      <c r="M1052" s="3" t="s">
        <v>196</v>
      </c>
      <c r="O1052" s="3">
        <v>0</v>
      </c>
      <c r="Q1052" s="3" t="s">
        <v>92</v>
      </c>
      <c r="U1052" s="3" t="s">
        <v>93</v>
      </c>
      <c r="AF1052" t="s">
        <v>600</v>
      </c>
      <c r="AJ1052" t="e">
        <f>VLOOKUP(E1052,temp1,1,FALSE)</f>
        <v>#NAME?</v>
      </c>
      <c r="AP1052" t="e">
        <f>VLOOKUP(E1052,temp6,1,FALSE)</f>
        <v>#NAME?</v>
      </c>
    </row>
    <row r="1053" spans="1:42" ht="15" hidden="1" customHeight="1">
      <c r="A1053">
        <v>201480</v>
      </c>
      <c r="B1053" s="3" t="s">
        <v>464</v>
      </c>
      <c r="C1053" s="3" t="str">
        <f t="shared" si="78"/>
        <v>Commands.MenuMsg</v>
      </c>
      <c r="D1053" s="3">
        <v>200140</v>
      </c>
      <c r="E1053" s="3" t="str">
        <f t="shared" si="76"/>
        <v>Commands</v>
      </c>
      <c r="F1053" s="3" t="s">
        <v>243</v>
      </c>
      <c r="H1053" s="3" t="str">
        <f t="shared" si="77"/>
        <v>system.Command</v>
      </c>
      <c r="I1053" s="3" t="s">
        <v>243</v>
      </c>
      <c r="K1053" s="3" t="s">
        <v>373</v>
      </c>
      <c r="M1053" s="3" t="s">
        <v>196</v>
      </c>
      <c r="O1053" s="3">
        <v>0</v>
      </c>
      <c r="Q1053" s="3" t="s">
        <v>92</v>
      </c>
      <c r="U1053" s="3" t="s">
        <v>93</v>
      </c>
      <c r="AF1053" t="s">
        <v>601</v>
      </c>
      <c r="AJ1053" t="e">
        <f>VLOOKUP(E1053,temp1,1,FALSE)</f>
        <v>#NAME?</v>
      </c>
      <c r="AP1053" t="e">
        <f>VLOOKUP(E1053,temp6,1,FALSE)</f>
        <v>#NAME?</v>
      </c>
    </row>
    <row r="1054" spans="1:42" ht="15" hidden="1" customHeight="1">
      <c r="A1054">
        <v>201490</v>
      </c>
      <c r="B1054" s="3" t="s">
        <v>464</v>
      </c>
      <c r="C1054" s="3" t="str">
        <f t="shared" si="78"/>
        <v>Commands.MenuType</v>
      </c>
      <c r="D1054" s="3">
        <v>200140</v>
      </c>
      <c r="E1054" s="3" t="str">
        <f t="shared" si="76"/>
        <v>Commands</v>
      </c>
      <c r="F1054" s="3" t="s">
        <v>245</v>
      </c>
      <c r="H1054" s="3" t="str">
        <f t="shared" si="77"/>
        <v>system.Command</v>
      </c>
      <c r="I1054" s="3" t="s">
        <v>245</v>
      </c>
      <c r="K1054" s="3" t="s">
        <v>374</v>
      </c>
      <c r="M1054" s="3" t="s">
        <v>196</v>
      </c>
      <c r="O1054" s="3">
        <v>0</v>
      </c>
      <c r="Q1054" s="3" t="s">
        <v>92</v>
      </c>
      <c r="U1054" s="3" t="s">
        <v>93</v>
      </c>
      <c r="AF1054" t="s">
        <v>602</v>
      </c>
      <c r="AJ1054" t="e">
        <f>VLOOKUP(E1054,temp1,1,FALSE)</f>
        <v>#NAME?</v>
      </c>
      <c r="AP1054" t="e">
        <f>VLOOKUP(E1054,temp6,1,FALSE)</f>
        <v>#NAME?</v>
      </c>
    </row>
    <row r="1055" spans="1:42" ht="15" hidden="1" customHeight="1">
      <c r="A1055">
        <v>201500</v>
      </c>
      <c r="B1055" s="3" t="s">
        <v>464</v>
      </c>
      <c r="C1055" s="3" t="str">
        <f t="shared" si="78"/>
        <v>Commands.LogExpression</v>
      </c>
      <c r="D1055" s="3">
        <v>200140</v>
      </c>
      <c r="E1055" s="3" t="str">
        <f t="shared" si="76"/>
        <v>Commands</v>
      </c>
      <c r="F1055" s="3" t="s">
        <v>316</v>
      </c>
      <c r="H1055" s="3" t="str">
        <f t="shared" si="77"/>
        <v>system.Command</v>
      </c>
      <c r="I1055" s="3" t="s">
        <v>316</v>
      </c>
      <c r="K1055" s="3" t="s">
        <v>375</v>
      </c>
      <c r="M1055" s="3" t="s">
        <v>196</v>
      </c>
      <c r="O1055" s="3">
        <v>0</v>
      </c>
      <c r="Q1055" s="3" t="s">
        <v>92</v>
      </c>
      <c r="U1055" s="3" t="s">
        <v>93</v>
      </c>
      <c r="AF1055" t="s">
        <v>603</v>
      </c>
      <c r="AJ1055" t="e">
        <f>VLOOKUP(E1055,temp1,1,FALSE)</f>
        <v>#NAME?</v>
      </c>
      <c r="AP1055" t="e">
        <f>VLOOKUP(E1055,temp6,1,FALSE)</f>
        <v>#NAME?</v>
      </c>
    </row>
    <row r="1056" spans="1:42" ht="15" hidden="1" customHeight="1">
      <c r="A1056">
        <v>201510</v>
      </c>
      <c r="B1056" s="3" t="s">
        <v>464</v>
      </c>
      <c r="C1056" s="3" t="str">
        <f t="shared" si="78"/>
        <v>Commands.HelpText</v>
      </c>
      <c r="D1056" s="3">
        <v>200140</v>
      </c>
      <c r="E1056" s="3" t="str">
        <f t="shared" si="76"/>
        <v>Commands</v>
      </c>
      <c r="F1056" s="3" t="s">
        <v>239</v>
      </c>
      <c r="H1056" s="3" t="str">
        <f t="shared" si="77"/>
        <v>system.Command</v>
      </c>
      <c r="I1056" s="3" t="s">
        <v>239</v>
      </c>
      <c r="K1056" s="3" t="s">
        <v>376</v>
      </c>
      <c r="M1056" s="3" t="s">
        <v>196</v>
      </c>
      <c r="O1056" s="3">
        <v>0</v>
      </c>
      <c r="Q1056" s="3" t="s">
        <v>92</v>
      </c>
      <c r="U1056" s="3" t="s">
        <v>93</v>
      </c>
      <c r="AF1056" t="s">
        <v>604</v>
      </c>
      <c r="AJ1056" t="e">
        <f>VLOOKUP(E1056,temp1,1,FALSE)</f>
        <v>#NAME?</v>
      </c>
      <c r="AP1056" t="e">
        <f>VLOOKUP(E1056,temp6,1,FALSE)</f>
        <v>#NAME?</v>
      </c>
    </row>
    <row r="1057" spans="1:42" ht="15" hidden="1" customHeight="1">
      <c r="A1057">
        <v>201520</v>
      </c>
      <c r="B1057" s="3" t="s">
        <v>464</v>
      </c>
      <c r="C1057" s="3" t="str">
        <f t="shared" si="78"/>
        <v>Commands.LogCommand</v>
      </c>
      <c r="D1057" s="3">
        <v>200140</v>
      </c>
      <c r="E1057" s="3" t="str">
        <f t="shared" si="76"/>
        <v>Commands</v>
      </c>
      <c r="F1057" s="3" t="s">
        <v>314</v>
      </c>
      <c r="H1057" s="3" t="str">
        <f t="shared" si="77"/>
        <v>system.Command</v>
      </c>
      <c r="I1057" s="3" t="s">
        <v>314</v>
      </c>
      <c r="K1057" s="3" t="s">
        <v>377</v>
      </c>
      <c r="L1057" t="s">
        <v>2411</v>
      </c>
      <c r="M1057" s="3" t="s">
        <v>196</v>
      </c>
      <c r="O1057" s="3">
        <v>0</v>
      </c>
      <c r="Q1057" s="3" t="s">
        <v>92</v>
      </c>
      <c r="U1057" s="3" t="s">
        <v>93</v>
      </c>
      <c r="AF1057" t="s">
        <v>605</v>
      </c>
      <c r="AJ1057" t="e">
        <f>VLOOKUP(E1057,temp1,1,FALSE)</f>
        <v>#NAME?</v>
      </c>
      <c r="AP1057" t="e">
        <f>VLOOKUP(E1057,temp6,1,FALSE)</f>
        <v>#NAME?</v>
      </c>
    </row>
    <row r="1058" spans="1:42" ht="15" hidden="1" customHeight="1">
      <c r="A1058">
        <v>201530</v>
      </c>
      <c r="B1058" s="3" t="s">
        <v>464</v>
      </c>
      <c r="C1058" s="3" t="str">
        <f t="shared" si="78"/>
        <v>Commands.DisplayId</v>
      </c>
      <c r="D1058" s="3">
        <v>200140</v>
      </c>
      <c r="E1058" s="3" t="str">
        <f t="shared" si="76"/>
        <v>Commands</v>
      </c>
      <c r="F1058" s="3" t="s">
        <v>234</v>
      </c>
      <c r="H1058" s="3" t="str">
        <f t="shared" si="77"/>
        <v>system.Command</v>
      </c>
      <c r="I1058" s="3" t="s">
        <v>234</v>
      </c>
      <c r="K1058" s="3" t="s">
        <v>378</v>
      </c>
      <c r="M1058" s="3" t="s">
        <v>196</v>
      </c>
      <c r="O1058" s="3">
        <v>0</v>
      </c>
      <c r="Q1058" s="3" t="s">
        <v>92</v>
      </c>
      <c r="U1058" s="3" t="s">
        <v>93</v>
      </c>
      <c r="AF1058" t="s">
        <v>606</v>
      </c>
      <c r="AJ1058" t="e">
        <f>VLOOKUP(E1058,temp1,1,FALSE)</f>
        <v>#NAME?</v>
      </c>
      <c r="AP1058" t="e">
        <f>VLOOKUP(E1058,temp6,1,FALSE)</f>
        <v>#NAME?</v>
      </c>
    </row>
    <row r="1059" spans="1:42" ht="15" hidden="1" customHeight="1">
      <c r="A1059">
        <v>201540</v>
      </c>
      <c r="B1059" s="3" t="s">
        <v>464</v>
      </c>
      <c r="C1059" s="3" t="str">
        <f t="shared" si="78"/>
        <v>Commands.LogDb</v>
      </c>
      <c r="D1059" s="3">
        <v>200140</v>
      </c>
      <c r="E1059" s="3" t="str">
        <f t="shared" si="76"/>
        <v>Commands</v>
      </c>
      <c r="F1059" s="3" t="s">
        <v>240</v>
      </c>
      <c r="H1059" s="3" t="str">
        <f t="shared" si="77"/>
        <v>system.Command</v>
      </c>
      <c r="I1059" s="3" t="s">
        <v>240</v>
      </c>
      <c r="K1059" s="3" t="s">
        <v>379</v>
      </c>
      <c r="M1059" s="3" t="s">
        <v>196</v>
      </c>
      <c r="O1059" s="3">
        <v>0</v>
      </c>
      <c r="Q1059" s="3" t="s">
        <v>92</v>
      </c>
      <c r="U1059" s="3" t="s">
        <v>93</v>
      </c>
      <c r="AF1059" t="s">
        <v>607</v>
      </c>
      <c r="AJ1059" t="e">
        <f>VLOOKUP(E1059,temp1,1,FALSE)</f>
        <v>#NAME?</v>
      </c>
      <c r="AP1059" t="e">
        <f>VLOOKUP(E1059,temp6,1,FALSE)</f>
        <v>#NAME?</v>
      </c>
    </row>
    <row r="1060" spans="1:42" ht="15" hidden="1" customHeight="1">
      <c r="A1060">
        <v>201560</v>
      </c>
      <c r="B1060" s="3" t="s">
        <v>464</v>
      </c>
      <c r="C1060" s="3" t="str">
        <f t="shared" si="78"/>
        <v>Commands.LogCondition</v>
      </c>
      <c r="D1060" s="3">
        <v>200140</v>
      </c>
      <c r="E1060" s="3" t="str">
        <f t="shared" si="76"/>
        <v>Commands</v>
      </c>
      <c r="F1060" s="3" t="s">
        <v>315</v>
      </c>
      <c r="H1060" s="3" t="str">
        <f t="shared" si="77"/>
        <v>system.Command</v>
      </c>
      <c r="I1060" s="3" t="s">
        <v>315</v>
      </c>
      <c r="K1060" s="3" t="s">
        <v>380</v>
      </c>
      <c r="M1060" s="3" t="s">
        <v>196</v>
      </c>
      <c r="O1060" s="3">
        <v>0</v>
      </c>
      <c r="Q1060" s="3" t="s">
        <v>92</v>
      </c>
      <c r="U1060" s="3" t="s">
        <v>93</v>
      </c>
      <c r="AF1060" t="s">
        <v>608</v>
      </c>
      <c r="AJ1060" t="e">
        <f>VLOOKUP(E1060,temp1,1,FALSE)</f>
        <v>#NAME?</v>
      </c>
      <c r="AP1060" t="e">
        <f>VLOOKUP(E1060,temp6,1,FALSE)</f>
        <v>#NAME?</v>
      </c>
    </row>
    <row r="1061" spans="1:42" ht="15" hidden="1" customHeight="1">
      <c r="A1061">
        <v>201570</v>
      </c>
      <c r="B1061" s="3" t="s">
        <v>464</v>
      </c>
      <c r="C1061" s="3" t="str">
        <f t="shared" si="78"/>
        <v>Commands.LogType</v>
      </c>
      <c r="D1061" s="3">
        <v>200140</v>
      </c>
      <c r="E1061" s="3" t="str">
        <f t="shared" si="76"/>
        <v>Commands</v>
      </c>
      <c r="F1061" s="3" t="s">
        <v>242</v>
      </c>
      <c r="H1061" s="3" t="str">
        <f t="shared" si="77"/>
        <v>system.Command</v>
      </c>
      <c r="I1061" s="3" t="s">
        <v>242</v>
      </c>
      <c r="K1061" s="3" t="s">
        <v>381</v>
      </c>
      <c r="M1061" s="3" t="s">
        <v>196</v>
      </c>
      <c r="O1061" s="3">
        <v>0</v>
      </c>
      <c r="Q1061" s="3" t="s">
        <v>92</v>
      </c>
      <c r="U1061" s="3" t="s">
        <v>93</v>
      </c>
      <c r="AF1061" t="s">
        <v>609</v>
      </c>
      <c r="AJ1061" t="e">
        <f>VLOOKUP(E1061,temp1,1,FALSE)</f>
        <v>#NAME?</v>
      </c>
      <c r="AP1061" t="e">
        <f>VLOOKUP(E1061,temp6,1,FALSE)</f>
        <v>#NAME?</v>
      </c>
    </row>
    <row r="1062" spans="1:42" ht="15" hidden="1" customHeight="1">
      <c r="A1062">
        <v>201580</v>
      </c>
      <c r="B1062" s="3" t="s">
        <v>464</v>
      </c>
      <c r="C1062" s="3" t="str">
        <f t="shared" si="78"/>
        <v>Commands.RecordStatus</v>
      </c>
      <c r="D1062" s="3">
        <v>200140</v>
      </c>
      <c r="E1062" s="3" t="str">
        <f t="shared" si="76"/>
        <v>Commands</v>
      </c>
      <c r="F1062" s="3" t="s">
        <v>4</v>
      </c>
      <c r="H1062" s="3" t="str">
        <f t="shared" si="77"/>
        <v>system.Command</v>
      </c>
      <c r="I1062" s="3" t="s">
        <v>4</v>
      </c>
      <c r="K1062" s="3" t="s">
        <v>4</v>
      </c>
      <c r="M1062" s="3" t="s">
        <v>196</v>
      </c>
      <c r="O1062" s="3">
        <v>0</v>
      </c>
      <c r="Q1062" s="3" t="s">
        <v>92</v>
      </c>
      <c r="U1062" s="3" t="s">
        <v>94</v>
      </c>
      <c r="AJ1062" t="e">
        <f>VLOOKUP(E1062,temp1,1,FALSE)</f>
        <v>#NAME?</v>
      </c>
      <c r="AP1062" t="e">
        <f>VLOOKUP(E1062,temp6,1,FALSE)</f>
        <v>#NAME?</v>
      </c>
    </row>
    <row r="1063" spans="1:42" ht="15" hidden="1" customHeight="1">
      <c r="A1063">
        <v>201590</v>
      </c>
      <c r="B1063" s="3" t="s">
        <v>464</v>
      </c>
      <c r="C1063" s="3" t="str">
        <f t="shared" si="78"/>
        <v>CommandJoins.ID</v>
      </c>
      <c r="D1063" s="3">
        <v>200130</v>
      </c>
      <c r="E1063" s="3" t="str">
        <f t="shared" si="76"/>
        <v>CommandJoins</v>
      </c>
      <c r="F1063" s="3" t="s">
        <v>0</v>
      </c>
      <c r="H1063" s="3" t="str">
        <f t="shared" si="77"/>
        <v>system.CommandJoin</v>
      </c>
      <c r="I1063" s="3" t="s">
        <v>0</v>
      </c>
      <c r="K1063" s="3" t="s">
        <v>0</v>
      </c>
      <c r="M1063" s="3" t="s">
        <v>195</v>
      </c>
      <c r="Q1063" s="3" t="s">
        <v>919</v>
      </c>
      <c r="U1063" s="3" t="s">
        <v>95</v>
      </c>
      <c r="AF1063" t="s">
        <v>610</v>
      </c>
      <c r="AJ1063" t="e">
        <f>VLOOKUP(E1063,temp1,1,FALSE)</f>
        <v>#NAME?</v>
      </c>
      <c r="AP1063" t="e">
        <f>VLOOKUP(E1063,temp6,1,FALSE)</f>
        <v>#NAME?</v>
      </c>
    </row>
    <row r="1064" spans="1:42" ht="15" hidden="1" customHeight="1">
      <c r="A1064">
        <v>201600</v>
      </c>
      <c r="B1064" s="3" t="s">
        <v>464</v>
      </c>
      <c r="C1064" s="3" t="str">
        <f t="shared" si="78"/>
        <v>CommandJoins.CommandIDParent</v>
      </c>
      <c r="D1064" s="3">
        <v>200130</v>
      </c>
      <c r="E1064" s="3" t="str">
        <f t="shared" si="76"/>
        <v>CommandJoins</v>
      </c>
      <c r="F1064" s="3" t="s">
        <v>343</v>
      </c>
      <c r="H1064" s="3" t="str">
        <f t="shared" si="77"/>
        <v>system.CommandJoin</v>
      </c>
      <c r="I1064" s="3" t="s">
        <v>343</v>
      </c>
      <c r="K1064" s="3" t="s">
        <v>435</v>
      </c>
      <c r="M1064" s="3" t="s">
        <v>195</v>
      </c>
      <c r="Q1064" s="3" t="s">
        <v>92</v>
      </c>
      <c r="U1064" s="3" t="s">
        <v>96</v>
      </c>
      <c r="V1064">
        <v>200140</v>
      </c>
      <c r="W1064" s="3" t="str">
        <f>VLOOKUP(V1064,DictionaryTableID,3,FALSE)</f>
        <v>Commands</v>
      </c>
      <c r="X1064" t="s">
        <v>1220</v>
      </c>
      <c r="AF1064" t="s">
        <v>611</v>
      </c>
      <c r="AJ1064" t="e">
        <f>VLOOKUP(E1064,temp1,1,FALSE)</f>
        <v>#NAME?</v>
      </c>
      <c r="AO1064" t="str">
        <f>SUBSTITUTE(VLOOKUP(V1064,DictionaryTableID,6,FALSE)&amp;"ID",".","")</f>
        <v>CommandID</v>
      </c>
      <c r="AP1064" t="e">
        <f>VLOOKUP(E1064,temp6,1,FALSE)</f>
        <v>#NAME?</v>
      </c>
    </row>
    <row r="1065" spans="1:42" ht="15" hidden="1" customHeight="1">
      <c r="A1065">
        <v>201610</v>
      </c>
      <c r="B1065" s="3" t="s">
        <v>464</v>
      </c>
      <c r="C1065" s="3" t="str">
        <f t="shared" si="78"/>
        <v>CommandJoins.CommandIDChild</v>
      </c>
      <c r="D1065" s="3">
        <v>200130</v>
      </c>
      <c r="E1065" s="3" t="str">
        <f t="shared" si="76"/>
        <v>CommandJoins</v>
      </c>
      <c r="F1065" s="3" t="s">
        <v>344</v>
      </c>
      <c r="H1065" s="3" t="str">
        <f t="shared" si="77"/>
        <v>system.CommandJoin</v>
      </c>
      <c r="I1065" s="3" t="s">
        <v>344</v>
      </c>
      <c r="K1065" s="3" t="s">
        <v>436</v>
      </c>
      <c r="M1065" s="3" t="s">
        <v>195</v>
      </c>
      <c r="Q1065" s="3" t="s">
        <v>92</v>
      </c>
      <c r="U1065" s="3" t="s">
        <v>96</v>
      </c>
      <c r="V1065">
        <v>200140</v>
      </c>
      <c r="W1065" s="3" t="str">
        <f>VLOOKUP(V1065,DictionaryTableID,3,FALSE)</f>
        <v>Commands</v>
      </c>
      <c r="X1065" t="s">
        <v>1071</v>
      </c>
      <c r="AF1065" t="s">
        <v>612</v>
      </c>
      <c r="AJ1065" t="e">
        <f>VLOOKUP(E1065,temp1,1,FALSE)</f>
        <v>#NAME?</v>
      </c>
      <c r="AP1065" t="e">
        <f>VLOOKUP(E1065,temp6,1,FALSE)</f>
        <v>#NAME?</v>
      </c>
    </row>
    <row r="1066" spans="1:42" ht="15" hidden="1" customHeight="1">
      <c r="A1066">
        <v>201620</v>
      </c>
      <c r="B1066" s="3" t="s">
        <v>464</v>
      </c>
      <c r="C1066" s="3" t="str">
        <f t="shared" si="78"/>
        <v>CommandJoins.SeqNo</v>
      </c>
      <c r="D1066" s="3">
        <v>200130</v>
      </c>
      <c r="E1066" s="3" t="str">
        <f t="shared" si="76"/>
        <v>CommandJoins</v>
      </c>
      <c r="F1066" s="3" t="s">
        <v>1360</v>
      </c>
      <c r="H1066" s="3" t="str">
        <f t="shared" si="77"/>
        <v>system.CommandJoin</v>
      </c>
      <c r="I1066" s="3" t="s">
        <v>1360</v>
      </c>
      <c r="K1066" s="3" t="s">
        <v>360</v>
      </c>
      <c r="M1066" s="3" t="s">
        <v>195</v>
      </c>
      <c r="Q1066" s="3" t="s">
        <v>92</v>
      </c>
      <c r="U1066" s="3" t="s">
        <v>93</v>
      </c>
      <c r="AF1066" t="s">
        <v>613</v>
      </c>
      <c r="AJ1066" t="e">
        <f>VLOOKUP(E1066,temp1,1,FALSE)</f>
        <v>#NAME?</v>
      </c>
      <c r="AP1066" t="e">
        <f>VLOOKUP(E1066,temp6,1,FALSE)</f>
        <v>#NAME?</v>
      </c>
    </row>
    <row r="1067" spans="1:42" ht="15" hidden="1" customHeight="1">
      <c r="A1067">
        <v>201630</v>
      </c>
      <c r="B1067" s="3" t="s">
        <v>464</v>
      </c>
      <c r="C1067" s="3" t="str">
        <f t="shared" si="78"/>
        <v>CommandJoins.Condition</v>
      </c>
      <c r="D1067" s="3">
        <v>200130</v>
      </c>
      <c r="E1067" s="3" t="str">
        <f t="shared" si="76"/>
        <v>CommandJoins</v>
      </c>
      <c r="F1067" s="3" t="s">
        <v>345</v>
      </c>
      <c r="H1067" s="3" t="str">
        <f t="shared" si="77"/>
        <v>system.CommandJoin</v>
      </c>
      <c r="I1067" s="3" t="s">
        <v>345</v>
      </c>
      <c r="K1067" s="3" t="s">
        <v>345</v>
      </c>
      <c r="M1067" s="3" t="s">
        <v>196</v>
      </c>
      <c r="O1067" s="3">
        <v>0</v>
      </c>
      <c r="Q1067" s="3" t="s">
        <v>92</v>
      </c>
      <c r="U1067" s="3" t="s">
        <v>93</v>
      </c>
      <c r="AF1067" t="s">
        <v>614</v>
      </c>
      <c r="AJ1067" t="e">
        <f>VLOOKUP(E1067,temp1,1,FALSE)</f>
        <v>#NAME?</v>
      </c>
      <c r="AP1067" t="e">
        <f>VLOOKUP(E1067,temp6,1,FALSE)</f>
        <v>#NAME?</v>
      </c>
    </row>
    <row r="1068" spans="1:42" ht="15" hidden="1" customHeight="1">
      <c r="A1068">
        <v>201640</v>
      </c>
      <c r="B1068" s="3" t="s">
        <v>464</v>
      </c>
      <c r="C1068" s="3" t="str">
        <f t="shared" si="78"/>
        <v>CommandJoins.CheckJoin</v>
      </c>
      <c r="D1068" s="3">
        <v>200130</v>
      </c>
      <c r="E1068" s="3" t="str">
        <f t="shared" si="76"/>
        <v>CommandJoins</v>
      </c>
      <c r="F1068" s="3" t="s">
        <v>347</v>
      </c>
      <c r="H1068" s="3" t="str">
        <f t="shared" si="77"/>
        <v>system.CommandJoin</v>
      </c>
      <c r="I1068" s="3" t="s">
        <v>347</v>
      </c>
      <c r="K1068" s="3" t="s">
        <v>370</v>
      </c>
      <c r="M1068" s="3" t="s">
        <v>196</v>
      </c>
      <c r="O1068" s="3">
        <v>0</v>
      </c>
      <c r="Q1068" s="3" t="s">
        <v>92</v>
      </c>
      <c r="U1068" s="3" t="s">
        <v>93</v>
      </c>
      <c r="AF1068" t="s">
        <v>615</v>
      </c>
      <c r="AJ1068" t="e">
        <f>VLOOKUP(E1068,temp1,1,FALSE)</f>
        <v>#NAME?</v>
      </c>
      <c r="AP1068" t="e">
        <f>VLOOKUP(E1068,temp6,1,FALSE)</f>
        <v>#NAME?</v>
      </c>
    </row>
    <row r="1069" spans="1:42" ht="15" hidden="1" customHeight="1">
      <c r="A1069">
        <v>201650</v>
      </c>
      <c r="B1069" s="3" t="s">
        <v>464</v>
      </c>
      <c r="C1069" s="3" t="str">
        <f t="shared" si="78"/>
        <v>CommandJoins.TreeString</v>
      </c>
      <c r="D1069" s="3">
        <v>200130</v>
      </c>
      <c r="E1069" s="3" t="str">
        <f t="shared" si="76"/>
        <v>CommandJoins</v>
      </c>
      <c r="F1069" s="3" t="s">
        <v>460</v>
      </c>
      <c r="H1069" s="3" t="str">
        <f t="shared" si="77"/>
        <v>system.CommandJoin</v>
      </c>
      <c r="I1069" s="3" t="s">
        <v>460</v>
      </c>
      <c r="K1069" s="3" t="s">
        <v>460</v>
      </c>
      <c r="M1069" s="3" t="s">
        <v>196</v>
      </c>
      <c r="Q1069" s="3" t="s">
        <v>92</v>
      </c>
      <c r="U1069" s="3" t="s">
        <v>93</v>
      </c>
      <c r="AF1069" t="s">
        <v>616</v>
      </c>
      <c r="AJ1069" t="e">
        <f>VLOOKUP(E1069,temp1,1,FALSE)</f>
        <v>#NAME?</v>
      </c>
      <c r="AP1069" t="e">
        <f>VLOOKUP(E1069,temp6,1,FALSE)</f>
        <v>#NAME?</v>
      </c>
    </row>
    <row r="1070" spans="1:42" ht="15" hidden="1" customHeight="1">
      <c r="A1070">
        <v>201670</v>
      </c>
      <c r="B1070" s="3" t="s">
        <v>464</v>
      </c>
      <c r="C1070" s="3" t="str">
        <f t="shared" si="78"/>
        <v>CommandJoins.RecordStatus</v>
      </c>
      <c r="D1070" s="3">
        <v>200130</v>
      </c>
      <c r="E1070" s="3" t="str">
        <f t="shared" si="76"/>
        <v>CommandJoins</v>
      </c>
      <c r="F1070" s="3" t="s">
        <v>4</v>
      </c>
      <c r="H1070" s="3" t="str">
        <f t="shared" si="77"/>
        <v>system.CommandJoin</v>
      </c>
      <c r="I1070" s="3" t="s">
        <v>4</v>
      </c>
      <c r="K1070" s="3" t="s">
        <v>4</v>
      </c>
      <c r="M1070" s="3" t="s">
        <v>196</v>
      </c>
      <c r="O1070" s="3">
        <v>0</v>
      </c>
      <c r="Q1070" s="3" t="s">
        <v>92</v>
      </c>
      <c r="U1070" s="3" t="s">
        <v>94</v>
      </c>
      <c r="AJ1070" t="e">
        <f>VLOOKUP(E1070,temp1,1,FALSE)</f>
        <v>#NAME?</v>
      </c>
      <c r="AP1070" t="e">
        <f>VLOOKUP(E1070,temp6,1,FALSE)</f>
        <v>#NAME?</v>
      </c>
    </row>
    <row r="1071" spans="1:42" ht="15" hidden="1" customHeight="1">
      <c r="A1071">
        <v>201680</v>
      </c>
      <c r="B1071" s="3" t="s">
        <v>464</v>
      </c>
      <c r="C1071" s="3" t="str">
        <f t="shared" si="78"/>
        <v>FixedAssetType.ID</v>
      </c>
      <c r="D1071" s="3">
        <v>200250</v>
      </c>
      <c r="E1071" s="3" t="str">
        <f t="shared" si="76"/>
        <v>FixedAssetType</v>
      </c>
      <c r="F1071" s="3" t="s">
        <v>0</v>
      </c>
      <c r="H1071" s="3" t="str">
        <f t="shared" si="77"/>
        <v>ass.FixedAssetType</v>
      </c>
      <c r="I1071" s="3" t="s">
        <v>0</v>
      </c>
      <c r="K1071" s="3" t="s">
        <v>0</v>
      </c>
      <c r="M1071" s="3" t="s">
        <v>195</v>
      </c>
      <c r="Q1071" s="3" t="s">
        <v>919</v>
      </c>
      <c r="U1071" s="3" t="s">
        <v>95</v>
      </c>
      <c r="W1071" s="3"/>
      <c r="AD1071">
        <v>-1</v>
      </c>
      <c r="AE1071" t="str">
        <f t="shared" ref="AE1071:AE1077" si="80">IF(AD1071=-1,"All",VLOOKUP(AD1071,ColumnId,3,FALSE))</f>
        <v>All</v>
      </c>
      <c r="AF1071" t="s">
        <v>617</v>
      </c>
      <c r="AJ1071" t="e">
        <f>VLOOKUP(E1071,temp1,1,FALSE)</f>
        <v>#NAME?</v>
      </c>
      <c r="AP1071" t="e">
        <f>VLOOKUP(E1071,temp6,1,FALSE)</f>
        <v>#NAME?</v>
      </c>
    </row>
    <row r="1072" spans="1:42" ht="15" hidden="1" customHeight="1">
      <c r="A1072">
        <v>201690</v>
      </c>
      <c r="B1072" s="3" t="s">
        <v>464</v>
      </c>
      <c r="C1072" s="3" t="str">
        <f t="shared" si="78"/>
        <v>FixedAssetType.SeqNo</v>
      </c>
      <c r="D1072" s="3">
        <v>200250</v>
      </c>
      <c r="E1072" s="3" t="str">
        <f t="shared" si="76"/>
        <v>FixedAssetType</v>
      </c>
      <c r="F1072" s="3" t="s">
        <v>1360</v>
      </c>
      <c r="H1072" s="3" t="str">
        <f t="shared" si="77"/>
        <v>ass.FixedAssetType</v>
      </c>
      <c r="I1072" s="3" t="s">
        <v>1360</v>
      </c>
      <c r="K1072" s="3" t="s">
        <v>360</v>
      </c>
      <c r="M1072" s="3" t="s">
        <v>195</v>
      </c>
      <c r="Q1072" s="3" t="s">
        <v>92</v>
      </c>
      <c r="U1072" s="3" t="s">
        <v>93</v>
      </c>
      <c r="AD1072">
        <v>13480</v>
      </c>
      <c r="AE1072" t="str">
        <f t="shared" si="80"/>
        <v>faType.DisplaySequence</v>
      </c>
      <c r="AF1072" t="s">
        <v>618</v>
      </c>
      <c r="AJ1072" t="e">
        <f>VLOOKUP(E1072,temp1,1,FALSE)</f>
        <v>#NAME?</v>
      </c>
      <c r="AP1072" t="e">
        <f>VLOOKUP(E1072,temp6,1,FALSE)</f>
        <v>#NAME?</v>
      </c>
    </row>
    <row r="1073" spans="1:42" ht="15" hidden="1" customHeight="1">
      <c r="A1073">
        <v>201700</v>
      </c>
      <c r="B1073" s="3" t="s">
        <v>464</v>
      </c>
      <c r="C1073" s="3" t="str">
        <f t="shared" si="78"/>
        <v>FixedAssetType.Description</v>
      </c>
      <c r="D1073" s="3">
        <v>200250</v>
      </c>
      <c r="E1073" s="3" t="str">
        <f t="shared" si="76"/>
        <v>FixedAssetType</v>
      </c>
      <c r="F1073" s="3" t="s">
        <v>12</v>
      </c>
      <c r="H1073" s="3" t="str">
        <f t="shared" si="77"/>
        <v>ass.FixedAssetType</v>
      </c>
      <c r="I1073" s="3" t="s">
        <v>12</v>
      </c>
      <c r="K1073" s="3" t="s">
        <v>12</v>
      </c>
      <c r="M1073" s="3" t="s">
        <v>196</v>
      </c>
      <c r="O1073" s="3">
        <v>0</v>
      </c>
      <c r="Q1073" s="3" t="s">
        <v>92</v>
      </c>
      <c r="U1073" s="3" t="s">
        <v>93</v>
      </c>
      <c r="AD1073">
        <v>13440</v>
      </c>
      <c r="AE1073" t="str">
        <f t="shared" si="80"/>
        <v>faType.Description</v>
      </c>
      <c r="AF1073" t="s">
        <v>619</v>
      </c>
      <c r="AJ1073" t="e">
        <f>VLOOKUP(E1073,temp1,1,FALSE)</f>
        <v>#NAME?</v>
      </c>
      <c r="AP1073" t="e">
        <f>VLOOKUP(E1073,temp6,1,FALSE)</f>
        <v>#NAME?</v>
      </c>
    </row>
    <row r="1074" spans="1:42" ht="15" hidden="1" customHeight="1">
      <c r="A1074">
        <v>201710</v>
      </c>
      <c r="B1074" s="3" t="s">
        <v>464</v>
      </c>
      <c r="C1074" s="3" t="str">
        <f t="shared" si="78"/>
        <v>FixedAssetType.FixedAssetTypeID</v>
      </c>
      <c r="D1074" s="3">
        <v>200250</v>
      </c>
      <c r="E1074" s="3" t="str">
        <f t="shared" si="76"/>
        <v>FixedAssetType</v>
      </c>
      <c r="F1074" s="3" t="s">
        <v>216</v>
      </c>
      <c r="H1074" s="3" t="str">
        <f t="shared" si="77"/>
        <v>ass.FixedAssetType</v>
      </c>
      <c r="I1074" s="3" t="s">
        <v>216</v>
      </c>
      <c r="K1074" s="3" t="s">
        <v>326</v>
      </c>
      <c r="M1074" s="3" t="s">
        <v>195</v>
      </c>
      <c r="Q1074" s="3" t="s">
        <v>92</v>
      </c>
      <c r="U1074" s="3" t="s">
        <v>96</v>
      </c>
      <c r="V1074">
        <v>200250</v>
      </c>
      <c r="W1074" s="3" t="str">
        <f>VLOOKUP(V1074,DictionaryTableID,3,FALSE)</f>
        <v>FixedAssetType</v>
      </c>
      <c r="AD1074">
        <v>13380</v>
      </c>
      <c r="AE1074" t="str">
        <f t="shared" si="80"/>
        <v>faType.faTypeIDParent</v>
      </c>
      <c r="AF1074" t="s">
        <v>620</v>
      </c>
      <c r="AJ1074" t="e">
        <f>VLOOKUP(E1074,temp1,1,FALSE)</f>
        <v>#NAME?</v>
      </c>
      <c r="AP1074" t="e">
        <f>VLOOKUP(E1074,temp6,1,FALSE)</f>
        <v>#NAME?</v>
      </c>
    </row>
    <row r="1075" spans="1:42" ht="15" hidden="1" customHeight="1">
      <c r="A1075">
        <v>201720</v>
      </c>
      <c r="B1075" s="3" t="s">
        <v>464</v>
      </c>
      <c r="C1075" s="3" t="str">
        <f t="shared" si="78"/>
        <v>FixedAssetType.Template</v>
      </c>
      <c r="D1075" s="3">
        <v>200250</v>
      </c>
      <c r="E1075" s="3" t="str">
        <f t="shared" si="76"/>
        <v>FixedAssetType</v>
      </c>
      <c r="F1075" s="3" t="s">
        <v>273</v>
      </c>
      <c r="H1075" s="3" t="str">
        <f t="shared" si="77"/>
        <v>ass.FixedAssetType</v>
      </c>
      <c r="I1075" s="3" t="s">
        <v>273</v>
      </c>
      <c r="K1075" s="3" t="s">
        <v>273</v>
      </c>
      <c r="M1075" s="3" t="s">
        <v>196</v>
      </c>
      <c r="O1075" s="3">
        <v>0</v>
      </c>
      <c r="Q1075" s="3" t="s">
        <v>92</v>
      </c>
      <c r="U1075" s="3" t="s">
        <v>93</v>
      </c>
      <c r="AD1075">
        <v>13490</v>
      </c>
      <c r="AE1075" t="str">
        <f t="shared" si="80"/>
        <v>faType.Template</v>
      </c>
      <c r="AF1075" t="s">
        <v>621</v>
      </c>
      <c r="AJ1075" t="e">
        <f>VLOOKUP(E1075,temp1,1,FALSE)</f>
        <v>#NAME?</v>
      </c>
      <c r="AP1075" t="e">
        <f>VLOOKUP(E1075,temp6,1,FALSE)</f>
        <v>#NAME?</v>
      </c>
    </row>
    <row r="1076" spans="1:42" ht="15" hidden="1" customHeight="1">
      <c r="A1076">
        <v>201730</v>
      </c>
      <c r="B1076" s="3" t="s">
        <v>464</v>
      </c>
      <c r="C1076" s="3" t="str">
        <f t="shared" si="78"/>
        <v>FixedAssetType.FixedAssetNumberUsed</v>
      </c>
      <c r="D1076" s="3">
        <v>200250</v>
      </c>
      <c r="E1076" s="3" t="str">
        <f t="shared" si="76"/>
        <v>FixedAssetType</v>
      </c>
      <c r="F1076" s="3" t="s">
        <v>306</v>
      </c>
      <c r="H1076" s="3" t="str">
        <f t="shared" si="77"/>
        <v>ass.FixedAssetType</v>
      </c>
      <c r="I1076" s="3" t="s">
        <v>306</v>
      </c>
      <c r="K1076" s="3" t="s">
        <v>415</v>
      </c>
      <c r="L1076" t="s">
        <v>2417</v>
      </c>
      <c r="M1076" s="3" t="s">
        <v>196</v>
      </c>
      <c r="O1076" s="3">
        <v>0</v>
      </c>
      <c r="Q1076" s="3" t="s">
        <v>92</v>
      </c>
      <c r="U1076" s="3" t="s">
        <v>93</v>
      </c>
      <c r="AD1076">
        <v>13450</v>
      </c>
      <c r="AE1076" t="str">
        <f t="shared" si="80"/>
        <v>faType.IsFixedAssetNumberUsed</v>
      </c>
      <c r="AF1076" t="s">
        <v>622</v>
      </c>
      <c r="AJ1076" t="e">
        <f>VLOOKUP(E1076,temp1,1,FALSE)</f>
        <v>#NAME?</v>
      </c>
      <c r="AP1076" t="e">
        <f>VLOOKUP(E1076,temp6,1,FALSE)</f>
        <v>#NAME?</v>
      </c>
    </row>
    <row r="1077" spans="1:42" ht="15" hidden="1" customHeight="1">
      <c r="A1077">
        <v>201740</v>
      </c>
      <c r="B1077" s="3" t="s">
        <v>464</v>
      </c>
      <c r="C1077" s="3" t="str">
        <f t="shared" si="78"/>
        <v>FixedAssetType.Classify</v>
      </c>
      <c r="D1077" s="3">
        <v>200250</v>
      </c>
      <c r="E1077" s="3" t="str">
        <f t="shared" si="76"/>
        <v>FixedAssetType</v>
      </c>
      <c r="F1077" s="3" t="s">
        <v>26</v>
      </c>
      <c r="H1077" s="3" t="str">
        <f t="shared" si="77"/>
        <v>ass.FixedAssetType</v>
      </c>
      <c r="I1077" s="3" t="s">
        <v>26</v>
      </c>
      <c r="K1077" s="3" t="s">
        <v>26</v>
      </c>
      <c r="L1077" t="s">
        <v>2414</v>
      </c>
      <c r="M1077" s="3" t="s">
        <v>196</v>
      </c>
      <c r="O1077" s="3">
        <v>0</v>
      </c>
      <c r="Q1077" s="3" t="s">
        <v>92</v>
      </c>
      <c r="U1077" s="3" t="s">
        <v>93</v>
      </c>
      <c r="AD1077">
        <v>13460</v>
      </c>
      <c r="AE1077" t="str">
        <f t="shared" si="80"/>
        <v>faType.IsUsedToClassifyRecords</v>
      </c>
      <c r="AF1077" t="s">
        <v>623</v>
      </c>
      <c r="AJ1077" t="e">
        <f>VLOOKUP(E1077,temp1,1,FALSE)</f>
        <v>#NAME?</v>
      </c>
      <c r="AP1077" t="e">
        <f>VLOOKUP(E1077,temp6,1,FALSE)</f>
        <v>#NAME?</v>
      </c>
    </row>
    <row r="1078" spans="1:42" ht="15" hidden="1" customHeight="1">
      <c r="A1078">
        <v>201750</v>
      </c>
      <c r="B1078" s="3" t="s">
        <v>464</v>
      </c>
      <c r="C1078" s="3" t="str">
        <f t="shared" si="78"/>
        <v>FixedAssetType.DeprLife</v>
      </c>
      <c r="D1078" s="3">
        <v>200250</v>
      </c>
      <c r="E1078" s="3" t="str">
        <f t="shared" si="76"/>
        <v>FixedAssetType</v>
      </c>
      <c r="F1078" s="3" t="s">
        <v>233</v>
      </c>
      <c r="H1078" s="3" t="str">
        <f t="shared" si="77"/>
        <v>ass.FixedAssetType</v>
      </c>
      <c r="I1078" s="3" t="s">
        <v>233</v>
      </c>
      <c r="K1078" s="3" t="s">
        <v>412</v>
      </c>
      <c r="L1078"/>
      <c r="M1078" s="3" t="s">
        <v>196</v>
      </c>
      <c r="O1078" s="3">
        <v>0</v>
      </c>
      <c r="Q1078" s="3" t="s">
        <v>92</v>
      </c>
      <c r="U1078" s="3" t="s">
        <v>93</v>
      </c>
      <c r="AF1078" t="s">
        <v>624</v>
      </c>
      <c r="AJ1078" t="e">
        <f>VLOOKUP(E1078,temp1,1,FALSE)</f>
        <v>#NAME?</v>
      </c>
      <c r="AP1078" t="e">
        <f>VLOOKUP(E1078,temp6,1,FALSE)</f>
        <v>#NAME?</v>
      </c>
    </row>
    <row r="1079" spans="1:42" ht="15" hidden="1" customHeight="1">
      <c r="A1079">
        <v>201760</v>
      </c>
      <c r="B1079" s="3" t="s">
        <v>464</v>
      </c>
      <c r="C1079" s="3" t="str">
        <f t="shared" si="78"/>
        <v>FixedAssetType.DepreciationPercent</v>
      </c>
      <c r="D1079" s="3">
        <v>200250</v>
      </c>
      <c r="E1079" s="3" t="str">
        <f t="shared" si="76"/>
        <v>FixedAssetType</v>
      </c>
      <c r="F1079" s="3" t="s">
        <v>302</v>
      </c>
      <c r="H1079" s="3" t="str">
        <f t="shared" si="77"/>
        <v>ass.FixedAssetType</v>
      </c>
      <c r="I1079" s="3" t="s">
        <v>302</v>
      </c>
      <c r="K1079" s="3" t="s">
        <v>416</v>
      </c>
      <c r="M1079" s="3" t="s">
        <v>195</v>
      </c>
      <c r="Q1079" s="3" t="s">
        <v>92</v>
      </c>
      <c r="U1079" s="3" t="s">
        <v>93</v>
      </c>
      <c r="AD1079">
        <v>13430</v>
      </c>
      <c r="AE1079" t="str">
        <f>IF(AD1079=-1,"All",VLOOKUP(AD1079,ColumnId,3,FALSE))</f>
        <v>faType.DepreciationPercent</v>
      </c>
      <c r="AF1079" t="s">
        <v>625</v>
      </c>
      <c r="AJ1079" t="e">
        <f>VLOOKUP(E1079,temp1,1,FALSE)</f>
        <v>#NAME?</v>
      </c>
      <c r="AP1079" t="e">
        <f>VLOOKUP(E1079,temp6,1,FALSE)</f>
        <v>#NAME?</v>
      </c>
    </row>
    <row r="1080" spans="1:42" ht="15" hidden="1" customHeight="1">
      <c r="A1080">
        <v>201770</v>
      </c>
      <c r="B1080" s="3" t="s">
        <v>464</v>
      </c>
      <c r="C1080" s="3" t="str">
        <f t="shared" si="78"/>
        <v>FixedAssetType.GLAccountIDAccumDepr</v>
      </c>
      <c r="D1080" s="3">
        <v>200250</v>
      </c>
      <c r="E1080" s="3" t="str">
        <f t="shared" si="76"/>
        <v>FixedAssetType</v>
      </c>
      <c r="F1080" s="3" t="s">
        <v>223</v>
      </c>
      <c r="H1080" s="3" t="str">
        <f t="shared" si="77"/>
        <v>ass.FixedAssetType</v>
      </c>
      <c r="I1080" s="3" t="s">
        <v>223</v>
      </c>
      <c r="K1080" s="3" t="s">
        <v>457</v>
      </c>
      <c r="M1080" s="3" t="s">
        <v>195</v>
      </c>
      <c r="Q1080" s="3" t="s">
        <v>92</v>
      </c>
      <c r="U1080" s="3" t="s">
        <v>96</v>
      </c>
      <c r="V1080">
        <v>200260</v>
      </c>
      <c r="W1080" s="3" t="str">
        <f>VLOOKUP(V1080,DictionaryTableID,3,FALSE)</f>
        <v>GLAccounts</v>
      </c>
      <c r="X1080" t="s">
        <v>1464</v>
      </c>
      <c r="AD1080">
        <v>13390</v>
      </c>
      <c r="AE1080" t="str">
        <f>IF(AD1080=-1,"All",VLOOKUP(AD1080,ColumnId,3,FALSE))</f>
        <v>faType.glAccountIDAccummulatedDepreciation</v>
      </c>
      <c r="AF1080" t="s">
        <v>626</v>
      </c>
      <c r="AJ1080" t="e">
        <f>VLOOKUP(E1080,temp1,1,FALSE)</f>
        <v>#NAME?</v>
      </c>
      <c r="AP1080" t="e">
        <f>VLOOKUP(E1080,temp6,1,FALSE)</f>
        <v>#NAME?</v>
      </c>
    </row>
    <row r="1081" spans="1:42" ht="15" hidden="1" customHeight="1">
      <c r="A1081">
        <v>201780</v>
      </c>
      <c r="B1081" s="3" t="s">
        <v>464</v>
      </c>
      <c r="C1081" s="3" t="str">
        <f t="shared" si="78"/>
        <v>FixedAssetType.GLAccountIDDepreciationExpense</v>
      </c>
      <c r="D1081" s="3">
        <v>200250</v>
      </c>
      <c r="E1081" s="3" t="str">
        <f t="shared" si="76"/>
        <v>FixedAssetType</v>
      </c>
      <c r="F1081" s="3" t="s">
        <v>224</v>
      </c>
      <c r="H1081" s="3" t="str">
        <f t="shared" si="77"/>
        <v>ass.FixedAssetType</v>
      </c>
      <c r="I1081" s="3" t="s">
        <v>224</v>
      </c>
      <c r="K1081" s="3" t="s">
        <v>458</v>
      </c>
      <c r="M1081" s="3" t="s">
        <v>195</v>
      </c>
      <c r="Q1081" s="3" t="s">
        <v>92</v>
      </c>
      <c r="U1081" s="3" t="s">
        <v>96</v>
      </c>
      <c r="V1081">
        <v>200260</v>
      </c>
      <c r="W1081" s="3" t="str">
        <f>VLOOKUP(V1081,DictionaryTableID,3,FALSE)</f>
        <v>GLAccounts</v>
      </c>
      <c r="X1081" t="s">
        <v>1218</v>
      </c>
      <c r="AD1081">
        <v>13410</v>
      </c>
      <c r="AE1081" t="str">
        <f>IF(AD1081=-1,"All",VLOOKUP(AD1081,ColumnId,3,FALSE))</f>
        <v>faType.glAccountIDDepreciationExpense</v>
      </c>
      <c r="AF1081" t="s">
        <v>627</v>
      </c>
      <c r="AJ1081" t="e">
        <f>VLOOKUP(E1081,temp1,1,FALSE)</f>
        <v>#NAME?</v>
      </c>
      <c r="AP1081" t="e">
        <f>VLOOKUP(E1081,temp6,1,FALSE)</f>
        <v>#NAME?</v>
      </c>
    </row>
    <row r="1082" spans="1:42" ht="15" hidden="1" customHeight="1">
      <c r="A1082">
        <v>201790</v>
      </c>
      <c r="B1082" s="3" t="s">
        <v>464</v>
      </c>
      <c r="C1082" s="3" t="str">
        <f t="shared" si="78"/>
        <v>FixedAssetType.GLAccountIDAsset</v>
      </c>
      <c r="D1082" s="3">
        <v>200250</v>
      </c>
      <c r="E1082" s="3" t="str">
        <f t="shared" si="76"/>
        <v>FixedAssetType</v>
      </c>
      <c r="F1082" s="3" t="s">
        <v>300</v>
      </c>
      <c r="H1082" s="3" t="str">
        <f t="shared" si="77"/>
        <v>ass.FixedAssetType</v>
      </c>
      <c r="I1082" s="3" t="s">
        <v>300</v>
      </c>
      <c r="K1082" s="3" t="s">
        <v>459</v>
      </c>
      <c r="M1082" s="3" t="s">
        <v>195</v>
      </c>
      <c r="Q1082" s="3" t="s">
        <v>92</v>
      </c>
      <c r="U1082" s="3" t="s">
        <v>96</v>
      </c>
      <c r="V1082">
        <v>200260</v>
      </c>
      <c r="W1082" s="3" t="str">
        <f>VLOOKUP(V1082,DictionaryTableID,3,FALSE)</f>
        <v>GLAccounts</v>
      </c>
      <c r="X1082" t="s">
        <v>1217</v>
      </c>
      <c r="AD1082">
        <v>13400</v>
      </c>
      <c r="AE1082" t="str">
        <f>IF(AD1082=-1,"All",VLOOKUP(AD1082,ColumnId,3,FALSE))</f>
        <v>faType.glAccountIDAsset</v>
      </c>
      <c r="AF1082" t="s">
        <v>628</v>
      </c>
      <c r="AJ1082" t="e">
        <f>VLOOKUP(E1082,temp1,1,FALSE)</f>
        <v>#NAME?</v>
      </c>
      <c r="AP1082" t="e">
        <f>VLOOKUP(E1082,temp6,1,FALSE)</f>
        <v>#NAME?</v>
      </c>
    </row>
    <row r="1083" spans="1:42" ht="15" hidden="1" customHeight="1">
      <c r="A1083">
        <v>201800</v>
      </c>
      <c r="B1083" s="3" t="s">
        <v>464</v>
      </c>
      <c r="C1083" s="3" t="str">
        <f t="shared" si="78"/>
        <v>FixedAssetType.SubType</v>
      </c>
      <c r="D1083" s="3">
        <v>200250</v>
      </c>
      <c r="E1083" s="3" t="str">
        <f t="shared" si="76"/>
        <v>FixedAssetType</v>
      </c>
      <c r="F1083" s="3" t="s">
        <v>252</v>
      </c>
      <c r="H1083" s="3" t="str">
        <f t="shared" si="77"/>
        <v>ass.FixedAssetType</v>
      </c>
      <c r="I1083" s="3" t="s">
        <v>252</v>
      </c>
      <c r="K1083" s="3" t="s">
        <v>417</v>
      </c>
      <c r="M1083" s="3" t="s">
        <v>195</v>
      </c>
      <c r="Q1083" s="3" t="s">
        <v>92</v>
      </c>
      <c r="U1083" s="3" t="s">
        <v>97</v>
      </c>
      <c r="V1083">
        <v>200360</v>
      </c>
      <c r="W1083" s="3" t="str">
        <f>VLOOKUP(V1083,DictionaryTableID,3,FALSE)</f>
        <v>ReferenceFields</v>
      </c>
      <c r="AF1083" t="s">
        <v>629</v>
      </c>
      <c r="AJ1083" t="e">
        <f>VLOOKUP(E1083,temp1,1,FALSE)</f>
        <v>#NAME?</v>
      </c>
      <c r="AP1083" t="e">
        <f>VLOOKUP(E1083,temp6,1,FALSE)</f>
        <v>#NAME?</v>
      </c>
    </row>
    <row r="1084" spans="1:42" ht="15" hidden="1" customHeight="1">
      <c r="A1084">
        <v>201810</v>
      </c>
      <c r="B1084" s="3" t="s">
        <v>464</v>
      </c>
      <c r="C1084" s="3" t="str">
        <f t="shared" si="78"/>
        <v>FixedAssetType.ReplacementAmount</v>
      </c>
      <c r="D1084" s="3">
        <v>200250</v>
      </c>
      <c r="E1084" s="3" t="str">
        <f t="shared" si="76"/>
        <v>FixedAssetType</v>
      </c>
      <c r="F1084" s="3" t="s">
        <v>320</v>
      </c>
      <c r="H1084" s="3" t="str">
        <f t="shared" si="77"/>
        <v>ass.FixedAssetType</v>
      </c>
      <c r="I1084" s="3" t="s">
        <v>320</v>
      </c>
      <c r="K1084" s="3" t="s">
        <v>418</v>
      </c>
      <c r="M1084" s="3" t="s">
        <v>197</v>
      </c>
      <c r="N1084" s="3">
        <v>10</v>
      </c>
      <c r="O1084" s="3">
        <v>2</v>
      </c>
      <c r="Q1084" s="3" t="s">
        <v>92</v>
      </c>
      <c r="U1084" s="3" t="s">
        <v>93</v>
      </c>
      <c r="AD1084">
        <v>13470</v>
      </c>
      <c r="AE1084" t="str">
        <f>IF(AD1084=-1,"All",VLOOKUP(AD1084,ColumnId,3,FALSE))</f>
        <v>faType.ReplacementAmount</v>
      </c>
      <c r="AF1084" t="s">
        <v>630</v>
      </c>
      <c r="AJ1084" t="e">
        <f>VLOOKUP(E1084,temp1,1,FALSE)</f>
        <v>#NAME?</v>
      </c>
      <c r="AP1084" t="e">
        <f>VLOOKUP(E1084,temp6,1,FALSE)</f>
        <v>#NAME?</v>
      </c>
    </row>
    <row r="1085" spans="1:42" ht="15" hidden="1" customHeight="1">
      <c r="A1085">
        <v>201820</v>
      </c>
      <c r="B1085" s="3" t="s">
        <v>464</v>
      </c>
      <c r="C1085" s="3" t="str">
        <f t="shared" si="78"/>
        <v>FixedAssetType.TreeString</v>
      </c>
      <c r="D1085" s="3">
        <v>200250</v>
      </c>
      <c r="E1085" s="3" t="str">
        <f t="shared" si="76"/>
        <v>FixedAssetType</v>
      </c>
      <c r="F1085" s="3" t="s">
        <v>460</v>
      </c>
      <c r="H1085" s="3" t="str">
        <f t="shared" si="77"/>
        <v>ass.FixedAssetType</v>
      </c>
      <c r="I1085" s="3" t="s">
        <v>460</v>
      </c>
      <c r="K1085" s="3" t="s">
        <v>460</v>
      </c>
      <c r="M1085" s="3" t="s">
        <v>196</v>
      </c>
      <c r="Q1085" s="3" t="s">
        <v>92</v>
      </c>
      <c r="U1085" s="3" t="s">
        <v>93</v>
      </c>
      <c r="AF1085" t="s">
        <v>631</v>
      </c>
      <c r="AJ1085" t="e">
        <f>VLOOKUP(E1085,temp1,1,FALSE)</f>
        <v>#NAME?</v>
      </c>
      <c r="AP1085" t="e">
        <f>VLOOKUP(E1085,temp6,1,FALSE)</f>
        <v>#NAME?</v>
      </c>
    </row>
    <row r="1086" spans="1:42" ht="15" hidden="1" customHeight="1">
      <c r="A1086">
        <v>201840</v>
      </c>
      <c r="B1086" s="3" t="s">
        <v>464</v>
      </c>
      <c r="C1086" s="3" t="str">
        <f t="shared" si="78"/>
        <v>FixedAssetType.RecordStatus</v>
      </c>
      <c r="D1086" s="3">
        <v>200250</v>
      </c>
      <c r="E1086" s="3" t="str">
        <f t="shared" si="76"/>
        <v>FixedAssetType</v>
      </c>
      <c r="F1086" s="3" t="s">
        <v>4</v>
      </c>
      <c r="H1086" s="3" t="str">
        <f t="shared" si="77"/>
        <v>ass.FixedAssetType</v>
      </c>
      <c r="I1086" s="3" t="s">
        <v>4</v>
      </c>
      <c r="K1086" s="3" t="s">
        <v>4</v>
      </c>
      <c r="M1086" s="3" t="s">
        <v>196</v>
      </c>
      <c r="O1086" s="3">
        <v>0</v>
      </c>
      <c r="Q1086" s="3" t="s">
        <v>92</v>
      </c>
      <c r="U1086" s="3" t="s">
        <v>94</v>
      </c>
      <c r="AD1086">
        <v>13500</v>
      </c>
      <c r="AE1086" t="str">
        <f t="shared" ref="AE1086:AE1094" si="81">IF(AD1086=-1,"All",VLOOKUP(AD1086,ColumnId,3,FALSE))</f>
        <v>faType.RowStatus</v>
      </c>
      <c r="AJ1086" t="e">
        <f>VLOOKUP(E1086,temp1,1,FALSE)</f>
        <v>#NAME?</v>
      </c>
      <c r="AP1086" t="e">
        <f>VLOOKUP(E1086,temp6,1,FALSE)</f>
        <v>#NAME?</v>
      </c>
    </row>
    <row r="1087" spans="1:42" ht="15" hidden="1" customHeight="1">
      <c r="A1087">
        <v>201850</v>
      </c>
      <c r="B1087" s="3" t="s">
        <v>464</v>
      </c>
      <c r="C1087" s="3" t="str">
        <f t="shared" si="78"/>
        <v>FixedAssets.ID</v>
      </c>
      <c r="D1087" s="3">
        <v>200240</v>
      </c>
      <c r="E1087" s="3" t="str">
        <f t="shared" ref="E1087:E1150" si="82">VLOOKUP(D1087,DictionaryTableID,3,FALSE)</f>
        <v>FixedAssets</v>
      </c>
      <c r="F1087" s="3" t="s">
        <v>0</v>
      </c>
      <c r="H1087" s="3" t="str">
        <f t="shared" ref="H1087:H1150" si="83">VLOOKUP(E1087,DictionaryTables,14,FALSE)</f>
        <v>ass.FixedAsset</v>
      </c>
      <c r="I1087" s="3" t="s">
        <v>0</v>
      </c>
      <c r="K1087" s="3" t="s">
        <v>0</v>
      </c>
      <c r="M1087" s="3" t="s">
        <v>195</v>
      </c>
      <c r="Q1087" s="3" t="s">
        <v>919</v>
      </c>
      <c r="U1087" s="3" t="s">
        <v>95</v>
      </c>
      <c r="W1087" s="3"/>
      <c r="AD1087">
        <v>-1</v>
      </c>
      <c r="AE1087" t="str">
        <f t="shared" si="81"/>
        <v>All</v>
      </c>
      <c r="AF1087" t="s">
        <v>632</v>
      </c>
      <c r="AJ1087" t="e">
        <f>VLOOKUP(E1087,temp1,1,FALSE)</f>
        <v>#NAME?</v>
      </c>
      <c r="AP1087" t="e">
        <f>VLOOKUP(E1087,temp6,1,FALSE)</f>
        <v>#NAME?</v>
      </c>
    </row>
    <row r="1088" spans="1:42" ht="15" hidden="1" customHeight="1">
      <c r="A1088">
        <v>201860</v>
      </c>
      <c r="B1088" s="3" t="s">
        <v>464</v>
      </c>
      <c r="C1088" s="3" t="str">
        <f t="shared" si="78"/>
        <v>FixedAssets.Number</v>
      </c>
      <c r="D1088" s="3">
        <v>200240</v>
      </c>
      <c r="E1088" s="3" t="str">
        <f t="shared" si="82"/>
        <v>FixedAssets</v>
      </c>
      <c r="F1088" s="3" t="s">
        <v>279</v>
      </c>
      <c r="H1088" s="3" t="str">
        <f t="shared" si="83"/>
        <v>ass.FixedAsset</v>
      </c>
      <c r="I1088" s="3" t="s">
        <v>279</v>
      </c>
      <c r="K1088" s="3" t="s">
        <v>279</v>
      </c>
      <c r="M1088" s="3" t="s">
        <v>196</v>
      </c>
      <c r="O1088" s="3">
        <v>0</v>
      </c>
      <c r="Q1088" s="3" t="s">
        <v>92</v>
      </c>
      <c r="U1088" s="3" t="s">
        <v>93</v>
      </c>
      <c r="AD1088">
        <v>13060</v>
      </c>
      <c r="AE1088" t="str">
        <f t="shared" si="81"/>
        <v>faFixedAsset.FixedAssetNumber</v>
      </c>
      <c r="AF1088" t="s">
        <v>633</v>
      </c>
      <c r="AJ1088" t="e">
        <f>VLOOKUP(E1088,temp1,1,FALSE)</f>
        <v>#NAME?</v>
      </c>
      <c r="AP1088" t="e">
        <f>VLOOKUP(E1088,temp6,1,FALSE)</f>
        <v>#NAME?</v>
      </c>
    </row>
    <row r="1089" spans="1:42" ht="15" hidden="1" customHeight="1">
      <c r="A1089">
        <v>201870</v>
      </c>
      <c r="B1089" s="3" t="s">
        <v>464</v>
      </c>
      <c r="C1089" s="3" t="str">
        <f t="shared" si="78"/>
        <v>FixedAssets.Description</v>
      </c>
      <c r="D1089" s="3">
        <v>200240</v>
      </c>
      <c r="E1089" s="3" t="str">
        <f t="shared" si="82"/>
        <v>FixedAssets</v>
      </c>
      <c r="F1089" s="3" t="s">
        <v>12</v>
      </c>
      <c r="H1089" s="3" t="str">
        <f t="shared" si="83"/>
        <v>ass.FixedAsset</v>
      </c>
      <c r="I1089" s="3" t="s">
        <v>12</v>
      </c>
      <c r="K1089" s="3" t="s">
        <v>12</v>
      </c>
      <c r="M1089" s="3" t="s">
        <v>196</v>
      </c>
      <c r="O1089" s="3">
        <v>0</v>
      </c>
      <c r="Q1089" s="3" t="s">
        <v>92</v>
      </c>
      <c r="U1089" s="3" t="s">
        <v>93</v>
      </c>
      <c r="AD1089">
        <v>13045</v>
      </c>
      <c r="AE1089" t="str">
        <f t="shared" si="81"/>
        <v>faFixedAsset.Description</v>
      </c>
      <c r="AF1089" t="s">
        <v>634</v>
      </c>
      <c r="AJ1089" t="e">
        <f>VLOOKUP(E1089,temp1,1,FALSE)</f>
        <v>#NAME?</v>
      </c>
      <c r="AP1089" t="e">
        <f>VLOOKUP(E1089,temp6,1,FALSE)</f>
        <v>#NAME?</v>
      </c>
    </row>
    <row r="1090" spans="1:42" ht="15" hidden="1" customHeight="1">
      <c r="A1090">
        <v>201880</v>
      </c>
      <c r="B1090" s="3" t="s">
        <v>464</v>
      </c>
      <c r="C1090" s="3" t="str">
        <f t="shared" ref="C1090:C1153" si="84">CONCATENATE(E1090,".",F1090)</f>
        <v>FixedAssets.FixedAssetTypeID</v>
      </c>
      <c r="D1090" s="3">
        <v>200240</v>
      </c>
      <c r="E1090" s="3" t="str">
        <f t="shared" si="82"/>
        <v>FixedAssets</v>
      </c>
      <c r="F1090" s="3" t="s">
        <v>216</v>
      </c>
      <c r="H1090" s="3" t="str">
        <f t="shared" si="83"/>
        <v>ass.FixedAsset</v>
      </c>
      <c r="I1090" s="3" t="s">
        <v>216</v>
      </c>
      <c r="K1090" s="3" t="s">
        <v>326</v>
      </c>
      <c r="M1090" s="3" t="s">
        <v>195</v>
      </c>
      <c r="Q1090" s="3" t="s">
        <v>92</v>
      </c>
      <c r="U1090" s="3" t="s">
        <v>96</v>
      </c>
      <c r="V1090">
        <v>200250</v>
      </c>
      <c r="W1090" s="3" t="str">
        <f>VLOOKUP(V1090,DictionaryTableID,3,FALSE)</f>
        <v>FixedAssetType</v>
      </c>
      <c r="AD1090">
        <v>13030</v>
      </c>
      <c r="AE1090" t="str">
        <f t="shared" si="81"/>
        <v>faFixedAsset.faTypeID</v>
      </c>
      <c r="AF1090" t="s">
        <v>635</v>
      </c>
      <c r="AJ1090" t="e">
        <f>VLOOKUP(E1090,temp1,1,FALSE)</f>
        <v>#NAME?</v>
      </c>
      <c r="AP1090" t="e">
        <f>VLOOKUP(E1090,temp6,1,FALSE)</f>
        <v>#NAME?</v>
      </c>
    </row>
    <row r="1091" spans="1:42" ht="15" hidden="1" customHeight="1">
      <c r="A1091">
        <v>201890</v>
      </c>
      <c r="B1091" s="3" t="s">
        <v>464</v>
      </c>
      <c r="C1091" s="3" t="str">
        <f t="shared" si="84"/>
        <v>FixedAssets.Serial</v>
      </c>
      <c r="D1091" s="3">
        <v>200240</v>
      </c>
      <c r="E1091" s="3" t="str">
        <f t="shared" si="82"/>
        <v>FixedAssets</v>
      </c>
      <c r="F1091" s="3" t="s">
        <v>227</v>
      </c>
      <c r="H1091" s="3" t="str">
        <f t="shared" si="83"/>
        <v>ass.FixedAsset</v>
      </c>
      <c r="I1091" s="3" t="s">
        <v>227</v>
      </c>
      <c r="K1091" s="3" t="s">
        <v>227</v>
      </c>
      <c r="M1091" s="3" t="s">
        <v>196</v>
      </c>
      <c r="O1091" s="3">
        <v>0</v>
      </c>
      <c r="Q1091" s="3" t="s">
        <v>92</v>
      </c>
      <c r="U1091" s="3" t="s">
        <v>93</v>
      </c>
      <c r="AD1091">
        <v>13070</v>
      </c>
      <c r="AE1091" t="str">
        <f t="shared" si="81"/>
        <v>faFixedAsset.SerialNumber</v>
      </c>
      <c r="AF1091" t="s">
        <v>636</v>
      </c>
      <c r="AJ1091" t="e">
        <f>VLOOKUP(E1091,temp1,1,FALSE)</f>
        <v>#NAME?</v>
      </c>
      <c r="AP1091" t="e">
        <f>VLOOKUP(E1091,temp6,1,FALSE)</f>
        <v>#NAME?</v>
      </c>
    </row>
    <row r="1092" spans="1:42" ht="15" hidden="1" customHeight="1">
      <c r="A1092">
        <v>201900</v>
      </c>
      <c r="B1092" s="3" t="s">
        <v>464</v>
      </c>
      <c r="C1092" s="3" t="str">
        <f t="shared" si="84"/>
        <v>FixedAssets.ModelNum</v>
      </c>
      <c r="D1092" s="3">
        <v>200240</v>
      </c>
      <c r="E1092" s="3" t="str">
        <f t="shared" si="82"/>
        <v>FixedAssets</v>
      </c>
      <c r="F1092" s="3" t="s">
        <v>246</v>
      </c>
      <c r="H1092" s="3" t="str">
        <f t="shared" si="83"/>
        <v>ass.FixedAsset</v>
      </c>
      <c r="I1092" s="3" t="s">
        <v>246</v>
      </c>
      <c r="K1092" s="3" t="s">
        <v>411</v>
      </c>
      <c r="M1092" s="3" t="s">
        <v>196</v>
      </c>
      <c r="O1092" s="3">
        <v>0</v>
      </c>
      <c r="Q1092" s="3" t="s">
        <v>92</v>
      </c>
      <c r="U1092" s="3" t="s">
        <v>93</v>
      </c>
      <c r="AD1092">
        <v>13090</v>
      </c>
      <c r="AE1092" t="str">
        <f t="shared" si="81"/>
        <v>faFixedAsset.ModelNumber</v>
      </c>
      <c r="AF1092" t="s">
        <v>637</v>
      </c>
      <c r="AJ1092" t="e">
        <f>VLOOKUP(E1092,temp1,1,FALSE)</f>
        <v>#NAME?</v>
      </c>
      <c r="AP1092" t="e">
        <f>VLOOKUP(E1092,temp6,1,FALSE)</f>
        <v>#NAME?</v>
      </c>
    </row>
    <row r="1093" spans="1:42" ht="15" hidden="1" customHeight="1">
      <c r="A1093">
        <v>201910</v>
      </c>
      <c r="B1093" s="3" t="s">
        <v>464</v>
      </c>
      <c r="C1093" s="3" t="str">
        <f t="shared" si="84"/>
        <v>FixedAssets.Notes</v>
      </c>
      <c r="D1093" s="3">
        <v>200240</v>
      </c>
      <c r="E1093" s="3" t="str">
        <f t="shared" si="82"/>
        <v>FixedAssets</v>
      </c>
      <c r="F1093" s="3" t="s">
        <v>268</v>
      </c>
      <c r="H1093" s="3" t="str">
        <f t="shared" si="83"/>
        <v>ass.FixedAsset</v>
      </c>
      <c r="I1093" s="3" t="s">
        <v>268</v>
      </c>
      <c r="K1093" s="3" t="s">
        <v>268</v>
      </c>
      <c r="M1093" s="3" t="s">
        <v>196</v>
      </c>
      <c r="O1093" s="3">
        <v>0</v>
      </c>
      <c r="Q1093" s="3" t="s">
        <v>92</v>
      </c>
      <c r="U1093" s="3" t="s">
        <v>93</v>
      </c>
      <c r="AD1093">
        <v>13110</v>
      </c>
      <c r="AE1093" t="str">
        <f t="shared" si="81"/>
        <v>faFixedAsset.Comments</v>
      </c>
      <c r="AF1093" t="s">
        <v>638</v>
      </c>
      <c r="AJ1093" t="e">
        <f>VLOOKUP(E1093,temp1,1,FALSE)</f>
        <v>#NAME?</v>
      </c>
      <c r="AP1093" t="e">
        <f>VLOOKUP(E1093,temp6,1,FALSE)</f>
        <v>#NAME?</v>
      </c>
    </row>
    <row r="1094" spans="1:42" ht="15" hidden="1" customHeight="1">
      <c r="A1094">
        <v>201920</v>
      </c>
      <c r="B1094" s="3" t="s">
        <v>464</v>
      </c>
      <c r="C1094" s="3" t="str">
        <f t="shared" si="84"/>
        <v>FixedAssets.RefStatusID</v>
      </c>
      <c r="D1094" s="3">
        <v>200240</v>
      </c>
      <c r="E1094" s="3" t="str">
        <f t="shared" si="82"/>
        <v>FixedAssets</v>
      </c>
      <c r="F1094" s="3" t="s">
        <v>5</v>
      </c>
      <c r="H1094" s="3" t="str">
        <f t="shared" si="83"/>
        <v>ass.FixedAsset</v>
      </c>
      <c r="I1094" s="3" t="s">
        <v>5</v>
      </c>
      <c r="K1094" s="3" t="s">
        <v>55</v>
      </c>
      <c r="M1094" s="3" t="s">
        <v>195</v>
      </c>
      <c r="Q1094" s="3" t="s">
        <v>92</v>
      </c>
      <c r="U1094" s="3" t="s">
        <v>97</v>
      </c>
      <c r="V1094">
        <v>200360</v>
      </c>
      <c r="W1094" s="3" t="str">
        <f>VLOOKUP(V1094,DictionaryTableID,3,FALSE)</f>
        <v>ReferenceFields</v>
      </c>
      <c r="AD1094">
        <v>13025</v>
      </c>
      <c r="AE1094" t="str">
        <f t="shared" si="81"/>
        <v>faFixedAsset.faStatusID</v>
      </c>
      <c r="AF1094" t="s">
        <v>639</v>
      </c>
      <c r="AJ1094" t="e">
        <f>VLOOKUP(E1094,temp1,1,FALSE)</f>
        <v>#NAME?</v>
      </c>
      <c r="AP1094" t="e">
        <f>VLOOKUP(E1094,temp6,1,FALSE)</f>
        <v>#NAME?</v>
      </c>
    </row>
    <row r="1095" spans="1:42" ht="15" hidden="1" customHeight="1">
      <c r="A1095">
        <v>201930</v>
      </c>
      <c r="B1095" s="3" t="s">
        <v>464</v>
      </c>
      <c r="C1095" s="3" t="str">
        <f t="shared" si="84"/>
        <v>FixedAssets.RefOwnerID</v>
      </c>
      <c r="D1095" s="3">
        <v>200240</v>
      </c>
      <c r="E1095" s="3" t="str">
        <f t="shared" si="82"/>
        <v>FixedAssets</v>
      </c>
      <c r="F1095" s="3" t="s">
        <v>293</v>
      </c>
      <c r="H1095" s="3" t="str">
        <f t="shared" si="83"/>
        <v>ass.FixedAsset</v>
      </c>
      <c r="I1095" s="3" t="s">
        <v>293</v>
      </c>
      <c r="K1095" s="3" t="s">
        <v>451</v>
      </c>
      <c r="M1095" s="3" t="s">
        <v>195</v>
      </c>
      <c r="Q1095" s="3" t="s">
        <v>92</v>
      </c>
      <c r="U1095" s="3" t="s">
        <v>97</v>
      </c>
      <c r="V1095">
        <v>200360</v>
      </c>
      <c r="W1095" s="3" t="str">
        <f>VLOOKUP(V1095,DictionaryTableID,3,FALSE)</f>
        <v>ReferenceFields</v>
      </c>
      <c r="AF1095" t="s">
        <v>640</v>
      </c>
      <c r="AJ1095" t="e">
        <f>VLOOKUP(E1095,temp1,1,FALSE)</f>
        <v>#NAME?</v>
      </c>
      <c r="AP1095" t="e">
        <f>VLOOKUP(E1095,temp6,1,FALSE)</f>
        <v>#NAME?</v>
      </c>
    </row>
    <row r="1096" spans="1:42" ht="15" hidden="1" customHeight="1">
      <c r="A1096">
        <v>201940</v>
      </c>
      <c r="B1096" s="3" t="s">
        <v>464</v>
      </c>
      <c r="C1096" s="3" t="str">
        <f t="shared" si="84"/>
        <v>FixedAssets.DeprLife</v>
      </c>
      <c r="D1096" s="3">
        <v>200240</v>
      </c>
      <c r="E1096" s="3" t="str">
        <f t="shared" si="82"/>
        <v>FixedAssets</v>
      </c>
      <c r="F1096" s="3" t="s">
        <v>233</v>
      </c>
      <c r="H1096" s="3" t="str">
        <f t="shared" si="83"/>
        <v>ass.FixedAsset</v>
      </c>
      <c r="I1096" s="3" t="s">
        <v>233</v>
      </c>
      <c r="K1096" s="3" t="s">
        <v>412</v>
      </c>
      <c r="L1096"/>
      <c r="M1096" s="3" t="s">
        <v>196</v>
      </c>
      <c r="O1096" s="3">
        <v>0</v>
      </c>
      <c r="Q1096" s="3" t="s">
        <v>92</v>
      </c>
      <c r="U1096" s="3" t="s">
        <v>93</v>
      </c>
      <c r="AF1096" t="s">
        <v>641</v>
      </c>
      <c r="AJ1096" t="e">
        <f>VLOOKUP(E1096,temp1,1,FALSE)</f>
        <v>#NAME?</v>
      </c>
      <c r="AP1096" t="e">
        <f>VLOOKUP(E1096,temp6,1,FALSE)</f>
        <v>#NAME?</v>
      </c>
    </row>
    <row r="1097" spans="1:42" ht="15" hidden="1" customHeight="1">
      <c r="A1097">
        <v>201950</v>
      </c>
      <c r="B1097" s="3" t="s">
        <v>464</v>
      </c>
      <c r="C1097" s="3" t="str">
        <f t="shared" si="84"/>
        <v>FixedAssets.DepriationSalvageValue</v>
      </c>
      <c r="D1097" s="3">
        <v>200240</v>
      </c>
      <c r="E1097" s="3" t="str">
        <f t="shared" si="82"/>
        <v>FixedAssets</v>
      </c>
      <c r="F1097" s="3" t="s">
        <v>303</v>
      </c>
      <c r="H1097" s="3" t="str">
        <f t="shared" si="83"/>
        <v>ass.FixedAsset</v>
      </c>
      <c r="I1097" s="3" t="s">
        <v>303</v>
      </c>
      <c r="K1097" s="3" t="s">
        <v>413</v>
      </c>
      <c r="M1097" s="3" t="s">
        <v>197</v>
      </c>
      <c r="N1097" s="3">
        <v>10</v>
      </c>
      <c r="O1097" s="3">
        <v>2</v>
      </c>
      <c r="Q1097" s="3" t="s">
        <v>92</v>
      </c>
      <c r="U1097" s="3" t="s">
        <v>93</v>
      </c>
      <c r="AD1097">
        <v>13125</v>
      </c>
      <c r="AE1097" t="str">
        <f>IF(AD1097=-1,"All",VLOOKUP(AD1097,ColumnId,3,FALSE))</f>
        <v>faFixedAsset.DepreciationSalvageValue</v>
      </c>
      <c r="AF1097" t="s">
        <v>642</v>
      </c>
      <c r="AJ1097" t="e">
        <f>VLOOKUP(E1097,temp1,1,FALSE)</f>
        <v>#NAME?</v>
      </c>
      <c r="AP1097" t="e">
        <f>VLOOKUP(E1097,temp6,1,FALSE)</f>
        <v>#NAME?</v>
      </c>
    </row>
    <row r="1098" spans="1:42" ht="15" hidden="1" customHeight="1">
      <c r="A1098">
        <v>201960</v>
      </c>
      <c r="B1098" s="3" t="s">
        <v>464</v>
      </c>
      <c r="C1098" s="3" t="str">
        <f t="shared" si="84"/>
        <v>FixedAssets.CostCentreID</v>
      </c>
      <c r="D1098" s="3">
        <v>200240</v>
      </c>
      <c r="E1098" s="3" t="str">
        <f t="shared" si="82"/>
        <v>FixedAssets</v>
      </c>
      <c r="F1098" s="3" t="s">
        <v>212</v>
      </c>
      <c r="H1098" s="3" t="str">
        <f t="shared" si="83"/>
        <v>ass.FixedAsset</v>
      </c>
      <c r="I1098" s="3" t="s">
        <v>212</v>
      </c>
      <c r="K1098" s="3" t="s">
        <v>328</v>
      </c>
      <c r="M1098" s="3" t="s">
        <v>195</v>
      </c>
      <c r="Q1098" s="3" t="s">
        <v>92</v>
      </c>
      <c r="U1098" s="3" t="s">
        <v>96</v>
      </c>
      <c r="V1098">
        <v>200170</v>
      </c>
      <c r="W1098" s="3" t="str">
        <f>VLOOKUP(V1098,DictionaryTableID,3,FALSE)</f>
        <v>CostCentres</v>
      </c>
      <c r="AF1098" t="s">
        <v>643</v>
      </c>
      <c r="AJ1098" t="e">
        <f>VLOOKUP(E1098,temp1,1,FALSE)</f>
        <v>#NAME?</v>
      </c>
      <c r="AP1098" t="e">
        <f>VLOOKUP(E1098,temp6,1,FALSE)</f>
        <v>#NAME?</v>
      </c>
    </row>
    <row r="1099" spans="1:42" ht="15" hidden="1" customHeight="1">
      <c r="A1099">
        <v>201970</v>
      </c>
      <c r="B1099" s="3" t="s">
        <v>464</v>
      </c>
      <c r="C1099" s="3" t="str">
        <f t="shared" si="84"/>
        <v>FixedAssets.PurDate</v>
      </c>
      <c r="D1099" s="3">
        <v>200240</v>
      </c>
      <c r="E1099" s="3" t="str">
        <f t="shared" si="82"/>
        <v>FixedAssets</v>
      </c>
      <c r="F1099" s="3" t="s">
        <v>276</v>
      </c>
      <c r="H1099" s="3" t="str">
        <f t="shared" si="83"/>
        <v>ass.FixedAsset</v>
      </c>
      <c r="I1099" s="3" t="s">
        <v>276</v>
      </c>
      <c r="K1099" s="3" t="s">
        <v>414</v>
      </c>
      <c r="M1099" s="3" t="s">
        <v>329</v>
      </c>
      <c r="N1099" s="3">
        <v>8</v>
      </c>
      <c r="O1099" s="3">
        <v>0</v>
      </c>
      <c r="Q1099" s="3" t="s">
        <v>92</v>
      </c>
      <c r="U1099" s="3" t="s">
        <v>93</v>
      </c>
      <c r="AD1099">
        <v>13050</v>
      </c>
      <c r="AE1099" t="str">
        <f t="shared" ref="AE1099:AE1119" si="85">IF(AD1099=-1,"All",VLOOKUP(AD1099,ColumnId,3,FALSE))</f>
        <v>faFixedAsset.PurchaseDate</v>
      </c>
      <c r="AF1099" t="s">
        <v>644</v>
      </c>
      <c r="AJ1099" t="e">
        <f>VLOOKUP(E1099,temp1,1,FALSE)</f>
        <v>#NAME?</v>
      </c>
      <c r="AP1099" t="e">
        <f>VLOOKUP(E1099,temp6,1,FALSE)</f>
        <v>#NAME?</v>
      </c>
    </row>
    <row r="1100" spans="1:42" ht="15" hidden="1" customHeight="1">
      <c r="A1100">
        <v>201980</v>
      </c>
      <c r="B1100" s="3" t="s">
        <v>464</v>
      </c>
      <c r="C1100" s="3" t="str">
        <f t="shared" si="84"/>
        <v>FixedAssets.ContactID</v>
      </c>
      <c r="D1100" s="3">
        <v>200240</v>
      </c>
      <c r="E1100" s="3" t="str">
        <f t="shared" si="82"/>
        <v>FixedAssets</v>
      </c>
      <c r="F1100" s="3" t="s">
        <v>73</v>
      </c>
      <c r="H1100" s="3" t="str">
        <f t="shared" si="83"/>
        <v>ass.FixedAsset</v>
      </c>
      <c r="I1100" s="3" t="s">
        <v>73</v>
      </c>
      <c r="K1100" s="3" t="s">
        <v>107</v>
      </c>
      <c r="M1100" s="3" t="s">
        <v>195</v>
      </c>
      <c r="Q1100" s="3" t="s">
        <v>92</v>
      </c>
      <c r="U1100" s="3" t="s">
        <v>93</v>
      </c>
      <c r="AD1100">
        <v>13181</v>
      </c>
      <c r="AE1100" t="str">
        <f t="shared" si="85"/>
        <v>faLocationHistory.glCostCentreIDOwnedBy</v>
      </c>
      <c r="AF1100" t="s">
        <v>645</v>
      </c>
      <c r="AJ1100" t="e">
        <f>VLOOKUP(E1100,temp1,1,FALSE)</f>
        <v>#NAME?</v>
      </c>
      <c r="AP1100" t="e">
        <f>VLOOKUP(E1100,temp6,1,FALSE)</f>
        <v>#NAME?</v>
      </c>
    </row>
    <row r="1101" spans="1:42" ht="15" hidden="1" customHeight="1">
      <c r="A1101">
        <v>201990</v>
      </c>
      <c r="B1101" s="3" t="s">
        <v>464</v>
      </c>
      <c r="C1101" s="3" t="str">
        <f t="shared" si="84"/>
        <v>FixedAssets.RecordStatus</v>
      </c>
      <c r="D1101" s="3">
        <v>200240</v>
      </c>
      <c r="E1101" s="3" t="str">
        <f t="shared" si="82"/>
        <v>FixedAssets</v>
      </c>
      <c r="F1101" s="3" t="s">
        <v>4</v>
      </c>
      <c r="H1101" s="3" t="str">
        <f t="shared" si="83"/>
        <v>ass.FixedAsset</v>
      </c>
      <c r="I1101" s="3" t="s">
        <v>4</v>
      </c>
      <c r="K1101" s="3" t="s">
        <v>4</v>
      </c>
      <c r="M1101" s="3" t="s">
        <v>196</v>
      </c>
      <c r="O1101" s="3">
        <v>0</v>
      </c>
      <c r="Q1101" s="3" t="s">
        <v>92</v>
      </c>
      <c r="U1101" s="3" t="s">
        <v>94</v>
      </c>
      <c r="AD1101">
        <v>13150</v>
      </c>
      <c r="AE1101" t="str">
        <f t="shared" si="85"/>
        <v>faFixedAsset.RowStatus</v>
      </c>
      <c r="AJ1101" t="e">
        <f>VLOOKUP(E1101,temp1,1,FALSE)</f>
        <v>#NAME?</v>
      </c>
      <c r="AP1101" t="e">
        <f>VLOOKUP(E1101,temp6,1,FALSE)</f>
        <v>#NAME?</v>
      </c>
    </row>
    <row r="1102" spans="1:42" ht="15" hidden="1" customHeight="1">
      <c r="A1102">
        <v>202000</v>
      </c>
      <c r="B1102" s="3" t="s">
        <v>464</v>
      </c>
      <c r="C1102" s="3" t="str">
        <f t="shared" si="84"/>
        <v>OrganizationalPositions.ID</v>
      </c>
      <c r="D1102" s="3">
        <v>200290</v>
      </c>
      <c r="E1102" s="3" t="str">
        <f t="shared" si="82"/>
        <v>OrganizationalPositions</v>
      </c>
      <c r="F1102" s="3" t="s">
        <v>0</v>
      </c>
      <c r="H1102" s="3" t="str">
        <f t="shared" si="83"/>
        <v>hr.OrganizationalPosition</v>
      </c>
      <c r="I1102" s="3" t="s">
        <v>0</v>
      </c>
      <c r="K1102" s="3" t="s">
        <v>0</v>
      </c>
      <c r="M1102" s="3" t="s">
        <v>195</v>
      </c>
      <c r="Q1102" s="3" t="s">
        <v>919</v>
      </c>
      <c r="U1102" s="3" t="s">
        <v>95</v>
      </c>
      <c r="W1102" s="3"/>
      <c r="AD1102">
        <v>-1</v>
      </c>
      <c r="AE1102" t="str">
        <f t="shared" si="85"/>
        <v>All</v>
      </c>
      <c r="AF1102" t="s">
        <v>646</v>
      </c>
      <c r="AJ1102" t="e">
        <f>VLOOKUP(E1102,temp1,1,FALSE)</f>
        <v>#NAME?</v>
      </c>
      <c r="AP1102" t="e">
        <f>VLOOKUP(E1102,temp6,1,FALSE)</f>
        <v>#NAME?</v>
      </c>
    </row>
    <row r="1103" spans="1:42" ht="15" hidden="1" customHeight="1">
      <c r="A1103">
        <v>202010</v>
      </c>
      <c r="B1103" s="3" t="s">
        <v>464</v>
      </c>
      <c r="C1103" s="3" t="str">
        <f t="shared" si="84"/>
        <v>OrganizationalPositions.Number</v>
      </c>
      <c r="D1103" s="3">
        <v>200290</v>
      </c>
      <c r="E1103" s="3" t="str">
        <f t="shared" si="82"/>
        <v>OrganizationalPositions</v>
      </c>
      <c r="F1103" s="3" t="s">
        <v>279</v>
      </c>
      <c r="H1103" s="3" t="str">
        <f t="shared" si="83"/>
        <v>hr.OrganizationalPosition</v>
      </c>
      <c r="I1103" s="3" t="s">
        <v>279</v>
      </c>
      <c r="K1103" s="3" t="s">
        <v>279</v>
      </c>
      <c r="M1103" s="3" t="s">
        <v>196</v>
      </c>
      <c r="O1103" s="3">
        <v>0</v>
      </c>
      <c r="Q1103" s="3" t="s">
        <v>92</v>
      </c>
      <c r="U1103" s="3" t="s">
        <v>93</v>
      </c>
      <c r="AD1103">
        <v>16770</v>
      </c>
      <c r="AE1103" t="str">
        <f t="shared" si="85"/>
        <v>hrPosition.PositionNumber</v>
      </c>
      <c r="AF1103" t="s">
        <v>647</v>
      </c>
      <c r="AJ1103" t="e">
        <f>VLOOKUP(E1103,temp1,1,FALSE)</f>
        <v>#NAME?</v>
      </c>
      <c r="AP1103" t="e">
        <f>VLOOKUP(E1103,temp6,1,FALSE)</f>
        <v>#NAME?</v>
      </c>
    </row>
    <row r="1104" spans="1:42" ht="15" hidden="1" customHeight="1">
      <c r="A1104">
        <v>202020</v>
      </c>
      <c r="B1104" s="3" t="s">
        <v>464</v>
      </c>
      <c r="C1104" s="3" t="str">
        <f t="shared" si="84"/>
        <v>OrganizationalPositions.SeqNo</v>
      </c>
      <c r="D1104" s="3">
        <v>200290</v>
      </c>
      <c r="E1104" s="3" t="str">
        <f t="shared" si="82"/>
        <v>OrganizationalPositions</v>
      </c>
      <c r="F1104" s="3" t="s">
        <v>1360</v>
      </c>
      <c r="H1104" s="3" t="str">
        <f t="shared" si="83"/>
        <v>hr.OrganizationalPosition</v>
      </c>
      <c r="I1104" s="3" t="s">
        <v>1360</v>
      </c>
      <c r="K1104" s="3" t="s">
        <v>360</v>
      </c>
      <c r="M1104" s="3" t="s">
        <v>195</v>
      </c>
      <c r="Q1104" s="3" t="s">
        <v>92</v>
      </c>
      <c r="U1104" s="3" t="s">
        <v>93</v>
      </c>
      <c r="AD1104">
        <v>16790</v>
      </c>
      <c r="AE1104" t="str">
        <f t="shared" si="85"/>
        <v>hrPosition.DisplaySequence</v>
      </c>
      <c r="AF1104" t="s">
        <v>648</v>
      </c>
      <c r="AJ1104" t="e">
        <f>VLOOKUP(E1104,temp1,1,FALSE)</f>
        <v>#NAME?</v>
      </c>
      <c r="AP1104" t="e">
        <f>VLOOKUP(E1104,temp6,1,FALSE)</f>
        <v>#NAME?</v>
      </c>
    </row>
    <row r="1105" spans="1:46" ht="15" hidden="1" customHeight="1">
      <c r="A1105">
        <v>202030</v>
      </c>
      <c r="B1105" s="3" t="s">
        <v>464</v>
      </c>
      <c r="C1105" s="3" t="str">
        <f t="shared" si="84"/>
        <v>OrganizationalPositions.Location</v>
      </c>
      <c r="D1105" s="3">
        <v>200290</v>
      </c>
      <c r="E1105" s="3" t="str">
        <f t="shared" si="82"/>
        <v>OrganizationalPositions</v>
      </c>
      <c r="F1105" s="3" t="s">
        <v>53</v>
      </c>
      <c r="H1105" s="3" t="str">
        <f t="shared" si="83"/>
        <v>hr.OrganizationalPosition</v>
      </c>
      <c r="I1105" s="3" t="s">
        <v>53</v>
      </c>
      <c r="K1105" s="3" t="s">
        <v>53</v>
      </c>
      <c r="L1105"/>
      <c r="M1105" s="3" t="s">
        <v>196</v>
      </c>
      <c r="O1105" s="3">
        <v>0</v>
      </c>
      <c r="Q1105" s="3" t="s">
        <v>92</v>
      </c>
      <c r="U1105" s="3" t="s">
        <v>93</v>
      </c>
      <c r="AD1105">
        <v>16680</v>
      </c>
      <c r="AE1105" t="str">
        <f t="shared" si="85"/>
        <v>hrPosition.comLocationID</v>
      </c>
      <c r="AF1105" t="s">
        <v>649</v>
      </c>
      <c r="AJ1105" t="e">
        <f>VLOOKUP(E1105,temp1,1,FALSE)</f>
        <v>#NAME?</v>
      </c>
      <c r="AP1105" t="e">
        <f>VLOOKUP(E1105,temp6,1,FALSE)</f>
        <v>#NAME?</v>
      </c>
    </row>
    <row r="1106" spans="1:46" ht="15" hidden="1" customHeight="1">
      <c r="A1106">
        <v>202040</v>
      </c>
      <c r="B1106" s="3" t="s">
        <v>464</v>
      </c>
      <c r="C1106" s="3" t="str">
        <f t="shared" si="84"/>
        <v>OrganizationalPositions.OrganizationUnit</v>
      </c>
      <c r="D1106" s="3">
        <v>200290</v>
      </c>
      <c r="E1106" s="3" t="str">
        <f t="shared" si="82"/>
        <v>OrganizationalPositions</v>
      </c>
      <c r="F1106" s="3" t="s">
        <v>318</v>
      </c>
      <c r="H1106" s="3" t="str">
        <f t="shared" si="83"/>
        <v>hr.OrganizationalPosition</v>
      </c>
      <c r="I1106" s="3" t="s">
        <v>318</v>
      </c>
      <c r="K1106" s="3" t="s">
        <v>421</v>
      </c>
      <c r="L1106"/>
      <c r="M1106" s="3" t="s">
        <v>196</v>
      </c>
      <c r="O1106" s="3">
        <v>0</v>
      </c>
      <c r="Q1106" s="3" t="s">
        <v>92</v>
      </c>
      <c r="U1106" s="3" t="s">
        <v>93</v>
      </c>
      <c r="AD1106">
        <v>16700</v>
      </c>
      <c r="AE1106" t="str">
        <f t="shared" si="85"/>
        <v>hrPosition.glCostCentreID</v>
      </c>
      <c r="AF1106" t="s">
        <v>650</v>
      </c>
      <c r="AJ1106" t="e">
        <f>VLOOKUP(E1106,temp1,1,FALSE)</f>
        <v>#NAME?</v>
      </c>
      <c r="AP1106" t="e">
        <f>VLOOKUP(E1106,temp6,1,FALSE)</f>
        <v>#NAME?</v>
      </c>
    </row>
    <row r="1107" spans="1:46" ht="15" hidden="1" customHeight="1">
      <c r="A1107">
        <v>202050</v>
      </c>
      <c r="B1107" s="3" t="s">
        <v>464</v>
      </c>
      <c r="C1107" s="3" t="str">
        <f t="shared" si="84"/>
        <v>OrganizationalPositions.WTitle</v>
      </c>
      <c r="D1107" s="3">
        <v>200290</v>
      </c>
      <c r="E1107" s="3" t="str">
        <f t="shared" si="82"/>
        <v>OrganizationalPositions</v>
      </c>
      <c r="F1107" s="3" t="s">
        <v>257</v>
      </c>
      <c r="H1107" s="3" t="str">
        <f t="shared" si="83"/>
        <v>hr.OrganizationalPosition</v>
      </c>
      <c r="I1107" s="3" t="s">
        <v>257</v>
      </c>
      <c r="K1107" s="3" t="s">
        <v>6391</v>
      </c>
      <c r="M1107" s="3" t="s">
        <v>196</v>
      </c>
      <c r="O1107" s="3">
        <v>0</v>
      </c>
      <c r="Q1107" s="3" t="s">
        <v>92</v>
      </c>
      <c r="U1107" s="3" t="s">
        <v>93</v>
      </c>
      <c r="AD1107">
        <v>16810</v>
      </c>
      <c r="AE1107" t="str">
        <f t="shared" si="85"/>
        <v>hrPosition.WorkingTitle</v>
      </c>
      <c r="AF1107" t="s">
        <v>651</v>
      </c>
      <c r="AJ1107" t="e">
        <f>VLOOKUP(E1107,temp1,1,FALSE)</f>
        <v>#NAME?</v>
      </c>
      <c r="AP1107" t="e">
        <f>VLOOKUP(E1107,temp6,1,FALSE)</f>
        <v>#NAME?</v>
      </c>
    </row>
    <row r="1108" spans="1:46" ht="15" hidden="1" customHeight="1">
      <c r="A1108">
        <v>202060</v>
      </c>
      <c r="B1108" s="3" t="s">
        <v>464</v>
      </c>
      <c r="C1108" s="3" t="str">
        <f t="shared" si="84"/>
        <v>OrganizationalPositions.RefClassificationID</v>
      </c>
      <c r="D1108" s="3">
        <v>200290</v>
      </c>
      <c r="E1108" s="3" t="str">
        <f t="shared" si="82"/>
        <v>OrganizationalPositions</v>
      </c>
      <c r="F1108" s="3" t="s">
        <v>294</v>
      </c>
      <c r="H1108" s="3" t="str">
        <f t="shared" si="83"/>
        <v>hr.OrganizationalPosition</v>
      </c>
      <c r="I1108" s="3" t="s">
        <v>294</v>
      </c>
      <c r="K1108" s="3" t="s">
        <v>452</v>
      </c>
      <c r="M1108" s="3" t="s">
        <v>195</v>
      </c>
      <c r="Q1108" s="3" t="s">
        <v>92</v>
      </c>
      <c r="U1108" s="3" t="s">
        <v>97</v>
      </c>
      <c r="V1108">
        <v>200360</v>
      </c>
      <c r="W1108" s="3" t="str">
        <f>VLOOKUP(V1108,DictionaryTableID,3,FALSE)</f>
        <v>ReferenceFields</v>
      </c>
      <c r="AD1108">
        <v>16720</v>
      </c>
      <c r="AE1108" t="str">
        <f t="shared" si="85"/>
        <v>hrPosition.hrPositionClassificationID</v>
      </c>
      <c r="AF1108" t="s">
        <v>652</v>
      </c>
      <c r="AJ1108" t="e">
        <f>VLOOKUP(E1108,temp1,1,FALSE)</f>
        <v>#NAME?</v>
      </c>
      <c r="AP1108" t="e">
        <f>VLOOKUP(E1108,temp6,1,FALSE)</f>
        <v>#NAME?</v>
      </c>
    </row>
    <row r="1109" spans="1:46" ht="15" hidden="1" customHeight="1">
      <c r="A1109">
        <v>202070</v>
      </c>
      <c r="B1109" s="3" t="s">
        <v>464</v>
      </c>
      <c r="C1109" s="3" t="str">
        <f t="shared" si="84"/>
        <v>OrganizationalPositions.RefTypeID</v>
      </c>
      <c r="D1109" s="3">
        <v>200290</v>
      </c>
      <c r="E1109" s="3" t="str">
        <f t="shared" si="82"/>
        <v>OrganizationalPositions</v>
      </c>
      <c r="F1109" s="3" t="s">
        <v>277</v>
      </c>
      <c r="H1109" s="3" t="str">
        <f t="shared" si="83"/>
        <v>hr.OrganizationalPosition</v>
      </c>
      <c r="I1109" s="3" t="s">
        <v>277</v>
      </c>
      <c r="K1109" s="3" t="s">
        <v>40</v>
      </c>
      <c r="M1109" s="3" t="s">
        <v>195</v>
      </c>
      <c r="Q1109" s="3" t="s">
        <v>92</v>
      </c>
      <c r="U1109" s="3" t="s">
        <v>97</v>
      </c>
      <c r="V1109">
        <v>200360</v>
      </c>
      <c r="W1109" s="3" t="str">
        <f>VLOOKUP(V1109,DictionaryTableID,3,FALSE)</f>
        <v>ReferenceFields</v>
      </c>
      <c r="AD1109">
        <v>16740</v>
      </c>
      <c r="AE1109" t="str">
        <f t="shared" si="85"/>
        <v>hrPosition.hrPositionTypeID</v>
      </c>
      <c r="AF1109" t="s">
        <v>653</v>
      </c>
      <c r="AJ1109" t="e">
        <f>VLOOKUP(E1109,temp1,1,FALSE)</f>
        <v>#NAME?</v>
      </c>
      <c r="AP1109" t="e">
        <f>VLOOKUP(E1109,temp6,1,FALSE)</f>
        <v>#NAME?</v>
      </c>
    </row>
    <row r="1110" spans="1:46" ht="15" hidden="1" customHeight="1">
      <c r="A1110">
        <v>202080</v>
      </c>
      <c r="B1110" s="3" t="s">
        <v>464</v>
      </c>
      <c r="C1110" s="3" t="str">
        <f t="shared" si="84"/>
        <v>OrganizationalPositions.OrganizationalPositionID</v>
      </c>
      <c r="D1110" s="3">
        <v>200290</v>
      </c>
      <c r="E1110" s="3" t="str">
        <f t="shared" si="82"/>
        <v>OrganizationalPositions</v>
      </c>
      <c r="F1110" s="3" t="s">
        <v>217</v>
      </c>
      <c r="H1110" s="3" t="str">
        <f t="shared" si="83"/>
        <v>hr.OrganizationalPosition</v>
      </c>
      <c r="I1110" s="3" t="s">
        <v>217</v>
      </c>
      <c r="K1110" s="3" t="s">
        <v>438</v>
      </c>
      <c r="M1110" s="3" t="s">
        <v>195</v>
      </c>
      <c r="Q1110" s="3" t="s">
        <v>92</v>
      </c>
      <c r="U1110" s="3" t="s">
        <v>96</v>
      </c>
      <c r="V1110">
        <v>200290</v>
      </c>
      <c r="W1110" s="3" t="str">
        <f>VLOOKUP(V1110,DictionaryTableID,3,FALSE)</f>
        <v>OrganizationalPositions</v>
      </c>
      <c r="AD1110">
        <v>16730</v>
      </c>
      <c r="AE1110" t="str">
        <f t="shared" si="85"/>
        <v>hrPosition.hrPositionIDParent</v>
      </c>
      <c r="AF1110" t="s">
        <v>654</v>
      </c>
      <c r="AJ1110" t="e">
        <f>VLOOKUP(E1110,temp1,1,FALSE)</f>
        <v>#NAME?</v>
      </c>
      <c r="AO1110" t="str">
        <f>SUBSTITUTE(VLOOKUP(V1110,DictionaryTableID,6,FALSE)&amp;"ID",".","")</f>
        <v>OrganizationalPositionID</v>
      </c>
      <c r="AP1110" t="e">
        <f>VLOOKUP(E1110,temp6,1,FALSE)</f>
        <v>#NAME?</v>
      </c>
    </row>
    <row r="1111" spans="1:46" ht="15" hidden="1" customHeight="1">
      <c r="A1111">
        <v>202090</v>
      </c>
      <c r="B1111" s="3" t="s">
        <v>464</v>
      </c>
      <c r="C1111" s="3" t="str">
        <f t="shared" si="84"/>
        <v>OrganizationalPositions.Narrative</v>
      </c>
      <c r="D1111" s="3">
        <v>200290</v>
      </c>
      <c r="E1111" s="3" t="str">
        <f t="shared" si="82"/>
        <v>OrganizationalPositions</v>
      </c>
      <c r="F1111" s="3" t="s">
        <v>267</v>
      </c>
      <c r="H1111" s="3" t="str">
        <f t="shared" si="83"/>
        <v>hr.OrganizationalPosition</v>
      </c>
      <c r="I1111" s="3" t="s">
        <v>267</v>
      </c>
      <c r="K1111" s="3" t="s">
        <v>267</v>
      </c>
      <c r="M1111" s="3" t="s">
        <v>196</v>
      </c>
      <c r="O1111" s="3">
        <v>0</v>
      </c>
      <c r="Q1111" s="3" t="s">
        <v>92</v>
      </c>
      <c r="U1111" s="3" t="s">
        <v>93</v>
      </c>
      <c r="AD1111">
        <v>16760</v>
      </c>
      <c r="AE1111" t="str">
        <f t="shared" si="85"/>
        <v>hrPosition.Comments</v>
      </c>
      <c r="AF1111" t="s">
        <v>655</v>
      </c>
      <c r="AJ1111" t="e">
        <f>VLOOKUP(E1111,temp1,1,FALSE)</f>
        <v>#NAME?</v>
      </c>
      <c r="AP1111" t="e">
        <f>VLOOKUP(E1111,temp6,1,FALSE)</f>
        <v>#NAME?</v>
      </c>
      <c r="AS1111" t="str">
        <f>"select distinct "&amp;F1111&amp;" from "&amp;E1111&amp;" union all"</f>
        <v>select distinct Narrative from OrganizationalPositions union all</v>
      </c>
      <c r="AT1111" t="str">
        <f>"update a set a."&amp;F1111&amp;"=b.tableid from "&amp;E1111&amp;" a join #dbidtranslation b on b.dbid="&amp;F1111</f>
        <v>update a set a.Narrative=b.tableid from OrganizationalPositions a join #dbidtranslation b on b.dbid=Narrative</v>
      </c>
    </row>
    <row r="1112" spans="1:46" ht="15" hidden="1" customHeight="1">
      <c r="A1112">
        <v>202100</v>
      </c>
      <c r="B1112" s="3" t="s">
        <v>464</v>
      </c>
      <c r="C1112" s="3" t="str">
        <f t="shared" si="84"/>
        <v>OrganizationalPositions.RecordStatus</v>
      </c>
      <c r="D1112" s="3">
        <v>200290</v>
      </c>
      <c r="E1112" s="3" t="str">
        <f t="shared" si="82"/>
        <v>OrganizationalPositions</v>
      </c>
      <c r="F1112" s="3" t="s">
        <v>4</v>
      </c>
      <c r="H1112" s="3" t="str">
        <f t="shared" si="83"/>
        <v>hr.OrganizationalPosition</v>
      </c>
      <c r="I1112" s="3" t="s">
        <v>4</v>
      </c>
      <c r="K1112" s="3" t="s">
        <v>4</v>
      </c>
      <c r="M1112" s="3" t="s">
        <v>196</v>
      </c>
      <c r="O1112" s="3">
        <v>0</v>
      </c>
      <c r="Q1112" s="3" t="s">
        <v>92</v>
      </c>
      <c r="U1112" s="3" t="s">
        <v>94</v>
      </c>
      <c r="AD1112">
        <v>16850</v>
      </c>
      <c r="AE1112" t="str">
        <f t="shared" si="85"/>
        <v>hrPosition.RowStatus</v>
      </c>
      <c r="AJ1112" t="e">
        <f>VLOOKUP(E1112,temp1,1,FALSE)</f>
        <v>#NAME?</v>
      </c>
      <c r="AP1112" t="e">
        <f>VLOOKUP(E1112,temp6,1,FALSE)</f>
        <v>#NAME?</v>
      </c>
    </row>
    <row r="1113" spans="1:46" ht="15" hidden="1" customHeight="1">
      <c r="A1113">
        <v>202110</v>
      </c>
      <c r="B1113" s="3" t="s">
        <v>464</v>
      </c>
      <c r="C1113" s="3" t="str">
        <f t="shared" si="84"/>
        <v>FixedAssetLocation.ID</v>
      </c>
      <c r="D1113" s="3">
        <v>200220</v>
      </c>
      <c r="E1113" s="3" t="str">
        <f t="shared" si="82"/>
        <v>FixedAssetLocation</v>
      </c>
      <c r="F1113" s="3" t="s">
        <v>0</v>
      </c>
      <c r="H1113" s="3" t="str">
        <f t="shared" si="83"/>
        <v>com.FixedAssetLocation</v>
      </c>
      <c r="I1113" s="3" t="s">
        <v>0</v>
      </c>
      <c r="K1113" s="3" t="s">
        <v>0</v>
      </c>
      <c r="M1113" s="3" t="s">
        <v>195</v>
      </c>
      <c r="Q1113" s="3" t="s">
        <v>919</v>
      </c>
      <c r="U1113" s="3" t="s">
        <v>95</v>
      </c>
      <c r="W1113" s="3"/>
      <c r="AD1113">
        <v>-1</v>
      </c>
      <c r="AE1113" t="str">
        <f t="shared" si="85"/>
        <v>All</v>
      </c>
      <c r="AF1113" t="s">
        <v>656</v>
      </c>
      <c r="AJ1113" t="e">
        <f>VLOOKUP(E1113,temp1,1,FALSE)</f>
        <v>#NAME?</v>
      </c>
      <c r="AP1113" t="e">
        <f>VLOOKUP(E1113,temp6,1,FALSE)</f>
        <v>#NAME?</v>
      </c>
    </row>
    <row r="1114" spans="1:46" ht="15" hidden="1" customHeight="1">
      <c r="A1114">
        <v>202120</v>
      </c>
      <c r="B1114" s="3" t="s">
        <v>464</v>
      </c>
      <c r="C1114" s="3" t="str">
        <f t="shared" si="84"/>
        <v>FixedAssetLocation.SeqNo</v>
      </c>
      <c r="D1114" s="3">
        <v>200220</v>
      </c>
      <c r="E1114" s="3" t="str">
        <f t="shared" si="82"/>
        <v>FixedAssetLocation</v>
      </c>
      <c r="F1114" s="3" t="s">
        <v>1360</v>
      </c>
      <c r="H1114" s="3" t="str">
        <f t="shared" si="83"/>
        <v>com.FixedAssetLocation</v>
      </c>
      <c r="I1114" s="3" t="s">
        <v>1360</v>
      </c>
      <c r="K1114" s="3" t="s">
        <v>360</v>
      </c>
      <c r="M1114" s="3" t="s">
        <v>195</v>
      </c>
      <c r="Q1114" s="3" t="s">
        <v>92</v>
      </c>
      <c r="U1114" s="3" t="s">
        <v>93</v>
      </c>
      <c r="AD1114">
        <v>11680</v>
      </c>
      <c r="AE1114" t="str">
        <f t="shared" si="85"/>
        <v>comLocation.DisplaySequence</v>
      </c>
      <c r="AF1114" t="s">
        <v>657</v>
      </c>
      <c r="AJ1114" t="e">
        <f>VLOOKUP(E1114,temp1,1,FALSE)</f>
        <v>#NAME?</v>
      </c>
      <c r="AP1114" t="e">
        <f>VLOOKUP(E1114,temp6,1,FALSE)</f>
        <v>#NAME?</v>
      </c>
    </row>
    <row r="1115" spans="1:46" ht="15" hidden="1" customHeight="1">
      <c r="A1115">
        <v>202130</v>
      </c>
      <c r="B1115" s="3" t="s">
        <v>464</v>
      </c>
      <c r="C1115" s="3" t="str">
        <f t="shared" si="84"/>
        <v>FixedAssetLocation.Description</v>
      </c>
      <c r="D1115" s="3">
        <v>200220</v>
      </c>
      <c r="E1115" s="3" t="str">
        <f t="shared" si="82"/>
        <v>FixedAssetLocation</v>
      </c>
      <c r="F1115" s="3" t="s">
        <v>12</v>
      </c>
      <c r="H1115" s="3" t="str">
        <f t="shared" si="83"/>
        <v>com.FixedAssetLocation</v>
      </c>
      <c r="I1115" s="3" t="s">
        <v>12</v>
      </c>
      <c r="K1115" s="3" t="s">
        <v>12</v>
      </c>
      <c r="M1115" s="3" t="s">
        <v>196</v>
      </c>
      <c r="O1115" s="3">
        <v>0</v>
      </c>
      <c r="Q1115" s="3" t="s">
        <v>92</v>
      </c>
      <c r="U1115" s="3" t="s">
        <v>93</v>
      </c>
      <c r="AD1115">
        <v>11660</v>
      </c>
      <c r="AE1115" t="str">
        <f t="shared" si="85"/>
        <v>comLocation.Description</v>
      </c>
      <c r="AF1115" t="s">
        <v>658</v>
      </c>
      <c r="AJ1115" t="e">
        <f>VLOOKUP(E1115,temp1,1,FALSE)</f>
        <v>#NAME?</v>
      </c>
      <c r="AP1115" t="e">
        <f>VLOOKUP(E1115,temp6,1,FALSE)</f>
        <v>#NAME?</v>
      </c>
    </row>
    <row r="1116" spans="1:46" ht="15" hidden="1" customHeight="1">
      <c r="A1116">
        <v>202140</v>
      </c>
      <c r="B1116" s="3" t="s">
        <v>464</v>
      </c>
      <c r="C1116" s="3" t="str">
        <f t="shared" si="84"/>
        <v>FixedAssetLocation.Val2</v>
      </c>
      <c r="D1116" s="3">
        <v>200220</v>
      </c>
      <c r="E1116" s="3" t="str">
        <f t="shared" si="82"/>
        <v>FixedAssetLocation</v>
      </c>
      <c r="F1116" s="3" t="s">
        <v>274</v>
      </c>
      <c r="H1116" s="3" t="str">
        <f t="shared" si="83"/>
        <v>com.FixedAssetLocation</v>
      </c>
      <c r="I1116" s="3" t="s">
        <v>274</v>
      </c>
      <c r="K1116" s="3" t="s">
        <v>408</v>
      </c>
      <c r="M1116" s="3" t="s">
        <v>196</v>
      </c>
      <c r="O1116" s="3">
        <v>0</v>
      </c>
      <c r="Q1116" s="3" t="s">
        <v>92</v>
      </c>
      <c r="U1116" s="3" t="s">
        <v>93</v>
      </c>
      <c r="AD1116">
        <v>11690</v>
      </c>
      <c r="AE1116" t="str">
        <f t="shared" si="85"/>
        <v>comLocation.ShortCode</v>
      </c>
      <c r="AF1116" t="s">
        <v>659</v>
      </c>
      <c r="AJ1116" t="e">
        <f>VLOOKUP(E1116,temp1,1,FALSE)</f>
        <v>#NAME?</v>
      </c>
      <c r="AP1116" t="e">
        <f>VLOOKUP(E1116,temp6,1,FALSE)</f>
        <v>#NAME?</v>
      </c>
    </row>
    <row r="1117" spans="1:46" ht="15" hidden="1" customHeight="1">
      <c r="A1117">
        <v>202150</v>
      </c>
      <c r="B1117" s="3" t="s">
        <v>464</v>
      </c>
      <c r="C1117" s="3" t="str">
        <f t="shared" si="84"/>
        <v>FixedAssetLocation.Comments</v>
      </c>
      <c r="D1117" s="3">
        <v>200220</v>
      </c>
      <c r="E1117" s="3" t="str">
        <f t="shared" si="82"/>
        <v>FixedAssetLocation</v>
      </c>
      <c r="F1117" s="3" t="s">
        <v>14</v>
      </c>
      <c r="H1117" s="3" t="str">
        <f t="shared" si="83"/>
        <v>com.FixedAssetLocation</v>
      </c>
      <c r="I1117" s="3" t="s">
        <v>14</v>
      </c>
      <c r="K1117" s="3" t="s">
        <v>14</v>
      </c>
      <c r="M1117" s="3" t="s">
        <v>196</v>
      </c>
      <c r="O1117" s="3">
        <v>0</v>
      </c>
      <c r="Q1117" s="3" t="s">
        <v>92</v>
      </c>
      <c r="U1117" s="3" t="s">
        <v>93</v>
      </c>
      <c r="AD1117">
        <v>11650</v>
      </c>
      <c r="AE1117" t="str">
        <f t="shared" si="85"/>
        <v>comLocation.Comments</v>
      </c>
      <c r="AF1117" t="s">
        <v>660</v>
      </c>
      <c r="AJ1117" t="e">
        <f>VLOOKUP(E1117,temp1,1,FALSE)</f>
        <v>#NAME?</v>
      </c>
      <c r="AP1117" t="e">
        <f>VLOOKUP(E1117,temp6,1,FALSE)</f>
        <v>#NAME?</v>
      </c>
    </row>
    <row r="1118" spans="1:46" ht="15" hidden="1" customHeight="1">
      <c r="A1118">
        <v>202160</v>
      </c>
      <c r="B1118" s="3" t="s">
        <v>464</v>
      </c>
      <c r="C1118" s="3" t="str">
        <f t="shared" si="84"/>
        <v>FixedAssetLocation.FixedAssetLocationID</v>
      </c>
      <c r="D1118" s="3">
        <v>200220</v>
      </c>
      <c r="E1118" s="3" t="str">
        <f t="shared" si="82"/>
        <v>FixedAssetLocation</v>
      </c>
      <c r="F1118" s="3" t="s">
        <v>1364</v>
      </c>
      <c r="H1118" s="3" t="str">
        <f t="shared" si="83"/>
        <v>com.FixedAssetLocation</v>
      </c>
      <c r="I1118" s="3" t="s">
        <v>1364</v>
      </c>
      <c r="K1118" s="3" t="s">
        <v>327</v>
      </c>
      <c r="M1118" s="3" t="s">
        <v>195</v>
      </c>
      <c r="Q1118" s="3" t="s">
        <v>92</v>
      </c>
      <c r="U1118" s="3" t="s">
        <v>96</v>
      </c>
      <c r="V1118">
        <v>200220</v>
      </c>
      <c r="W1118" s="3" t="str">
        <f>VLOOKUP(V1118,DictionaryTableID,3,FALSE)</f>
        <v>FixedAssetLocation</v>
      </c>
      <c r="AD1118">
        <v>11640</v>
      </c>
      <c r="AE1118" t="str">
        <f t="shared" si="85"/>
        <v>comLocation.comLocationIDParent</v>
      </c>
      <c r="AF1118" t="s">
        <v>661</v>
      </c>
      <c r="AJ1118" t="e">
        <f>VLOOKUP(E1118,temp1,1,FALSE)</f>
        <v>#NAME?</v>
      </c>
      <c r="AP1118" t="e">
        <f>VLOOKUP(E1118,temp6,1,FALSE)</f>
        <v>#NAME?</v>
      </c>
    </row>
    <row r="1119" spans="1:46" ht="15" hidden="1" customHeight="1">
      <c r="A1119">
        <v>202170</v>
      </c>
      <c r="B1119" s="3" t="s">
        <v>464</v>
      </c>
      <c r="C1119" s="3" t="str">
        <f t="shared" si="84"/>
        <v>FixedAssetLocation.Classify</v>
      </c>
      <c r="D1119" s="3">
        <v>200220</v>
      </c>
      <c r="E1119" s="3" t="str">
        <f t="shared" si="82"/>
        <v>FixedAssetLocation</v>
      </c>
      <c r="F1119" s="3" t="s">
        <v>26</v>
      </c>
      <c r="H1119" s="3" t="str">
        <f t="shared" si="83"/>
        <v>com.FixedAssetLocation</v>
      </c>
      <c r="I1119" s="3" t="s">
        <v>26</v>
      </c>
      <c r="K1119" s="3" t="s">
        <v>26</v>
      </c>
      <c r="L1119" t="s">
        <v>2414</v>
      </c>
      <c r="M1119" s="3" t="s">
        <v>196</v>
      </c>
      <c r="O1119" s="3">
        <v>0</v>
      </c>
      <c r="Q1119" s="3" t="s">
        <v>92</v>
      </c>
      <c r="U1119" s="3" t="s">
        <v>93</v>
      </c>
      <c r="AD1119">
        <v>11670</v>
      </c>
      <c r="AE1119" t="str">
        <f t="shared" si="85"/>
        <v>comLocation.IsUsedToClassifyRecords</v>
      </c>
      <c r="AF1119" t="s">
        <v>662</v>
      </c>
      <c r="AJ1119" t="e">
        <f>VLOOKUP(E1119,temp1,1,FALSE)</f>
        <v>#NAME?</v>
      </c>
      <c r="AP1119" t="e">
        <f>VLOOKUP(E1119,temp6,1,FALSE)</f>
        <v>#NAME?</v>
      </c>
    </row>
    <row r="1120" spans="1:46" ht="15" hidden="1" customHeight="1">
      <c r="A1120">
        <v>202180</v>
      </c>
      <c r="B1120" s="3" t="s">
        <v>464</v>
      </c>
      <c r="C1120" s="3" t="str">
        <f t="shared" si="84"/>
        <v>FixedAssetLocation.Loc_id</v>
      </c>
      <c r="D1120" s="3">
        <v>200220</v>
      </c>
      <c r="E1120" s="3" t="str">
        <f t="shared" si="82"/>
        <v>FixedAssetLocation</v>
      </c>
      <c r="F1120" s="3" t="s">
        <v>228</v>
      </c>
      <c r="H1120" s="3" t="str">
        <f t="shared" si="83"/>
        <v>com.FixedAssetLocation</v>
      </c>
      <c r="I1120" s="3" t="s">
        <v>228</v>
      </c>
      <c r="K1120" s="3" t="s">
        <v>409</v>
      </c>
      <c r="M1120" s="3" t="s">
        <v>196</v>
      </c>
      <c r="O1120" s="3">
        <v>0</v>
      </c>
      <c r="Q1120" s="3" t="s">
        <v>92</v>
      </c>
      <c r="U1120" s="3" t="s">
        <v>93</v>
      </c>
      <c r="AF1120" t="s">
        <v>663</v>
      </c>
      <c r="AJ1120" t="e">
        <f>VLOOKUP(E1120,temp1,1,FALSE)</f>
        <v>#NAME?</v>
      </c>
      <c r="AP1120" t="e">
        <f>VLOOKUP(E1120,temp6,1,FALSE)</f>
        <v>#NAME?</v>
      </c>
      <c r="AS1120" t="str">
        <f>"select distinct "&amp;F1120&amp;" from "&amp;E1120&amp;" union all"</f>
        <v>select distinct Loc_id from FixedAssetLocation union all</v>
      </c>
      <c r="AT1120" t="str">
        <f>"update a set a."&amp;F1120&amp;"=b.tableid from "&amp;E1120&amp;" a join #dbidtranslation b on b.dbid="&amp;F1120</f>
        <v>update a set a.Loc_id=b.tableid from FixedAssetLocation a join #dbidtranslation b on b.dbid=Loc_id</v>
      </c>
    </row>
    <row r="1121" spans="1:42" ht="15" hidden="1" customHeight="1">
      <c r="A1121">
        <v>202190</v>
      </c>
      <c r="B1121" s="3" t="s">
        <v>464</v>
      </c>
      <c r="C1121" s="3" t="str">
        <f t="shared" si="84"/>
        <v>FixedAssetLocation.RecordStatus</v>
      </c>
      <c r="D1121" s="3">
        <v>200220</v>
      </c>
      <c r="E1121" s="3" t="str">
        <f t="shared" si="82"/>
        <v>FixedAssetLocation</v>
      </c>
      <c r="F1121" s="3" t="s">
        <v>4</v>
      </c>
      <c r="H1121" s="3" t="str">
        <f t="shared" si="83"/>
        <v>com.FixedAssetLocation</v>
      </c>
      <c r="I1121" s="3" t="s">
        <v>4</v>
      </c>
      <c r="K1121" s="3" t="s">
        <v>4</v>
      </c>
      <c r="M1121" s="3" t="s">
        <v>196</v>
      </c>
      <c r="O1121" s="3">
        <v>0</v>
      </c>
      <c r="Q1121" s="3" t="s">
        <v>92</v>
      </c>
      <c r="U1121" s="3" t="s">
        <v>94</v>
      </c>
      <c r="AD1121">
        <v>11700</v>
      </c>
      <c r="AE1121" t="str">
        <f>IF(AD1121=-1,"All",VLOOKUP(AD1121,ColumnId,3,FALSE))</f>
        <v>comLocation.RowStatus</v>
      </c>
      <c r="AJ1121" t="e">
        <f>VLOOKUP(E1121,temp1,1,FALSE)</f>
        <v>#NAME?</v>
      </c>
      <c r="AP1121" t="e">
        <f>VLOOKUP(E1121,temp6,1,FALSE)</f>
        <v>#NAME?</v>
      </c>
    </row>
    <row r="1122" spans="1:42" ht="15" hidden="1" customHeight="1">
      <c r="A1122">
        <v>202200</v>
      </c>
      <c r="B1122" s="3" t="s">
        <v>464</v>
      </c>
      <c r="C1122" s="3" t="str">
        <f t="shared" si="84"/>
        <v>AuditLogs.ID</v>
      </c>
      <c r="D1122" s="3">
        <v>200070</v>
      </c>
      <c r="E1122" s="3" t="str">
        <f t="shared" si="82"/>
        <v>AuditLogs</v>
      </c>
      <c r="F1122" s="3" t="s">
        <v>0</v>
      </c>
      <c r="H1122" s="3" t="str">
        <f t="shared" si="83"/>
        <v>system.AuditLog</v>
      </c>
      <c r="I1122" s="3" t="s">
        <v>0</v>
      </c>
      <c r="K1122" s="3" t="s">
        <v>0</v>
      </c>
      <c r="M1122" s="3" t="s">
        <v>195</v>
      </c>
      <c r="Q1122" s="3" t="s">
        <v>919</v>
      </c>
      <c r="U1122" s="3" t="s">
        <v>95</v>
      </c>
      <c r="W1122" s="3"/>
      <c r="AD1122">
        <v>-1</v>
      </c>
      <c r="AE1122" t="str">
        <f>IF(AD1122=-1,"All",VLOOKUP(AD1122,ColumnId,3,FALSE))</f>
        <v>All</v>
      </c>
      <c r="AF1122" t="s">
        <v>664</v>
      </c>
      <c r="AJ1122" t="e">
        <f>VLOOKUP(E1122,temp1,1,FALSE)</f>
        <v>#NAME?</v>
      </c>
      <c r="AP1122" t="e">
        <f>VLOOKUP(E1122,temp6,1,FALSE)</f>
        <v>#NAME?</v>
      </c>
    </row>
    <row r="1123" spans="1:42" ht="15" hidden="1" customHeight="1">
      <c r="A1123">
        <v>202210</v>
      </c>
      <c r="B1123" s="3" t="s">
        <v>464</v>
      </c>
      <c r="C1123" s="3" t="str">
        <f t="shared" si="84"/>
        <v>AuditLogs.CommandID</v>
      </c>
      <c r="D1123" s="3">
        <v>200070</v>
      </c>
      <c r="E1123" s="3" t="str">
        <f t="shared" si="82"/>
        <v>AuditLogs</v>
      </c>
      <c r="F1123" s="3" t="s">
        <v>36</v>
      </c>
      <c r="H1123" s="3" t="str">
        <f t="shared" si="83"/>
        <v>system.AuditLog</v>
      </c>
      <c r="I1123" s="3" t="s">
        <v>36</v>
      </c>
      <c r="K1123" s="3" t="s">
        <v>35</v>
      </c>
      <c r="M1123" s="3" t="s">
        <v>195</v>
      </c>
      <c r="Q1123" s="3" t="s">
        <v>92</v>
      </c>
      <c r="U1123" s="3" t="s">
        <v>96</v>
      </c>
      <c r="V1123">
        <v>200140</v>
      </c>
      <c r="W1123" s="3" t="str">
        <f>VLOOKUP(V1123,DictionaryTableID,3,FALSE)</f>
        <v>Commands</v>
      </c>
      <c r="AF1123" t="s">
        <v>665</v>
      </c>
      <c r="AJ1123" t="e">
        <f>VLOOKUP(E1123,temp1,1,FALSE)</f>
        <v>#NAME?</v>
      </c>
      <c r="AP1123" t="e">
        <f>VLOOKUP(E1123,temp6,1,FALSE)</f>
        <v>#NAME?</v>
      </c>
    </row>
    <row r="1124" spans="1:42" ht="15" hidden="1" customHeight="1">
      <c r="A1124">
        <v>202220</v>
      </c>
      <c r="B1124" s="3" t="s">
        <v>464</v>
      </c>
      <c r="C1124" s="3" t="str">
        <f t="shared" si="84"/>
        <v>AuditLogs.DBID</v>
      </c>
      <c r="D1124" s="3">
        <v>200070</v>
      </c>
      <c r="E1124" s="3" t="str">
        <f t="shared" si="82"/>
        <v>AuditLogs</v>
      </c>
      <c r="F1124" s="3" t="s">
        <v>54</v>
      </c>
      <c r="H1124" s="3" t="str">
        <f t="shared" si="83"/>
        <v>system.AuditLog</v>
      </c>
      <c r="I1124" s="3" t="s">
        <v>54</v>
      </c>
      <c r="K1124" s="3" t="s">
        <v>54</v>
      </c>
      <c r="L1124" s="21" t="s">
        <v>2871</v>
      </c>
      <c r="M1124" s="3" t="s">
        <v>196</v>
      </c>
      <c r="O1124" s="3">
        <v>0</v>
      </c>
      <c r="Q1124" s="3" t="s">
        <v>92</v>
      </c>
      <c r="U1124" s="3" t="s">
        <v>93</v>
      </c>
      <c r="AD1124">
        <v>18110</v>
      </c>
      <c r="AE1124" t="str">
        <f>IF(AD1124=-1,"All",VLOOKUP(AD1124,ColumnId,3,FALSE))</f>
        <v>sysChangeHistory.sysDictionaryTableIDAppliesTo</v>
      </c>
      <c r="AF1124" t="s">
        <v>666</v>
      </c>
      <c r="AJ1124" t="e">
        <f>VLOOKUP(E1124,temp1,1,FALSE)</f>
        <v>#NAME?</v>
      </c>
      <c r="AP1124" t="e">
        <f>VLOOKUP(E1124,temp6,1,FALSE)</f>
        <v>#NAME?</v>
      </c>
    </row>
    <row r="1125" spans="1:42" ht="15" hidden="1" customHeight="1">
      <c r="A1125">
        <v>202230</v>
      </c>
      <c r="B1125" s="3" t="s">
        <v>464</v>
      </c>
      <c r="C1125" s="3" t="str">
        <f t="shared" si="84"/>
        <v>AuditLogs.DBCODEID</v>
      </c>
      <c r="D1125" s="3">
        <v>200070</v>
      </c>
      <c r="E1125" s="3" t="str">
        <f t="shared" si="82"/>
        <v>AuditLogs</v>
      </c>
      <c r="F1125" s="3" t="s">
        <v>64</v>
      </c>
      <c r="H1125" s="3" t="str">
        <f t="shared" si="83"/>
        <v>system.AuditLog</v>
      </c>
      <c r="I1125" s="3" t="s">
        <v>64</v>
      </c>
      <c r="K1125" s="3" t="s">
        <v>340</v>
      </c>
      <c r="M1125" s="3" t="s">
        <v>195</v>
      </c>
      <c r="Q1125" s="3" t="s">
        <v>92</v>
      </c>
      <c r="U1125" s="3" t="s">
        <v>93</v>
      </c>
      <c r="W1125" s="3"/>
      <c r="AD1125">
        <v>18120</v>
      </c>
      <c r="AE1125" t="str">
        <f>IF(AD1125=-1,"All",VLOOKUP(AD1125,ColumnId,3,FALSE))</f>
        <v>sysChangeHistory.RowIDAppliesTo</v>
      </c>
      <c r="AF1125" t="s">
        <v>667</v>
      </c>
      <c r="AJ1125" t="e">
        <f>VLOOKUP(E1125,temp1,1,FALSE)</f>
        <v>#NAME?</v>
      </c>
      <c r="AP1125" t="e">
        <f>VLOOKUP(E1125,temp6,1,FALSE)</f>
        <v>#NAME?</v>
      </c>
    </row>
    <row r="1126" spans="1:42" ht="15" hidden="1" customHeight="1">
      <c r="A1126">
        <v>202240</v>
      </c>
      <c r="B1126" s="3" t="s">
        <v>464</v>
      </c>
      <c r="C1126" s="3" t="str">
        <f t="shared" si="84"/>
        <v>AuditLogs.EmployeeID</v>
      </c>
      <c r="D1126" s="3">
        <v>200070</v>
      </c>
      <c r="E1126" s="3" t="str">
        <f t="shared" si="82"/>
        <v>AuditLogs</v>
      </c>
      <c r="F1126" s="3" t="s">
        <v>25</v>
      </c>
      <c r="H1126" s="3" t="str">
        <f t="shared" si="83"/>
        <v>system.AuditLog</v>
      </c>
      <c r="I1126" s="3" t="s">
        <v>25</v>
      </c>
      <c r="K1126" s="3" t="s">
        <v>41</v>
      </c>
      <c r="M1126" s="3" t="s">
        <v>195</v>
      </c>
      <c r="Q1126" s="3" t="s">
        <v>92</v>
      </c>
      <c r="U1126" s="3" t="s">
        <v>96</v>
      </c>
      <c r="V1126">
        <v>200150</v>
      </c>
      <c r="W1126" s="3" t="str">
        <f>VLOOKUP(V1126,DictionaryTableID,3,FALSE)</f>
        <v>Contacts</v>
      </c>
      <c r="AD1126">
        <v>18090</v>
      </c>
      <c r="AE1126" t="str">
        <f>IF(AD1126=-1,"All",VLOOKUP(AD1126,ColumnId,3,FALSE))</f>
        <v>sysChangeHistory.crmContactIDUser</v>
      </c>
      <c r="AF1126" t="s">
        <v>668</v>
      </c>
      <c r="AJ1126" t="e">
        <f>VLOOKUP(E1126,temp1,1,FALSE)</f>
        <v>#NAME?</v>
      </c>
      <c r="AP1126" t="e">
        <f>VLOOKUP(E1126,temp6,1,FALSE)</f>
        <v>#NAME?</v>
      </c>
    </row>
    <row r="1127" spans="1:42" ht="15" hidden="1" customHeight="1">
      <c r="A1127">
        <v>202250</v>
      </c>
      <c r="B1127" s="3" t="s">
        <v>464</v>
      </c>
      <c r="C1127" s="3" t="str">
        <f t="shared" si="84"/>
        <v>AuditLogs.LogDate</v>
      </c>
      <c r="D1127" s="3">
        <v>200070</v>
      </c>
      <c r="E1127" s="3" t="str">
        <f t="shared" si="82"/>
        <v>AuditLogs</v>
      </c>
      <c r="F1127" s="3" t="s">
        <v>37</v>
      </c>
      <c r="H1127" s="3" t="str">
        <f t="shared" si="83"/>
        <v>system.AuditLog</v>
      </c>
      <c r="I1127" s="3" t="s">
        <v>37</v>
      </c>
      <c r="K1127" s="3" t="s">
        <v>362</v>
      </c>
      <c r="M1127" s="3" t="s">
        <v>329</v>
      </c>
      <c r="N1127" s="3">
        <v>8</v>
      </c>
      <c r="O1127" s="3">
        <v>0</v>
      </c>
      <c r="Q1127" s="3" t="s">
        <v>92</v>
      </c>
      <c r="U1127" s="3" t="s">
        <v>93</v>
      </c>
      <c r="AD1127">
        <v>18130</v>
      </c>
      <c r="AE1127" t="str">
        <f>IF(AD1127=-1,"All",VLOOKUP(AD1127,ColumnId,3,FALSE))</f>
        <v>sysChangeHistory.ChangeDate</v>
      </c>
      <c r="AF1127" t="s">
        <v>669</v>
      </c>
      <c r="AJ1127" t="e">
        <f>VLOOKUP(E1127,temp1,1,FALSE)</f>
        <v>#NAME?</v>
      </c>
      <c r="AP1127" t="e">
        <f>VLOOKUP(E1127,temp6,1,FALSE)</f>
        <v>#NAME?</v>
      </c>
    </row>
    <row r="1128" spans="1:42" ht="15" hidden="1" customHeight="1">
      <c r="A1128">
        <v>202260</v>
      </c>
      <c r="B1128" s="3" t="s">
        <v>464</v>
      </c>
      <c r="C1128" s="3" t="str">
        <f t="shared" si="84"/>
        <v>AuditLogs.LogTime</v>
      </c>
      <c r="D1128" s="3">
        <v>200070</v>
      </c>
      <c r="E1128" s="3" t="str">
        <f t="shared" si="82"/>
        <v>AuditLogs</v>
      </c>
      <c r="F1128" s="3" t="s">
        <v>38</v>
      </c>
      <c r="H1128" s="3" t="str">
        <f t="shared" si="83"/>
        <v>system.AuditLog</v>
      </c>
      <c r="I1128" s="3" t="s">
        <v>38</v>
      </c>
      <c r="K1128" s="3" t="s">
        <v>110</v>
      </c>
      <c r="M1128" s="3" t="s">
        <v>196</v>
      </c>
      <c r="O1128" s="3">
        <v>0</v>
      </c>
      <c r="Q1128" s="3" t="s">
        <v>92</v>
      </c>
      <c r="U1128" s="3" t="s">
        <v>93</v>
      </c>
      <c r="AF1128" t="s">
        <v>670</v>
      </c>
      <c r="AJ1128" t="e">
        <f>VLOOKUP(E1128,temp1,1,FALSE)</f>
        <v>#NAME?</v>
      </c>
      <c r="AP1128" t="e">
        <f>VLOOKUP(E1128,temp6,1,FALSE)</f>
        <v>#NAME?</v>
      </c>
    </row>
    <row r="1129" spans="1:42" ht="15" hidden="1" customHeight="1">
      <c r="A1129">
        <v>202270</v>
      </c>
      <c r="B1129" s="3" t="s">
        <v>464</v>
      </c>
      <c r="C1129" s="3" t="str">
        <f t="shared" si="84"/>
        <v>AuditLogs.LogNote</v>
      </c>
      <c r="D1129" s="3">
        <v>200070</v>
      </c>
      <c r="E1129" s="3" t="str">
        <f t="shared" si="82"/>
        <v>AuditLogs</v>
      </c>
      <c r="F1129" s="3" t="s">
        <v>241</v>
      </c>
      <c r="H1129" s="3" t="str">
        <f t="shared" si="83"/>
        <v>system.AuditLog</v>
      </c>
      <c r="I1129" s="3" t="s">
        <v>241</v>
      </c>
      <c r="K1129" s="3" t="s">
        <v>363</v>
      </c>
      <c r="M1129" s="3" t="s">
        <v>196</v>
      </c>
      <c r="O1129" s="3">
        <v>0</v>
      </c>
      <c r="Q1129" s="3" t="s">
        <v>92</v>
      </c>
      <c r="U1129" s="3" t="s">
        <v>93</v>
      </c>
      <c r="AF1129" t="s">
        <v>671</v>
      </c>
      <c r="AJ1129" t="e">
        <f>VLOOKUP(E1129,temp1,1,FALSE)</f>
        <v>#NAME?</v>
      </c>
      <c r="AP1129" t="e">
        <f>VLOOKUP(E1129,temp6,1,FALSE)</f>
        <v>#NAME?</v>
      </c>
    </row>
    <row r="1130" spans="1:42" ht="15" hidden="1" customHeight="1">
      <c r="A1130">
        <v>202280</v>
      </c>
      <c r="B1130" s="3" t="s">
        <v>464</v>
      </c>
      <c r="C1130" s="3" t="str">
        <f t="shared" si="84"/>
        <v>AuditLogs.Comments</v>
      </c>
      <c r="D1130" s="3">
        <v>200070</v>
      </c>
      <c r="E1130" s="3" t="str">
        <f t="shared" si="82"/>
        <v>AuditLogs</v>
      </c>
      <c r="F1130" s="3" t="s">
        <v>14</v>
      </c>
      <c r="H1130" s="3" t="str">
        <f t="shared" si="83"/>
        <v>system.AuditLog</v>
      </c>
      <c r="I1130" s="3" t="s">
        <v>14</v>
      </c>
      <c r="K1130" s="3" t="s">
        <v>14</v>
      </c>
      <c r="M1130" s="3" t="s">
        <v>196</v>
      </c>
      <c r="O1130" s="3">
        <v>0</v>
      </c>
      <c r="Q1130" s="3" t="s">
        <v>92</v>
      </c>
      <c r="U1130" s="3" t="s">
        <v>93</v>
      </c>
      <c r="AF1130" t="s">
        <v>672</v>
      </c>
      <c r="AJ1130" t="e">
        <f>VLOOKUP(E1130,temp1,1,FALSE)</f>
        <v>#NAME?</v>
      </c>
      <c r="AP1130" t="e">
        <f>VLOOKUP(E1130,temp6,1,FALSE)</f>
        <v>#NAME?</v>
      </c>
    </row>
    <row r="1131" spans="1:42" ht="15" hidden="1" customHeight="1">
      <c r="A1131">
        <v>202290</v>
      </c>
      <c r="B1131" s="3" t="s">
        <v>464</v>
      </c>
      <c r="C1131" s="3" t="str">
        <f t="shared" si="84"/>
        <v>AuditLogs.Xlog</v>
      </c>
      <c r="D1131" s="3">
        <v>200070</v>
      </c>
      <c r="E1131" s="3" t="str">
        <f t="shared" si="82"/>
        <v>AuditLogs</v>
      </c>
      <c r="F1131" s="3" t="s">
        <v>275</v>
      </c>
      <c r="H1131" s="3" t="str">
        <f t="shared" si="83"/>
        <v>system.AuditLog</v>
      </c>
      <c r="I1131" s="3" t="s">
        <v>275</v>
      </c>
      <c r="K1131" s="3" t="s">
        <v>275</v>
      </c>
      <c r="M1131" s="3" t="s">
        <v>196</v>
      </c>
      <c r="O1131" s="3">
        <v>0</v>
      </c>
      <c r="Q1131" s="3" t="s">
        <v>92</v>
      </c>
      <c r="U1131" s="3" t="s">
        <v>93</v>
      </c>
      <c r="AD1131">
        <v>18140</v>
      </c>
      <c r="AE1131" t="str">
        <f>IF(AD1131=-1,"All",VLOOKUP(AD1131,ColumnId,3,FALSE))</f>
        <v>sysChangeHistory.Comments</v>
      </c>
      <c r="AF1131" t="s">
        <v>673</v>
      </c>
      <c r="AJ1131" t="e">
        <f>VLOOKUP(E1131,temp1,1,FALSE)</f>
        <v>#NAME?</v>
      </c>
      <c r="AP1131" t="e">
        <f>VLOOKUP(E1131,temp6,1,FALSE)</f>
        <v>#NAME?</v>
      </c>
    </row>
    <row r="1132" spans="1:42" ht="15" hidden="1" customHeight="1">
      <c r="A1132">
        <v>202300</v>
      </c>
      <c r="B1132" s="3" t="s">
        <v>464</v>
      </c>
      <c r="C1132" s="3" t="str">
        <f t="shared" si="84"/>
        <v>AuditLogs.RecordStatus</v>
      </c>
      <c r="D1132" s="3">
        <v>200070</v>
      </c>
      <c r="E1132" s="3" t="str">
        <f t="shared" si="82"/>
        <v>AuditLogs</v>
      </c>
      <c r="F1132" s="3" t="s">
        <v>4</v>
      </c>
      <c r="H1132" s="3" t="str">
        <f t="shared" si="83"/>
        <v>system.AuditLog</v>
      </c>
      <c r="I1132" s="3" t="s">
        <v>4</v>
      </c>
      <c r="K1132" s="3" t="s">
        <v>4</v>
      </c>
      <c r="M1132" s="3" t="s">
        <v>196</v>
      </c>
      <c r="O1132" s="3">
        <v>0</v>
      </c>
      <c r="Q1132" s="3" t="s">
        <v>92</v>
      </c>
      <c r="U1132" s="3" t="s">
        <v>94</v>
      </c>
      <c r="AJ1132" t="e">
        <f>VLOOKUP(E1132,temp1,1,FALSE)</f>
        <v>#NAME?</v>
      </c>
      <c r="AP1132" t="e">
        <f>VLOOKUP(E1132,temp6,1,FALSE)</f>
        <v>#NAME?</v>
      </c>
    </row>
    <row r="1133" spans="1:42" ht="15" hidden="1" customHeight="1">
      <c r="A1133">
        <v>202310</v>
      </c>
      <c r="B1133" s="3" t="s">
        <v>464</v>
      </c>
      <c r="C1133" s="3" t="str">
        <f t="shared" si="84"/>
        <v>PositionHistory.ID</v>
      </c>
      <c r="D1133" s="3">
        <v>200320</v>
      </c>
      <c r="E1133" s="3" t="str">
        <f t="shared" si="82"/>
        <v>PositionHistory</v>
      </c>
      <c r="F1133" s="3" t="s">
        <v>0</v>
      </c>
      <c r="H1133" s="3" t="str">
        <f t="shared" si="83"/>
        <v>hr.PositionHistory</v>
      </c>
      <c r="I1133" s="3" t="s">
        <v>0</v>
      </c>
      <c r="K1133" s="3" t="s">
        <v>0</v>
      </c>
      <c r="M1133" s="3" t="s">
        <v>195</v>
      </c>
      <c r="Q1133" s="3" t="s">
        <v>919</v>
      </c>
      <c r="U1133" s="3" t="s">
        <v>95</v>
      </c>
      <c r="AD1133">
        <v>-1</v>
      </c>
      <c r="AE1133" t="str">
        <f>IF(AD1133=-1,"All",VLOOKUP(AD1133,ColumnId,3,FALSE))</f>
        <v>All</v>
      </c>
      <c r="AF1133" t="s">
        <v>674</v>
      </c>
      <c r="AJ1133" t="e">
        <f>VLOOKUP(E1133,temp1,1,FALSE)</f>
        <v>#NAME?</v>
      </c>
      <c r="AP1133" t="e">
        <f>VLOOKUP(E1133,temp6,1,FALSE)</f>
        <v>#NAME?</v>
      </c>
    </row>
    <row r="1134" spans="1:42" ht="15" hidden="1" customHeight="1">
      <c r="A1134">
        <v>202320</v>
      </c>
      <c r="B1134" s="3" t="s">
        <v>464</v>
      </c>
      <c r="C1134" s="3" t="str">
        <f t="shared" si="84"/>
        <v>PositionHistory.EmployeeID</v>
      </c>
      <c r="D1134" s="3">
        <v>200320</v>
      </c>
      <c r="E1134" s="3" t="str">
        <f t="shared" si="82"/>
        <v>PositionHistory</v>
      </c>
      <c r="F1134" s="3" t="s">
        <v>25</v>
      </c>
      <c r="H1134" s="3" t="str">
        <f t="shared" si="83"/>
        <v>hr.PositionHistory</v>
      </c>
      <c r="I1134" s="3" t="s">
        <v>25</v>
      </c>
      <c r="K1134" s="3" t="s">
        <v>41</v>
      </c>
      <c r="M1134" s="3" t="s">
        <v>195</v>
      </c>
      <c r="Q1134" s="3" t="s">
        <v>92</v>
      </c>
      <c r="U1134" s="3" t="s">
        <v>96</v>
      </c>
      <c r="V1134">
        <v>200150</v>
      </c>
      <c r="W1134" s="3" t="str">
        <f>VLOOKUP(V1134,DictionaryTableID,3,FALSE)</f>
        <v>Contacts</v>
      </c>
      <c r="AD1134">
        <v>16690</v>
      </c>
      <c r="AE1134" t="str">
        <f>IF(AD1134=-1,"All",VLOOKUP(AD1134,ColumnId,3,FALSE))</f>
        <v>hrPosition.crmContactIDEmployee</v>
      </c>
      <c r="AF1134" t="s">
        <v>675</v>
      </c>
      <c r="AJ1134" t="e">
        <f>VLOOKUP(E1134,temp1,1,FALSE)</f>
        <v>#NAME?</v>
      </c>
      <c r="AO1134" t="str">
        <f>SUBSTITUTE(VLOOKUP(V1134,DictionaryTableID,16,FALSE)&amp;"ID",".","")</f>
        <v>crmContactID</v>
      </c>
      <c r="AP1134" t="e">
        <f>VLOOKUP(E1134,temp6,1,FALSE)</f>
        <v>#NAME?</v>
      </c>
    </row>
    <row r="1135" spans="1:42" ht="15" hidden="1" customHeight="1">
      <c r="A1135">
        <v>202330</v>
      </c>
      <c r="B1135" s="3" t="s">
        <v>464</v>
      </c>
      <c r="C1135" s="3" t="str">
        <f t="shared" si="84"/>
        <v>PositionHistory.OrganizationPositionID</v>
      </c>
      <c r="D1135" s="3">
        <v>200320</v>
      </c>
      <c r="E1135" s="3" t="str">
        <f t="shared" si="82"/>
        <v>PositionHistory</v>
      </c>
      <c r="F1135" s="3" t="s">
        <v>278</v>
      </c>
      <c r="H1135" s="3" t="str">
        <f t="shared" si="83"/>
        <v>hr.PositionHistory</v>
      </c>
      <c r="I1135" s="3" t="s">
        <v>278</v>
      </c>
      <c r="K1135" s="3" t="s">
        <v>439</v>
      </c>
      <c r="M1135" s="3" t="s">
        <v>195</v>
      </c>
      <c r="Q1135" s="3" t="s">
        <v>92</v>
      </c>
      <c r="U1135" s="3" t="s">
        <v>96</v>
      </c>
      <c r="V1135">
        <v>200290</v>
      </c>
      <c r="W1135" s="3" t="str">
        <f>VLOOKUP(V1135,DictionaryTableID,3,FALSE)</f>
        <v>OrganizationalPositions</v>
      </c>
      <c r="AF1135" t="s">
        <v>676</v>
      </c>
      <c r="AJ1135" t="e">
        <f>VLOOKUP(E1135,temp1,1,FALSE)</f>
        <v>#NAME?</v>
      </c>
      <c r="AP1135" t="e">
        <f>VLOOKUP(E1135,temp6,1,FALSE)</f>
        <v>#NAME?</v>
      </c>
    </row>
    <row r="1136" spans="1:42" ht="15" hidden="1" customHeight="1">
      <c r="A1136">
        <v>202340</v>
      </c>
      <c r="B1136" s="3" t="s">
        <v>464</v>
      </c>
      <c r="C1136" s="3" t="str">
        <f t="shared" si="84"/>
        <v>PositionHistory.CommencementDate</v>
      </c>
      <c r="D1136" s="3">
        <v>200320</v>
      </c>
      <c r="E1136" s="3" t="str">
        <f t="shared" si="82"/>
        <v>PositionHistory</v>
      </c>
      <c r="F1136" s="3" t="s">
        <v>301</v>
      </c>
      <c r="H1136" s="3" t="str">
        <f t="shared" si="83"/>
        <v>hr.PositionHistory</v>
      </c>
      <c r="I1136" s="3" t="s">
        <v>301</v>
      </c>
      <c r="K1136" s="3" t="s">
        <v>424</v>
      </c>
      <c r="M1136" s="3" t="s">
        <v>329</v>
      </c>
      <c r="N1136" s="3">
        <v>8</v>
      </c>
      <c r="O1136" s="3">
        <v>0</v>
      </c>
      <c r="Q1136" s="3" t="s">
        <v>92</v>
      </c>
      <c r="U1136" s="3" t="s">
        <v>93</v>
      </c>
      <c r="AF1136" t="s">
        <v>677</v>
      </c>
      <c r="AJ1136" t="e">
        <f>VLOOKUP(E1136,temp1,1,FALSE)</f>
        <v>#NAME?</v>
      </c>
      <c r="AP1136" t="e">
        <f>VLOOKUP(E1136,temp6,1,FALSE)</f>
        <v>#NAME?</v>
      </c>
    </row>
    <row r="1137" spans="1:42" ht="15" hidden="1" customHeight="1">
      <c r="A1137">
        <v>202350</v>
      </c>
      <c r="B1137" s="3" t="s">
        <v>464</v>
      </c>
      <c r="C1137" s="3" t="str">
        <f t="shared" si="84"/>
        <v>PositionHistory.ExpiryDate</v>
      </c>
      <c r="D1137" s="3">
        <v>200320</v>
      </c>
      <c r="E1137" s="3" t="str">
        <f t="shared" si="82"/>
        <v>PositionHistory</v>
      </c>
      <c r="F1137" s="3" t="s">
        <v>48</v>
      </c>
      <c r="H1137" s="3" t="str">
        <f t="shared" si="83"/>
        <v>hr.PositionHistory</v>
      </c>
      <c r="I1137" s="3" t="s">
        <v>48</v>
      </c>
      <c r="K1137" s="3" t="s">
        <v>100</v>
      </c>
      <c r="M1137" s="3" t="s">
        <v>329</v>
      </c>
      <c r="N1137" s="3">
        <v>8</v>
      </c>
      <c r="O1137" s="3">
        <v>0</v>
      </c>
      <c r="Q1137" s="3" t="s">
        <v>92</v>
      </c>
      <c r="U1137" s="3" t="s">
        <v>93</v>
      </c>
      <c r="AD1137">
        <v>16830</v>
      </c>
      <c r="AE1137" t="str">
        <f>IF(AD1137=-1,"All",VLOOKUP(AD1137,ColumnId,3,FALSE))</f>
        <v>hrPosition.TemporalEndDate</v>
      </c>
      <c r="AF1137" t="s">
        <v>678</v>
      </c>
      <c r="AJ1137" t="e">
        <f>VLOOKUP(E1137,temp1,1,FALSE)</f>
        <v>#NAME?</v>
      </c>
      <c r="AP1137" t="e">
        <f>VLOOKUP(E1137,temp6,1,FALSE)</f>
        <v>#NAME?</v>
      </c>
    </row>
    <row r="1138" spans="1:42" ht="15" hidden="1" customHeight="1">
      <c r="A1138">
        <v>202360</v>
      </c>
      <c r="B1138" s="3" t="s">
        <v>464</v>
      </c>
      <c r="C1138" s="3" t="str">
        <f t="shared" si="84"/>
        <v>PositionHistory.EffectiveDate</v>
      </c>
      <c r="D1138" s="3">
        <v>200320</v>
      </c>
      <c r="E1138" s="3" t="str">
        <f t="shared" si="82"/>
        <v>PositionHistory</v>
      </c>
      <c r="F1138" s="3" t="s">
        <v>51</v>
      </c>
      <c r="H1138" s="3" t="str">
        <f t="shared" si="83"/>
        <v>hr.PositionHistory</v>
      </c>
      <c r="I1138" s="3" t="s">
        <v>51</v>
      </c>
      <c r="K1138" s="3" t="s">
        <v>410</v>
      </c>
      <c r="M1138" s="3" t="s">
        <v>329</v>
      </c>
      <c r="N1138" s="3">
        <v>8</v>
      </c>
      <c r="O1138" s="3">
        <v>0</v>
      </c>
      <c r="Q1138" s="3" t="s">
        <v>92</v>
      </c>
      <c r="U1138" s="3" t="s">
        <v>93</v>
      </c>
      <c r="AD1138">
        <v>16750</v>
      </c>
      <c r="AE1138" t="str">
        <f>IF(AD1138=-1,"All",VLOOKUP(AD1138,ColumnId,3,FALSE))</f>
        <v>hrPosition.CommencementDate</v>
      </c>
      <c r="AF1138" t="s">
        <v>679</v>
      </c>
      <c r="AJ1138" t="e">
        <f>VLOOKUP(E1138,temp1,1,FALSE)</f>
        <v>#NAME?</v>
      </c>
      <c r="AP1138" t="e">
        <f>VLOOKUP(E1138,temp6,1,FALSE)</f>
        <v>#NAME?</v>
      </c>
    </row>
    <row r="1139" spans="1:42" ht="15" hidden="1" customHeight="1">
      <c r="A1139">
        <v>202370</v>
      </c>
      <c r="B1139" s="3" t="s">
        <v>464</v>
      </c>
      <c r="C1139" s="3" t="str">
        <f t="shared" si="84"/>
        <v>PositionHistory.Salary</v>
      </c>
      <c r="D1139" s="3">
        <v>200320</v>
      </c>
      <c r="E1139" s="3" t="str">
        <f t="shared" si="82"/>
        <v>PositionHistory</v>
      </c>
      <c r="F1139" s="3" t="s">
        <v>271</v>
      </c>
      <c r="H1139" s="3" t="str">
        <f t="shared" si="83"/>
        <v>hr.PositionHistory</v>
      </c>
      <c r="I1139" s="3" t="s">
        <v>271</v>
      </c>
      <c r="K1139" s="3" t="s">
        <v>271</v>
      </c>
      <c r="M1139" s="3" t="s">
        <v>197</v>
      </c>
      <c r="N1139" s="3">
        <v>9</v>
      </c>
      <c r="O1139" s="3">
        <v>2</v>
      </c>
      <c r="Q1139" s="3" t="s">
        <v>92</v>
      </c>
      <c r="U1139" s="3" t="s">
        <v>93</v>
      </c>
      <c r="AD1139">
        <v>16780</v>
      </c>
      <c r="AE1139" t="str">
        <f>IF(AD1139=-1,"All",VLOOKUP(AD1139,ColumnId,3,FALSE))</f>
        <v>hrPosition.Salary</v>
      </c>
      <c r="AF1139" t="s">
        <v>680</v>
      </c>
      <c r="AJ1139" t="e">
        <f>VLOOKUP(E1139,temp1,1,FALSE)</f>
        <v>#NAME?</v>
      </c>
      <c r="AP1139" t="e">
        <f>VLOOKUP(E1139,temp6,1,FALSE)</f>
        <v>#NAME?</v>
      </c>
    </row>
    <row r="1140" spans="1:42" ht="15" hidden="1" customHeight="1">
      <c r="A1140">
        <v>202380</v>
      </c>
      <c r="B1140" s="3" t="s">
        <v>464</v>
      </c>
      <c r="C1140" s="3" t="str">
        <f t="shared" si="84"/>
        <v>PositionHistory.Grade</v>
      </c>
      <c r="D1140" s="3">
        <v>200320</v>
      </c>
      <c r="E1140" s="3" t="str">
        <f t="shared" si="82"/>
        <v>PositionHistory</v>
      </c>
      <c r="F1140" s="3" t="s">
        <v>263</v>
      </c>
      <c r="H1140" s="3" t="str">
        <f t="shared" si="83"/>
        <v>hr.PositionHistory</v>
      </c>
      <c r="I1140" s="3" t="s">
        <v>263</v>
      </c>
      <c r="K1140" s="3" t="s">
        <v>263</v>
      </c>
      <c r="M1140" s="3" t="s">
        <v>196</v>
      </c>
      <c r="O1140" s="3">
        <v>0</v>
      </c>
      <c r="Q1140" s="3" t="s">
        <v>92</v>
      </c>
      <c r="U1140" s="3" t="s">
        <v>93</v>
      </c>
      <c r="AD1140">
        <v>16710</v>
      </c>
      <c r="AE1140" t="str">
        <f>IF(AD1140=-1,"All",VLOOKUP(AD1140,ColumnId,3,FALSE))</f>
        <v>hrPosition.hrGradeID</v>
      </c>
      <c r="AF1140" t="s">
        <v>681</v>
      </c>
      <c r="AJ1140" t="e">
        <f>VLOOKUP(E1140,temp1,1,FALSE)</f>
        <v>#NAME?</v>
      </c>
      <c r="AP1140" t="e">
        <f>VLOOKUP(E1140,temp6,1,FALSE)</f>
        <v>#NAME?</v>
      </c>
    </row>
    <row r="1141" spans="1:42" ht="15" hidden="1" customHeight="1">
      <c r="A1141">
        <v>202390</v>
      </c>
      <c r="B1141" s="3" t="s">
        <v>464</v>
      </c>
      <c r="C1141" s="3" t="str">
        <f t="shared" si="84"/>
        <v>PositionHistory.HistStatus</v>
      </c>
      <c r="D1141" s="3">
        <v>200320</v>
      </c>
      <c r="E1141" s="3" t="str">
        <f t="shared" si="82"/>
        <v>PositionHistory</v>
      </c>
      <c r="F1141" s="3" t="s">
        <v>285</v>
      </c>
      <c r="H1141" s="3" t="str">
        <f t="shared" si="83"/>
        <v>hr.PositionHistory</v>
      </c>
      <c r="I1141" s="3" t="s">
        <v>285</v>
      </c>
      <c r="K1141" s="3" t="s">
        <v>425</v>
      </c>
      <c r="M1141" s="3" t="s">
        <v>196</v>
      </c>
      <c r="O1141" s="3">
        <v>0</v>
      </c>
      <c r="Q1141" s="3" t="s">
        <v>92</v>
      </c>
      <c r="U1141" s="3" t="s">
        <v>93</v>
      </c>
      <c r="AF1141" t="s">
        <v>682</v>
      </c>
      <c r="AJ1141" t="e">
        <f>VLOOKUP(E1141,temp1,1,FALSE)</f>
        <v>#NAME?</v>
      </c>
      <c r="AP1141" t="e">
        <f>VLOOKUP(E1141,temp6,1,FALSE)</f>
        <v>#NAME?</v>
      </c>
    </row>
    <row r="1142" spans="1:42" ht="15" hidden="1" customHeight="1">
      <c r="A1142">
        <v>202400</v>
      </c>
      <c r="B1142" s="3" t="s">
        <v>464</v>
      </c>
      <c r="C1142" s="3" t="str">
        <f t="shared" si="84"/>
        <v>PositionHistory.TransType</v>
      </c>
      <c r="D1142" s="3">
        <v>200320</v>
      </c>
      <c r="E1142" s="3" t="str">
        <f t="shared" si="82"/>
        <v>PositionHistory</v>
      </c>
      <c r="F1142" s="3" t="s">
        <v>255</v>
      </c>
      <c r="H1142" s="3" t="str">
        <f t="shared" si="83"/>
        <v>hr.PositionHistory</v>
      </c>
      <c r="I1142" s="3" t="s">
        <v>255</v>
      </c>
      <c r="K1142" s="3" t="s">
        <v>426</v>
      </c>
      <c r="M1142" s="3" t="s">
        <v>196</v>
      </c>
      <c r="O1142" s="3">
        <v>0</v>
      </c>
      <c r="Q1142" s="3" t="s">
        <v>92</v>
      </c>
      <c r="U1142" s="3" t="s">
        <v>93</v>
      </c>
      <c r="AF1142" t="s">
        <v>683</v>
      </c>
      <c r="AJ1142" t="e">
        <f>VLOOKUP(E1142,temp1,1,FALSE)</f>
        <v>#NAME?</v>
      </c>
      <c r="AP1142" t="e">
        <f>VLOOKUP(E1142,temp6,1,FALSE)</f>
        <v>#NAME?</v>
      </c>
    </row>
    <row r="1143" spans="1:42" ht="15" hidden="1" customHeight="1">
      <c r="A1143">
        <v>202410</v>
      </c>
      <c r="B1143" s="3" t="s">
        <v>464</v>
      </c>
      <c r="C1143" s="3" t="str">
        <f t="shared" si="84"/>
        <v>PositionHistory.Comments</v>
      </c>
      <c r="D1143" s="3">
        <v>200320</v>
      </c>
      <c r="E1143" s="3" t="str">
        <f t="shared" si="82"/>
        <v>PositionHistory</v>
      </c>
      <c r="F1143" s="3" t="s">
        <v>14</v>
      </c>
      <c r="H1143" s="3" t="str">
        <f t="shared" si="83"/>
        <v>hr.PositionHistory</v>
      </c>
      <c r="I1143" s="3" t="s">
        <v>14</v>
      </c>
      <c r="K1143" s="3" t="s">
        <v>14</v>
      </c>
      <c r="M1143" s="3" t="s">
        <v>196</v>
      </c>
      <c r="O1143" s="3">
        <v>0</v>
      </c>
      <c r="Q1143" s="3" t="s">
        <v>92</v>
      </c>
      <c r="U1143" s="3" t="s">
        <v>93</v>
      </c>
      <c r="AF1143" t="s">
        <v>684</v>
      </c>
      <c r="AJ1143" t="e">
        <f>VLOOKUP(E1143,temp1,1,FALSE)</f>
        <v>#NAME?</v>
      </c>
      <c r="AP1143" t="e">
        <f>VLOOKUP(E1143,temp6,1,FALSE)</f>
        <v>#NAME?</v>
      </c>
    </row>
    <row r="1144" spans="1:42" ht="15" hidden="1" customHeight="1">
      <c r="A1144">
        <v>202420</v>
      </c>
      <c r="B1144" s="3" t="s">
        <v>464</v>
      </c>
      <c r="C1144" s="3" t="str">
        <f t="shared" si="84"/>
        <v>PositionHistory.RecordStatus</v>
      </c>
      <c r="D1144" s="3">
        <v>200320</v>
      </c>
      <c r="E1144" s="3" t="str">
        <f t="shared" si="82"/>
        <v>PositionHistory</v>
      </c>
      <c r="F1144" s="3" t="s">
        <v>4</v>
      </c>
      <c r="H1144" s="3" t="str">
        <f t="shared" si="83"/>
        <v>hr.PositionHistory</v>
      </c>
      <c r="I1144" s="3" t="s">
        <v>4</v>
      </c>
      <c r="K1144" s="3" t="s">
        <v>4</v>
      </c>
      <c r="M1144" s="3" t="s">
        <v>196</v>
      </c>
      <c r="O1144" s="3">
        <v>0</v>
      </c>
      <c r="Q1144" s="3" t="s">
        <v>92</v>
      </c>
      <c r="U1144" s="3" t="s">
        <v>94</v>
      </c>
      <c r="AJ1144" t="e">
        <f>VLOOKUP(E1144,temp1,1,FALSE)</f>
        <v>#NAME?</v>
      </c>
      <c r="AP1144" t="e">
        <f>VLOOKUP(E1144,temp6,1,FALSE)</f>
        <v>#NAME?</v>
      </c>
    </row>
    <row r="1145" spans="1:42" ht="15" hidden="1" customHeight="1">
      <c r="A1145">
        <v>202430</v>
      </c>
      <c r="B1145" s="3" t="s">
        <v>464</v>
      </c>
      <c r="C1145" s="3" t="str">
        <f t="shared" si="84"/>
        <v>PersonalComments.ID</v>
      </c>
      <c r="D1145" s="3">
        <v>200310</v>
      </c>
      <c r="E1145" s="3" t="str">
        <f t="shared" si="82"/>
        <v>PersonalComments</v>
      </c>
      <c r="F1145" s="3" t="s">
        <v>0</v>
      </c>
      <c r="H1145" s="3" t="str">
        <f t="shared" si="83"/>
        <v>com.PersonalComment</v>
      </c>
      <c r="I1145" s="3" t="s">
        <v>0</v>
      </c>
      <c r="K1145" s="3" t="s">
        <v>0</v>
      </c>
      <c r="M1145" s="3" t="s">
        <v>195</v>
      </c>
      <c r="Q1145" s="3" t="s">
        <v>919</v>
      </c>
      <c r="U1145" s="3" t="s">
        <v>95</v>
      </c>
      <c r="W1145" s="3"/>
      <c r="AD1145">
        <v>-1</v>
      </c>
      <c r="AE1145" t="str">
        <f t="shared" ref="AE1145:AE1160" si="86">IF(AD1145=-1,"All",VLOOKUP(AD1145,ColumnId,3,FALSE))</f>
        <v>All</v>
      </c>
      <c r="AF1145" t="s">
        <v>685</v>
      </c>
      <c r="AJ1145" t="e">
        <f>VLOOKUP(E1145,temp1,1,FALSE)</f>
        <v>#NAME?</v>
      </c>
      <c r="AP1145" t="e">
        <f>VLOOKUP(E1145,temp6,1,FALSE)</f>
        <v>#NAME?</v>
      </c>
    </row>
    <row r="1146" spans="1:42" ht="15" hidden="1" customHeight="1">
      <c r="A1146">
        <v>202440</v>
      </c>
      <c r="B1146" s="3" t="s">
        <v>464</v>
      </c>
      <c r="C1146" s="3" t="str">
        <f t="shared" si="84"/>
        <v>PersonalComments.DBID</v>
      </c>
      <c r="D1146" s="3">
        <v>200310</v>
      </c>
      <c r="E1146" s="3" t="str">
        <f t="shared" si="82"/>
        <v>PersonalComments</v>
      </c>
      <c r="F1146" s="3" t="s">
        <v>54</v>
      </c>
      <c r="H1146" s="3" t="str">
        <f t="shared" si="83"/>
        <v>com.PersonalComment</v>
      </c>
      <c r="I1146" s="3" t="s">
        <v>54</v>
      </c>
      <c r="K1146" s="3" t="s">
        <v>54</v>
      </c>
      <c r="L1146" s="21" t="s">
        <v>2871</v>
      </c>
      <c r="M1146" s="3" t="s">
        <v>196</v>
      </c>
      <c r="O1146" s="3">
        <v>0</v>
      </c>
      <c r="Q1146" s="3" t="s">
        <v>92</v>
      </c>
      <c r="U1146" s="3" t="s">
        <v>93</v>
      </c>
      <c r="AD1146">
        <v>11740</v>
      </c>
      <c r="AE1146" t="str">
        <f t="shared" si="86"/>
        <v>comPersonalComment.sysDictionaryTableIDAppliesTo</v>
      </c>
      <c r="AF1146" t="s">
        <v>686</v>
      </c>
      <c r="AJ1146" t="e">
        <f>VLOOKUP(E1146,temp1,1,FALSE)</f>
        <v>#NAME?</v>
      </c>
      <c r="AP1146" t="e">
        <f>VLOOKUP(E1146,temp6,1,FALSE)</f>
        <v>#NAME?</v>
      </c>
    </row>
    <row r="1147" spans="1:42" ht="15" hidden="1" customHeight="1">
      <c r="A1147">
        <v>202450</v>
      </c>
      <c r="B1147" s="3" t="s">
        <v>464</v>
      </c>
      <c r="C1147" s="3" t="str">
        <f t="shared" si="84"/>
        <v>PersonalComments.DBCODEID</v>
      </c>
      <c r="D1147" s="3">
        <v>200310</v>
      </c>
      <c r="E1147" s="3" t="str">
        <f t="shared" si="82"/>
        <v>PersonalComments</v>
      </c>
      <c r="F1147" s="3" t="s">
        <v>64</v>
      </c>
      <c r="H1147" s="3" t="str">
        <f t="shared" si="83"/>
        <v>com.PersonalComment</v>
      </c>
      <c r="I1147" s="3" t="s">
        <v>64</v>
      </c>
      <c r="K1147" s="3" t="s">
        <v>340</v>
      </c>
      <c r="M1147" s="3" t="s">
        <v>195</v>
      </c>
      <c r="Q1147" s="3" t="s">
        <v>92</v>
      </c>
      <c r="U1147" s="3" t="s">
        <v>93</v>
      </c>
      <c r="W1147" s="3"/>
      <c r="AD1147">
        <v>11750</v>
      </c>
      <c r="AE1147" t="str">
        <f t="shared" si="86"/>
        <v>comPersonalComment.RowIDAppliesTo</v>
      </c>
      <c r="AF1147" t="s">
        <v>687</v>
      </c>
      <c r="AJ1147" t="e">
        <f>VLOOKUP(E1147,temp1,1,FALSE)</f>
        <v>#NAME?</v>
      </c>
      <c r="AP1147" t="e">
        <f>VLOOKUP(E1147,temp6,1,FALSE)</f>
        <v>#NAME?</v>
      </c>
    </row>
    <row r="1148" spans="1:42" ht="15" hidden="1" customHeight="1">
      <c r="A1148">
        <v>202460</v>
      </c>
      <c r="B1148" s="3" t="s">
        <v>464</v>
      </c>
      <c r="C1148" s="3" t="str">
        <f t="shared" si="84"/>
        <v>PersonalComments.EmployeeID</v>
      </c>
      <c r="D1148" s="3">
        <v>200310</v>
      </c>
      <c r="E1148" s="3" t="str">
        <f t="shared" si="82"/>
        <v>PersonalComments</v>
      </c>
      <c r="F1148" s="3" t="s">
        <v>25</v>
      </c>
      <c r="H1148" s="3" t="str">
        <f t="shared" si="83"/>
        <v>com.PersonalComment</v>
      </c>
      <c r="I1148" s="3" t="s">
        <v>25</v>
      </c>
      <c r="K1148" s="3" t="s">
        <v>41</v>
      </c>
      <c r="M1148" s="3" t="s">
        <v>195</v>
      </c>
      <c r="Q1148" s="3" t="s">
        <v>92</v>
      </c>
      <c r="U1148" s="3" t="s">
        <v>96</v>
      </c>
      <c r="V1148">
        <v>200150</v>
      </c>
      <c r="W1148" s="3" t="str">
        <f>VLOOKUP(V1148,DictionaryTableID,3,FALSE)</f>
        <v>Contacts</v>
      </c>
      <c r="AD1148">
        <v>11730</v>
      </c>
      <c r="AE1148" t="str">
        <f t="shared" si="86"/>
        <v>comPersonalComment.crmContactIDUser</v>
      </c>
      <c r="AF1148" t="s">
        <v>688</v>
      </c>
      <c r="AJ1148" t="e">
        <f>VLOOKUP(E1148,temp1,1,FALSE)</f>
        <v>#NAME?</v>
      </c>
      <c r="AP1148" t="e">
        <f>VLOOKUP(E1148,temp6,1,FALSE)</f>
        <v>#NAME?</v>
      </c>
    </row>
    <row r="1149" spans="1:42" ht="15" hidden="1" customHeight="1">
      <c r="A1149">
        <v>202470</v>
      </c>
      <c r="B1149" s="3" t="s">
        <v>464</v>
      </c>
      <c r="C1149" s="3" t="str">
        <f t="shared" si="84"/>
        <v>PersonalComments.Comments</v>
      </c>
      <c r="D1149" s="3">
        <v>200310</v>
      </c>
      <c r="E1149" s="3" t="str">
        <f t="shared" si="82"/>
        <v>PersonalComments</v>
      </c>
      <c r="F1149" s="3" t="s">
        <v>14</v>
      </c>
      <c r="H1149" s="3" t="str">
        <f t="shared" si="83"/>
        <v>com.PersonalComment</v>
      </c>
      <c r="I1149" s="3" t="s">
        <v>14</v>
      </c>
      <c r="K1149" s="3" t="s">
        <v>14</v>
      </c>
      <c r="M1149" s="3" t="s">
        <v>196</v>
      </c>
      <c r="O1149" s="3">
        <v>0</v>
      </c>
      <c r="Q1149" s="3" t="s">
        <v>92</v>
      </c>
      <c r="U1149" s="3" t="s">
        <v>93</v>
      </c>
      <c r="AD1149">
        <v>11760</v>
      </c>
      <c r="AE1149" t="str">
        <f t="shared" si="86"/>
        <v>comPersonalComment.Comments</v>
      </c>
      <c r="AF1149" t="s">
        <v>689</v>
      </c>
      <c r="AJ1149" t="e">
        <f>VLOOKUP(E1149,temp1,1,FALSE)</f>
        <v>#NAME?</v>
      </c>
      <c r="AP1149" t="e">
        <f>VLOOKUP(E1149,temp6,1,FALSE)</f>
        <v>#NAME?</v>
      </c>
    </row>
    <row r="1150" spans="1:42" ht="15" hidden="1" customHeight="1">
      <c r="A1150">
        <v>202480</v>
      </c>
      <c r="B1150" s="3" t="s">
        <v>464</v>
      </c>
      <c r="C1150" s="3" t="str">
        <f t="shared" si="84"/>
        <v>PersonalComments.RecordStatus</v>
      </c>
      <c r="D1150" s="3">
        <v>200310</v>
      </c>
      <c r="E1150" s="3" t="str">
        <f t="shared" si="82"/>
        <v>PersonalComments</v>
      </c>
      <c r="F1150" s="3" t="s">
        <v>4</v>
      </c>
      <c r="H1150" s="3" t="str">
        <f t="shared" si="83"/>
        <v>com.PersonalComment</v>
      </c>
      <c r="I1150" s="3" t="s">
        <v>4</v>
      </c>
      <c r="K1150" s="3" t="s">
        <v>4</v>
      </c>
      <c r="M1150" s="3" t="s">
        <v>196</v>
      </c>
      <c r="O1150" s="3">
        <v>0</v>
      </c>
      <c r="Q1150" s="3" t="s">
        <v>92</v>
      </c>
      <c r="U1150" s="3" t="s">
        <v>94</v>
      </c>
      <c r="AD1150">
        <v>11770</v>
      </c>
      <c r="AE1150" t="str">
        <f t="shared" si="86"/>
        <v>comPersonalComment.RowStatus</v>
      </c>
      <c r="AJ1150" t="e">
        <f>VLOOKUP(E1150,temp1,1,FALSE)</f>
        <v>#NAME?</v>
      </c>
      <c r="AP1150" t="e">
        <f>VLOOKUP(E1150,temp6,1,FALSE)</f>
        <v>#NAME?</v>
      </c>
    </row>
    <row r="1151" spans="1:42" ht="15" hidden="1" customHeight="1">
      <c r="A1151">
        <v>202490</v>
      </c>
      <c r="B1151" s="3" t="s">
        <v>464</v>
      </c>
      <c r="C1151" s="3" t="str">
        <f t="shared" si="84"/>
        <v>CrossReference.ID</v>
      </c>
      <c r="D1151" s="3">
        <v>200180</v>
      </c>
      <c r="E1151" s="3" t="str">
        <f t="shared" ref="E1151:E1214" si="87">VLOOKUP(D1151,DictionaryTableID,3,FALSE)</f>
        <v>CrossReference</v>
      </c>
      <c r="F1151" s="3" t="s">
        <v>0</v>
      </c>
      <c r="H1151" s="3" t="str">
        <f t="shared" ref="H1151:H1214" si="88">VLOOKUP(E1151,DictionaryTables,14,FALSE)</f>
        <v>com.CrossReference</v>
      </c>
      <c r="I1151" s="3" t="s">
        <v>0</v>
      </c>
      <c r="K1151" s="3" t="s">
        <v>0</v>
      </c>
      <c r="M1151" s="3" t="s">
        <v>195</v>
      </c>
      <c r="Q1151" s="3" t="s">
        <v>919</v>
      </c>
      <c r="U1151" s="3" t="s">
        <v>95</v>
      </c>
      <c r="AD1151">
        <v>-1</v>
      </c>
      <c r="AE1151" t="str">
        <f t="shared" si="86"/>
        <v>All</v>
      </c>
      <c r="AF1151" t="s">
        <v>690</v>
      </c>
      <c r="AJ1151" t="e">
        <f>VLOOKUP(E1151,temp1,1,FALSE)</f>
        <v>#NAME?</v>
      </c>
      <c r="AP1151" t="e">
        <f>VLOOKUP(E1151,temp6,1,FALSE)</f>
        <v>#NAME?</v>
      </c>
    </row>
    <row r="1152" spans="1:42" ht="15" hidden="1" customHeight="1">
      <c r="A1152">
        <v>202500</v>
      </c>
      <c r="B1152" s="3" t="s">
        <v>464</v>
      </c>
      <c r="C1152" s="3" t="str">
        <f t="shared" si="84"/>
        <v>CrossReference.DBID</v>
      </c>
      <c r="D1152" s="3">
        <v>200180</v>
      </c>
      <c r="E1152" s="3" t="str">
        <f t="shared" si="87"/>
        <v>CrossReference</v>
      </c>
      <c r="F1152" s="3" t="s">
        <v>54</v>
      </c>
      <c r="H1152" s="3" t="str">
        <f t="shared" si="88"/>
        <v>com.CrossReference</v>
      </c>
      <c r="I1152" s="3" t="s">
        <v>54</v>
      </c>
      <c r="K1152" s="3" t="s">
        <v>54</v>
      </c>
      <c r="L1152" s="21" t="s">
        <v>2871</v>
      </c>
      <c r="M1152" s="3" t="s">
        <v>196</v>
      </c>
      <c r="O1152" s="3">
        <v>0</v>
      </c>
      <c r="Q1152" s="3" t="s">
        <v>92</v>
      </c>
      <c r="U1152" s="3" t="s">
        <v>93</v>
      </c>
      <c r="AD1152">
        <v>11530</v>
      </c>
      <c r="AE1152" t="str">
        <f t="shared" si="86"/>
        <v>comCrossReference.sysDictionaryTableIDAppliesTo</v>
      </c>
      <c r="AF1152" t="s">
        <v>691</v>
      </c>
      <c r="AJ1152" t="e">
        <f>VLOOKUP(E1152,temp1,1,FALSE)</f>
        <v>#NAME?</v>
      </c>
      <c r="AP1152" t="e">
        <f>VLOOKUP(E1152,temp6,1,FALSE)</f>
        <v>#NAME?</v>
      </c>
    </row>
    <row r="1153" spans="1:42" ht="15" hidden="1" customHeight="1">
      <c r="A1153">
        <v>202510</v>
      </c>
      <c r="B1153" s="3" t="s">
        <v>464</v>
      </c>
      <c r="C1153" s="3" t="str">
        <f t="shared" si="84"/>
        <v>CrossReference.DBCODEID</v>
      </c>
      <c r="D1153" s="3">
        <v>200180</v>
      </c>
      <c r="E1153" s="3" t="str">
        <f t="shared" si="87"/>
        <v>CrossReference</v>
      </c>
      <c r="F1153" s="3" t="s">
        <v>64</v>
      </c>
      <c r="H1153" s="3" t="str">
        <f t="shared" si="88"/>
        <v>com.CrossReference</v>
      </c>
      <c r="I1153" s="3" t="s">
        <v>64</v>
      </c>
      <c r="K1153" s="3" t="s">
        <v>340</v>
      </c>
      <c r="M1153" s="3" t="s">
        <v>195</v>
      </c>
      <c r="Q1153" s="3" t="s">
        <v>92</v>
      </c>
      <c r="U1153" s="3" t="s">
        <v>93</v>
      </c>
      <c r="W1153" s="3"/>
      <c r="AD1153">
        <v>11540</v>
      </c>
      <c r="AE1153" t="str">
        <f t="shared" si="86"/>
        <v>comCrossReference.RowIDAppliesTo</v>
      </c>
      <c r="AF1153" t="s">
        <v>692</v>
      </c>
      <c r="AJ1153" t="e">
        <f>VLOOKUP(E1153,temp1,1,FALSE)</f>
        <v>#NAME?</v>
      </c>
      <c r="AP1153" t="e">
        <f>VLOOKUP(E1153,temp6,1,FALSE)</f>
        <v>#NAME?</v>
      </c>
    </row>
    <row r="1154" spans="1:42" ht="15" hidden="1" customHeight="1">
      <c r="A1154">
        <v>202520</v>
      </c>
      <c r="B1154" s="3" t="s">
        <v>464</v>
      </c>
      <c r="C1154" s="3" t="str">
        <f t="shared" ref="C1154:C1217" si="89">CONCATENATE(E1154,".",F1154)</f>
        <v>CrossReference.Number</v>
      </c>
      <c r="D1154" s="3">
        <v>200180</v>
      </c>
      <c r="E1154" s="3" t="str">
        <f t="shared" si="87"/>
        <v>CrossReference</v>
      </c>
      <c r="F1154" s="3" t="s">
        <v>279</v>
      </c>
      <c r="H1154" s="3" t="str">
        <f t="shared" si="88"/>
        <v>com.CrossReference</v>
      </c>
      <c r="I1154" s="3" t="s">
        <v>279</v>
      </c>
      <c r="K1154" s="3" t="s">
        <v>279</v>
      </c>
      <c r="M1154" s="3" t="s">
        <v>196</v>
      </c>
      <c r="O1154" s="3">
        <v>0</v>
      </c>
      <c r="Q1154" s="3" t="s">
        <v>92</v>
      </c>
      <c r="U1154" s="3" t="s">
        <v>93</v>
      </c>
      <c r="AD1154">
        <v>11550</v>
      </c>
      <c r="AE1154" t="str">
        <f t="shared" si="86"/>
        <v>comCrossReference.Number</v>
      </c>
      <c r="AF1154" t="s">
        <v>693</v>
      </c>
      <c r="AJ1154" t="e">
        <f>VLOOKUP(E1154,temp1,1,FALSE)</f>
        <v>#NAME?</v>
      </c>
      <c r="AP1154" t="e">
        <f>VLOOKUP(E1154,temp6,1,FALSE)</f>
        <v>#NAME?</v>
      </c>
    </row>
    <row r="1155" spans="1:42" ht="15" hidden="1" customHeight="1">
      <c r="A1155">
        <v>202530</v>
      </c>
      <c r="B1155" s="3" t="s">
        <v>464</v>
      </c>
      <c r="C1155" s="3" t="str">
        <f t="shared" si="89"/>
        <v>CrossReference.RefTypeID</v>
      </c>
      <c r="D1155" s="3">
        <v>200180</v>
      </c>
      <c r="E1155" s="3" t="str">
        <f t="shared" si="87"/>
        <v>CrossReference</v>
      </c>
      <c r="F1155" s="3" t="s">
        <v>277</v>
      </c>
      <c r="H1155" s="3" t="str">
        <f t="shared" si="88"/>
        <v>com.CrossReference</v>
      </c>
      <c r="I1155" s="3" t="s">
        <v>277</v>
      </c>
      <c r="K1155" s="3" t="s">
        <v>40</v>
      </c>
      <c r="M1155" s="3" t="s">
        <v>195</v>
      </c>
      <c r="Q1155" s="3" t="s">
        <v>92</v>
      </c>
      <c r="U1155" s="3" t="s">
        <v>97</v>
      </c>
      <c r="V1155">
        <v>200360</v>
      </c>
      <c r="W1155" s="3" t="str">
        <f>VLOOKUP(V1155,DictionaryTableID,3,FALSE)</f>
        <v>ReferenceFields</v>
      </c>
      <c r="AD1155">
        <v>11520</v>
      </c>
      <c r="AE1155" t="str">
        <f t="shared" si="86"/>
        <v>comCrossReference.comCrossReferenceTypeID</v>
      </c>
      <c r="AF1155" t="s">
        <v>694</v>
      </c>
      <c r="AJ1155" t="e">
        <f>VLOOKUP(E1155,temp1,1,FALSE)</f>
        <v>#NAME?</v>
      </c>
      <c r="AP1155" t="e">
        <f>VLOOKUP(E1155,temp6,1,FALSE)</f>
        <v>#NAME?</v>
      </c>
    </row>
    <row r="1156" spans="1:42" ht="15" hidden="1" customHeight="1">
      <c r="A1156">
        <v>202540</v>
      </c>
      <c r="B1156" s="3" t="s">
        <v>464</v>
      </c>
      <c r="C1156" s="3" t="str">
        <f t="shared" si="89"/>
        <v>CrossReference.RecordStatus</v>
      </c>
      <c r="D1156" s="3">
        <v>200180</v>
      </c>
      <c r="E1156" s="3" t="str">
        <f t="shared" si="87"/>
        <v>CrossReference</v>
      </c>
      <c r="F1156" s="3" t="s">
        <v>4</v>
      </c>
      <c r="H1156" s="3" t="str">
        <f t="shared" si="88"/>
        <v>com.CrossReference</v>
      </c>
      <c r="I1156" s="3" t="s">
        <v>4</v>
      </c>
      <c r="K1156" s="3" t="s">
        <v>4</v>
      </c>
      <c r="M1156" s="3" t="s">
        <v>196</v>
      </c>
      <c r="O1156" s="3">
        <v>0</v>
      </c>
      <c r="Q1156" s="3" t="s">
        <v>92</v>
      </c>
      <c r="U1156" s="3" t="s">
        <v>94</v>
      </c>
      <c r="AD1156">
        <v>11560</v>
      </c>
      <c r="AE1156" t="str">
        <f t="shared" si="86"/>
        <v>comCrossReference.RowStatus</v>
      </c>
      <c r="AJ1156" t="e">
        <f>VLOOKUP(E1156,temp1,1,FALSE)</f>
        <v>#NAME?</v>
      </c>
      <c r="AP1156" t="e">
        <f>VLOOKUP(E1156,temp6,1,FALSE)</f>
        <v>#NAME?</v>
      </c>
    </row>
    <row r="1157" spans="1:42" ht="15" hidden="1" customHeight="1">
      <c r="A1157">
        <v>202550</v>
      </c>
      <c r="B1157" s="3" t="s">
        <v>464</v>
      </c>
      <c r="C1157" s="3" t="str">
        <f t="shared" si="89"/>
        <v>GLEntries.ID</v>
      </c>
      <c r="D1157" s="3">
        <v>200280</v>
      </c>
      <c r="E1157" s="3" t="str">
        <f t="shared" si="87"/>
        <v>GLEntries</v>
      </c>
      <c r="F1157" s="3" t="s">
        <v>0</v>
      </c>
      <c r="H1157" s="3" t="str">
        <f t="shared" si="88"/>
        <v>gl.Entry</v>
      </c>
      <c r="I1157" s="3" t="s">
        <v>0</v>
      </c>
      <c r="K1157" s="3" t="s">
        <v>0</v>
      </c>
      <c r="M1157" s="3" t="s">
        <v>195</v>
      </c>
      <c r="Q1157" s="3" t="s">
        <v>919</v>
      </c>
      <c r="U1157" s="3" t="s">
        <v>95</v>
      </c>
      <c r="AD1157">
        <v>-1</v>
      </c>
      <c r="AE1157" t="str">
        <f t="shared" si="86"/>
        <v>All</v>
      </c>
      <c r="AF1157" t="s">
        <v>695</v>
      </c>
      <c r="AJ1157" t="e">
        <f>VLOOKUP(E1157,temp1,1,FALSE)</f>
        <v>#NAME?</v>
      </c>
      <c r="AP1157" t="e">
        <f>VLOOKUP(E1157,temp6,1,FALSE)</f>
        <v>#NAME?</v>
      </c>
    </row>
    <row r="1158" spans="1:42" ht="15" hidden="1" customHeight="1">
      <c r="A1158">
        <v>202560</v>
      </c>
      <c r="B1158" s="3" t="s">
        <v>464</v>
      </c>
      <c r="C1158" s="3" t="str">
        <f t="shared" si="89"/>
        <v>GLEntries.GLAccountID</v>
      </c>
      <c r="D1158" s="3">
        <v>200280</v>
      </c>
      <c r="E1158" s="3" t="str">
        <f t="shared" si="87"/>
        <v>GLEntries</v>
      </c>
      <c r="F1158" s="3" t="s">
        <v>74</v>
      </c>
      <c r="H1158" s="3" t="str">
        <f t="shared" si="88"/>
        <v>gl.Entry</v>
      </c>
      <c r="I1158" s="3" t="s">
        <v>74</v>
      </c>
      <c r="K1158" s="3" t="s">
        <v>123</v>
      </c>
      <c r="M1158" s="3" t="s">
        <v>195</v>
      </c>
      <c r="Q1158" s="3" t="s">
        <v>92</v>
      </c>
      <c r="U1158" s="3" t="s">
        <v>96</v>
      </c>
      <c r="V1158">
        <v>200260</v>
      </c>
      <c r="W1158" s="3" t="str">
        <f>VLOOKUP(V1158,DictionaryTableID,3,FALSE)</f>
        <v>GLAccounts</v>
      </c>
      <c r="AD1158">
        <v>14900</v>
      </c>
      <c r="AE1158" t="str">
        <f t="shared" si="86"/>
        <v>glEntry.glAccountID</v>
      </c>
      <c r="AF1158" t="s">
        <v>696</v>
      </c>
      <c r="AJ1158" t="e">
        <f>VLOOKUP(E1158,temp1,1,FALSE)</f>
        <v>#NAME?</v>
      </c>
      <c r="AP1158" t="e">
        <f>VLOOKUP(E1158,temp6,1,FALSE)</f>
        <v>#NAME?</v>
      </c>
    </row>
    <row r="1159" spans="1:42" ht="15" hidden="1" customHeight="1">
      <c r="A1159">
        <v>202570</v>
      </c>
      <c r="B1159" s="3" t="s">
        <v>464</v>
      </c>
      <c r="C1159" s="3" t="str">
        <f t="shared" si="89"/>
        <v>GLEntries.DBID</v>
      </c>
      <c r="D1159" s="3">
        <v>200280</v>
      </c>
      <c r="E1159" s="3" t="str">
        <f t="shared" si="87"/>
        <v>GLEntries</v>
      </c>
      <c r="F1159" s="3" t="s">
        <v>54</v>
      </c>
      <c r="H1159" s="3" t="str">
        <f t="shared" si="88"/>
        <v>gl.Entry</v>
      </c>
      <c r="I1159" s="3" t="s">
        <v>54</v>
      </c>
      <c r="K1159" s="3" t="s">
        <v>54</v>
      </c>
      <c r="L1159" s="21" t="s">
        <v>2871</v>
      </c>
      <c r="M1159" s="3" t="s">
        <v>196</v>
      </c>
      <c r="O1159" s="3">
        <v>0</v>
      </c>
      <c r="Q1159" s="3" t="s">
        <v>92</v>
      </c>
      <c r="U1159" s="3" t="s">
        <v>93</v>
      </c>
      <c r="AD1159">
        <v>14950</v>
      </c>
      <c r="AE1159" t="str">
        <f t="shared" si="86"/>
        <v>glEntry.sysDictionaryTableIDChargedTo</v>
      </c>
      <c r="AF1159" t="s">
        <v>697</v>
      </c>
      <c r="AJ1159" t="e">
        <f>VLOOKUP(E1159,temp1,1,FALSE)</f>
        <v>#NAME?</v>
      </c>
      <c r="AP1159" t="e">
        <f>VLOOKUP(E1159,temp6,1,FALSE)</f>
        <v>#NAME?</v>
      </c>
    </row>
    <row r="1160" spans="1:42" ht="15" hidden="1" customHeight="1">
      <c r="A1160">
        <v>202580</v>
      </c>
      <c r="B1160" s="3" t="s">
        <v>464</v>
      </c>
      <c r="C1160" s="3" t="str">
        <f t="shared" si="89"/>
        <v>GLEntries.DBCODEID</v>
      </c>
      <c r="D1160" s="3">
        <v>200280</v>
      </c>
      <c r="E1160" s="3" t="str">
        <f t="shared" si="87"/>
        <v>GLEntries</v>
      </c>
      <c r="F1160" s="3" t="s">
        <v>64</v>
      </c>
      <c r="H1160" s="3" t="str">
        <f t="shared" si="88"/>
        <v>gl.Entry</v>
      </c>
      <c r="I1160" s="3" t="s">
        <v>64</v>
      </c>
      <c r="K1160" s="3" t="s">
        <v>341</v>
      </c>
      <c r="M1160" s="3" t="s">
        <v>195</v>
      </c>
      <c r="Q1160" s="3" t="s">
        <v>92</v>
      </c>
      <c r="U1160" s="3" t="s">
        <v>93</v>
      </c>
      <c r="W1160" s="3"/>
      <c r="AD1160">
        <v>14960</v>
      </c>
      <c r="AE1160" t="str">
        <f t="shared" si="86"/>
        <v>glEntry.RowIDChargedTo</v>
      </c>
      <c r="AF1160" t="s">
        <v>698</v>
      </c>
      <c r="AJ1160" t="e">
        <f>VLOOKUP(E1160,temp1,1,FALSE)</f>
        <v>#NAME?</v>
      </c>
      <c r="AP1160" t="e">
        <f>VLOOKUP(E1160,temp6,1,FALSE)</f>
        <v>#NAME?</v>
      </c>
    </row>
    <row r="1161" spans="1:42" ht="15" hidden="1" customHeight="1">
      <c r="A1161">
        <v>202590</v>
      </c>
      <c r="B1161" s="3" t="s">
        <v>464</v>
      </c>
      <c r="C1161" s="3" t="str">
        <f t="shared" si="89"/>
        <v>GLEntries.RefStatusID</v>
      </c>
      <c r="D1161" s="3">
        <v>200280</v>
      </c>
      <c r="E1161" s="3" t="str">
        <f t="shared" si="87"/>
        <v>GLEntries</v>
      </c>
      <c r="F1161" s="3" t="s">
        <v>5</v>
      </c>
      <c r="H1161" s="3" t="str">
        <f t="shared" si="88"/>
        <v>gl.Entry</v>
      </c>
      <c r="I1161" s="3" t="s">
        <v>5</v>
      </c>
      <c r="K1161" s="3" t="s">
        <v>55</v>
      </c>
      <c r="M1161" s="3" t="s">
        <v>195</v>
      </c>
      <c r="Q1161" s="3" t="s">
        <v>92</v>
      </c>
      <c r="U1161" s="3" t="s">
        <v>97</v>
      </c>
      <c r="V1161">
        <v>200360</v>
      </c>
      <c r="W1161" s="3" t="str">
        <f>VLOOKUP(V1161,DictionaryTableID,3,FALSE)</f>
        <v>ReferenceFields</v>
      </c>
      <c r="AF1161" t="s">
        <v>699</v>
      </c>
      <c r="AJ1161" t="e">
        <f>VLOOKUP(E1161,temp1,1,FALSE)</f>
        <v>#NAME?</v>
      </c>
      <c r="AP1161" t="e">
        <f>VLOOKUP(E1161,temp6,1,FALSE)</f>
        <v>#NAME?</v>
      </c>
    </row>
    <row r="1162" spans="1:42" ht="15" hidden="1" customHeight="1">
      <c r="A1162">
        <v>202600</v>
      </c>
      <c r="B1162" s="3" t="s">
        <v>464</v>
      </c>
      <c r="C1162" s="3" t="str">
        <f t="shared" si="89"/>
        <v>GLEntries.PostingDate</v>
      </c>
      <c r="D1162" s="3">
        <v>200280</v>
      </c>
      <c r="E1162" s="3" t="str">
        <f t="shared" si="87"/>
        <v>GLEntries</v>
      </c>
      <c r="F1162" s="3" t="s">
        <v>57</v>
      </c>
      <c r="H1162" s="3" t="str">
        <f t="shared" si="88"/>
        <v>gl.Entry</v>
      </c>
      <c r="I1162" s="3" t="s">
        <v>57</v>
      </c>
      <c r="K1162" s="3" t="s">
        <v>419</v>
      </c>
      <c r="M1162" s="3" t="s">
        <v>329</v>
      </c>
      <c r="N1162" s="3">
        <v>8</v>
      </c>
      <c r="O1162" s="3">
        <v>0</v>
      </c>
      <c r="Q1162" s="3" t="s">
        <v>92</v>
      </c>
      <c r="U1162" s="3" t="s">
        <v>93</v>
      </c>
      <c r="AF1162" t="s">
        <v>700</v>
      </c>
      <c r="AJ1162" t="e">
        <f>VLOOKUP(E1162,temp1,1,FALSE)</f>
        <v>#NAME?</v>
      </c>
      <c r="AP1162" t="e">
        <f>VLOOKUP(E1162,temp6,1,FALSE)</f>
        <v>#NAME?</v>
      </c>
    </row>
    <row r="1163" spans="1:42" ht="15" hidden="1" customHeight="1">
      <c r="A1163">
        <v>202610</v>
      </c>
      <c r="B1163" s="3" t="s">
        <v>464</v>
      </c>
      <c r="C1163" s="3" t="str">
        <f t="shared" si="89"/>
        <v>GLEntries.Amount</v>
      </c>
      <c r="D1163" s="3">
        <v>200280</v>
      </c>
      <c r="E1163" s="3" t="str">
        <f t="shared" si="87"/>
        <v>GLEntries</v>
      </c>
      <c r="F1163" s="3" t="s">
        <v>49</v>
      </c>
      <c r="H1163" s="3" t="str">
        <f t="shared" si="88"/>
        <v>gl.Entry</v>
      </c>
      <c r="I1163" s="3" t="s">
        <v>49</v>
      </c>
      <c r="K1163" s="3" t="s">
        <v>49</v>
      </c>
      <c r="M1163" s="3" t="s">
        <v>197</v>
      </c>
      <c r="N1163" s="3">
        <v>15</v>
      </c>
      <c r="O1163" s="3">
        <v>2</v>
      </c>
      <c r="Q1163" s="3" t="s">
        <v>92</v>
      </c>
      <c r="U1163" s="3" t="s">
        <v>93</v>
      </c>
      <c r="AD1163">
        <v>-1</v>
      </c>
      <c r="AE1163" t="str">
        <f t="shared" ref="AE1163:AE1169" si="90">IF(AD1163=-1,"All",VLOOKUP(AD1163,ColumnId,3,FALSE))</f>
        <v>All</v>
      </c>
      <c r="AF1163" t="s">
        <v>701</v>
      </c>
      <c r="AJ1163" t="e">
        <f>VLOOKUP(E1163,temp1,1,FALSE)</f>
        <v>#NAME?</v>
      </c>
      <c r="AP1163" t="e">
        <f>VLOOKUP(E1163,temp6,1,FALSE)</f>
        <v>#NAME?</v>
      </c>
    </row>
    <row r="1164" spans="1:42" ht="15" hidden="1" customHeight="1">
      <c r="A1164">
        <v>202620</v>
      </c>
      <c r="B1164" s="3" t="s">
        <v>464</v>
      </c>
      <c r="C1164" s="3" t="str">
        <f t="shared" si="89"/>
        <v>GLEntries.Description</v>
      </c>
      <c r="D1164" s="3">
        <v>200280</v>
      </c>
      <c r="E1164" s="3" t="str">
        <f t="shared" si="87"/>
        <v>GLEntries</v>
      </c>
      <c r="F1164" s="3" t="s">
        <v>12</v>
      </c>
      <c r="H1164" s="3" t="str">
        <f t="shared" si="88"/>
        <v>gl.Entry</v>
      </c>
      <c r="I1164" s="3" t="s">
        <v>12</v>
      </c>
      <c r="K1164" s="3" t="s">
        <v>12</v>
      </c>
      <c r="M1164" s="3" t="s">
        <v>196</v>
      </c>
      <c r="O1164" s="3">
        <v>0</v>
      </c>
      <c r="Q1164" s="3" t="s">
        <v>92</v>
      </c>
      <c r="U1164" s="3" t="s">
        <v>93</v>
      </c>
      <c r="AD1164">
        <v>15000</v>
      </c>
      <c r="AE1164" t="str">
        <f t="shared" si="90"/>
        <v>glEntry.Description</v>
      </c>
      <c r="AF1164" t="s">
        <v>702</v>
      </c>
      <c r="AJ1164" t="e">
        <f>VLOOKUP(E1164,temp1,1,FALSE)</f>
        <v>#NAME?</v>
      </c>
      <c r="AP1164" t="e">
        <f>VLOOKUP(E1164,temp6,1,FALSE)</f>
        <v>#NAME?</v>
      </c>
    </row>
    <row r="1165" spans="1:42" ht="15" hidden="1" customHeight="1">
      <c r="A1165">
        <v>202630</v>
      </c>
      <c r="B1165" s="3" t="s">
        <v>464</v>
      </c>
      <c r="C1165" s="3" t="str">
        <f t="shared" si="89"/>
        <v>GLEntries.CostCentreID</v>
      </c>
      <c r="D1165" s="3">
        <v>200280</v>
      </c>
      <c r="E1165" s="3" t="str">
        <f t="shared" si="87"/>
        <v>GLEntries</v>
      </c>
      <c r="F1165" s="3" t="s">
        <v>212</v>
      </c>
      <c r="H1165" s="3" t="str">
        <f t="shared" si="88"/>
        <v>gl.Entry</v>
      </c>
      <c r="I1165" s="3" t="s">
        <v>212</v>
      </c>
      <c r="K1165" s="3" t="s">
        <v>328</v>
      </c>
      <c r="M1165" s="3" t="s">
        <v>195</v>
      </c>
      <c r="Q1165" s="3" t="s">
        <v>92</v>
      </c>
      <c r="U1165" s="3" t="s">
        <v>96</v>
      </c>
      <c r="V1165">
        <v>200170</v>
      </c>
      <c r="W1165" s="3" t="str">
        <f>VLOOKUP(V1165,DictionaryTableID,3,FALSE)</f>
        <v>CostCentres</v>
      </c>
      <c r="AD1165">
        <v>14910</v>
      </c>
      <c r="AE1165" t="str">
        <f t="shared" si="90"/>
        <v>glEntry.glCostCentreID</v>
      </c>
      <c r="AF1165" t="s">
        <v>703</v>
      </c>
      <c r="AJ1165" t="e">
        <f>VLOOKUP(E1165,temp1,1,FALSE)</f>
        <v>#NAME?</v>
      </c>
      <c r="AP1165" t="e">
        <f>VLOOKUP(E1165,temp6,1,FALSE)</f>
        <v>#NAME?</v>
      </c>
    </row>
    <row r="1166" spans="1:42" ht="15" hidden="1" customHeight="1">
      <c r="A1166">
        <v>202640</v>
      </c>
      <c r="B1166" s="3" t="s">
        <v>464</v>
      </c>
      <c r="C1166" s="3" t="str">
        <f t="shared" si="89"/>
        <v>GLEntries.RollupAmount</v>
      </c>
      <c r="D1166" s="3">
        <v>200280</v>
      </c>
      <c r="E1166" s="3" t="str">
        <f t="shared" si="87"/>
        <v>GLEntries</v>
      </c>
      <c r="F1166" s="3" t="s">
        <v>59</v>
      </c>
      <c r="H1166" s="3" t="str">
        <f t="shared" si="88"/>
        <v>gl.Entry</v>
      </c>
      <c r="I1166" s="3" t="s">
        <v>59</v>
      </c>
      <c r="K1166" s="3" t="s">
        <v>349</v>
      </c>
      <c r="M1166" s="3" t="s">
        <v>197</v>
      </c>
      <c r="N1166" s="3">
        <v>15</v>
      </c>
      <c r="O1166" s="3">
        <v>2</v>
      </c>
      <c r="Q1166" s="3" t="s">
        <v>92</v>
      </c>
      <c r="U1166" s="3" t="s">
        <v>93</v>
      </c>
      <c r="AD1166">
        <v>15030</v>
      </c>
      <c r="AE1166" t="str">
        <f t="shared" si="90"/>
        <v>glEntry.RollupAmount</v>
      </c>
      <c r="AF1166" t="s">
        <v>704</v>
      </c>
      <c r="AJ1166" t="e">
        <f>VLOOKUP(E1166,temp1,1,FALSE)</f>
        <v>#NAME?</v>
      </c>
      <c r="AP1166" t="e">
        <f>VLOOKUP(E1166,temp6,1,FALSE)</f>
        <v>#NAME?</v>
      </c>
    </row>
    <row r="1167" spans="1:42" ht="15" hidden="1" customHeight="1">
      <c r="A1167">
        <v>202650</v>
      </c>
      <c r="B1167" s="3" t="s">
        <v>464</v>
      </c>
      <c r="C1167" s="3" t="str">
        <f t="shared" si="89"/>
        <v>GLEntries.TransactionID</v>
      </c>
      <c r="D1167" s="3">
        <v>200280</v>
      </c>
      <c r="E1167" s="3" t="str">
        <f t="shared" si="87"/>
        <v>GLEntries</v>
      </c>
      <c r="F1167" s="3" t="s">
        <v>68</v>
      </c>
      <c r="H1167" s="3" t="str">
        <f t="shared" si="88"/>
        <v>gl.Entry</v>
      </c>
      <c r="I1167" s="3" t="s">
        <v>68</v>
      </c>
      <c r="K1167" s="3" t="s">
        <v>120</v>
      </c>
      <c r="M1167" s="3" t="s">
        <v>195</v>
      </c>
      <c r="Q1167" s="3" t="s">
        <v>92</v>
      </c>
      <c r="U1167" s="3" t="s">
        <v>96</v>
      </c>
      <c r="V1167">
        <v>200390</v>
      </c>
      <c r="W1167" s="3" t="str">
        <f>VLOOKUP(V1167,DictionaryTableID,3,FALSE)</f>
        <v>Transactions</v>
      </c>
      <c r="AD1167">
        <v>14940</v>
      </c>
      <c r="AE1167" t="str">
        <f t="shared" si="90"/>
        <v>glEntry.glTransactionID</v>
      </c>
      <c r="AF1167" t="s">
        <v>705</v>
      </c>
      <c r="AJ1167" t="e">
        <f>VLOOKUP(E1167,temp1,1,FALSE)</f>
        <v>#NAME?</v>
      </c>
      <c r="AP1167" t="e">
        <f>VLOOKUP(E1167,temp6,1,FALSE)</f>
        <v>#NAME?</v>
      </c>
    </row>
    <row r="1168" spans="1:42" ht="15" hidden="1" customHeight="1">
      <c r="A1168">
        <v>202660</v>
      </c>
      <c r="B1168" s="3" t="s">
        <v>464</v>
      </c>
      <c r="C1168" s="3" t="str">
        <f t="shared" si="89"/>
        <v>GLEntries.ReconciliationDate</v>
      </c>
      <c r="D1168" s="3">
        <v>200280</v>
      </c>
      <c r="E1168" s="3" t="str">
        <f t="shared" si="87"/>
        <v>GLEntries</v>
      </c>
      <c r="F1168" s="3" t="s">
        <v>58</v>
      </c>
      <c r="H1168" s="3" t="str">
        <f t="shared" si="88"/>
        <v>gl.Entry</v>
      </c>
      <c r="I1168" s="3" t="s">
        <v>58</v>
      </c>
      <c r="K1168" s="3" t="s">
        <v>420</v>
      </c>
      <c r="M1168" s="3" t="s">
        <v>329</v>
      </c>
      <c r="N1168" s="3">
        <v>8</v>
      </c>
      <c r="O1168" s="3">
        <v>0</v>
      </c>
      <c r="Q1168" s="3" t="s">
        <v>92</v>
      </c>
      <c r="U1168" s="3" t="s">
        <v>93</v>
      </c>
      <c r="AD1168">
        <v>14980</v>
      </c>
      <c r="AE1168" t="str">
        <f t="shared" si="90"/>
        <v>glEntry.BankReconciliationDate</v>
      </c>
      <c r="AF1168" t="s">
        <v>706</v>
      </c>
      <c r="AJ1168" t="e">
        <f>VLOOKUP(E1168,temp1,1,FALSE)</f>
        <v>#NAME?</v>
      </c>
      <c r="AP1168" t="e">
        <f>VLOOKUP(E1168,temp6,1,FALSE)</f>
        <v>#NAME?</v>
      </c>
    </row>
    <row r="1169" spans="1:42" ht="15" hidden="1" customHeight="1">
      <c r="A1169">
        <v>202670</v>
      </c>
      <c r="B1169" s="3" t="s">
        <v>464</v>
      </c>
      <c r="C1169" s="3" t="str">
        <f t="shared" si="89"/>
        <v>GLEntries.ReferenceNumber</v>
      </c>
      <c r="D1169" s="3">
        <v>200280</v>
      </c>
      <c r="E1169" s="3" t="str">
        <f t="shared" si="87"/>
        <v>GLEntries</v>
      </c>
      <c r="F1169" s="3" t="s">
        <v>28</v>
      </c>
      <c r="H1169" s="3" t="str">
        <f t="shared" si="88"/>
        <v>gl.Entry</v>
      </c>
      <c r="I1169" s="3" t="s">
        <v>28</v>
      </c>
      <c r="K1169" s="3" t="s">
        <v>102</v>
      </c>
      <c r="M1169" s="3" t="s">
        <v>196</v>
      </c>
      <c r="O1169" s="3">
        <v>0</v>
      </c>
      <c r="Q1169" s="3" t="s">
        <v>92</v>
      </c>
      <c r="U1169" s="3" t="s">
        <v>93</v>
      </c>
      <c r="AD1169">
        <v>15020</v>
      </c>
      <c r="AE1169" t="str">
        <f t="shared" si="90"/>
        <v>glEntry.ReferenceNumber</v>
      </c>
      <c r="AF1169" t="s">
        <v>707</v>
      </c>
      <c r="AJ1169" t="e">
        <f>VLOOKUP(E1169,temp1,1,FALSE)</f>
        <v>#NAME?</v>
      </c>
      <c r="AP1169" t="e">
        <f>VLOOKUP(E1169,temp6,1,FALSE)</f>
        <v>#NAME?</v>
      </c>
    </row>
    <row r="1170" spans="1:42" ht="15" hidden="1" customHeight="1">
      <c r="A1170">
        <v>202680</v>
      </c>
      <c r="B1170" s="3" t="s">
        <v>464</v>
      </c>
      <c r="C1170" s="3" t="str">
        <f t="shared" si="89"/>
        <v>GLEntries.SeqNo</v>
      </c>
      <c r="D1170" s="3">
        <v>200280</v>
      </c>
      <c r="E1170" s="3" t="str">
        <f t="shared" si="87"/>
        <v>GLEntries</v>
      </c>
      <c r="F1170" s="3" t="s">
        <v>1360</v>
      </c>
      <c r="H1170" s="3" t="str">
        <f t="shared" si="88"/>
        <v>gl.Entry</v>
      </c>
      <c r="I1170" s="3" t="s">
        <v>1360</v>
      </c>
      <c r="K1170" s="3" t="s">
        <v>360</v>
      </c>
      <c r="M1170" s="3" t="s">
        <v>196</v>
      </c>
      <c r="O1170" s="3">
        <v>0</v>
      </c>
      <c r="Q1170" s="3" t="s">
        <v>92</v>
      </c>
      <c r="U1170" s="3" t="s">
        <v>93</v>
      </c>
      <c r="AF1170" t="s">
        <v>708</v>
      </c>
      <c r="AJ1170" t="e">
        <f>VLOOKUP(E1170,temp1,1,FALSE)</f>
        <v>#NAME?</v>
      </c>
      <c r="AP1170" t="e">
        <f>VLOOKUP(E1170,temp6,1,FALSE)</f>
        <v>#NAME?</v>
      </c>
    </row>
    <row r="1171" spans="1:42" ht="15" hidden="1" customHeight="1">
      <c r="A1171">
        <v>202690</v>
      </c>
      <c r="B1171" s="3" t="s">
        <v>464</v>
      </c>
      <c r="C1171" s="3" t="str">
        <f t="shared" si="89"/>
        <v>GLEntries.GLEntryID</v>
      </c>
      <c r="D1171" s="3">
        <v>200280</v>
      </c>
      <c r="E1171" s="3" t="str">
        <f t="shared" si="87"/>
        <v>GLEntries</v>
      </c>
      <c r="F1171" s="3" t="s">
        <v>1361</v>
      </c>
      <c r="H1171" s="3" t="str">
        <f t="shared" si="88"/>
        <v>gl.Entry</v>
      </c>
      <c r="I1171" s="3" t="s">
        <v>1361</v>
      </c>
      <c r="K1171" s="3" t="s">
        <v>134</v>
      </c>
      <c r="M1171" s="3" t="s">
        <v>195</v>
      </c>
      <c r="Q1171" s="3" t="s">
        <v>92</v>
      </c>
      <c r="U1171" s="3" t="s">
        <v>96</v>
      </c>
      <c r="V1171">
        <v>200280</v>
      </c>
      <c r="W1171" s="3" t="str">
        <f>VLOOKUP(V1171,DictionaryTableID,3,FALSE)</f>
        <v>GLEntries</v>
      </c>
      <c r="AF1171" t="s">
        <v>709</v>
      </c>
      <c r="AJ1171" t="e">
        <f>VLOOKUP(E1171,temp1,1,FALSE)</f>
        <v>#NAME?</v>
      </c>
      <c r="AP1171" t="e">
        <f>VLOOKUP(E1171,temp6,1,FALSE)</f>
        <v>#NAME?</v>
      </c>
    </row>
    <row r="1172" spans="1:42" ht="15" hidden="1" customHeight="1">
      <c r="A1172">
        <v>202700</v>
      </c>
      <c r="B1172" s="3" t="s">
        <v>464</v>
      </c>
      <c r="C1172" s="3" t="str">
        <f t="shared" si="89"/>
        <v>GLEntries.Comments</v>
      </c>
      <c r="D1172" s="3">
        <v>200280</v>
      </c>
      <c r="E1172" s="3" t="str">
        <f t="shared" si="87"/>
        <v>GLEntries</v>
      </c>
      <c r="F1172" s="3" t="s">
        <v>14</v>
      </c>
      <c r="H1172" s="3" t="str">
        <f t="shared" si="88"/>
        <v>gl.Entry</v>
      </c>
      <c r="I1172" s="3" t="s">
        <v>14</v>
      </c>
      <c r="K1172" s="3" t="s">
        <v>14</v>
      </c>
      <c r="M1172" s="3" t="s">
        <v>196</v>
      </c>
      <c r="O1172" s="3">
        <v>0</v>
      </c>
      <c r="Q1172" s="3" t="s">
        <v>92</v>
      </c>
      <c r="U1172" s="3" t="s">
        <v>93</v>
      </c>
      <c r="AD1172">
        <v>14990</v>
      </c>
      <c r="AE1172" t="str">
        <f>IF(AD1172=-1,"All",VLOOKUP(AD1172,ColumnId,3,FALSE))</f>
        <v>glEntry.Comments</v>
      </c>
      <c r="AF1172" t="s">
        <v>710</v>
      </c>
      <c r="AJ1172" t="e">
        <f>VLOOKUP(E1172,temp1,1,FALSE)</f>
        <v>#NAME?</v>
      </c>
      <c r="AP1172" t="e">
        <f>VLOOKUP(E1172,temp6,1,FALSE)</f>
        <v>#NAME?</v>
      </c>
    </row>
    <row r="1173" spans="1:42" ht="15" hidden="1" customHeight="1">
      <c r="A1173">
        <v>202710</v>
      </c>
      <c r="B1173" s="3" t="s">
        <v>464</v>
      </c>
      <c r="C1173" s="3" t="str">
        <f t="shared" si="89"/>
        <v>GLEntries.Type</v>
      </c>
      <c r="D1173" s="3">
        <v>200280</v>
      </c>
      <c r="E1173" s="3" t="str">
        <f t="shared" si="87"/>
        <v>GLEntries</v>
      </c>
      <c r="F1173" s="3" t="s">
        <v>40</v>
      </c>
      <c r="H1173" s="3" t="str">
        <f t="shared" si="88"/>
        <v>gl.Entry</v>
      </c>
      <c r="I1173" s="3" t="s">
        <v>40</v>
      </c>
      <c r="K1173" s="3" t="s">
        <v>40</v>
      </c>
      <c r="M1173" s="3" t="s">
        <v>196</v>
      </c>
      <c r="O1173" s="3">
        <v>0</v>
      </c>
      <c r="Q1173" s="3" t="s">
        <v>92</v>
      </c>
      <c r="U1173" s="3" t="s">
        <v>93</v>
      </c>
      <c r="AF1173" t="s">
        <v>711</v>
      </c>
      <c r="AJ1173" t="e">
        <f>VLOOKUP(E1173,temp1,1,FALSE)</f>
        <v>#NAME?</v>
      </c>
      <c r="AP1173" t="e">
        <f>VLOOKUP(E1173,temp6,1,FALSE)</f>
        <v>#NAME?</v>
      </c>
    </row>
    <row r="1174" spans="1:42" ht="15" hidden="1" customHeight="1">
      <c r="A1174">
        <v>202720</v>
      </c>
      <c r="B1174" s="3" t="s">
        <v>464</v>
      </c>
      <c r="C1174" s="3" t="str">
        <f t="shared" si="89"/>
        <v>GLEntries.Source</v>
      </c>
      <c r="D1174" s="3">
        <v>200280</v>
      </c>
      <c r="E1174" s="3" t="str">
        <f t="shared" si="87"/>
        <v>GLEntries</v>
      </c>
      <c r="F1174" s="3" t="s">
        <v>83</v>
      </c>
      <c r="H1174" s="3" t="str">
        <f t="shared" si="88"/>
        <v>gl.Entry</v>
      </c>
      <c r="I1174" s="3" t="s">
        <v>83</v>
      </c>
      <c r="K1174" s="3" t="s">
        <v>83</v>
      </c>
      <c r="M1174" s="3" t="s">
        <v>196</v>
      </c>
      <c r="O1174" s="3">
        <v>0</v>
      </c>
      <c r="Q1174" s="3" t="s">
        <v>92</v>
      </c>
      <c r="U1174" s="3" t="s">
        <v>93</v>
      </c>
      <c r="AF1174" t="s">
        <v>712</v>
      </c>
      <c r="AJ1174" t="e">
        <f>VLOOKUP(E1174,temp1,1,FALSE)</f>
        <v>#NAME?</v>
      </c>
      <c r="AP1174" t="e">
        <f>VLOOKUP(E1174,temp6,1,FALSE)</f>
        <v>#NAME?</v>
      </c>
    </row>
    <row r="1175" spans="1:42" ht="15" hidden="1" customHeight="1">
      <c r="A1175">
        <v>202730</v>
      </c>
      <c r="B1175" s="3" t="s">
        <v>464</v>
      </c>
      <c r="C1175" s="3" t="str">
        <f t="shared" si="89"/>
        <v>GLEntries.RecordStatus</v>
      </c>
      <c r="D1175" s="3">
        <v>200280</v>
      </c>
      <c r="E1175" s="3" t="str">
        <f t="shared" si="87"/>
        <v>GLEntries</v>
      </c>
      <c r="F1175" s="3" t="s">
        <v>4</v>
      </c>
      <c r="H1175" s="3" t="str">
        <f t="shared" si="88"/>
        <v>gl.Entry</v>
      </c>
      <c r="I1175" s="3" t="s">
        <v>4</v>
      </c>
      <c r="K1175" s="3" t="s">
        <v>4</v>
      </c>
      <c r="M1175" s="3" t="s">
        <v>196</v>
      </c>
      <c r="O1175" s="3">
        <v>0</v>
      </c>
      <c r="Q1175" s="3" t="s">
        <v>92</v>
      </c>
      <c r="U1175" s="3" t="s">
        <v>94</v>
      </c>
      <c r="AJ1175" t="e">
        <f>VLOOKUP(E1175,temp1,1,FALSE)</f>
        <v>#NAME?</v>
      </c>
      <c r="AP1175" t="e">
        <f>VLOOKUP(E1175,temp6,1,FALSE)</f>
        <v>#NAME?</v>
      </c>
    </row>
    <row r="1176" spans="1:42" ht="15" hidden="1" customHeight="1">
      <c r="A1176">
        <v>202740</v>
      </c>
      <c r="B1176" s="3" t="s">
        <v>464</v>
      </c>
      <c r="C1176" s="3" t="str">
        <f t="shared" si="89"/>
        <v>GLAccounts.ID</v>
      </c>
      <c r="D1176" s="3">
        <v>200260</v>
      </c>
      <c r="E1176" s="3" t="str">
        <f t="shared" si="87"/>
        <v>GLAccounts</v>
      </c>
      <c r="F1176" s="3" t="s">
        <v>0</v>
      </c>
      <c r="H1176" s="3" t="str">
        <f t="shared" si="88"/>
        <v>gl.Account</v>
      </c>
      <c r="I1176" s="3" t="s">
        <v>0</v>
      </c>
      <c r="K1176" s="3" t="s">
        <v>0</v>
      </c>
      <c r="M1176" s="3" t="s">
        <v>195</v>
      </c>
      <c r="Q1176" s="3" t="s">
        <v>919</v>
      </c>
      <c r="U1176" s="3" t="s">
        <v>95</v>
      </c>
      <c r="AD1176">
        <v>-1</v>
      </c>
      <c r="AE1176" t="str">
        <f t="shared" ref="AE1176:AE1184" si="91">IF(AD1176=-1,"All",VLOOKUP(AD1176,ColumnId,3,FALSE))</f>
        <v>All</v>
      </c>
      <c r="AF1176" t="s">
        <v>713</v>
      </c>
      <c r="AJ1176" t="e">
        <f>VLOOKUP(E1176,temp1,1,FALSE)</f>
        <v>#NAME?</v>
      </c>
      <c r="AP1176" t="e">
        <f>VLOOKUP(E1176,temp6,1,FALSE)</f>
        <v>#NAME?</v>
      </c>
    </row>
    <row r="1177" spans="1:42" ht="15" hidden="1" customHeight="1">
      <c r="A1177">
        <v>202750</v>
      </c>
      <c r="B1177" s="3" t="s">
        <v>464</v>
      </c>
      <c r="C1177" s="3" t="str">
        <f t="shared" si="89"/>
        <v>GLAccounts.SeqNo</v>
      </c>
      <c r="D1177" s="3">
        <v>200260</v>
      </c>
      <c r="E1177" s="3" t="str">
        <f t="shared" si="87"/>
        <v>GLAccounts</v>
      </c>
      <c r="F1177" s="3" t="s">
        <v>1360</v>
      </c>
      <c r="H1177" s="3" t="str">
        <f t="shared" si="88"/>
        <v>gl.Account</v>
      </c>
      <c r="I1177" s="3" t="s">
        <v>1360</v>
      </c>
      <c r="K1177" s="3" t="s">
        <v>360</v>
      </c>
      <c r="M1177" s="3" t="s">
        <v>195</v>
      </c>
      <c r="Q1177" s="3" t="s">
        <v>92</v>
      </c>
      <c r="U1177" s="3" t="s">
        <v>93</v>
      </c>
      <c r="AD1177">
        <v>13650</v>
      </c>
      <c r="AE1177" t="str">
        <f t="shared" si="91"/>
        <v>glAccount.DisplaySequence</v>
      </c>
      <c r="AF1177" t="s">
        <v>714</v>
      </c>
      <c r="AJ1177" t="e">
        <f>VLOOKUP(E1177,temp1,1,FALSE)</f>
        <v>#NAME?</v>
      </c>
      <c r="AP1177" t="e">
        <f>VLOOKUP(E1177,temp6,1,FALSE)</f>
        <v>#NAME?</v>
      </c>
    </row>
    <row r="1178" spans="1:42" ht="15" hidden="1" customHeight="1">
      <c r="A1178">
        <v>202760</v>
      </c>
      <c r="B1178" s="3" t="s">
        <v>464</v>
      </c>
      <c r="C1178" s="3" t="str">
        <f t="shared" si="89"/>
        <v>GLAccounts.Description</v>
      </c>
      <c r="D1178" s="3">
        <v>200260</v>
      </c>
      <c r="E1178" s="3" t="str">
        <f t="shared" si="87"/>
        <v>GLAccounts</v>
      </c>
      <c r="F1178" s="3" t="s">
        <v>12</v>
      </c>
      <c r="H1178" s="3" t="str">
        <f t="shared" si="88"/>
        <v>gl.Account</v>
      </c>
      <c r="I1178" s="3" t="s">
        <v>12</v>
      </c>
      <c r="K1178" s="3" t="s">
        <v>12</v>
      </c>
      <c r="M1178" s="3" t="s">
        <v>196</v>
      </c>
      <c r="O1178" s="3">
        <v>0</v>
      </c>
      <c r="Q1178" s="3" t="s">
        <v>92</v>
      </c>
      <c r="U1178" s="3" t="s">
        <v>93</v>
      </c>
      <c r="AD1178">
        <v>13600</v>
      </c>
      <c r="AE1178" t="str">
        <f t="shared" si="91"/>
        <v>glAccount.Description</v>
      </c>
      <c r="AF1178" t="s">
        <v>715</v>
      </c>
      <c r="AJ1178" t="e">
        <f>VLOOKUP(E1178,temp1,1,FALSE)</f>
        <v>#NAME?</v>
      </c>
      <c r="AP1178" t="e">
        <f>VLOOKUP(E1178,temp6,1,FALSE)</f>
        <v>#NAME?</v>
      </c>
    </row>
    <row r="1179" spans="1:42" ht="15" hidden="1" customHeight="1">
      <c r="A1179">
        <v>202770</v>
      </c>
      <c r="B1179" s="3" t="s">
        <v>464</v>
      </c>
      <c r="C1179" s="3" t="str">
        <f t="shared" si="89"/>
        <v>GLAccounts.GLAccountID</v>
      </c>
      <c r="D1179" s="3">
        <v>200260</v>
      </c>
      <c r="E1179" s="3" t="str">
        <f t="shared" si="87"/>
        <v>GLAccounts</v>
      </c>
      <c r="F1179" s="3" t="s">
        <v>74</v>
      </c>
      <c r="H1179" s="3" t="str">
        <f t="shared" si="88"/>
        <v>gl.Account</v>
      </c>
      <c r="I1179" s="3" t="s">
        <v>74</v>
      </c>
      <c r="K1179" s="3" t="s">
        <v>123</v>
      </c>
      <c r="M1179" s="3" t="s">
        <v>195</v>
      </c>
      <c r="Q1179" s="3" t="s">
        <v>92</v>
      </c>
      <c r="U1179" s="3" t="s">
        <v>96</v>
      </c>
      <c r="V1179">
        <v>200260</v>
      </c>
      <c r="W1179" s="3" t="str">
        <f>VLOOKUP(V1179,DictionaryTableID,3,FALSE)</f>
        <v>GLAccounts</v>
      </c>
      <c r="AD1179">
        <v>13530</v>
      </c>
      <c r="AE1179" t="str">
        <f t="shared" si="91"/>
        <v>glAccount.glAccountIDParent</v>
      </c>
      <c r="AF1179" t="s">
        <v>716</v>
      </c>
      <c r="AJ1179" t="e">
        <f>VLOOKUP(E1179,temp1,1,FALSE)</f>
        <v>#NAME?</v>
      </c>
      <c r="AP1179" t="e">
        <f>VLOOKUP(E1179,temp6,1,FALSE)</f>
        <v>#NAME?</v>
      </c>
    </row>
    <row r="1180" spans="1:42" ht="15" hidden="1" customHeight="1">
      <c r="A1180">
        <v>202780</v>
      </c>
      <c r="B1180" s="3" t="s">
        <v>464</v>
      </c>
      <c r="C1180" s="3" t="str">
        <f t="shared" si="89"/>
        <v>GLAccounts.Narrative</v>
      </c>
      <c r="D1180" s="3">
        <v>200260</v>
      </c>
      <c r="E1180" s="3" t="str">
        <f t="shared" si="87"/>
        <v>GLAccounts</v>
      </c>
      <c r="F1180" s="3" t="s">
        <v>267</v>
      </c>
      <c r="H1180" s="3" t="str">
        <f t="shared" si="88"/>
        <v>gl.Account</v>
      </c>
      <c r="I1180" s="3" t="s">
        <v>267</v>
      </c>
      <c r="K1180" s="3" t="s">
        <v>267</v>
      </c>
      <c r="M1180" s="3" t="s">
        <v>196</v>
      </c>
      <c r="O1180" s="3">
        <v>0</v>
      </c>
      <c r="Q1180" s="3" t="s">
        <v>92</v>
      </c>
      <c r="U1180" s="3" t="s">
        <v>93</v>
      </c>
      <c r="AD1180">
        <v>13580</v>
      </c>
      <c r="AE1180" t="str">
        <f t="shared" si="91"/>
        <v>glAccount.Comments</v>
      </c>
      <c r="AF1180" t="s">
        <v>717</v>
      </c>
      <c r="AJ1180" t="e">
        <f>VLOOKUP(E1180,temp1,1,FALSE)</f>
        <v>#NAME?</v>
      </c>
      <c r="AP1180" t="e">
        <f>VLOOKUP(E1180,temp6,1,FALSE)</f>
        <v>#NAME?</v>
      </c>
    </row>
    <row r="1181" spans="1:42" ht="15" hidden="1" customHeight="1">
      <c r="A1181">
        <v>202790</v>
      </c>
      <c r="B1181" s="3" t="s">
        <v>464</v>
      </c>
      <c r="C1181" s="3" t="str">
        <f t="shared" si="89"/>
        <v>GLAccounts.RefSubClassifyByID</v>
      </c>
      <c r="D1181" s="3">
        <v>200260</v>
      </c>
      <c r="E1181" s="3" t="str">
        <f t="shared" si="87"/>
        <v>GLAccounts</v>
      </c>
      <c r="F1181" s="3" t="s">
        <v>292</v>
      </c>
      <c r="H1181" s="3" t="str">
        <f t="shared" si="88"/>
        <v>gl.Account</v>
      </c>
      <c r="I1181" s="3" t="s">
        <v>292</v>
      </c>
      <c r="K1181" s="3" t="s">
        <v>444</v>
      </c>
      <c r="M1181" s="3" t="s">
        <v>195</v>
      </c>
      <c r="Q1181" s="3" t="s">
        <v>92</v>
      </c>
      <c r="U1181" s="3" t="s">
        <v>97</v>
      </c>
      <c r="V1181">
        <v>200360</v>
      </c>
      <c r="W1181" s="3" t="str">
        <f>VLOOKUP(V1181,DictionaryTableID,3,FALSE)</f>
        <v>ReferenceFields</v>
      </c>
      <c r="AD1181">
        <v>13550</v>
      </c>
      <c r="AE1181" t="str">
        <f t="shared" si="91"/>
        <v>glAccount.sysMultilinkTableRuleID</v>
      </c>
      <c r="AF1181" t="s">
        <v>718</v>
      </c>
      <c r="AJ1181" t="e">
        <f>VLOOKUP(E1181,temp1,1,FALSE)</f>
        <v>#NAME?</v>
      </c>
      <c r="AP1181" t="e">
        <f>VLOOKUP(E1181,temp6,1,FALSE)</f>
        <v>#NAME?</v>
      </c>
    </row>
    <row r="1182" spans="1:42" ht="15" hidden="1" customHeight="1">
      <c r="A1182">
        <v>202800</v>
      </c>
      <c r="B1182" s="3" t="s">
        <v>464</v>
      </c>
      <c r="C1182" s="3" t="str">
        <f t="shared" si="89"/>
        <v>GLAccounts.ReferenceNumber</v>
      </c>
      <c r="D1182" s="3">
        <v>200260</v>
      </c>
      <c r="E1182" s="3" t="str">
        <f t="shared" si="87"/>
        <v>GLAccounts</v>
      </c>
      <c r="F1182" s="3" t="s">
        <v>28</v>
      </c>
      <c r="H1182" s="3" t="str">
        <f t="shared" si="88"/>
        <v>gl.Account</v>
      </c>
      <c r="I1182" s="3" t="s">
        <v>28</v>
      </c>
      <c r="K1182" s="3" t="s">
        <v>102</v>
      </c>
      <c r="M1182" s="3" t="s">
        <v>196</v>
      </c>
      <c r="O1182" s="3">
        <v>0</v>
      </c>
      <c r="Q1182" s="3" t="s">
        <v>92</v>
      </c>
      <c r="U1182" s="3" t="s">
        <v>93</v>
      </c>
      <c r="AD1182">
        <v>13640</v>
      </c>
      <c r="AE1182" t="str">
        <f t="shared" si="91"/>
        <v>glAccount.ReferenceNumber</v>
      </c>
      <c r="AF1182" t="s">
        <v>719</v>
      </c>
      <c r="AJ1182" t="e">
        <f>VLOOKUP(E1182,temp1,1,FALSE)</f>
        <v>#NAME?</v>
      </c>
      <c r="AP1182" t="e">
        <f>VLOOKUP(E1182,temp6,1,FALSE)</f>
        <v>#NAME?</v>
      </c>
    </row>
    <row r="1183" spans="1:42" ht="15" hidden="1" customHeight="1">
      <c r="A1183">
        <v>202810</v>
      </c>
      <c r="B1183" s="3" t="s">
        <v>464</v>
      </c>
      <c r="C1183" s="3" t="str">
        <f t="shared" si="89"/>
        <v>GLAccounts.Classify</v>
      </c>
      <c r="D1183" s="3">
        <v>200260</v>
      </c>
      <c r="E1183" s="3" t="str">
        <f t="shared" si="87"/>
        <v>GLAccounts</v>
      </c>
      <c r="F1183" s="3" t="s">
        <v>26</v>
      </c>
      <c r="H1183" s="3" t="str">
        <f t="shared" si="88"/>
        <v>gl.Account</v>
      </c>
      <c r="I1183" s="3" t="s">
        <v>26</v>
      </c>
      <c r="K1183" s="3" t="s">
        <v>26</v>
      </c>
      <c r="L1183" t="s">
        <v>2414</v>
      </c>
      <c r="M1183" s="3" t="s">
        <v>196</v>
      </c>
      <c r="O1183" s="3">
        <v>0</v>
      </c>
      <c r="Q1183" s="3" t="s">
        <v>92</v>
      </c>
      <c r="U1183" s="3" t="s">
        <v>93</v>
      </c>
      <c r="AD1183">
        <v>13620</v>
      </c>
      <c r="AE1183" t="str">
        <f t="shared" si="91"/>
        <v>glAccount.IsUsedToClassifyRecords</v>
      </c>
      <c r="AF1183" t="s">
        <v>720</v>
      </c>
      <c r="AJ1183" t="e">
        <f>VLOOKUP(E1183,temp1,1,FALSE)</f>
        <v>#NAME?</v>
      </c>
      <c r="AP1183" t="e">
        <f>VLOOKUP(E1183,temp6,1,FALSE)</f>
        <v>#NAME?</v>
      </c>
    </row>
    <row r="1184" spans="1:42" ht="15" hidden="1" customHeight="1">
      <c r="A1184">
        <v>202820</v>
      </c>
      <c r="B1184" s="3" t="s">
        <v>464</v>
      </c>
      <c r="C1184" s="3" t="str">
        <f t="shared" si="89"/>
        <v>GLAccounts.RefTypeID</v>
      </c>
      <c r="D1184" s="3">
        <v>200260</v>
      </c>
      <c r="E1184" s="3" t="str">
        <f t="shared" si="87"/>
        <v>GLAccounts</v>
      </c>
      <c r="F1184" s="3" t="s">
        <v>277</v>
      </c>
      <c r="H1184" s="3" t="str">
        <f t="shared" si="88"/>
        <v>gl.Account</v>
      </c>
      <c r="I1184" s="3" t="s">
        <v>277</v>
      </c>
      <c r="K1184" s="3" t="s">
        <v>40</v>
      </c>
      <c r="M1184" s="3" t="s">
        <v>195</v>
      </c>
      <c r="Q1184" s="3" t="s">
        <v>92</v>
      </c>
      <c r="U1184" s="3" t="s">
        <v>97</v>
      </c>
      <c r="V1184">
        <v>200360</v>
      </c>
      <c r="W1184" s="3" t="str">
        <f>VLOOKUP(V1184,DictionaryTableID,3,FALSE)</f>
        <v>ReferenceFields</v>
      </c>
      <c r="AD1184">
        <v>13540</v>
      </c>
      <c r="AE1184" t="str">
        <f t="shared" si="91"/>
        <v>glAccount.glAccountTypeID</v>
      </c>
      <c r="AF1184" t="s">
        <v>721</v>
      </c>
      <c r="AJ1184" t="e">
        <f>VLOOKUP(E1184,temp1,1,FALSE)</f>
        <v>#NAME?</v>
      </c>
      <c r="AP1184" t="e">
        <f>VLOOKUP(E1184,temp6,1,FALSE)</f>
        <v>#NAME?</v>
      </c>
    </row>
    <row r="1185" spans="1:46" ht="15" hidden="1" customHeight="1">
      <c r="A1185">
        <v>202830</v>
      </c>
      <c r="B1185" s="3" t="s">
        <v>464</v>
      </c>
      <c r="C1185" s="3" t="str">
        <f t="shared" si="89"/>
        <v>GLAccounts.TreeString</v>
      </c>
      <c r="D1185" s="3">
        <v>200260</v>
      </c>
      <c r="E1185" s="3" t="str">
        <f t="shared" si="87"/>
        <v>GLAccounts</v>
      </c>
      <c r="F1185" s="3" t="s">
        <v>460</v>
      </c>
      <c r="H1185" s="3" t="str">
        <f t="shared" si="88"/>
        <v>gl.Account</v>
      </c>
      <c r="I1185" s="3" t="s">
        <v>460</v>
      </c>
      <c r="K1185" s="3" t="s">
        <v>460</v>
      </c>
      <c r="M1185" s="3" t="s">
        <v>196</v>
      </c>
      <c r="Q1185" s="3" t="s">
        <v>92</v>
      </c>
      <c r="U1185" s="3" t="s">
        <v>93</v>
      </c>
      <c r="AF1185" t="s">
        <v>722</v>
      </c>
      <c r="AJ1185" t="e">
        <f>VLOOKUP(E1185,temp1,1,FALSE)</f>
        <v>#NAME?</v>
      </c>
      <c r="AP1185" t="e">
        <f>VLOOKUP(E1185,temp6,1,FALSE)</f>
        <v>#NAME?</v>
      </c>
      <c r="AS1185" t="str">
        <f>"select distinct "&amp;F1185&amp;" from "&amp;E1185&amp;" union all"</f>
        <v>select distinct TreeString from GLAccounts union all</v>
      </c>
      <c r="AT1185" t="str">
        <f>"update a set a."&amp;F1185&amp;"=b.tableid from "&amp;E1185&amp;" a join #dbidtranslation b on b.dbid="&amp;F1185</f>
        <v>update a set a.TreeString=b.tableid from GLAccounts a join #dbidtranslation b on b.dbid=TreeString</v>
      </c>
    </row>
    <row r="1186" spans="1:46" ht="15" hidden="1" customHeight="1">
      <c r="A1186">
        <v>202850</v>
      </c>
      <c r="B1186" s="3" t="s">
        <v>464</v>
      </c>
      <c r="C1186" s="3" t="str">
        <f t="shared" si="89"/>
        <v>GLAccounts.RecordStatus</v>
      </c>
      <c r="D1186" s="3">
        <v>200260</v>
      </c>
      <c r="E1186" s="3" t="str">
        <f t="shared" si="87"/>
        <v>GLAccounts</v>
      </c>
      <c r="F1186" s="3" t="s">
        <v>4</v>
      </c>
      <c r="H1186" s="3" t="str">
        <f t="shared" si="88"/>
        <v>gl.Account</v>
      </c>
      <c r="I1186" s="3" t="s">
        <v>4</v>
      </c>
      <c r="K1186" s="3" t="s">
        <v>4</v>
      </c>
      <c r="M1186" s="3" t="s">
        <v>196</v>
      </c>
      <c r="O1186" s="3">
        <v>0</v>
      </c>
      <c r="Q1186" s="3" t="s">
        <v>92</v>
      </c>
      <c r="U1186" s="3" t="s">
        <v>94</v>
      </c>
      <c r="AD1186">
        <v>13660</v>
      </c>
      <c r="AE1186" t="str">
        <f>IF(AD1186=-1,"All",VLOOKUP(AD1186,ColumnId,3,FALSE))</f>
        <v>glAccount.RowStatus</v>
      </c>
      <c r="AJ1186" t="e">
        <f>VLOOKUP(E1186,temp1,1,FALSE)</f>
        <v>#NAME?</v>
      </c>
      <c r="AP1186" t="e">
        <f>VLOOKUP(E1186,temp6,1,FALSE)</f>
        <v>#NAME?</v>
      </c>
    </row>
    <row r="1187" spans="1:46" ht="15" hidden="1" customHeight="1">
      <c r="A1187">
        <v>202860</v>
      </c>
      <c r="B1187" s="3" t="s">
        <v>464</v>
      </c>
      <c r="C1187" s="3" t="str">
        <f t="shared" si="89"/>
        <v>BatchTypes.ID</v>
      </c>
      <c r="D1187" s="3">
        <v>200090</v>
      </c>
      <c r="E1187" s="3" t="str">
        <f t="shared" si="87"/>
        <v>BatchTypes</v>
      </c>
      <c r="F1187" s="3" t="s">
        <v>0</v>
      </c>
      <c r="H1187" s="3" t="str">
        <f t="shared" si="88"/>
        <v>gl.BatchType</v>
      </c>
      <c r="I1187" s="3" t="s">
        <v>0</v>
      </c>
      <c r="K1187" s="3" t="s">
        <v>0</v>
      </c>
      <c r="M1187" s="3" t="s">
        <v>195</v>
      </c>
      <c r="Q1187" s="3" t="s">
        <v>919</v>
      </c>
      <c r="U1187" s="3" t="s">
        <v>95</v>
      </c>
      <c r="AD1187">
        <v>-1</v>
      </c>
      <c r="AE1187" t="str">
        <f>IF(AD1187=-1,"All",VLOOKUP(AD1187,ColumnId,3,FALSE))</f>
        <v>All</v>
      </c>
      <c r="AF1187" t="s">
        <v>723</v>
      </c>
      <c r="AJ1187" t="e">
        <f>VLOOKUP(E1187,temp1,1,FALSE)</f>
        <v>#NAME?</v>
      </c>
      <c r="AP1187" t="e">
        <f>VLOOKUP(E1187,temp6,1,FALSE)</f>
        <v>#NAME?</v>
      </c>
    </row>
    <row r="1188" spans="1:46" ht="15" hidden="1" customHeight="1">
      <c r="A1188">
        <v>202870</v>
      </c>
      <c r="B1188" s="3" t="s">
        <v>464</v>
      </c>
      <c r="C1188" s="3" t="str">
        <f t="shared" si="89"/>
        <v>BatchTypes.Description</v>
      </c>
      <c r="D1188" s="3">
        <v>200090</v>
      </c>
      <c r="E1188" s="3" t="str">
        <f t="shared" si="87"/>
        <v>BatchTypes</v>
      </c>
      <c r="F1188" s="3" t="s">
        <v>12</v>
      </c>
      <c r="H1188" s="3" t="str">
        <f t="shared" si="88"/>
        <v>gl.BatchType</v>
      </c>
      <c r="I1188" s="3" t="s">
        <v>12</v>
      </c>
      <c r="K1188" s="3" t="s">
        <v>12</v>
      </c>
      <c r="M1188" s="3" t="s">
        <v>196</v>
      </c>
      <c r="O1188" s="3">
        <v>0</v>
      </c>
      <c r="Q1188" s="3" t="s">
        <v>92</v>
      </c>
      <c r="U1188" s="3" t="s">
        <v>93</v>
      </c>
      <c r="AD1188">
        <v>14070</v>
      </c>
      <c r="AE1188" t="str">
        <f>IF(AD1188=-1,"All",VLOOKUP(AD1188,ColumnId,3,FALSE))</f>
        <v>glBatchType.Description</v>
      </c>
      <c r="AF1188" t="s">
        <v>724</v>
      </c>
      <c r="AJ1188" t="e">
        <f>VLOOKUP(E1188,temp1,1,FALSE)</f>
        <v>#NAME?</v>
      </c>
      <c r="AP1188" t="e">
        <f>VLOOKUP(E1188,temp6,1,FALSE)</f>
        <v>#NAME?</v>
      </c>
    </row>
    <row r="1189" spans="1:46" ht="15" hidden="1" customHeight="1">
      <c r="A1189">
        <v>202880</v>
      </c>
      <c r="B1189" s="3" t="s">
        <v>464</v>
      </c>
      <c r="C1189" s="3" t="str">
        <f t="shared" si="89"/>
        <v>BatchTypes.Shortcode</v>
      </c>
      <c r="D1189" s="3">
        <v>200090</v>
      </c>
      <c r="E1189" s="3" t="str">
        <f t="shared" si="87"/>
        <v>BatchTypes</v>
      </c>
      <c r="F1189" s="3" t="s">
        <v>89</v>
      </c>
      <c r="H1189" s="3" t="str">
        <f t="shared" si="88"/>
        <v>gl.BatchType</v>
      </c>
      <c r="I1189" s="3" t="s">
        <v>89</v>
      </c>
      <c r="K1189" s="3" t="s">
        <v>89</v>
      </c>
      <c r="M1189" s="3" t="s">
        <v>196</v>
      </c>
      <c r="O1189" s="3">
        <v>0</v>
      </c>
      <c r="Q1189" s="3" t="s">
        <v>92</v>
      </c>
      <c r="U1189" s="3" t="s">
        <v>93</v>
      </c>
      <c r="AD1189">
        <v>14100</v>
      </c>
      <c r="AE1189" t="str">
        <f>IF(AD1189=-1,"All",VLOOKUP(AD1189,ColumnId,3,FALSE))</f>
        <v>glBatchType.Shortcode</v>
      </c>
      <c r="AF1189" t="s">
        <v>725</v>
      </c>
      <c r="AJ1189" t="e">
        <f>VLOOKUP(E1189,temp1,1,FALSE)</f>
        <v>#NAME?</v>
      </c>
      <c r="AP1189" t="e">
        <f>VLOOKUP(E1189,temp6,1,FALSE)</f>
        <v>#NAME?</v>
      </c>
    </row>
    <row r="1190" spans="1:46" ht="15" hidden="1" customHeight="1">
      <c r="A1190">
        <v>202890</v>
      </c>
      <c r="B1190" s="3" t="s">
        <v>464</v>
      </c>
      <c r="C1190" s="3" t="str">
        <f t="shared" si="89"/>
        <v>BatchTypes.GenBlk</v>
      </c>
      <c r="D1190" s="3">
        <v>200090</v>
      </c>
      <c r="E1190" s="3" t="str">
        <f t="shared" si="87"/>
        <v>BatchTypes</v>
      </c>
      <c r="F1190" s="3" t="s">
        <v>237</v>
      </c>
      <c r="H1190" s="3" t="str">
        <f t="shared" si="88"/>
        <v>gl.BatchType</v>
      </c>
      <c r="I1190" s="3" t="s">
        <v>237</v>
      </c>
      <c r="K1190" s="3" t="s">
        <v>366</v>
      </c>
      <c r="M1190" s="3" t="s">
        <v>196</v>
      </c>
      <c r="O1190" s="3">
        <v>0</v>
      </c>
      <c r="Q1190" s="3" t="s">
        <v>92</v>
      </c>
      <c r="U1190" s="3" t="s">
        <v>93</v>
      </c>
      <c r="AF1190" t="s">
        <v>726</v>
      </c>
      <c r="AJ1190" t="e">
        <f>VLOOKUP(E1190,temp1,1,FALSE)</f>
        <v>#NAME?</v>
      </c>
      <c r="AP1190" t="e">
        <f>VLOOKUP(E1190,temp6,1,FALSE)</f>
        <v>#NAME?</v>
      </c>
    </row>
    <row r="1191" spans="1:46" ht="15" hidden="1" customHeight="1">
      <c r="A1191">
        <v>202900</v>
      </c>
      <c r="B1191" s="3" t="s">
        <v>464</v>
      </c>
      <c r="C1191" s="3" t="str">
        <f t="shared" si="89"/>
        <v>BatchTypes.StartDate</v>
      </c>
      <c r="D1191" s="3">
        <v>200090</v>
      </c>
      <c r="E1191" s="3" t="str">
        <f t="shared" si="87"/>
        <v>BatchTypes</v>
      </c>
      <c r="F1191" s="3" t="s">
        <v>17</v>
      </c>
      <c r="H1191" s="3" t="str">
        <f t="shared" si="88"/>
        <v>gl.BatchType</v>
      </c>
      <c r="I1191" s="3" t="s">
        <v>17</v>
      </c>
      <c r="K1191" s="3" t="s">
        <v>108</v>
      </c>
      <c r="M1191" s="3" t="s">
        <v>329</v>
      </c>
      <c r="N1191" s="3">
        <v>8</v>
      </c>
      <c r="O1191" s="3">
        <v>0</v>
      </c>
      <c r="Q1191" s="3" t="s">
        <v>92</v>
      </c>
      <c r="U1191" s="3" t="s">
        <v>93</v>
      </c>
      <c r="AD1191">
        <v>14110</v>
      </c>
      <c r="AE1191" t="str">
        <f>IF(AD1191=-1,"All",VLOOKUP(AD1191,ColumnId,3,FALSE))</f>
        <v>glBatchType.StartDate</v>
      </c>
      <c r="AF1191" t="s">
        <v>727</v>
      </c>
      <c r="AJ1191" t="e">
        <f>VLOOKUP(E1191,temp1,1,FALSE)</f>
        <v>#NAME?</v>
      </c>
      <c r="AP1191" t="e">
        <f>VLOOKUP(E1191,temp6,1,FALSE)</f>
        <v>#NAME?</v>
      </c>
    </row>
    <row r="1192" spans="1:46" ht="15" hidden="1" customHeight="1">
      <c r="A1192">
        <v>202910</v>
      </c>
      <c r="B1192" s="3" t="s">
        <v>464</v>
      </c>
      <c r="C1192" s="3" t="str">
        <f t="shared" si="89"/>
        <v>BatchTypes.IncrementDate</v>
      </c>
      <c r="D1192" s="3">
        <v>200090</v>
      </c>
      <c r="E1192" s="3" t="str">
        <f t="shared" si="87"/>
        <v>BatchTypes</v>
      </c>
      <c r="F1192" s="3" t="s">
        <v>15</v>
      </c>
      <c r="H1192" s="3" t="str">
        <f t="shared" si="88"/>
        <v>gl.BatchType</v>
      </c>
      <c r="I1192" s="3" t="s">
        <v>15</v>
      </c>
      <c r="K1192" s="3" t="s">
        <v>133</v>
      </c>
      <c r="M1192" s="3" t="s">
        <v>196</v>
      </c>
      <c r="O1192" s="3">
        <v>0</v>
      </c>
      <c r="Q1192" s="3" t="s">
        <v>92</v>
      </c>
      <c r="U1192" s="3" t="s">
        <v>93</v>
      </c>
      <c r="AF1192" t="s">
        <v>728</v>
      </c>
      <c r="AJ1192" t="e">
        <f>VLOOKUP(E1192,temp1,1,FALSE)</f>
        <v>#NAME?</v>
      </c>
      <c r="AP1192" t="e">
        <f>VLOOKUP(E1192,temp6,1,FALSE)</f>
        <v>#NAME?</v>
      </c>
    </row>
    <row r="1193" spans="1:46" ht="15" hidden="1" customHeight="1">
      <c r="A1193">
        <v>202920</v>
      </c>
      <c r="B1193" s="3" t="s">
        <v>464</v>
      </c>
      <c r="C1193" s="3" t="str">
        <f t="shared" si="89"/>
        <v>BatchTypes.Comments</v>
      </c>
      <c r="D1193" s="3">
        <v>200090</v>
      </c>
      <c r="E1193" s="3" t="str">
        <f t="shared" si="87"/>
        <v>BatchTypes</v>
      </c>
      <c r="F1193" s="3" t="s">
        <v>14</v>
      </c>
      <c r="H1193" s="3" t="str">
        <f t="shared" si="88"/>
        <v>gl.BatchType</v>
      </c>
      <c r="I1193" s="3" t="s">
        <v>14</v>
      </c>
      <c r="K1193" s="3" t="s">
        <v>14</v>
      </c>
      <c r="M1193" s="3" t="s">
        <v>196</v>
      </c>
      <c r="O1193" s="3">
        <v>0</v>
      </c>
      <c r="Q1193" s="3" t="s">
        <v>92</v>
      </c>
      <c r="U1193" s="3" t="s">
        <v>93</v>
      </c>
      <c r="AD1193">
        <v>14060</v>
      </c>
      <c r="AE1193" t="str">
        <f t="shared" ref="AE1193:AE1201" si="92">IF(AD1193=-1,"All",VLOOKUP(AD1193,ColumnId,3,FALSE))</f>
        <v>glBatchType.Comments</v>
      </c>
      <c r="AF1193" t="s">
        <v>729</v>
      </c>
      <c r="AJ1193" t="e">
        <f>VLOOKUP(E1193,temp1,1,FALSE)</f>
        <v>#NAME?</v>
      </c>
      <c r="AP1193" t="e">
        <f>VLOOKUP(E1193,temp6,1,FALSE)</f>
        <v>#NAME?</v>
      </c>
    </row>
    <row r="1194" spans="1:46" ht="15" hidden="1" customHeight="1">
      <c r="A1194">
        <v>202930</v>
      </c>
      <c r="B1194" s="3" t="s">
        <v>464</v>
      </c>
      <c r="C1194" s="3" t="str">
        <f t="shared" si="89"/>
        <v>BatchTypes.RecordStatus</v>
      </c>
      <c r="D1194" s="3">
        <v>200090</v>
      </c>
      <c r="E1194" s="3" t="str">
        <f t="shared" si="87"/>
        <v>BatchTypes</v>
      </c>
      <c r="F1194" s="3" t="s">
        <v>4</v>
      </c>
      <c r="H1194" s="3" t="str">
        <f t="shared" si="88"/>
        <v>gl.BatchType</v>
      </c>
      <c r="I1194" s="3" t="s">
        <v>4</v>
      </c>
      <c r="K1194" s="3" t="s">
        <v>4</v>
      </c>
      <c r="M1194" s="3" t="s">
        <v>196</v>
      </c>
      <c r="O1194" s="3">
        <v>0</v>
      </c>
      <c r="Q1194" s="3" t="s">
        <v>92</v>
      </c>
      <c r="U1194" s="3" t="s">
        <v>94</v>
      </c>
      <c r="AD1194">
        <v>14120</v>
      </c>
      <c r="AE1194" t="str">
        <f t="shared" si="92"/>
        <v>glBatchType.RowStatus</v>
      </c>
      <c r="AJ1194" t="e">
        <f>VLOOKUP(E1194,temp1,1,FALSE)</f>
        <v>#NAME?</v>
      </c>
      <c r="AP1194" t="e">
        <f>VLOOKUP(E1194,temp6,1,FALSE)</f>
        <v>#NAME?</v>
      </c>
    </row>
    <row r="1195" spans="1:46" ht="15" hidden="1" customHeight="1">
      <c r="A1195">
        <v>202940</v>
      </c>
      <c r="B1195" s="3" t="s">
        <v>464</v>
      </c>
      <c r="C1195" s="3" t="str">
        <f t="shared" si="89"/>
        <v>Batches.ID</v>
      </c>
      <c r="D1195" s="3">
        <v>200080</v>
      </c>
      <c r="E1195" s="3" t="str">
        <f t="shared" si="87"/>
        <v>Batches</v>
      </c>
      <c r="F1195" s="3" t="s">
        <v>0</v>
      </c>
      <c r="H1195" s="3" t="str">
        <f t="shared" si="88"/>
        <v>gl.Batch</v>
      </c>
      <c r="I1195" s="3" t="s">
        <v>0</v>
      </c>
      <c r="K1195" s="3" t="s">
        <v>0</v>
      </c>
      <c r="M1195" s="3" t="s">
        <v>195</v>
      </c>
      <c r="Q1195" s="3" t="s">
        <v>919</v>
      </c>
      <c r="U1195" s="3" t="s">
        <v>95</v>
      </c>
      <c r="AD1195">
        <v>-1</v>
      </c>
      <c r="AE1195" t="str">
        <f t="shared" si="92"/>
        <v>All</v>
      </c>
      <c r="AF1195" t="s">
        <v>730</v>
      </c>
      <c r="AJ1195" t="e">
        <f>VLOOKUP(E1195,temp1,1,FALSE)</f>
        <v>#NAME?</v>
      </c>
      <c r="AP1195" t="e">
        <f>VLOOKUP(E1195,temp6,1,FALSE)</f>
        <v>#NAME?</v>
      </c>
    </row>
    <row r="1196" spans="1:46" ht="15" hidden="1" customHeight="1">
      <c r="A1196">
        <v>202950</v>
      </c>
      <c r="B1196" s="3" t="s">
        <v>464</v>
      </c>
      <c r="C1196" s="3" t="str">
        <f t="shared" si="89"/>
        <v>Batches.BatchTypeID</v>
      </c>
      <c r="D1196" s="3">
        <v>200080</v>
      </c>
      <c r="E1196" s="3" t="str">
        <f t="shared" si="87"/>
        <v>Batches</v>
      </c>
      <c r="F1196" s="3" t="s">
        <v>10</v>
      </c>
      <c r="H1196" s="3" t="str">
        <f t="shared" si="88"/>
        <v>gl.Batch</v>
      </c>
      <c r="I1196" s="3" t="s">
        <v>10</v>
      </c>
      <c r="K1196" s="3" t="s">
        <v>103</v>
      </c>
      <c r="M1196" s="3" t="s">
        <v>195</v>
      </c>
      <c r="Q1196" s="3" t="s">
        <v>92</v>
      </c>
      <c r="U1196" s="3" t="s">
        <v>96</v>
      </c>
      <c r="V1196">
        <v>200090</v>
      </c>
      <c r="W1196" s="3" t="str">
        <f>VLOOKUP(V1196,DictionaryTableID,3,FALSE)</f>
        <v>BatchTypes</v>
      </c>
      <c r="AD1196">
        <v>13920</v>
      </c>
      <c r="AE1196" t="str">
        <f t="shared" si="92"/>
        <v>glBatch.glBatchTypeID</v>
      </c>
      <c r="AF1196" t="s">
        <v>731</v>
      </c>
      <c r="AJ1196" t="e">
        <f>VLOOKUP(E1196,temp1,1,FALSE)</f>
        <v>#NAME?</v>
      </c>
      <c r="AP1196" t="e">
        <f>VLOOKUP(E1196,temp6,1,FALSE)</f>
        <v>#NAME?</v>
      </c>
    </row>
    <row r="1197" spans="1:46" ht="15" hidden="1" customHeight="1">
      <c r="A1197">
        <v>202960</v>
      </c>
      <c r="B1197" s="3" t="s">
        <v>464</v>
      </c>
      <c r="C1197" s="3" t="str">
        <f t="shared" si="89"/>
        <v>Batches.GLAccountID</v>
      </c>
      <c r="D1197" s="3">
        <v>200080</v>
      </c>
      <c r="E1197" s="3" t="str">
        <f t="shared" si="87"/>
        <v>Batches</v>
      </c>
      <c r="F1197" s="3" t="s">
        <v>74</v>
      </c>
      <c r="H1197" s="3" t="str">
        <f t="shared" si="88"/>
        <v>gl.Batch</v>
      </c>
      <c r="I1197" s="3" t="s">
        <v>74</v>
      </c>
      <c r="K1197" s="3" t="s">
        <v>123</v>
      </c>
      <c r="M1197" s="3" t="s">
        <v>195</v>
      </c>
      <c r="Q1197" s="3" t="s">
        <v>92</v>
      </c>
      <c r="U1197" s="3" t="s">
        <v>96</v>
      </c>
      <c r="V1197">
        <v>200260</v>
      </c>
      <c r="W1197" s="3" t="str">
        <f>VLOOKUP(V1197,DictionaryTableID,3,FALSE)</f>
        <v>GLAccounts</v>
      </c>
      <c r="AD1197">
        <v>13900</v>
      </c>
      <c r="AE1197" t="str">
        <f t="shared" si="92"/>
        <v>glBatch.glAccountID</v>
      </c>
      <c r="AF1197" t="s">
        <v>732</v>
      </c>
      <c r="AJ1197" t="e">
        <f>VLOOKUP(E1197,temp1,1,FALSE)</f>
        <v>#NAME?</v>
      </c>
      <c r="AP1197" t="e">
        <f>VLOOKUP(E1197,temp6,1,FALSE)</f>
        <v>#NAME?</v>
      </c>
    </row>
    <row r="1198" spans="1:46" ht="15" hidden="1" customHeight="1">
      <c r="A1198">
        <v>202970</v>
      </c>
      <c r="B1198" s="3" t="s">
        <v>464</v>
      </c>
      <c r="C1198" s="3" t="str">
        <f t="shared" si="89"/>
        <v>Batches.ApprovalDate</v>
      </c>
      <c r="D1198" s="3">
        <v>200080</v>
      </c>
      <c r="E1198" s="3" t="str">
        <f t="shared" si="87"/>
        <v>Batches</v>
      </c>
      <c r="F1198" s="3" t="s">
        <v>7</v>
      </c>
      <c r="H1198" s="3" t="str">
        <f t="shared" si="88"/>
        <v>gl.Batch</v>
      </c>
      <c r="I1198" s="3" t="s">
        <v>7</v>
      </c>
      <c r="K1198" s="3" t="s">
        <v>364</v>
      </c>
      <c r="M1198" s="3" t="s">
        <v>329</v>
      </c>
      <c r="N1198" s="3">
        <v>8</v>
      </c>
      <c r="O1198" s="3">
        <v>0</v>
      </c>
      <c r="Q1198" s="3" t="s">
        <v>92</v>
      </c>
      <c r="U1198" s="3" t="s">
        <v>93</v>
      </c>
      <c r="AD1198">
        <v>13940</v>
      </c>
      <c r="AE1198" t="str">
        <f t="shared" si="92"/>
        <v>glBatch.ApprovalDate</v>
      </c>
      <c r="AF1198" t="s">
        <v>733</v>
      </c>
      <c r="AJ1198" t="e">
        <f>VLOOKUP(E1198,temp1,1,FALSE)</f>
        <v>#NAME?</v>
      </c>
      <c r="AP1198" t="e">
        <f>VLOOKUP(E1198,temp6,1,FALSE)</f>
        <v>#NAME?</v>
      </c>
    </row>
    <row r="1199" spans="1:46" ht="15" hidden="1" customHeight="1">
      <c r="A1199">
        <v>202980</v>
      </c>
      <c r="B1199" s="3" t="s">
        <v>464</v>
      </c>
      <c r="C1199" s="3" t="str">
        <f t="shared" si="89"/>
        <v>Batches.CreateDate</v>
      </c>
      <c r="D1199" s="3">
        <v>200080</v>
      </c>
      <c r="E1199" s="3" t="str">
        <f t="shared" si="87"/>
        <v>Batches</v>
      </c>
      <c r="F1199" s="3" t="s">
        <v>11</v>
      </c>
      <c r="H1199" s="3" t="str">
        <f t="shared" si="88"/>
        <v>gl.Batch</v>
      </c>
      <c r="I1199" s="3" t="s">
        <v>11</v>
      </c>
      <c r="K1199" s="3" t="s">
        <v>111</v>
      </c>
      <c r="M1199" s="3" t="s">
        <v>329</v>
      </c>
      <c r="N1199" s="3">
        <v>8</v>
      </c>
      <c r="O1199" s="3">
        <v>0</v>
      </c>
      <c r="Q1199" s="3" t="s">
        <v>92</v>
      </c>
      <c r="U1199" s="3" t="s">
        <v>93</v>
      </c>
      <c r="AD1199">
        <v>13950</v>
      </c>
      <c r="AE1199" t="str">
        <f t="shared" si="92"/>
        <v>glBatch.CreateDate</v>
      </c>
      <c r="AF1199" t="s">
        <v>734</v>
      </c>
      <c r="AJ1199" t="e">
        <f>VLOOKUP(E1199,temp1,1,FALSE)</f>
        <v>#NAME?</v>
      </c>
      <c r="AP1199" t="e">
        <f>VLOOKUP(E1199,temp6,1,FALSE)</f>
        <v>#NAME?</v>
      </c>
    </row>
    <row r="1200" spans="1:46" ht="15" hidden="1" customHeight="1">
      <c r="A1200">
        <v>202990</v>
      </c>
      <c r="B1200" s="3" t="s">
        <v>464</v>
      </c>
      <c r="C1200" s="3" t="str">
        <f t="shared" si="89"/>
        <v>Batches.BatchError</v>
      </c>
      <c r="D1200" s="3">
        <v>200080</v>
      </c>
      <c r="E1200" s="3" t="str">
        <f t="shared" si="87"/>
        <v>Batches</v>
      </c>
      <c r="F1200" s="3" t="s">
        <v>9</v>
      </c>
      <c r="H1200" s="3" t="str">
        <f t="shared" si="88"/>
        <v>gl.Batch</v>
      </c>
      <c r="I1200" s="3" t="s">
        <v>9</v>
      </c>
      <c r="K1200" s="3" t="s">
        <v>112</v>
      </c>
      <c r="L1200" t="s">
        <v>2409</v>
      </c>
      <c r="M1200" s="3" t="s">
        <v>196</v>
      </c>
      <c r="O1200" s="3">
        <v>0</v>
      </c>
      <c r="Q1200" s="3" t="s">
        <v>92</v>
      </c>
      <c r="U1200" s="3" t="s">
        <v>93</v>
      </c>
      <c r="AD1200">
        <v>13980</v>
      </c>
      <c r="AE1200" t="str">
        <f t="shared" si="92"/>
        <v>glBatch.HasBatchError</v>
      </c>
      <c r="AF1200" t="s">
        <v>735</v>
      </c>
      <c r="AJ1200" t="e">
        <f>VLOOKUP(E1200,temp1,1,FALSE)</f>
        <v>#NAME?</v>
      </c>
      <c r="AP1200" t="e">
        <f>VLOOKUP(E1200,temp6,1,FALSE)</f>
        <v>#NAME?</v>
      </c>
    </row>
    <row r="1201" spans="1:42" ht="15" hidden="1" customHeight="1">
      <c r="A1201">
        <v>203000</v>
      </c>
      <c r="B1201" s="3" t="s">
        <v>464</v>
      </c>
      <c r="C1201" s="3" t="str">
        <f t="shared" si="89"/>
        <v>Batches.ApprovalYear</v>
      </c>
      <c r="D1201" s="3">
        <v>200080</v>
      </c>
      <c r="E1201" s="3" t="str">
        <f t="shared" si="87"/>
        <v>Batches</v>
      </c>
      <c r="F1201" s="3" t="s">
        <v>8</v>
      </c>
      <c r="H1201" s="3" t="str">
        <f t="shared" si="88"/>
        <v>gl.Batch</v>
      </c>
      <c r="I1201" s="3" t="s">
        <v>8</v>
      </c>
      <c r="K1201" s="3" t="s">
        <v>365</v>
      </c>
      <c r="L1201" t="s">
        <v>2420</v>
      </c>
      <c r="M1201" s="3" t="s">
        <v>196</v>
      </c>
      <c r="O1201" s="3">
        <v>0</v>
      </c>
      <c r="Q1201" s="3" t="s">
        <v>92</v>
      </c>
      <c r="U1201" s="3" t="s">
        <v>93</v>
      </c>
      <c r="AD1201">
        <v>13970</v>
      </c>
      <c r="AE1201" t="str">
        <f t="shared" si="92"/>
        <v>glBatch.FiscalYear</v>
      </c>
      <c r="AF1201" t="s">
        <v>736</v>
      </c>
      <c r="AJ1201" t="e">
        <f>VLOOKUP(E1201,temp1,1,FALSE)</f>
        <v>#NAME?</v>
      </c>
      <c r="AP1201" t="e">
        <f>VLOOKUP(E1201,temp6,1,FALSE)</f>
        <v>#NAME?</v>
      </c>
    </row>
    <row r="1202" spans="1:42" ht="15" hidden="1" customHeight="1">
      <c r="A1202">
        <v>203010</v>
      </c>
      <c r="B1202" s="3" t="s">
        <v>464</v>
      </c>
      <c r="C1202" s="3" t="str">
        <f t="shared" si="89"/>
        <v>Batches.RecordStatus</v>
      </c>
      <c r="D1202" s="3">
        <v>200080</v>
      </c>
      <c r="E1202" s="3" t="str">
        <f t="shared" si="87"/>
        <v>Batches</v>
      </c>
      <c r="F1202" s="3" t="s">
        <v>4</v>
      </c>
      <c r="H1202" s="3" t="str">
        <f t="shared" si="88"/>
        <v>gl.Batch</v>
      </c>
      <c r="I1202" s="3" t="s">
        <v>4</v>
      </c>
      <c r="K1202" s="3" t="s">
        <v>4</v>
      </c>
      <c r="M1202" s="3" t="s">
        <v>196</v>
      </c>
      <c r="O1202" s="3">
        <v>0</v>
      </c>
      <c r="Q1202" s="3" t="s">
        <v>92</v>
      </c>
      <c r="U1202" s="3" t="s">
        <v>94</v>
      </c>
      <c r="AJ1202" t="e">
        <f>VLOOKUP(E1202,temp1,1,FALSE)</f>
        <v>#NAME?</v>
      </c>
      <c r="AP1202" t="e">
        <f>VLOOKUP(E1202,temp6,1,FALSE)</f>
        <v>#NAME?</v>
      </c>
    </row>
    <row r="1203" spans="1:42" ht="15" hidden="1" customHeight="1">
      <c r="A1203">
        <v>203020</v>
      </c>
      <c r="B1203" s="3" t="s">
        <v>464</v>
      </c>
      <c r="C1203" s="3" t="str">
        <f t="shared" si="89"/>
        <v>AccountBalances.ID</v>
      </c>
      <c r="D1203" s="3">
        <v>200000</v>
      </c>
      <c r="E1203" s="3" t="str">
        <f t="shared" si="87"/>
        <v>AccountBalances</v>
      </c>
      <c r="F1203" s="3" t="s">
        <v>0</v>
      </c>
      <c r="H1203" s="3" t="str">
        <f t="shared" si="88"/>
        <v>gl.AccountBalance</v>
      </c>
      <c r="I1203" s="3" t="s">
        <v>0</v>
      </c>
      <c r="K1203" s="3" t="s">
        <v>0</v>
      </c>
      <c r="M1203" s="3" t="s">
        <v>195</v>
      </c>
      <c r="Q1203" s="3" t="s">
        <v>919</v>
      </c>
      <c r="U1203" s="3" t="s">
        <v>95</v>
      </c>
      <c r="AF1203" t="s">
        <v>737</v>
      </c>
      <c r="AJ1203" t="e">
        <f>VLOOKUP(E1203,temp1,1,FALSE)</f>
        <v>#NAME?</v>
      </c>
      <c r="AP1203" t="e">
        <f>VLOOKUP(E1203,temp6,1,FALSE)</f>
        <v>#NAME?</v>
      </c>
    </row>
    <row r="1204" spans="1:42" ht="15" hidden="1" customHeight="1">
      <c r="A1204">
        <v>203030</v>
      </c>
      <c r="B1204" s="3" t="s">
        <v>464</v>
      </c>
      <c r="C1204" s="3" t="str">
        <f t="shared" si="89"/>
        <v>AccountBalances.GLAccountID</v>
      </c>
      <c r="D1204" s="3">
        <v>200000</v>
      </c>
      <c r="E1204" s="3" t="str">
        <f t="shared" si="87"/>
        <v>AccountBalances</v>
      </c>
      <c r="F1204" s="3" t="s">
        <v>74</v>
      </c>
      <c r="H1204" s="3" t="str">
        <f t="shared" si="88"/>
        <v>gl.AccountBalance</v>
      </c>
      <c r="I1204" s="3" t="s">
        <v>74</v>
      </c>
      <c r="K1204" s="3" t="s">
        <v>123</v>
      </c>
      <c r="M1204" s="3" t="s">
        <v>195</v>
      </c>
      <c r="Q1204" s="3" t="s">
        <v>92</v>
      </c>
      <c r="U1204" s="3" t="s">
        <v>96</v>
      </c>
      <c r="V1204">
        <v>200260</v>
      </c>
      <c r="W1204" s="3" t="str">
        <f>VLOOKUP(V1204,DictionaryTableID,3,FALSE)</f>
        <v>GLAccounts</v>
      </c>
      <c r="AF1204" t="s">
        <v>738</v>
      </c>
      <c r="AJ1204" t="e">
        <f>VLOOKUP(E1204,temp1,1,FALSE)</f>
        <v>#NAME?</v>
      </c>
      <c r="AP1204" t="e">
        <f>VLOOKUP(E1204,temp6,1,FALSE)</f>
        <v>#NAME?</v>
      </c>
    </row>
    <row r="1205" spans="1:42" ht="15" hidden="1" customHeight="1">
      <c r="A1205">
        <v>203040</v>
      </c>
      <c r="B1205" s="3" t="s">
        <v>464</v>
      </c>
      <c r="C1205" s="3" t="str">
        <f t="shared" si="89"/>
        <v>AccountBalances.CostCentreID</v>
      </c>
      <c r="D1205" s="3">
        <v>200000</v>
      </c>
      <c r="E1205" s="3" t="str">
        <f t="shared" si="87"/>
        <v>AccountBalances</v>
      </c>
      <c r="F1205" s="3" t="s">
        <v>212</v>
      </c>
      <c r="H1205" s="3" t="str">
        <f t="shared" si="88"/>
        <v>gl.AccountBalance</v>
      </c>
      <c r="I1205" s="3" t="s">
        <v>212</v>
      </c>
      <c r="K1205" s="3" t="s">
        <v>328</v>
      </c>
      <c r="M1205" s="3" t="s">
        <v>195</v>
      </c>
      <c r="Q1205" s="3" t="s">
        <v>92</v>
      </c>
      <c r="U1205" s="3" t="s">
        <v>96</v>
      </c>
      <c r="V1205">
        <v>200170</v>
      </c>
      <c r="W1205" s="3" t="str">
        <f>VLOOKUP(V1205,DictionaryTableID,3,FALSE)</f>
        <v>CostCentres</v>
      </c>
      <c r="AF1205" t="s">
        <v>739</v>
      </c>
      <c r="AJ1205" t="e">
        <f>VLOOKUP(E1205,temp1,1,FALSE)</f>
        <v>#NAME?</v>
      </c>
      <c r="AP1205" t="e">
        <f>VLOOKUP(E1205,temp6,1,FALSE)</f>
        <v>#NAME?</v>
      </c>
    </row>
    <row r="1206" spans="1:42" ht="15" hidden="1" customHeight="1">
      <c r="A1206">
        <v>203050</v>
      </c>
      <c r="B1206" s="3" t="s">
        <v>464</v>
      </c>
      <c r="C1206" s="3" t="str">
        <f t="shared" si="89"/>
        <v>AccountBalances.Date</v>
      </c>
      <c r="D1206" s="3">
        <v>200000</v>
      </c>
      <c r="E1206" s="3" t="str">
        <f t="shared" si="87"/>
        <v>AccountBalances</v>
      </c>
      <c r="F1206" s="3" t="s">
        <v>81</v>
      </c>
      <c r="H1206" s="3" t="str">
        <f t="shared" si="88"/>
        <v>gl.AccountBalance</v>
      </c>
      <c r="I1206" s="3" t="s">
        <v>81</v>
      </c>
      <c r="K1206" s="3" t="s">
        <v>81</v>
      </c>
      <c r="M1206" s="3" t="s">
        <v>329</v>
      </c>
      <c r="N1206" s="3">
        <v>8</v>
      </c>
      <c r="O1206" s="3">
        <v>0</v>
      </c>
      <c r="Q1206" s="3" t="s">
        <v>92</v>
      </c>
      <c r="U1206" s="3" t="s">
        <v>93</v>
      </c>
      <c r="AF1206" t="s">
        <v>740</v>
      </c>
      <c r="AJ1206" t="e">
        <f>VLOOKUP(E1206,temp1,1,FALSE)</f>
        <v>#NAME?</v>
      </c>
      <c r="AP1206" t="e">
        <f>VLOOKUP(E1206,temp6,1,FALSE)</f>
        <v>#NAME?</v>
      </c>
    </row>
    <row r="1207" spans="1:42" ht="15" hidden="1" customHeight="1">
      <c r="A1207">
        <v>203060</v>
      </c>
      <c r="B1207" s="3" t="s">
        <v>464</v>
      </c>
      <c r="C1207" s="3" t="str">
        <f t="shared" si="89"/>
        <v>AccountBalances.Balance</v>
      </c>
      <c r="D1207" s="3">
        <v>200000</v>
      </c>
      <c r="E1207" s="3" t="str">
        <f t="shared" si="87"/>
        <v>AccountBalances</v>
      </c>
      <c r="F1207" s="3" t="s">
        <v>260</v>
      </c>
      <c r="H1207" s="3" t="str">
        <f t="shared" si="88"/>
        <v>gl.AccountBalance</v>
      </c>
      <c r="I1207" s="3" t="s">
        <v>260</v>
      </c>
      <c r="K1207" s="3" t="s">
        <v>260</v>
      </c>
      <c r="M1207" s="3" t="s">
        <v>197</v>
      </c>
      <c r="N1207" s="3">
        <v>15</v>
      </c>
      <c r="O1207" s="3">
        <v>2</v>
      </c>
      <c r="Q1207" s="3" t="s">
        <v>92</v>
      </c>
      <c r="U1207" s="3" t="s">
        <v>93</v>
      </c>
      <c r="AF1207" t="s">
        <v>741</v>
      </c>
      <c r="AJ1207" t="e">
        <f>VLOOKUP(E1207,temp1,1,FALSE)</f>
        <v>#NAME?</v>
      </c>
      <c r="AP1207" t="e">
        <f>VLOOKUP(E1207,temp6,1,FALSE)</f>
        <v>#NAME?</v>
      </c>
    </row>
    <row r="1208" spans="1:42" ht="15" hidden="1" customHeight="1">
      <c r="A1208">
        <v>203070</v>
      </c>
      <c r="B1208" s="3" t="s">
        <v>464</v>
      </c>
      <c r="C1208" s="3" t="str">
        <f t="shared" si="89"/>
        <v>AccountBalances.BudgetBalance</v>
      </c>
      <c r="D1208" s="3">
        <v>200000</v>
      </c>
      <c r="E1208" s="3" t="str">
        <f t="shared" si="87"/>
        <v>AccountBalances</v>
      </c>
      <c r="F1208" s="3" t="s">
        <v>298</v>
      </c>
      <c r="H1208" s="3" t="str">
        <f t="shared" si="88"/>
        <v>gl.AccountBalance</v>
      </c>
      <c r="I1208" s="3" t="s">
        <v>298</v>
      </c>
      <c r="K1208" s="3" t="s">
        <v>348</v>
      </c>
      <c r="M1208" s="3" t="s">
        <v>197</v>
      </c>
      <c r="N1208" s="3">
        <v>15</v>
      </c>
      <c r="O1208" s="3">
        <v>2</v>
      </c>
      <c r="Q1208" s="3" t="s">
        <v>92</v>
      </c>
      <c r="U1208" s="3" t="s">
        <v>93</v>
      </c>
      <c r="AF1208" t="s">
        <v>742</v>
      </c>
      <c r="AJ1208" t="e">
        <f>VLOOKUP(E1208,temp1,1,FALSE)</f>
        <v>#NAME?</v>
      </c>
      <c r="AP1208" t="e">
        <f>VLOOKUP(E1208,temp6,1,FALSE)</f>
        <v>#NAME?</v>
      </c>
    </row>
    <row r="1209" spans="1:42" ht="15" hidden="1" customHeight="1">
      <c r="A1209">
        <v>203080</v>
      </c>
      <c r="B1209" s="3" t="s">
        <v>464</v>
      </c>
      <c r="C1209" s="3" t="str">
        <f t="shared" si="89"/>
        <v>AccountBalances.CommitBal</v>
      </c>
      <c r="D1209" s="3">
        <v>200000</v>
      </c>
      <c r="E1209" s="3" t="str">
        <f t="shared" si="87"/>
        <v>AccountBalances</v>
      </c>
      <c r="F1209" s="3" t="s">
        <v>231</v>
      </c>
      <c r="H1209" s="3" t="str">
        <f t="shared" si="88"/>
        <v>gl.AccountBalance</v>
      </c>
      <c r="I1209" s="3" t="s">
        <v>231</v>
      </c>
      <c r="K1209" s="3" t="s">
        <v>454</v>
      </c>
      <c r="M1209" s="3" t="s">
        <v>197</v>
      </c>
      <c r="N1209" s="3">
        <v>15</v>
      </c>
      <c r="O1209" s="3">
        <v>2</v>
      </c>
      <c r="Q1209" s="3" t="s">
        <v>92</v>
      </c>
      <c r="U1209" s="3" t="s">
        <v>93</v>
      </c>
      <c r="AF1209" t="s">
        <v>743</v>
      </c>
      <c r="AJ1209" t="e">
        <f>VLOOKUP(E1209,temp1,1,FALSE)</f>
        <v>#NAME?</v>
      </c>
      <c r="AP1209" t="e">
        <f>VLOOKUP(E1209,temp6,1,FALSE)</f>
        <v>#NAME?</v>
      </c>
    </row>
    <row r="1210" spans="1:42" ht="15" hidden="1" customHeight="1">
      <c r="A1210">
        <v>203090</v>
      </c>
      <c r="B1210" s="3" t="s">
        <v>464</v>
      </c>
      <c r="C1210" s="3" t="str">
        <f t="shared" si="89"/>
        <v>AccountBalances.RollupAmount</v>
      </c>
      <c r="D1210" s="3">
        <v>200000</v>
      </c>
      <c r="E1210" s="3" t="str">
        <f t="shared" si="87"/>
        <v>AccountBalances</v>
      </c>
      <c r="F1210" s="3" t="s">
        <v>59</v>
      </c>
      <c r="H1210" s="3" t="str">
        <f t="shared" si="88"/>
        <v>gl.AccountBalance</v>
      </c>
      <c r="I1210" s="3" t="s">
        <v>59</v>
      </c>
      <c r="K1210" s="3" t="s">
        <v>349</v>
      </c>
      <c r="M1210" s="3" t="s">
        <v>197</v>
      </c>
      <c r="N1210" s="3">
        <v>15</v>
      </c>
      <c r="O1210" s="3">
        <v>2</v>
      </c>
      <c r="Q1210" s="3" t="s">
        <v>92</v>
      </c>
      <c r="U1210" s="3" t="s">
        <v>93</v>
      </c>
      <c r="AF1210" t="s">
        <v>744</v>
      </c>
      <c r="AJ1210" t="e">
        <f>VLOOKUP(E1210,temp1,1,FALSE)</f>
        <v>#NAME?</v>
      </c>
      <c r="AP1210" t="e">
        <f>VLOOKUP(E1210,temp6,1,FALSE)</f>
        <v>#NAME?</v>
      </c>
    </row>
    <row r="1211" spans="1:42" ht="15" hidden="1" customHeight="1">
      <c r="A1211">
        <v>203100</v>
      </c>
      <c r="B1211" s="3" t="s">
        <v>464</v>
      </c>
      <c r="C1211" s="3" t="str">
        <f t="shared" si="89"/>
        <v>AccountBalances.BudgetRollup</v>
      </c>
      <c r="D1211" s="3">
        <v>200000</v>
      </c>
      <c r="E1211" s="3" t="str">
        <f t="shared" si="87"/>
        <v>AccountBalances</v>
      </c>
      <c r="F1211" s="3" t="s">
        <v>299</v>
      </c>
      <c r="H1211" s="3" t="str">
        <f t="shared" si="88"/>
        <v>gl.AccountBalance</v>
      </c>
      <c r="I1211" s="3" t="s">
        <v>299</v>
      </c>
      <c r="K1211" s="3" t="s">
        <v>350</v>
      </c>
      <c r="M1211" s="3" t="s">
        <v>197</v>
      </c>
      <c r="N1211" s="3">
        <v>15</v>
      </c>
      <c r="O1211" s="3">
        <v>2</v>
      </c>
      <c r="Q1211" s="3" t="s">
        <v>92</v>
      </c>
      <c r="U1211" s="3" t="s">
        <v>93</v>
      </c>
      <c r="AF1211" t="s">
        <v>745</v>
      </c>
      <c r="AJ1211" t="e">
        <f>VLOOKUP(E1211,temp1,1,FALSE)</f>
        <v>#NAME?</v>
      </c>
      <c r="AP1211" t="e">
        <f>VLOOKUP(E1211,temp6,1,FALSE)</f>
        <v>#NAME?</v>
      </c>
    </row>
    <row r="1212" spans="1:42" ht="15" hidden="1" customHeight="1">
      <c r="A1212">
        <v>203110</v>
      </c>
      <c r="B1212" s="3" t="s">
        <v>464</v>
      </c>
      <c r="C1212" s="3" t="str">
        <f t="shared" si="89"/>
        <v>AccountBalances.RecordStatus</v>
      </c>
      <c r="D1212" s="3">
        <v>200000</v>
      </c>
      <c r="E1212" s="3" t="str">
        <f t="shared" si="87"/>
        <v>AccountBalances</v>
      </c>
      <c r="F1212" s="3" t="s">
        <v>4</v>
      </c>
      <c r="H1212" s="3" t="str">
        <f t="shared" si="88"/>
        <v>gl.AccountBalance</v>
      </c>
      <c r="I1212" s="3" t="s">
        <v>4</v>
      </c>
      <c r="K1212" s="3" t="s">
        <v>4</v>
      </c>
      <c r="M1212" s="3" t="s">
        <v>196</v>
      </c>
      <c r="O1212" s="3">
        <v>0</v>
      </c>
      <c r="Q1212" s="3" t="s">
        <v>92</v>
      </c>
      <c r="U1212" s="3" t="s">
        <v>94</v>
      </c>
      <c r="AJ1212" t="e">
        <f>VLOOKUP(E1212,temp1,1,FALSE)</f>
        <v>#NAME?</v>
      </c>
      <c r="AP1212" t="e">
        <f>VLOOKUP(E1212,temp6,1,FALSE)</f>
        <v>#NAME?</v>
      </c>
    </row>
    <row r="1213" spans="1:42" ht="15" hidden="1" customHeight="1">
      <c r="A1213">
        <v>203120</v>
      </c>
      <c r="B1213" s="3" t="s">
        <v>464</v>
      </c>
      <c r="C1213" s="3" t="str">
        <f t="shared" si="89"/>
        <v>BillingAccounts.ID</v>
      </c>
      <c r="D1213" s="3">
        <v>200110</v>
      </c>
      <c r="E1213" s="3" t="str">
        <f t="shared" si="87"/>
        <v>BillingAccounts</v>
      </c>
      <c r="F1213" s="3" t="s">
        <v>0</v>
      </c>
      <c r="H1213" s="3" t="str">
        <f t="shared" si="88"/>
        <v>gl.BillingAccount</v>
      </c>
      <c r="I1213" s="3" t="s">
        <v>0</v>
      </c>
      <c r="K1213" s="3" t="s">
        <v>0</v>
      </c>
      <c r="M1213" s="3" t="s">
        <v>195</v>
      </c>
      <c r="Q1213" s="3" t="s">
        <v>919</v>
      </c>
      <c r="U1213" s="3" t="s">
        <v>95</v>
      </c>
      <c r="AD1213">
        <v>-1</v>
      </c>
      <c r="AE1213" t="str">
        <f>IF(AD1213=-1,"All",VLOOKUP(AD1213,ColumnId,3,FALSE))</f>
        <v>All</v>
      </c>
      <c r="AF1213" t="s">
        <v>746</v>
      </c>
      <c r="AJ1213" t="e">
        <f>VLOOKUP(E1213,temp1,1,FALSE)</f>
        <v>#NAME?</v>
      </c>
      <c r="AP1213" t="e">
        <f>VLOOKUP(E1213,temp6,1,FALSE)</f>
        <v>#NAME?</v>
      </c>
    </row>
    <row r="1214" spans="1:42" ht="15" hidden="1" customHeight="1">
      <c r="A1214">
        <v>203130</v>
      </c>
      <c r="B1214" s="3" t="s">
        <v>464</v>
      </c>
      <c r="C1214" s="3" t="str">
        <f t="shared" si="89"/>
        <v>BillingAccounts.ContactID</v>
      </c>
      <c r="D1214" s="3">
        <v>200110</v>
      </c>
      <c r="E1214" s="3" t="str">
        <f t="shared" si="87"/>
        <v>BillingAccounts</v>
      </c>
      <c r="F1214" s="3" t="s">
        <v>73</v>
      </c>
      <c r="H1214" s="3" t="str">
        <f t="shared" si="88"/>
        <v>gl.BillingAccount</v>
      </c>
      <c r="I1214" s="3" t="s">
        <v>73</v>
      </c>
      <c r="K1214" s="3" t="s">
        <v>29</v>
      </c>
      <c r="M1214" s="3" t="s">
        <v>195</v>
      </c>
      <c r="Q1214" s="3" t="s">
        <v>92</v>
      </c>
      <c r="U1214" s="3" t="s">
        <v>96</v>
      </c>
      <c r="V1214">
        <v>200150</v>
      </c>
      <c r="W1214" s="3" t="str">
        <f>VLOOKUP(V1214,DictionaryTableID,3,FALSE)</f>
        <v>Contacts</v>
      </c>
      <c r="AD1214">
        <v>14150</v>
      </c>
      <c r="AE1214" t="str">
        <f>IF(AD1214=-1,"All",VLOOKUP(AD1214,ColumnId,3,FALSE))</f>
        <v>glBillingAccount.crmContactID</v>
      </c>
      <c r="AF1214" t="s">
        <v>747</v>
      </c>
      <c r="AJ1214" t="e">
        <f>VLOOKUP(E1214,temp1,1,FALSE)</f>
        <v>#NAME?</v>
      </c>
      <c r="AP1214" t="e">
        <f>VLOOKUP(E1214,temp6,1,FALSE)</f>
        <v>#NAME?</v>
      </c>
    </row>
    <row r="1215" spans="1:42" ht="15" hidden="1" customHeight="1">
      <c r="A1215">
        <v>203140</v>
      </c>
      <c r="B1215" s="3" t="s">
        <v>464</v>
      </c>
      <c r="C1215" s="3" t="str">
        <f t="shared" si="89"/>
        <v>BillingAccounts.GLAccountID</v>
      </c>
      <c r="D1215" s="3">
        <v>200110</v>
      </c>
      <c r="E1215" s="3" t="str">
        <f t="shared" ref="E1215:E1278" si="93">VLOOKUP(D1215,DictionaryTableID,3,FALSE)</f>
        <v>BillingAccounts</v>
      </c>
      <c r="F1215" s="3" t="s">
        <v>74</v>
      </c>
      <c r="H1215" s="3" t="str">
        <f t="shared" ref="H1215:H1278" si="94">VLOOKUP(E1215,DictionaryTables,14,FALSE)</f>
        <v>gl.BillingAccount</v>
      </c>
      <c r="I1215" s="3" t="s">
        <v>74</v>
      </c>
      <c r="K1215" s="3" t="s">
        <v>123</v>
      </c>
      <c r="M1215" s="3" t="s">
        <v>195</v>
      </c>
      <c r="Q1215" s="3" t="s">
        <v>92</v>
      </c>
      <c r="U1215" s="3" t="s">
        <v>96</v>
      </c>
      <c r="V1215">
        <v>200260</v>
      </c>
      <c r="W1215" s="3" t="str">
        <f>VLOOKUP(V1215,DictionaryTableID,3,FALSE)</f>
        <v>GLAccounts</v>
      </c>
      <c r="AD1215">
        <v>14160</v>
      </c>
      <c r="AE1215" t="str">
        <f>IF(AD1215=-1,"All",VLOOKUP(AD1215,ColumnId,3,FALSE))</f>
        <v>glBillingAccount.glAccountID</v>
      </c>
      <c r="AF1215" t="s">
        <v>748</v>
      </c>
      <c r="AJ1215" t="e">
        <f>VLOOKUP(E1215,temp1,1,FALSE)</f>
        <v>#NAME?</v>
      </c>
      <c r="AP1215" t="e">
        <f>VLOOKUP(E1215,temp6,1,FALSE)</f>
        <v>#NAME?</v>
      </c>
    </row>
    <row r="1216" spans="1:42" ht="15" hidden="1" customHeight="1">
      <c r="A1216">
        <v>203150</v>
      </c>
      <c r="B1216" s="3" t="s">
        <v>464</v>
      </c>
      <c r="C1216" s="3" t="str">
        <f t="shared" si="89"/>
        <v>BillingAccounts.Name</v>
      </c>
      <c r="D1216" s="3">
        <v>200110</v>
      </c>
      <c r="E1216" s="3" t="str">
        <f t="shared" si="93"/>
        <v>BillingAccounts</v>
      </c>
      <c r="F1216" s="3" t="s">
        <v>22</v>
      </c>
      <c r="H1216" s="3" t="str">
        <f t="shared" si="94"/>
        <v>gl.BillingAccount</v>
      </c>
      <c r="I1216" s="3" t="s">
        <v>22</v>
      </c>
      <c r="K1216" s="3" t="s">
        <v>22</v>
      </c>
      <c r="M1216" s="3" t="s">
        <v>196</v>
      </c>
      <c r="O1216" s="3">
        <v>0</v>
      </c>
      <c r="Q1216" s="3" t="s">
        <v>92</v>
      </c>
      <c r="U1216" s="3" t="s">
        <v>93</v>
      </c>
      <c r="AD1216">
        <v>14300</v>
      </c>
      <c r="AE1216" t="str">
        <f>IF(AD1216=-1,"All",VLOOKUP(AD1216,ColumnId,3,FALSE))</f>
        <v>glBillingAccount.Name</v>
      </c>
      <c r="AF1216" t="s">
        <v>749</v>
      </c>
      <c r="AJ1216" t="e">
        <f>VLOOKUP(E1216,temp1,1,FALSE)</f>
        <v>#NAME?</v>
      </c>
      <c r="AP1216" t="e">
        <f>VLOOKUP(E1216,temp6,1,FALSE)</f>
        <v>#NAME?</v>
      </c>
    </row>
    <row r="1217" spans="1:46" ht="15" hidden="1" customHeight="1">
      <c r="A1217">
        <v>203160</v>
      </c>
      <c r="B1217" s="3" t="s">
        <v>464</v>
      </c>
      <c r="C1217" s="3" t="str">
        <f t="shared" si="89"/>
        <v>BillingAccounts.DBID</v>
      </c>
      <c r="D1217" s="3">
        <v>200110</v>
      </c>
      <c r="E1217" s="3" t="str">
        <f t="shared" si="93"/>
        <v>BillingAccounts</v>
      </c>
      <c r="F1217" s="3" t="s">
        <v>54</v>
      </c>
      <c r="H1217" s="3" t="str">
        <f t="shared" si="94"/>
        <v>gl.BillingAccount</v>
      </c>
      <c r="I1217" s="3" t="s">
        <v>54</v>
      </c>
      <c r="K1217" s="3" t="s">
        <v>54</v>
      </c>
      <c r="L1217" s="21"/>
      <c r="M1217" s="3" t="s">
        <v>196</v>
      </c>
      <c r="O1217" s="3">
        <v>0</v>
      </c>
      <c r="Q1217" s="3" t="s">
        <v>92</v>
      </c>
      <c r="U1217" s="3" t="s">
        <v>93</v>
      </c>
      <c r="AF1217" t="s">
        <v>750</v>
      </c>
      <c r="AJ1217" t="e">
        <f>VLOOKUP(E1217,temp1,1,FALSE)</f>
        <v>#NAME?</v>
      </c>
      <c r="AP1217" t="e">
        <f>VLOOKUP(E1217,temp6,1,FALSE)</f>
        <v>#NAME?</v>
      </c>
      <c r="AS1217" t="str">
        <f>"select distinct "&amp;F1217&amp;" from "&amp;E1217&amp;" union all"</f>
        <v>select distinct DBID from BillingAccounts union all</v>
      </c>
      <c r="AT1217" t="str">
        <f>"update a set a."&amp;F1217&amp;"=b.tableid from "&amp;E1217&amp;" a join #dbidtranslation b on b.dbid="&amp;F1217</f>
        <v>update a set a.DBID=b.tableid from BillingAccounts a join #dbidtranslation b on b.dbid=DBID</v>
      </c>
    </row>
    <row r="1218" spans="1:46" ht="15" hidden="1" customHeight="1">
      <c r="A1218">
        <v>203170</v>
      </c>
      <c r="B1218" s="3" t="s">
        <v>464</v>
      </c>
      <c r="C1218" s="3" t="str">
        <f t="shared" ref="C1218:C1281" si="95">CONCATENATE(E1218,".",F1218)</f>
        <v>BillingAccounts.DBCODEID</v>
      </c>
      <c r="D1218" s="3">
        <v>200110</v>
      </c>
      <c r="E1218" s="3" t="str">
        <f t="shared" si="93"/>
        <v>BillingAccounts</v>
      </c>
      <c r="F1218" s="3" t="s">
        <v>64</v>
      </c>
      <c r="H1218" s="3" t="str">
        <f t="shared" si="94"/>
        <v>gl.BillingAccount</v>
      </c>
      <c r="I1218" s="3" t="s">
        <v>64</v>
      </c>
      <c r="K1218" s="3" t="s">
        <v>341</v>
      </c>
      <c r="M1218" s="3" t="s">
        <v>195</v>
      </c>
      <c r="Q1218" s="3" t="s">
        <v>92</v>
      </c>
      <c r="U1218" s="3" t="s">
        <v>93</v>
      </c>
      <c r="W1218" s="3"/>
      <c r="AF1218" t="s">
        <v>751</v>
      </c>
      <c r="AJ1218" t="e">
        <f>VLOOKUP(E1218,temp1,1,FALSE)</f>
        <v>#NAME?</v>
      </c>
      <c r="AP1218" t="e">
        <f>VLOOKUP(E1218,temp6,1,FALSE)</f>
        <v>#NAME?</v>
      </c>
    </row>
    <row r="1219" spans="1:46" ht="15" hidden="1" customHeight="1">
      <c r="A1219">
        <v>203180</v>
      </c>
      <c r="B1219" s="3" t="s">
        <v>464</v>
      </c>
      <c r="C1219" s="3" t="str">
        <f t="shared" si="95"/>
        <v>BillingAccounts.RefStatusID</v>
      </c>
      <c r="D1219" s="3">
        <v>200110</v>
      </c>
      <c r="E1219" s="3" t="str">
        <f t="shared" si="93"/>
        <v>BillingAccounts</v>
      </c>
      <c r="F1219" s="3" t="s">
        <v>5</v>
      </c>
      <c r="H1219" s="3" t="str">
        <f t="shared" si="94"/>
        <v>gl.BillingAccount</v>
      </c>
      <c r="I1219" s="3" t="s">
        <v>5</v>
      </c>
      <c r="K1219" s="3" t="s">
        <v>55</v>
      </c>
      <c r="M1219" s="3" t="s">
        <v>195</v>
      </c>
      <c r="Q1219" s="3" t="s">
        <v>92</v>
      </c>
      <c r="U1219" s="3" t="s">
        <v>97</v>
      </c>
      <c r="V1219">
        <v>200360</v>
      </c>
      <c r="W1219" s="3" t="str">
        <f>VLOOKUP(V1219,DictionaryTableID,3,FALSE)</f>
        <v>ReferenceFields</v>
      </c>
      <c r="AD1219">
        <v>14170</v>
      </c>
      <c r="AE1219" t="str">
        <f>IF(AD1219=-1,"All",VLOOKUP(AD1219,ColumnId,3,FALSE))</f>
        <v>glBillingAccount.glBillingAccountStatusID</v>
      </c>
      <c r="AF1219" t="s">
        <v>752</v>
      </c>
      <c r="AJ1219" t="e">
        <f>VLOOKUP(E1219,temp1,1,FALSE)</f>
        <v>#NAME?</v>
      </c>
      <c r="AP1219" t="e">
        <f>VLOOKUP(E1219,temp6,1,FALSE)</f>
        <v>#NAME?</v>
      </c>
    </row>
    <row r="1220" spans="1:46" ht="15" hidden="1" customHeight="1">
      <c r="A1220">
        <v>203190</v>
      </c>
      <c r="B1220" s="3" t="s">
        <v>464</v>
      </c>
      <c r="C1220" s="3" t="str">
        <f t="shared" si="95"/>
        <v>BillingAccounts.RecType</v>
      </c>
      <c r="D1220" s="3">
        <v>200110</v>
      </c>
      <c r="E1220" s="3" t="str">
        <f t="shared" si="93"/>
        <v>BillingAccounts</v>
      </c>
      <c r="F1220" s="3" t="s">
        <v>23</v>
      </c>
      <c r="H1220" s="3" t="str">
        <f t="shared" si="94"/>
        <v>gl.BillingAccount</v>
      </c>
      <c r="I1220" s="3" t="s">
        <v>23</v>
      </c>
      <c r="K1220" s="3" t="s">
        <v>367</v>
      </c>
      <c r="M1220" s="3" t="s">
        <v>196</v>
      </c>
      <c r="O1220" s="3">
        <v>0</v>
      </c>
      <c r="Q1220" s="3" t="s">
        <v>92</v>
      </c>
      <c r="U1220" s="3" t="s">
        <v>93</v>
      </c>
      <c r="AF1220" t="s">
        <v>753</v>
      </c>
      <c r="AJ1220" t="e">
        <f>VLOOKUP(E1220,temp1,1,FALSE)</f>
        <v>#NAME?</v>
      </c>
      <c r="AP1220" t="e">
        <f>VLOOKUP(E1220,temp6,1,FALSE)</f>
        <v>#NAME?</v>
      </c>
    </row>
    <row r="1221" spans="1:46" ht="15" hidden="1" customHeight="1">
      <c r="A1221">
        <v>203200</v>
      </c>
      <c r="B1221" s="3" t="s">
        <v>464</v>
      </c>
      <c r="C1221" s="3" t="str">
        <f t="shared" si="95"/>
        <v>BillingAccounts.GLAccountIDDefault</v>
      </c>
      <c r="D1221" s="3">
        <v>200110</v>
      </c>
      <c r="E1221" s="3" t="str">
        <f t="shared" si="93"/>
        <v>BillingAccounts</v>
      </c>
      <c r="F1221" s="3" t="s">
        <v>222</v>
      </c>
      <c r="H1221" s="3" t="str">
        <f t="shared" si="94"/>
        <v>gl.BillingAccount</v>
      </c>
      <c r="I1221" s="3" t="s">
        <v>222</v>
      </c>
      <c r="K1221" s="3" t="s">
        <v>434</v>
      </c>
      <c r="M1221" s="3" t="s">
        <v>195</v>
      </c>
      <c r="Q1221" s="3" t="s">
        <v>92</v>
      </c>
      <c r="U1221" s="3" t="s">
        <v>96</v>
      </c>
      <c r="V1221">
        <v>200260</v>
      </c>
      <c r="W1221" s="3" t="str">
        <f>VLOOKUP(V1221,DictionaryTableID,3,FALSE)</f>
        <v>GLAccounts</v>
      </c>
      <c r="X1221" t="s">
        <v>1463</v>
      </c>
      <c r="AF1221" t="s">
        <v>754</v>
      </c>
      <c r="AJ1221" t="e">
        <f>VLOOKUP(E1221,temp1,1,FALSE)</f>
        <v>#NAME?</v>
      </c>
      <c r="AP1221" t="e">
        <f>VLOOKUP(E1221,temp6,1,FALSE)</f>
        <v>#NAME?</v>
      </c>
    </row>
    <row r="1222" spans="1:46" ht="15" hidden="1" customHeight="1">
      <c r="A1222">
        <v>203210</v>
      </c>
      <c r="B1222" s="3" t="s">
        <v>464</v>
      </c>
      <c r="C1222" s="3" t="str">
        <f t="shared" si="95"/>
        <v>BillingAccounts.GstExempt</v>
      </c>
      <c r="D1222" s="3">
        <v>200110</v>
      </c>
      <c r="E1222" s="3" t="str">
        <f t="shared" si="93"/>
        <v>BillingAccounts</v>
      </c>
      <c r="F1222" s="3" t="s">
        <v>20</v>
      </c>
      <c r="H1222" s="3" t="str">
        <f t="shared" si="94"/>
        <v>gl.BillingAccount</v>
      </c>
      <c r="I1222" s="3" t="s">
        <v>20</v>
      </c>
      <c r="K1222" s="3" t="s">
        <v>368</v>
      </c>
      <c r="L1222" t="s">
        <v>2410</v>
      </c>
      <c r="M1222" s="3" t="s">
        <v>196</v>
      </c>
      <c r="O1222" s="3">
        <v>0</v>
      </c>
      <c r="Q1222" s="3" t="s">
        <v>92</v>
      </c>
      <c r="U1222" s="3" t="s">
        <v>93</v>
      </c>
      <c r="AD1222">
        <v>14250</v>
      </c>
      <c r="AE1222" t="str">
        <f>IF(AD1222=-1,"All",VLOOKUP(AD1222,ColumnId,3,FALSE))</f>
        <v>glBillingAccount.IsGSTExempt</v>
      </c>
      <c r="AF1222" t="s">
        <v>755</v>
      </c>
      <c r="AJ1222" t="e">
        <f>VLOOKUP(E1222,temp1,1,FALSE)</f>
        <v>#NAME?</v>
      </c>
      <c r="AP1222" t="e">
        <f>VLOOKUP(E1222,temp6,1,FALSE)</f>
        <v>#NAME?</v>
      </c>
    </row>
    <row r="1223" spans="1:46" ht="15" hidden="1" customHeight="1">
      <c r="A1223">
        <v>203220</v>
      </c>
      <c r="B1223" s="3" t="s">
        <v>464</v>
      </c>
      <c r="C1223" s="3" t="str">
        <f t="shared" si="95"/>
        <v>BillingAccounts.PayTerms</v>
      </c>
      <c r="D1223" s="3">
        <v>200110</v>
      </c>
      <c r="E1223" s="3" t="str">
        <f t="shared" si="93"/>
        <v>BillingAccounts</v>
      </c>
      <c r="F1223" s="3" t="s">
        <v>247</v>
      </c>
      <c r="H1223" s="3" t="str">
        <f t="shared" si="94"/>
        <v>gl.BillingAccount</v>
      </c>
      <c r="I1223" s="3" t="s">
        <v>247</v>
      </c>
      <c r="K1223" s="3" t="s">
        <v>369</v>
      </c>
      <c r="M1223" s="3" t="s">
        <v>195</v>
      </c>
      <c r="Q1223" s="3" t="s">
        <v>92</v>
      </c>
      <c r="U1223" s="3" t="s">
        <v>93</v>
      </c>
      <c r="AD1223">
        <v>14310</v>
      </c>
      <c r="AE1223" t="str">
        <f>IF(AD1223=-1,"All",VLOOKUP(AD1223,ColumnId,3,FALSE))</f>
        <v>glBillingAccount.PaymentTerms</v>
      </c>
      <c r="AF1223" t="s">
        <v>756</v>
      </c>
      <c r="AJ1223" t="e">
        <f>VLOOKUP(E1223,temp1,1,FALSE)</f>
        <v>#NAME?</v>
      </c>
      <c r="AP1223" t="e">
        <f>VLOOKUP(E1223,temp6,1,FALSE)</f>
        <v>#NAME?</v>
      </c>
    </row>
    <row r="1224" spans="1:46" ht="15" hidden="1" customHeight="1">
      <c r="A1224">
        <v>203230</v>
      </c>
      <c r="B1224" s="3" t="s">
        <v>464</v>
      </c>
      <c r="C1224" s="3" t="str">
        <f t="shared" si="95"/>
        <v>BillingAccounts.Ledger</v>
      </c>
      <c r="D1224" s="3">
        <v>200110</v>
      </c>
      <c r="E1224" s="3" t="str">
        <f t="shared" si="93"/>
        <v>BillingAccounts</v>
      </c>
      <c r="F1224" s="3" t="s">
        <v>21</v>
      </c>
      <c r="H1224" s="3" t="str">
        <f t="shared" si="94"/>
        <v>gl.BillingAccount</v>
      </c>
      <c r="I1224" s="3" t="s">
        <v>21</v>
      </c>
      <c r="K1224" s="3" t="s">
        <v>21</v>
      </c>
      <c r="M1224" s="3" t="s">
        <v>196</v>
      </c>
      <c r="O1224" s="3">
        <v>0</v>
      </c>
      <c r="Q1224" s="3" t="s">
        <v>92</v>
      </c>
      <c r="U1224" s="3" t="s">
        <v>93</v>
      </c>
      <c r="AF1224" t="s">
        <v>757</v>
      </c>
      <c r="AJ1224" t="e">
        <f>VLOOKUP(E1224,temp1,1,FALSE)</f>
        <v>#NAME?</v>
      </c>
      <c r="AP1224" t="e">
        <f>VLOOKUP(E1224,temp6,1,FALSE)</f>
        <v>#NAME?</v>
      </c>
    </row>
    <row r="1225" spans="1:46" ht="15" hidden="1" customHeight="1">
      <c r="A1225">
        <v>203240</v>
      </c>
      <c r="B1225" s="3" t="s">
        <v>464</v>
      </c>
      <c r="C1225" s="3" t="str">
        <f t="shared" si="95"/>
        <v>BillingAccounts.RecordStatus</v>
      </c>
      <c r="D1225" s="3">
        <v>200110</v>
      </c>
      <c r="E1225" s="3" t="str">
        <f t="shared" si="93"/>
        <v>BillingAccounts</v>
      </c>
      <c r="F1225" s="3" t="s">
        <v>4</v>
      </c>
      <c r="H1225" s="3" t="str">
        <f t="shared" si="94"/>
        <v>gl.BillingAccount</v>
      </c>
      <c r="I1225" s="3" t="s">
        <v>4</v>
      </c>
      <c r="K1225" s="3" t="s">
        <v>4</v>
      </c>
      <c r="M1225" s="3" t="s">
        <v>196</v>
      </c>
      <c r="O1225" s="3">
        <v>0</v>
      </c>
      <c r="Q1225" s="3" t="s">
        <v>92</v>
      </c>
      <c r="U1225" s="3" t="s">
        <v>94</v>
      </c>
      <c r="AD1225">
        <v>14340</v>
      </c>
      <c r="AE1225" t="str">
        <f t="shared" ref="AE1225:AE1244" si="96">IF(AD1225=-1,"All",VLOOKUP(AD1225,ColumnId,3,FALSE))</f>
        <v>glBillingAccount.RowStatus</v>
      </c>
      <c r="AJ1225" t="e">
        <f>VLOOKUP(E1225,temp1,1,FALSE)</f>
        <v>#NAME?</v>
      </c>
      <c r="AP1225" t="e">
        <f>VLOOKUP(E1225,temp6,1,FALSE)</f>
        <v>#NAME?</v>
      </c>
    </row>
    <row r="1226" spans="1:46" ht="15" hidden="1" customHeight="1">
      <c r="A1226">
        <v>203250</v>
      </c>
      <c r="B1226" s="3" t="s">
        <v>464</v>
      </c>
      <c r="C1226" s="3" t="str">
        <f t="shared" si="95"/>
        <v>RatesBilling.ID</v>
      </c>
      <c r="D1226" s="3">
        <v>200330</v>
      </c>
      <c r="E1226" s="3" t="str">
        <f t="shared" si="93"/>
        <v>RatesBilling</v>
      </c>
      <c r="F1226" s="3" t="s">
        <v>0</v>
      </c>
      <c r="H1226" s="3" t="str">
        <f t="shared" si="94"/>
        <v>act.RatesBilling</v>
      </c>
      <c r="I1226" s="3" t="s">
        <v>0</v>
      </c>
      <c r="K1226" s="3" t="s">
        <v>0</v>
      </c>
      <c r="M1226" s="3" t="s">
        <v>195</v>
      </c>
      <c r="Q1226" s="3" t="s">
        <v>919</v>
      </c>
      <c r="U1226" s="3" t="s">
        <v>95</v>
      </c>
      <c r="AD1226">
        <v>-1</v>
      </c>
      <c r="AE1226" t="str">
        <f t="shared" si="96"/>
        <v>All</v>
      </c>
      <c r="AF1226" t="s">
        <v>758</v>
      </c>
      <c r="AJ1226" t="e">
        <f>VLOOKUP(E1226,temp1,1,FALSE)</f>
        <v>#NAME?</v>
      </c>
      <c r="AP1226" t="e">
        <f>VLOOKUP(E1226,temp6,1,FALSE)</f>
        <v>#NAME?</v>
      </c>
    </row>
    <row r="1227" spans="1:46" ht="15" hidden="1" customHeight="1">
      <c r="A1227">
        <v>203260</v>
      </c>
      <c r="B1227" s="3" t="s">
        <v>464</v>
      </c>
      <c r="C1227" s="3" t="str">
        <f t="shared" si="95"/>
        <v>RatesBilling.ContactIDBY</v>
      </c>
      <c r="D1227" s="3">
        <v>200330</v>
      </c>
      <c r="E1227" s="3" t="str">
        <f t="shared" si="93"/>
        <v>RatesBilling</v>
      </c>
      <c r="F1227" s="3" t="s">
        <v>225</v>
      </c>
      <c r="H1227" s="3" t="str">
        <f t="shared" si="94"/>
        <v>act.RatesBilling</v>
      </c>
      <c r="I1227" s="3" t="s">
        <v>225</v>
      </c>
      <c r="K1227" s="3" t="s">
        <v>440</v>
      </c>
      <c r="M1227" s="3" t="s">
        <v>195</v>
      </c>
      <c r="Q1227" s="3" t="s">
        <v>92</v>
      </c>
      <c r="U1227" s="3" t="s">
        <v>96</v>
      </c>
      <c r="V1227">
        <v>200150</v>
      </c>
      <c r="W1227" s="3" t="str">
        <f>VLOOKUP(V1227,DictionaryTableID,3,FALSE)</f>
        <v>Contacts</v>
      </c>
      <c r="X1227" t="s">
        <v>1465</v>
      </c>
      <c r="AD1227">
        <v>10780</v>
      </c>
      <c r="AE1227" t="str">
        <f t="shared" si="96"/>
        <v>actRateBilling.RowIDChargedBy</v>
      </c>
      <c r="AF1227" t="s">
        <v>759</v>
      </c>
      <c r="AJ1227" t="e">
        <f>VLOOKUP(E1227,temp1,1,FALSE)</f>
        <v>#NAME?</v>
      </c>
      <c r="AP1227" t="e">
        <f>VLOOKUP(E1227,temp6,1,FALSE)</f>
        <v>#NAME?</v>
      </c>
    </row>
    <row r="1228" spans="1:46" ht="15" hidden="1" customHeight="1">
      <c r="A1228">
        <v>203270</v>
      </c>
      <c r="B1228" s="3" t="s">
        <v>464</v>
      </c>
      <c r="C1228" s="3" t="str">
        <f t="shared" si="95"/>
        <v>RatesBilling.ActivityTypeID</v>
      </c>
      <c r="D1228" s="3">
        <v>200330</v>
      </c>
      <c r="E1228" s="3" t="str">
        <f t="shared" si="93"/>
        <v>RatesBilling</v>
      </c>
      <c r="F1228" s="3" t="s">
        <v>70</v>
      </c>
      <c r="H1228" s="3" t="str">
        <f t="shared" si="94"/>
        <v>act.RatesBilling</v>
      </c>
      <c r="I1228" s="3" t="s">
        <v>70</v>
      </c>
      <c r="K1228" s="3" t="s">
        <v>119</v>
      </c>
      <c r="M1228" s="3" t="s">
        <v>195</v>
      </c>
      <c r="Q1228" s="3" t="s">
        <v>92</v>
      </c>
      <c r="U1228" s="3" t="s">
        <v>96</v>
      </c>
      <c r="V1228">
        <v>200040</v>
      </c>
      <c r="W1228" s="3" t="str">
        <f>VLOOKUP(V1228,DictionaryTableID,3,FALSE)</f>
        <v>ActivityTypes</v>
      </c>
      <c r="AD1228">
        <v>10760</v>
      </c>
      <c r="AE1228" t="str">
        <f t="shared" si="96"/>
        <v>actRateBilling.actTypeID</v>
      </c>
      <c r="AF1228" t="s">
        <v>760</v>
      </c>
      <c r="AJ1228" t="e">
        <f>VLOOKUP(E1228,temp1,1,FALSE)</f>
        <v>#NAME?</v>
      </c>
      <c r="AP1228" t="e">
        <f>VLOOKUP(E1228,temp6,1,FALSE)</f>
        <v>#NAME?</v>
      </c>
    </row>
    <row r="1229" spans="1:46" ht="15" hidden="1" customHeight="1">
      <c r="A1229">
        <v>203280</v>
      </c>
      <c r="B1229" s="3" t="s">
        <v>464</v>
      </c>
      <c r="C1229" s="3" t="str">
        <f t="shared" si="95"/>
        <v>RatesBilling.Rate</v>
      </c>
      <c r="D1229" s="3">
        <v>200330</v>
      </c>
      <c r="E1229" s="3" t="str">
        <f t="shared" si="93"/>
        <v>RatesBilling</v>
      </c>
      <c r="F1229" s="3" t="s">
        <v>50</v>
      </c>
      <c r="H1229" s="3" t="str">
        <f t="shared" si="94"/>
        <v>act.RatesBilling</v>
      </c>
      <c r="I1229" s="3" t="s">
        <v>50</v>
      </c>
      <c r="K1229" s="3" t="s">
        <v>50</v>
      </c>
      <c r="M1229" s="3" t="s">
        <v>197</v>
      </c>
      <c r="N1229" s="3">
        <v>10</v>
      </c>
      <c r="O1229" s="3">
        <v>3</v>
      </c>
      <c r="Q1229" s="3" t="s">
        <v>92</v>
      </c>
      <c r="U1229" s="3" t="s">
        <v>93</v>
      </c>
      <c r="AD1229">
        <v>10790</v>
      </c>
      <c r="AE1229" t="str">
        <f t="shared" si="96"/>
        <v>actRateBilling.Rate</v>
      </c>
      <c r="AF1229" t="s">
        <v>761</v>
      </c>
      <c r="AJ1229" t="e">
        <f>VLOOKUP(E1229,temp1,1,FALSE)</f>
        <v>#NAME?</v>
      </c>
      <c r="AP1229" t="e">
        <f>VLOOKUP(E1229,temp6,1,FALSE)</f>
        <v>#NAME?</v>
      </c>
    </row>
    <row r="1230" spans="1:46" ht="15" hidden="1" customHeight="1">
      <c r="A1230">
        <v>203290</v>
      </c>
      <c r="B1230" s="3" t="s">
        <v>464</v>
      </c>
      <c r="C1230" s="3" t="str">
        <f t="shared" si="95"/>
        <v>RatesBilling.ActivityProjectID</v>
      </c>
      <c r="D1230" s="3">
        <v>200330</v>
      </c>
      <c r="E1230" s="3" t="str">
        <f t="shared" si="93"/>
        <v>RatesBilling</v>
      </c>
      <c r="F1230" s="3" t="s">
        <v>213</v>
      </c>
      <c r="H1230" s="3" t="str">
        <f t="shared" si="94"/>
        <v>act.RatesBilling</v>
      </c>
      <c r="I1230" s="3" t="s">
        <v>213</v>
      </c>
      <c r="K1230" s="3" t="s">
        <v>433</v>
      </c>
      <c r="M1230" s="3" t="s">
        <v>195</v>
      </c>
      <c r="Q1230" s="3" t="s">
        <v>92</v>
      </c>
      <c r="U1230" s="3" t="s">
        <v>96</v>
      </c>
      <c r="V1230">
        <v>200030</v>
      </c>
      <c r="W1230" s="3" t="str">
        <f>VLOOKUP(V1230,DictionaryTableID,3,FALSE)</f>
        <v>ActivityProjects</v>
      </c>
      <c r="AD1230">
        <v>10750</v>
      </c>
      <c r="AE1230" t="str">
        <f t="shared" si="96"/>
        <v>actRateBilling.actProjectID</v>
      </c>
      <c r="AF1230" t="s">
        <v>762</v>
      </c>
      <c r="AJ1230" t="e">
        <f>VLOOKUP(E1230,temp1,1,FALSE)</f>
        <v>#NAME?</v>
      </c>
      <c r="AP1230" t="e">
        <f>VLOOKUP(E1230,temp6,1,FALSE)</f>
        <v>#NAME?</v>
      </c>
    </row>
    <row r="1231" spans="1:46" ht="15" hidden="1" customHeight="1">
      <c r="A1231">
        <v>203300</v>
      </c>
      <c r="B1231" s="3" t="s">
        <v>464</v>
      </c>
      <c r="C1231" s="3" t="str">
        <f t="shared" si="95"/>
        <v>RatesBilling.RecordStatus</v>
      </c>
      <c r="D1231" s="3">
        <v>200330</v>
      </c>
      <c r="E1231" s="3" t="str">
        <f t="shared" si="93"/>
        <v>RatesBilling</v>
      </c>
      <c r="F1231" s="3" t="s">
        <v>4</v>
      </c>
      <c r="H1231" s="3" t="str">
        <f t="shared" si="94"/>
        <v>act.RatesBilling</v>
      </c>
      <c r="I1231" s="3" t="s">
        <v>4</v>
      </c>
      <c r="K1231" s="3" t="s">
        <v>4</v>
      </c>
      <c r="M1231" s="3" t="s">
        <v>196</v>
      </c>
      <c r="O1231" s="3">
        <v>0</v>
      </c>
      <c r="Q1231" s="3" t="s">
        <v>92</v>
      </c>
      <c r="U1231" s="3" t="s">
        <v>94</v>
      </c>
      <c r="AD1231">
        <v>10830</v>
      </c>
      <c r="AE1231" t="str">
        <f t="shared" si="96"/>
        <v>actRateBilling.RowStatus</v>
      </c>
      <c r="AJ1231" t="e">
        <f>VLOOKUP(E1231,temp1,1,FALSE)</f>
        <v>#NAME?</v>
      </c>
      <c r="AP1231" t="e">
        <f>VLOOKUP(E1231,temp6,1,FALSE)</f>
        <v>#NAME?</v>
      </c>
    </row>
    <row r="1232" spans="1:46" ht="15" hidden="1" customHeight="1">
      <c r="A1232">
        <v>203310</v>
      </c>
      <c r="B1232" s="3" t="s">
        <v>464</v>
      </c>
      <c r="C1232" s="3" t="str">
        <f t="shared" si="95"/>
        <v>TransactionsInvoices.ID</v>
      </c>
      <c r="D1232" s="3">
        <v>200410</v>
      </c>
      <c r="E1232" s="3" t="str">
        <f t="shared" si="93"/>
        <v>TransactionsInvoices</v>
      </c>
      <c r="F1232" s="3" t="s">
        <v>0</v>
      </c>
      <c r="H1232" s="3" t="str">
        <f t="shared" si="94"/>
        <v>act.TransactionsInvoice</v>
      </c>
      <c r="I1232" s="3" t="s">
        <v>0</v>
      </c>
      <c r="K1232" s="3" t="s">
        <v>0</v>
      </c>
      <c r="M1232" s="3" t="s">
        <v>195</v>
      </c>
      <c r="Q1232" s="3" t="s">
        <v>919</v>
      </c>
      <c r="U1232" s="3" t="s">
        <v>96</v>
      </c>
      <c r="V1232" s="3">
        <v>200390</v>
      </c>
      <c r="W1232" s="3" t="str">
        <f>VLOOKUP(V1232,DictionaryTableID,3,FALSE)</f>
        <v>Transactions</v>
      </c>
      <c r="AD1232">
        <v>-1</v>
      </c>
      <c r="AE1232" t="str">
        <f t="shared" si="96"/>
        <v>All</v>
      </c>
      <c r="AF1232" t="s">
        <v>763</v>
      </c>
      <c r="AJ1232" t="e">
        <f>VLOOKUP(E1232,temp1,1,FALSE)</f>
        <v>#NAME?</v>
      </c>
      <c r="AP1232" t="e">
        <f>VLOOKUP(E1232,temp6,1,FALSE)</f>
        <v>#NAME?</v>
      </c>
    </row>
    <row r="1233" spans="1:46" ht="15" hidden="1" customHeight="1">
      <c r="A1233">
        <v>203320</v>
      </c>
      <c r="B1233" s="3" t="s">
        <v>464</v>
      </c>
      <c r="C1233" s="3" t="str">
        <f t="shared" si="95"/>
        <v>TransactionsInvoices.ActivityProjectID</v>
      </c>
      <c r="D1233" s="3">
        <v>200410</v>
      </c>
      <c r="E1233" s="3" t="str">
        <f t="shared" si="93"/>
        <v>TransactionsInvoices</v>
      </c>
      <c r="F1233" s="3" t="s">
        <v>213</v>
      </c>
      <c r="H1233" s="3" t="str">
        <f t="shared" si="94"/>
        <v>act.TransactionsInvoice</v>
      </c>
      <c r="I1233" s="3" t="s">
        <v>213</v>
      </c>
      <c r="K1233" s="3" t="s">
        <v>433</v>
      </c>
      <c r="M1233" s="3" t="s">
        <v>195</v>
      </c>
      <c r="Q1233" s="3" t="s">
        <v>92</v>
      </c>
      <c r="U1233" s="3" t="s">
        <v>96</v>
      </c>
      <c r="V1233">
        <v>200030</v>
      </c>
      <c r="W1233" s="3" t="str">
        <f>VLOOKUP(V1233,DictionaryTableID,3,FALSE)</f>
        <v>ActivityProjects</v>
      </c>
      <c r="AD1233">
        <v>16450</v>
      </c>
      <c r="AE1233" t="str">
        <f t="shared" si="96"/>
        <v>glTransactionSubTypeInvoice.actProjectID</v>
      </c>
      <c r="AF1233" t="s">
        <v>764</v>
      </c>
      <c r="AJ1233" t="e">
        <f>VLOOKUP(E1233,temp1,1,FALSE)</f>
        <v>#NAME?</v>
      </c>
      <c r="AP1233" t="e">
        <f>VLOOKUP(E1233,temp6,1,FALSE)</f>
        <v>#NAME?</v>
      </c>
    </row>
    <row r="1234" spans="1:46" ht="15" hidden="1" customHeight="1">
      <c r="A1234">
        <v>203330</v>
      </c>
      <c r="B1234" s="3" t="s">
        <v>464</v>
      </c>
      <c r="C1234" s="3" t="str">
        <f t="shared" si="95"/>
        <v>TransactionsInvoices.BillingAccountID</v>
      </c>
      <c r="D1234" s="3">
        <v>200410</v>
      </c>
      <c r="E1234" s="3" t="str">
        <f t="shared" si="93"/>
        <v>TransactionsInvoices</v>
      </c>
      <c r="F1234" s="3" t="s">
        <v>47</v>
      </c>
      <c r="H1234" s="3" t="str">
        <f t="shared" si="94"/>
        <v>act.TransactionsInvoice</v>
      </c>
      <c r="I1234" s="3" t="s">
        <v>47</v>
      </c>
      <c r="K1234" s="3" t="s">
        <v>101</v>
      </c>
      <c r="M1234" s="3" t="s">
        <v>195</v>
      </c>
      <c r="Q1234" s="3" t="s">
        <v>92</v>
      </c>
      <c r="U1234" s="3" t="s">
        <v>96</v>
      </c>
      <c r="V1234">
        <v>200110</v>
      </c>
      <c r="W1234" s="3" t="str">
        <f>VLOOKUP(V1234,DictionaryTableID,3,FALSE)</f>
        <v>BillingAccounts</v>
      </c>
      <c r="AD1234">
        <v>16460</v>
      </c>
      <c r="AE1234" t="str">
        <f t="shared" si="96"/>
        <v>glTransactionSubTypeInvoice.glBillingAccountID</v>
      </c>
      <c r="AF1234" t="s">
        <v>765</v>
      </c>
      <c r="AJ1234" t="e">
        <f>VLOOKUP(E1234,temp1,1,FALSE)</f>
        <v>#NAME?</v>
      </c>
      <c r="AP1234" t="e">
        <f>VLOOKUP(E1234,temp6,1,FALSE)</f>
        <v>#NAME?</v>
      </c>
    </row>
    <row r="1235" spans="1:46" ht="15" hidden="1" customHeight="1">
      <c r="A1235">
        <v>203340</v>
      </c>
      <c r="B1235" s="3" t="s">
        <v>464</v>
      </c>
      <c r="C1235" s="3" t="str">
        <f t="shared" si="95"/>
        <v>TransactionsInvoices.Type</v>
      </c>
      <c r="D1235" s="3">
        <v>200410</v>
      </c>
      <c r="E1235" s="3" t="str">
        <f t="shared" si="93"/>
        <v>TransactionsInvoices</v>
      </c>
      <c r="F1235" s="3" t="s">
        <v>40</v>
      </c>
      <c r="H1235" s="3" t="str">
        <f t="shared" si="94"/>
        <v>act.TransactionsInvoice</v>
      </c>
      <c r="I1235" s="3" t="s">
        <v>40</v>
      </c>
      <c r="K1235" s="3" t="s">
        <v>40</v>
      </c>
      <c r="L1235" t="s">
        <v>2418</v>
      </c>
      <c r="M1235" s="3" t="s">
        <v>196</v>
      </c>
      <c r="O1235" s="3">
        <v>0</v>
      </c>
      <c r="Q1235" s="3" t="s">
        <v>92</v>
      </c>
      <c r="U1235" s="3" t="s">
        <v>93</v>
      </c>
      <c r="AD1235">
        <v>16480</v>
      </c>
      <c r="AE1235" t="str">
        <f t="shared" si="96"/>
        <v>glTransactionSubTypeInvoice.IsManual</v>
      </c>
      <c r="AF1235" t="s">
        <v>766</v>
      </c>
      <c r="AJ1235" t="e">
        <f>VLOOKUP(E1235,temp1,1,FALSE)</f>
        <v>#NAME?</v>
      </c>
      <c r="AP1235" t="e">
        <f>VLOOKUP(E1235,temp6,1,FALSE)</f>
        <v>#NAME?</v>
      </c>
    </row>
    <row r="1236" spans="1:46" ht="15" hidden="1" customHeight="1">
      <c r="A1236">
        <v>203350</v>
      </c>
      <c r="B1236" s="3" t="s">
        <v>464</v>
      </c>
      <c r="C1236" s="3" t="str">
        <f t="shared" si="95"/>
        <v>TransactionsInvoices.GstOver</v>
      </c>
      <c r="D1236" s="3">
        <v>200410</v>
      </c>
      <c r="E1236" s="3" t="str">
        <f t="shared" si="93"/>
        <v>TransactionsInvoices</v>
      </c>
      <c r="F1236" s="3" t="s">
        <v>238</v>
      </c>
      <c r="H1236" s="3" t="str">
        <f t="shared" si="94"/>
        <v>act.TransactionsInvoice</v>
      </c>
      <c r="I1236" s="3" t="s">
        <v>238</v>
      </c>
      <c r="K1236" s="3" t="s">
        <v>430</v>
      </c>
      <c r="M1236" s="3" t="s">
        <v>196</v>
      </c>
      <c r="O1236" s="3">
        <v>0</v>
      </c>
      <c r="Q1236" s="3" t="s">
        <v>92</v>
      </c>
      <c r="U1236" s="3" t="s">
        <v>93</v>
      </c>
      <c r="AD1236">
        <v>16470</v>
      </c>
      <c r="AE1236" t="str">
        <f t="shared" si="96"/>
        <v>glTransactionSubTypeInvoice.GstOver</v>
      </c>
      <c r="AF1236" t="s">
        <v>767</v>
      </c>
      <c r="AJ1236" t="e">
        <f>VLOOKUP(E1236,temp1,1,FALSE)</f>
        <v>#NAME?</v>
      </c>
      <c r="AP1236" t="e">
        <f>VLOOKUP(E1236,temp6,1,FALSE)</f>
        <v>#NAME?</v>
      </c>
    </row>
    <row r="1237" spans="1:46" ht="15" hidden="1" customHeight="1">
      <c r="A1237">
        <v>203360</v>
      </c>
      <c r="B1237" s="3" t="s">
        <v>464</v>
      </c>
      <c r="C1237" s="3" t="str">
        <f t="shared" si="95"/>
        <v>TransactionsInvoices.RecordStatus</v>
      </c>
      <c r="D1237" s="3">
        <v>200410</v>
      </c>
      <c r="E1237" s="3" t="str">
        <f t="shared" si="93"/>
        <v>TransactionsInvoices</v>
      </c>
      <c r="F1237" s="3" t="s">
        <v>4</v>
      </c>
      <c r="H1237" s="3" t="str">
        <f t="shared" si="94"/>
        <v>act.TransactionsInvoice</v>
      </c>
      <c r="I1237" s="3" t="s">
        <v>4</v>
      </c>
      <c r="K1237" s="3" t="s">
        <v>4</v>
      </c>
      <c r="M1237" s="3" t="s">
        <v>196</v>
      </c>
      <c r="O1237" s="3">
        <v>0</v>
      </c>
      <c r="Q1237" s="3" t="s">
        <v>92</v>
      </c>
      <c r="U1237" s="3" t="s">
        <v>94</v>
      </c>
      <c r="AD1237">
        <v>16490</v>
      </c>
      <c r="AE1237" t="str">
        <f t="shared" si="96"/>
        <v>glTransactionSubTypeInvoice.RowStatus</v>
      </c>
      <c r="AJ1237" t="e">
        <f>VLOOKUP(E1237,temp1,1,FALSE)</f>
        <v>#NAME?</v>
      </c>
      <c r="AP1237" t="e">
        <f>VLOOKUP(E1237,temp6,1,FALSE)</f>
        <v>#NAME?</v>
      </c>
    </row>
    <row r="1238" spans="1:46" hidden="1">
      <c r="A1238">
        <v>203370</v>
      </c>
      <c r="B1238" s="3" t="s">
        <v>464</v>
      </c>
      <c r="C1238" s="3" t="str">
        <f t="shared" si="95"/>
        <v>ContactSetup.ID</v>
      </c>
      <c r="D1238" s="3">
        <v>200160</v>
      </c>
      <c r="E1238" s="3" t="str">
        <f t="shared" si="93"/>
        <v>ContactSetup</v>
      </c>
      <c r="F1238" s="3" t="s">
        <v>0</v>
      </c>
      <c r="H1238" s="3" t="str">
        <f t="shared" si="94"/>
        <v>gl.ContactSetup</v>
      </c>
      <c r="I1238" s="3" t="s">
        <v>0</v>
      </c>
      <c r="K1238" s="3" t="s">
        <v>0</v>
      </c>
      <c r="M1238" s="3" t="s">
        <v>195</v>
      </c>
      <c r="Q1238" s="3" t="s">
        <v>919</v>
      </c>
      <c r="U1238" s="3" t="s">
        <v>95</v>
      </c>
      <c r="AD1238">
        <v>-1</v>
      </c>
      <c r="AE1238" t="str">
        <f t="shared" si="96"/>
        <v>All</v>
      </c>
      <c r="AF1238" t="s">
        <v>768</v>
      </c>
      <c r="AJ1238" t="e">
        <f>VLOOKUP(E1238,temp1,1,FALSE)</f>
        <v>#NAME?</v>
      </c>
      <c r="AP1238" t="e">
        <f>VLOOKUP(E1238,temp6,1,FALSE)</f>
        <v>#NAME?</v>
      </c>
    </row>
    <row r="1239" spans="1:46" hidden="1">
      <c r="A1239">
        <v>203380</v>
      </c>
      <c r="B1239" s="3" t="s">
        <v>464</v>
      </c>
      <c r="C1239" s="3" t="str">
        <f t="shared" si="95"/>
        <v>ContactSetup.AccountLabel</v>
      </c>
      <c r="D1239" s="3">
        <v>200160</v>
      </c>
      <c r="E1239" s="3" t="str">
        <f t="shared" si="93"/>
        <v>ContactSetup</v>
      </c>
      <c r="F1239" s="3" t="s">
        <v>324</v>
      </c>
      <c r="H1239" s="3" t="str">
        <f t="shared" si="94"/>
        <v>gl.ContactSetup</v>
      </c>
      <c r="I1239" s="3" t="s">
        <v>324</v>
      </c>
      <c r="K1239" s="3" t="s">
        <v>391</v>
      </c>
      <c r="M1239" s="3" t="s">
        <v>196</v>
      </c>
      <c r="O1239" s="3">
        <v>0</v>
      </c>
      <c r="Q1239" s="3" t="s">
        <v>92</v>
      </c>
      <c r="U1239" s="3" t="s">
        <v>93</v>
      </c>
      <c r="AD1239">
        <v>15680</v>
      </c>
      <c r="AE1239" t="str">
        <f t="shared" si="96"/>
        <v>glSetUp.AccountLabel</v>
      </c>
      <c r="AF1239" t="s">
        <v>769</v>
      </c>
      <c r="AJ1239" t="e">
        <f>VLOOKUP(E1239,temp1,1,FALSE)</f>
        <v>#NAME?</v>
      </c>
      <c r="AP1239" t="e">
        <f>VLOOKUP(E1239,temp6,1,FALSE)</f>
        <v>#NAME?</v>
      </c>
      <c r="AS1239" t="str">
        <f>"select distinct "&amp;F1239&amp;" from "&amp;E1239&amp;" union all"</f>
        <v>select distinct AccountLabel from ContactSetup union all</v>
      </c>
      <c r="AT1239" t="str">
        <f>"update a set a."&amp;F1239&amp;"=b.tableid from "&amp;E1239&amp;" a join #dbidtranslation b on b.dbid="&amp;F1239</f>
        <v>update a set a.AccountLabel=b.tableid from ContactSetup a join #dbidtranslation b on b.dbid=AccountLabel</v>
      </c>
    </row>
    <row r="1240" spans="1:46" ht="15" hidden="1" customHeight="1">
      <c r="A1240">
        <v>203390</v>
      </c>
      <c r="B1240" s="3" t="s">
        <v>464</v>
      </c>
      <c r="C1240" s="3" t="str">
        <f t="shared" si="95"/>
        <v>ContactSetup.CostCentreLabel</v>
      </c>
      <c r="D1240" s="3">
        <v>200160</v>
      </c>
      <c r="E1240" s="3" t="str">
        <f t="shared" si="93"/>
        <v>ContactSetup</v>
      </c>
      <c r="F1240" s="3" t="s">
        <v>230</v>
      </c>
      <c r="H1240" s="3" t="str">
        <f t="shared" si="94"/>
        <v>gl.ContactSetup</v>
      </c>
      <c r="I1240" s="3" t="s">
        <v>230</v>
      </c>
      <c r="K1240" s="3" t="s">
        <v>392</v>
      </c>
      <c r="M1240" s="3" t="s">
        <v>196</v>
      </c>
      <c r="O1240" s="3">
        <v>0</v>
      </c>
      <c r="Q1240" s="3" t="s">
        <v>92</v>
      </c>
      <c r="U1240" s="3" t="s">
        <v>93</v>
      </c>
      <c r="AD1240">
        <v>15690</v>
      </c>
      <c r="AE1240" t="str">
        <f t="shared" si="96"/>
        <v>glSetUp.CostCentreLabel</v>
      </c>
      <c r="AF1240" t="s">
        <v>770</v>
      </c>
      <c r="AJ1240" t="e">
        <f>VLOOKUP(E1240,temp1,1,FALSE)</f>
        <v>#NAME?</v>
      </c>
      <c r="AP1240" t="e">
        <f>VLOOKUP(E1240,temp6,1,FALSE)</f>
        <v>#NAME?</v>
      </c>
    </row>
    <row r="1241" spans="1:46" ht="15" hidden="1" customHeight="1">
      <c r="A1241">
        <v>203400</v>
      </c>
      <c r="B1241" s="3" t="s">
        <v>464</v>
      </c>
      <c r="C1241" s="3" t="str">
        <f t="shared" si="95"/>
        <v>ContactSetup.FiscalYearStart</v>
      </c>
      <c r="D1241" s="3">
        <v>200160</v>
      </c>
      <c r="E1241" s="3" t="str">
        <f t="shared" si="93"/>
        <v>ContactSetup</v>
      </c>
      <c r="F1241" s="3" t="s">
        <v>309</v>
      </c>
      <c r="H1241" s="3" t="str">
        <f t="shared" si="94"/>
        <v>gl.ContactSetup</v>
      </c>
      <c r="I1241" s="3" t="s">
        <v>309</v>
      </c>
      <c r="K1241" s="3" t="s">
        <v>393</v>
      </c>
      <c r="M1241" s="3" t="s">
        <v>329</v>
      </c>
      <c r="N1241" s="3">
        <v>8</v>
      </c>
      <c r="O1241" s="3">
        <v>0</v>
      </c>
      <c r="Q1241" s="3" t="s">
        <v>92</v>
      </c>
      <c r="U1241" s="3" t="s">
        <v>93</v>
      </c>
      <c r="AD1241">
        <v>15720</v>
      </c>
      <c r="AE1241" t="str">
        <f t="shared" si="96"/>
        <v>glSetUp.FiscalStartDate</v>
      </c>
      <c r="AF1241" t="s">
        <v>771</v>
      </c>
      <c r="AJ1241" t="e">
        <f>VLOOKUP(E1241,temp1,1,FALSE)</f>
        <v>#NAME?</v>
      </c>
      <c r="AP1241" t="e">
        <f>VLOOKUP(E1241,temp6,1,FALSE)</f>
        <v>#NAME?</v>
      </c>
    </row>
    <row r="1242" spans="1:46" ht="15" hidden="1" customHeight="1">
      <c r="A1242">
        <v>203410</v>
      </c>
      <c r="B1242" s="3" t="s">
        <v>464</v>
      </c>
      <c r="C1242" s="3" t="str">
        <f t="shared" si="95"/>
        <v>ContactSetup.FiscalYearIncrement</v>
      </c>
      <c r="D1242" s="3">
        <v>200160</v>
      </c>
      <c r="E1242" s="3" t="str">
        <f t="shared" si="93"/>
        <v>ContactSetup</v>
      </c>
      <c r="F1242" s="3" t="s">
        <v>308</v>
      </c>
      <c r="H1242" s="3" t="str">
        <f t="shared" si="94"/>
        <v>gl.ContactSetup</v>
      </c>
      <c r="I1242" s="3" t="s">
        <v>308</v>
      </c>
      <c r="K1242" s="3" t="s">
        <v>394</v>
      </c>
      <c r="M1242" s="3" t="s">
        <v>195</v>
      </c>
      <c r="Q1242" s="3" t="s">
        <v>92</v>
      </c>
      <c r="U1242" s="3" t="s">
        <v>93</v>
      </c>
      <c r="AD1242">
        <v>15730</v>
      </c>
      <c r="AE1242" t="str">
        <f t="shared" si="96"/>
        <v>glSetUp.FiscalYearIncrement</v>
      </c>
      <c r="AF1242" t="s">
        <v>772</v>
      </c>
      <c r="AJ1242" t="e">
        <f>VLOOKUP(E1242,temp1,1,FALSE)</f>
        <v>#NAME?</v>
      </c>
      <c r="AP1242" t="e">
        <f>VLOOKUP(E1242,temp6,1,FALSE)</f>
        <v>#NAME?</v>
      </c>
    </row>
    <row r="1243" spans="1:46" ht="15" hidden="1" customHeight="1">
      <c r="A1243">
        <v>203420</v>
      </c>
      <c r="B1243" s="3" t="s">
        <v>464</v>
      </c>
      <c r="C1243" s="3" t="str">
        <f t="shared" si="95"/>
        <v>ContactSetup.FiscalYearEnd</v>
      </c>
      <c r="D1243" s="3">
        <v>200160</v>
      </c>
      <c r="E1243" s="3" t="str">
        <f t="shared" si="93"/>
        <v>ContactSetup</v>
      </c>
      <c r="F1243" s="3" t="s">
        <v>307</v>
      </c>
      <c r="H1243" s="3" t="str">
        <f t="shared" si="94"/>
        <v>gl.ContactSetup</v>
      </c>
      <c r="I1243" s="3" t="s">
        <v>307</v>
      </c>
      <c r="K1243" s="3" t="s">
        <v>395</v>
      </c>
      <c r="M1243" s="3" t="s">
        <v>329</v>
      </c>
      <c r="N1243" s="3">
        <v>8</v>
      </c>
      <c r="O1243" s="3">
        <v>0</v>
      </c>
      <c r="Q1243" s="3" t="s">
        <v>92</v>
      </c>
      <c r="U1243" s="3" t="s">
        <v>93</v>
      </c>
      <c r="AD1243">
        <v>15710</v>
      </c>
      <c r="AE1243" t="str">
        <f t="shared" si="96"/>
        <v>glSetUp.FiscalEndDate</v>
      </c>
      <c r="AF1243" t="s">
        <v>773</v>
      </c>
      <c r="AJ1243" t="e">
        <f>VLOOKUP(E1243,temp1,1,FALSE)</f>
        <v>#NAME?</v>
      </c>
      <c r="AP1243" t="e">
        <f>VLOOKUP(E1243,temp6,1,FALSE)</f>
        <v>#NAME?</v>
      </c>
    </row>
    <row r="1244" spans="1:46" ht="15" hidden="1" customHeight="1">
      <c r="A1244">
        <v>203430</v>
      </c>
      <c r="B1244" s="3" t="s">
        <v>464</v>
      </c>
      <c r="C1244" s="3" t="str">
        <f t="shared" si="95"/>
        <v>ContactSetup.GstRate</v>
      </c>
      <c r="D1244" s="3">
        <v>200160</v>
      </c>
      <c r="E1244" s="3" t="str">
        <f t="shared" si="93"/>
        <v>ContactSetup</v>
      </c>
      <c r="F1244" s="3" t="s">
        <v>62</v>
      </c>
      <c r="H1244" s="3" t="str">
        <f t="shared" si="94"/>
        <v>gl.ContactSetup</v>
      </c>
      <c r="I1244" s="3" t="s">
        <v>62</v>
      </c>
      <c r="K1244" s="3" t="s">
        <v>396</v>
      </c>
      <c r="M1244" s="3" t="s">
        <v>197</v>
      </c>
      <c r="N1244" s="3">
        <v>7</v>
      </c>
      <c r="O1244" s="3">
        <v>3</v>
      </c>
      <c r="Q1244" s="3" t="s">
        <v>92</v>
      </c>
      <c r="U1244" s="3" t="s">
        <v>93</v>
      </c>
      <c r="AD1244">
        <v>15830</v>
      </c>
      <c r="AE1244" t="str">
        <f t="shared" si="96"/>
        <v>glSetUp.GstRate</v>
      </c>
      <c r="AF1244" t="s">
        <v>774</v>
      </c>
      <c r="AJ1244" t="e">
        <f>VLOOKUP(E1244,temp1,1,FALSE)</f>
        <v>#NAME?</v>
      </c>
      <c r="AP1244" t="e">
        <f>VLOOKUP(E1244,temp6,1,FALSE)</f>
        <v>#NAME?</v>
      </c>
    </row>
    <row r="1245" spans="1:46" ht="15" hidden="1" customHeight="1">
      <c r="A1245">
        <v>203440</v>
      </c>
      <c r="B1245" s="3" t="s">
        <v>464</v>
      </c>
      <c r="C1245" s="3" t="str">
        <f t="shared" si="95"/>
        <v>ContactSetup.ForceBalancing</v>
      </c>
      <c r="D1245" s="3">
        <v>200160</v>
      </c>
      <c r="E1245" s="3" t="str">
        <f t="shared" si="93"/>
        <v>ContactSetup</v>
      </c>
      <c r="F1245" s="3" t="s">
        <v>310</v>
      </c>
      <c r="H1245" s="3" t="str">
        <f t="shared" si="94"/>
        <v>gl.ContactSetup</v>
      </c>
      <c r="I1245" s="3" t="s">
        <v>310</v>
      </c>
      <c r="K1245" s="3" t="s">
        <v>397</v>
      </c>
      <c r="L1245" t="s">
        <v>2412</v>
      </c>
      <c r="M1245" s="3" t="s">
        <v>196</v>
      </c>
      <c r="O1245" s="3">
        <v>0</v>
      </c>
      <c r="Q1245" s="3" t="s">
        <v>92</v>
      </c>
      <c r="U1245" s="3" t="s">
        <v>93</v>
      </c>
      <c r="AF1245" t="s">
        <v>775</v>
      </c>
      <c r="AJ1245" t="e">
        <f>VLOOKUP(E1245,temp1,1,FALSE)</f>
        <v>#NAME?</v>
      </c>
      <c r="AP1245" t="e">
        <f>VLOOKUP(E1245,temp6,1,FALSE)</f>
        <v>#NAME?</v>
      </c>
    </row>
    <row r="1246" spans="1:46" ht="15" hidden="1" customHeight="1">
      <c r="A1246">
        <v>203450</v>
      </c>
      <c r="B1246" s="3" t="s">
        <v>464</v>
      </c>
      <c r="C1246" s="3" t="str">
        <f t="shared" si="95"/>
        <v>ContactSetup.ChequeNumber</v>
      </c>
      <c r="D1246" s="3">
        <v>200160</v>
      </c>
      <c r="E1246" s="3" t="str">
        <f t="shared" si="93"/>
        <v>ContactSetup</v>
      </c>
      <c r="F1246" s="3" t="s">
        <v>61</v>
      </c>
      <c r="H1246" s="3" t="str">
        <f t="shared" si="94"/>
        <v>gl.ContactSetup</v>
      </c>
      <c r="I1246" s="3" t="s">
        <v>61</v>
      </c>
      <c r="K1246" s="3" t="s">
        <v>118</v>
      </c>
      <c r="L1246"/>
      <c r="M1246" s="3" t="s">
        <v>195</v>
      </c>
      <c r="Q1246" s="3" t="s">
        <v>92</v>
      </c>
      <c r="U1246" s="3" t="s">
        <v>93</v>
      </c>
      <c r="AF1246" t="s">
        <v>776</v>
      </c>
      <c r="AJ1246" t="e">
        <f>VLOOKUP(E1246,temp1,1,FALSE)</f>
        <v>#NAME?</v>
      </c>
      <c r="AP1246" t="e">
        <f>VLOOKUP(E1246,temp6,1,FALSE)</f>
        <v>#NAME?</v>
      </c>
    </row>
    <row r="1247" spans="1:46" ht="15" hidden="1" customHeight="1">
      <c r="A1247">
        <v>203460</v>
      </c>
      <c r="B1247" s="3" t="s">
        <v>464</v>
      </c>
      <c r="C1247" s="3" t="str">
        <f t="shared" si="95"/>
        <v>ContactSetup.ContactID</v>
      </c>
      <c r="D1247" s="3">
        <v>200160</v>
      </c>
      <c r="E1247" s="3" t="str">
        <f t="shared" si="93"/>
        <v>ContactSetup</v>
      </c>
      <c r="F1247" s="3" t="s">
        <v>73</v>
      </c>
      <c r="H1247" s="3" t="str">
        <f t="shared" si="94"/>
        <v>gl.ContactSetup</v>
      </c>
      <c r="I1247" s="3" t="s">
        <v>73</v>
      </c>
      <c r="K1247" s="3" t="s">
        <v>29</v>
      </c>
      <c r="M1247" s="3" t="s">
        <v>195</v>
      </c>
      <c r="Q1247" s="3" t="s">
        <v>92</v>
      </c>
      <c r="U1247" s="3" t="s">
        <v>96</v>
      </c>
      <c r="V1247">
        <v>200150</v>
      </c>
      <c r="W1247" s="3" t="str">
        <f>VLOOKUP(V1247,DictionaryTableID,3,FALSE)</f>
        <v>Contacts</v>
      </c>
      <c r="AD1247">
        <v>15700</v>
      </c>
      <c r="AE1247" t="str">
        <f>IF(AD1247=-1,"All",VLOOKUP(AD1247,ColumnId,3,FALSE))</f>
        <v>glSetUp.crmContactIDCompany</v>
      </c>
      <c r="AF1247" t="s">
        <v>777</v>
      </c>
      <c r="AJ1247" t="e">
        <f>VLOOKUP(E1247,temp1,1,FALSE)</f>
        <v>#NAME?</v>
      </c>
      <c r="AO1247" t="str">
        <f>SUBSTITUTE(VLOOKUP(V1247,DictionaryTableID,16,FALSE)&amp;"ID",".","")</f>
        <v>crmContactID</v>
      </c>
      <c r="AP1247" t="e">
        <f>VLOOKUP(E1247,temp6,1,FALSE)</f>
        <v>#NAME?</v>
      </c>
    </row>
    <row r="1248" spans="1:46" ht="15" hidden="1" customHeight="1">
      <c r="A1248">
        <v>203470</v>
      </c>
      <c r="B1248" s="3" t="s">
        <v>464</v>
      </c>
      <c r="C1248" s="3" t="str">
        <f t="shared" si="95"/>
        <v>ContactSetup.DeprDate</v>
      </c>
      <c r="D1248" s="3">
        <v>200160</v>
      </c>
      <c r="E1248" s="3" t="str">
        <f t="shared" si="93"/>
        <v>ContactSetup</v>
      </c>
      <c r="F1248" s="3" t="s">
        <v>280</v>
      </c>
      <c r="H1248" s="3" t="str">
        <f t="shared" si="94"/>
        <v>gl.ContactSetup</v>
      </c>
      <c r="I1248" s="3" t="s">
        <v>280</v>
      </c>
      <c r="K1248" s="3" t="s">
        <v>398</v>
      </c>
      <c r="M1248" s="3" t="s">
        <v>329</v>
      </c>
      <c r="N1248" s="3">
        <v>8</v>
      </c>
      <c r="O1248" s="3">
        <v>0</v>
      </c>
      <c r="Q1248" s="3" t="s">
        <v>92</v>
      </c>
      <c r="U1248" s="3" t="s">
        <v>93</v>
      </c>
      <c r="AF1248" t="s">
        <v>778</v>
      </c>
      <c r="AJ1248" t="e">
        <f>VLOOKUP(E1248,temp1,1,FALSE)</f>
        <v>#NAME?</v>
      </c>
      <c r="AP1248" t="e">
        <f>VLOOKUP(E1248,temp6,1,FALSE)</f>
        <v>#NAME?</v>
      </c>
    </row>
    <row r="1249" spans="1:46" ht="15" hidden="1" customHeight="1">
      <c r="A1249">
        <v>203480</v>
      </c>
      <c r="B1249" s="3" t="s">
        <v>464</v>
      </c>
      <c r="C1249" s="3" t="str">
        <f t="shared" si="95"/>
        <v>ContactSetup.DeprInc</v>
      </c>
      <c r="D1249" s="3">
        <v>200160</v>
      </c>
      <c r="E1249" s="3" t="str">
        <f t="shared" si="93"/>
        <v>ContactSetup</v>
      </c>
      <c r="F1249" s="3" t="s">
        <v>232</v>
      </c>
      <c r="H1249" s="3" t="str">
        <f t="shared" si="94"/>
        <v>gl.ContactSetup</v>
      </c>
      <c r="I1249" s="3" t="s">
        <v>232</v>
      </c>
      <c r="K1249" s="3" t="s">
        <v>399</v>
      </c>
      <c r="L1249"/>
      <c r="M1249" s="3" t="s">
        <v>196</v>
      </c>
      <c r="O1249" s="3">
        <v>0</v>
      </c>
      <c r="Q1249" s="3" t="s">
        <v>92</v>
      </c>
      <c r="U1249" s="3" t="s">
        <v>93</v>
      </c>
      <c r="AF1249" t="s">
        <v>779</v>
      </c>
      <c r="AJ1249" t="e">
        <f>VLOOKUP(E1249,temp1,1,FALSE)</f>
        <v>#NAME?</v>
      </c>
      <c r="AP1249" t="e">
        <f>VLOOKUP(E1249,temp6,1,FALSE)</f>
        <v>#NAME?</v>
      </c>
    </row>
    <row r="1250" spans="1:46" hidden="1">
      <c r="A1250">
        <v>203490</v>
      </c>
      <c r="B1250" s="3" t="s">
        <v>464</v>
      </c>
      <c r="C1250" s="3" t="str">
        <f t="shared" si="95"/>
        <v>ContactSetup.RefDepreciationTypeID</v>
      </c>
      <c r="D1250" s="3">
        <v>200160</v>
      </c>
      <c r="E1250" s="3" t="str">
        <f t="shared" si="93"/>
        <v>ContactSetup</v>
      </c>
      <c r="F1250" s="3" t="s">
        <v>304</v>
      </c>
      <c r="H1250" s="3" t="str">
        <f t="shared" si="94"/>
        <v>gl.ContactSetup</v>
      </c>
      <c r="I1250" s="3" t="s">
        <v>304</v>
      </c>
      <c r="K1250" s="3" t="s">
        <v>448</v>
      </c>
      <c r="M1250" s="3" t="s">
        <v>195</v>
      </c>
      <c r="Q1250" s="3" t="s">
        <v>92</v>
      </c>
      <c r="U1250" s="3" t="s">
        <v>97</v>
      </c>
      <c r="V1250">
        <v>200360</v>
      </c>
      <c r="W1250" s="3" t="str">
        <f>VLOOKUP(V1250,DictionaryTableID,3,FALSE)</f>
        <v>ReferenceFields</v>
      </c>
      <c r="AF1250" t="s">
        <v>780</v>
      </c>
      <c r="AJ1250" t="e">
        <f>VLOOKUP(E1250,temp1,1,FALSE)</f>
        <v>#NAME?</v>
      </c>
      <c r="AP1250" t="e">
        <f>VLOOKUP(E1250,temp6,1,FALSE)</f>
        <v>#NAME?</v>
      </c>
    </row>
    <row r="1251" spans="1:46" ht="15" hidden="1" customHeight="1">
      <c r="A1251">
        <v>203500</v>
      </c>
      <c r="B1251" s="3" t="s">
        <v>464</v>
      </c>
      <c r="C1251" s="3" t="str">
        <f t="shared" si="95"/>
        <v>ContactSetup.T0Refer</v>
      </c>
      <c r="D1251" s="3">
        <v>200160</v>
      </c>
      <c r="E1251" s="3" t="str">
        <f t="shared" si="93"/>
        <v>ContactSetup</v>
      </c>
      <c r="F1251" s="3" t="s">
        <v>253</v>
      </c>
      <c r="H1251" s="3" t="str">
        <f t="shared" si="94"/>
        <v>gl.ContactSetup</v>
      </c>
      <c r="I1251" s="3" t="s">
        <v>253</v>
      </c>
      <c r="K1251" s="3" t="s">
        <v>400</v>
      </c>
      <c r="M1251" s="3" t="s">
        <v>196</v>
      </c>
      <c r="O1251" s="3">
        <v>0</v>
      </c>
      <c r="Q1251" s="3" t="s">
        <v>92</v>
      </c>
      <c r="U1251" s="3" t="s">
        <v>93</v>
      </c>
      <c r="AF1251" t="s">
        <v>781</v>
      </c>
      <c r="AJ1251" t="e">
        <f>VLOOKUP(E1251,temp1,1,FALSE)</f>
        <v>#NAME?</v>
      </c>
      <c r="AP1251" t="e">
        <f>VLOOKUP(E1251,temp6,1,FALSE)</f>
        <v>#NAME?</v>
      </c>
    </row>
    <row r="1252" spans="1:46" hidden="1">
      <c r="A1252">
        <v>203510</v>
      </c>
      <c r="B1252" s="3" t="s">
        <v>464</v>
      </c>
      <c r="C1252" s="3" t="str">
        <f t="shared" si="95"/>
        <v>ContactSetup.T2Refer</v>
      </c>
      <c r="D1252" s="3">
        <v>200160</v>
      </c>
      <c r="E1252" s="3" t="str">
        <f t="shared" si="93"/>
        <v>ContactSetup</v>
      </c>
      <c r="F1252" s="3" t="s">
        <v>254</v>
      </c>
      <c r="H1252" s="3" t="str">
        <f t="shared" si="94"/>
        <v>gl.ContactSetup</v>
      </c>
      <c r="I1252" s="3" t="s">
        <v>254</v>
      </c>
      <c r="K1252" s="3" t="s">
        <v>401</v>
      </c>
      <c r="M1252" s="3" t="s">
        <v>196</v>
      </c>
      <c r="O1252" s="3">
        <v>0</v>
      </c>
      <c r="Q1252" s="3" t="s">
        <v>92</v>
      </c>
      <c r="U1252" s="3" t="s">
        <v>93</v>
      </c>
      <c r="AF1252" t="s">
        <v>782</v>
      </c>
      <c r="AJ1252" t="e">
        <f>VLOOKUP(E1252,temp1,1,FALSE)</f>
        <v>#NAME?</v>
      </c>
      <c r="AP1252" t="e">
        <f>VLOOKUP(E1252,temp6,1,FALSE)</f>
        <v>#NAME?</v>
      </c>
    </row>
    <row r="1253" spans="1:46" ht="15" hidden="1" customHeight="1">
      <c r="A1253">
        <v>203520</v>
      </c>
      <c r="B1253" s="3" t="s">
        <v>464</v>
      </c>
      <c r="C1253" s="3" t="str">
        <f t="shared" si="95"/>
        <v>ContactSetup.ReferenceNumber</v>
      </c>
      <c r="D1253" s="3">
        <v>200160</v>
      </c>
      <c r="E1253" s="3" t="str">
        <f t="shared" si="93"/>
        <v>ContactSetup</v>
      </c>
      <c r="F1253" s="3" t="s">
        <v>28</v>
      </c>
      <c r="H1253" s="3" t="str">
        <f t="shared" si="94"/>
        <v>gl.ContactSetup</v>
      </c>
      <c r="I1253" s="3" t="s">
        <v>28</v>
      </c>
      <c r="K1253" s="3" t="s">
        <v>102</v>
      </c>
      <c r="M1253" s="3" t="s">
        <v>196</v>
      </c>
      <c r="O1253" s="3">
        <v>0</v>
      </c>
      <c r="Q1253" s="3" t="s">
        <v>92</v>
      </c>
      <c r="U1253" s="3" t="s">
        <v>93</v>
      </c>
      <c r="AF1253" t="s">
        <v>783</v>
      </c>
      <c r="AJ1253" t="e">
        <f>VLOOKUP(E1253,temp1,1,FALSE)</f>
        <v>#NAME?</v>
      </c>
      <c r="AP1253" t="e">
        <f>VLOOKUP(E1253,temp6,1,FALSE)</f>
        <v>#NAME?</v>
      </c>
    </row>
    <row r="1254" spans="1:46" hidden="1">
      <c r="A1254">
        <v>203530</v>
      </c>
      <c r="B1254" s="3" t="s">
        <v>464</v>
      </c>
      <c r="C1254" s="3" t="str">
        <f t="shared" si="95"/>
        <v>ContactSetup.WIPBilling</v>
      </c>
      <c r="D1254" s="3">
        <v>200160</v>
      </c>
      <c r="E1254" s="3" t="str">
        <f t="shared" si="93"/>
        <v>ContactSetup</v>
      </c>
      <c r="F1254" s="3" t="s">
        <v>322</v>
      </c>
      <c r="H1254" s="3" t="str">
        <f t="shared" si="94"/>
        <v>gl.ContactSetup</v>
      </c>
      <c r="I1254" s="3" t="s">
        <v>322</v>
      </c>
      <c r="K1254" s="3" t="s">
        <v>402</v>
      </c>
      <c r="M1254" s="3" t="s">
        <v>196</v>
      </c>
      <c r="O1254" s="3">
        <v>0</v>
      </c>
      <c r="Q1254" s="3" t="s">
        <v>92</v>
      </c>
      <c r="U1254" s="3" t="s">
        <v>93</v>
      </c>
      <c r="AF1254" t="s">
        <v>784</v>
      </c>
      <c r="AJ1254" t="e">
        <f>VLOOKUP(E1254,temp1,1,FALSE)</f>
        <v>#NAME?</v>
      </c>
      <c r="AP1254" t="e">
        <f>VLOOKUP(E1254,temp6,1,FALSE)</f>
        <v>#NAME?</v>
      </c>
    </row>
    <row r="1255" spans="1:46" ht="15" hidden="1" customHeight="1">
      <c r="A1255">
        <v>203540</v>
      </c>
      <c r="B1255" s="3" t="s">
        <v>464</v>
      </c>
      <c r="C1255" s="3" t="str">
        <f t="shared" si="95"/>
        <v>ContactSetup.UseCc</v>
      </c>
      <c r="D1255" s="3">
        <v>200160</v>
      </c>
      <c r="E1255" s="3" t="str">
        <f t="shared" si="93"/>
        <v>ContactSetup</v>
      </c>
      <c r="F1255" s="3" t="s">
        <v>256</v>
      </c>
      <c r="H1255" s="3" t="str">
        <f t="shared" si="94"/>
        <v>gl.ContactSetup</v>
      </c>
      <c r="I1255" s="3" t="s">
        <v>256</v>
      </c>
      <c r="K1255" s="3" t="s">
        <v>403</v>
      </c>
      <c r="L1255" t="s">
        <v>2413</v>
      </c>
      <c r="M1255" s="3" t="s">
        <v>196</v>
      </c>
      <c r="O1255" s="3">
        <v>0</v>
      </c>
      <c r="Q1255" s="3" t="s">
        <v>92</v>
      </c>
      <c r="U1255" s="3" t="s">
        <v>93</v>
      </c>
      <c r="AF1255" t="s">
        <v>785</v>
      </c>
      <c r="AJ1255" t="e">
        <f>VLOOKUP(E1255,temp1,1,FALSE)</f>
        <v>#NAME?</v>
      </c>
      <c r="AP1255" t="e">
        <f>VLOOKUP(E1255,temp6,1,FALSE)</f>
        <v>#NAME?</v>
      </c>
    </row>
    <row r="1256" spans="1:46" ht="15" hidden="1" customHeight="1">
      <c r="A1256">
        <v>203550</v>
      </c>
      <c r="B1256" s="3" t="s">
        <v>464</v>
      </c>
      <c r="C1256" s="3" t="str">
        <f t="shared" si="95"/>
        <v>ContactSetup.HoursPerDay</v>
      </c>
      <c r="D1256" s="3">
        <v>200160</v>
      </c>
      <c r="E1256" s="3" t="str">
        <f t="shared" si="93"/>
        <v>ContactSetup</v>
      </c>
      <c r="F1256" s="3" t="s">
        <v>312</v>
      </c>
      <c r="H1256" s="3" t="str">
        <f t="shared" si="94"/>
        <v>gl.ContactSetup</v>
      </c>
      <c r="I1256" s="3" t="s">
        <v>312</v>
      </c>
      <c r="K1256" s="3" t="s">
        <v>388</v>
      </c>
      <c r="M1256" s="3" t="s">
        <v>197</v>
      </c>
      <c r="N1256" s="3">
        <v>5</v>
      </c>
      <c r="O1256" s="3">
        <v>2</v>
      </c>
      <c r="Q1256" s="3" t="s">
        <v>92</v>
      </c>
      <c r="U1256" s="3" t="s">
        <v>93</v>
      </c>
      <c r="W1256" s="3"/>
      <c r="AF1256" t="s">
        <v>786</v>
      </c>
      <c r="AJ1256" t="e">
        <f>VLOOKUP(E1256,temp1,1,FALSE)</f>
        <v>#NAME?</v>
      </c>
      <c r="AP1256" t="e">
        <f>VLOOKUP(E1256,temp6,1,FALSE)</f>
        <v>#NAME?</v>
      </c>
    </row>
    <row r="1257" spans="1:46" ht="15" hidden="1" customHeight="1">
      <c r="A1257">
        <v>203560</v>
      </c>
      <c r="B1257" s="3" t="s">
        <v>464</v>
      </c>
      <c r="C1257" s="3" t="str">
        <f t="shared" si="95"/>
        <v>ContactSetup.Gstnum</v>
      </c>
      <c r="D1257" s="3">
        <v>200160</v>
      </c>
      <c r="E1257" s="3" t="str">
        <f t="shared" si="93"/>
        <v>ContactSetup</v>
      </c>
      <c r="F1257" s="3" t="s">
        <v>264</v>
      </c>
      <c r="H1257" s="3" t="str">
        <f t="shared" si="94"/>
        <v>gl.ContactSetup</v>
      </c>
      <c r="I1257" s="3" t="s">
        <v>264</v>
      </c>
      <c r="K1257" s="3" t="s">
        <v>264</v>
      </c>
      <c r="M1257" s="3" t="s">
        <v>196</v>
      </c>
      <c r="O1257" s="3">
        <v>0</v>
      </c>
      <c r="Q1257" s="3" t="s">
        <v>92</v>
      </c>
      <c r="U1257" s="3" t="s">
        <v>93</v>
      </c>
      <c r="W1257" s="3"/>
      <c r="AD1257">
        <v>15820</v>
      </c>
      <c r="AE1257" t="str">
        <f t="shared" ref="AE1257:AE1270" si="97">IF(AD1257=-1,"All",VLOOKUP(AD1257,ColumnId,3,FALSE))</f>
        <v>glSetUp.GSTNumber</v>
      </c>
      <c r="AF1257" t="s">
        <v>787</v>
      </c>
      <c r="AJ1257" t="e">
        <f>VLOOKUP(E1257,temp1,1,FALSE)</f>
        <v>#NAME?</v>
      </c>
      <c r="AP1257" t="e">
        <f>VLOOKUP(E1257,temp6,1,FALSE)</f>
        <v>#NAME?</v>
      </c>
    </row>
    <row r="1258" spans="1:46" ht="15" hidden="1" customHeight="1">
      <c r="A1258">
        <v>203570</v>
      </c>
      <c r="B1258" s="3" t="s">
        <v>464</v>
      </c>
      <c r="C1258" s="3" t="str">
        <f t="shared" si="95"/>
        <v>ContactSetup.RecordStatus</v>
      </c>
      <c r="D1258" s="3">
        <v>200160</v>
      </c>
      <c r="E1258" s="3" t="str">
        <f t="shared" si="93"/>
        <v>ContactSetup</v>
      </c>
      <c r="F1258" s="3" t="s">
        <v>4</v>
      </c>
      <c r="H1258" s="3" t="str">
        <f t="shared" si="94"/>
        <v>gl.ContactSetup</v>
      </c>
      <c r="I1258" s="3" t="s">
        <v>4</v>
      </c>
      <c r="K1258" s="3" t="s">
        <v>4</v>
      </c>
      <c r="M1258" s="3" t="s">
        <v>196</v>
      </c>
      <c r="O1258" s="3">
        <v>0</v>
      </c>
      <c r="Q1258" s="3" t="s">
        <v>92</v>
      </c>
      <c r="U1258" s="3" t="s">
        <v>94</v>
      </c>
      <c r="AD1258">
        <v>15870</v>
      </c>
      <c r="AE1258" t="str">
        <f t="shared" si="97"/>
        <v>glSetUp.RowStatus</v>
      </c>
      <c r="AJ1258" t="e">
        <f>VLOOKUP(E1258,temp1,1,FALSE)</f>
        <v>#NAME?</v>
      </c>
      <c r="AP1258" t="e">
        <f>VLOOKUP(E1258,temp6,1,FALSE)</f>
        <v>#NAME?</v>
      </c>
      <c r="AS1258" t="str">
        <f>"select distinct "&amp;F1258&amp;" from "&amp;E1258&amp;" union all"</f>
        <v>select distinct RecordStatus from ContactSetup union all</v>
      </c>
      <c r="AT1258" t="str">
        <f>"update a set a."&amp;F1258&amp;"=b.tableid from "&amp;E1258&amp;" a join #dbidtranslation b on b.dbid="&amp;F1258</f>
        <v>update a set a.RecordStatus=b.tableid from ContactSetup a join #dbidtranslation b on b.dbid=RecordStatus</v>
      </c>
    </row>
    <row r="1259" spans="1:46" ht="15" hidden="1" customHeight="1">
      <c r="A1259">
        <v>203580</v>
      </c>
      <c r="B1259" s="3" t="s">
        <v>464</v>
      </c>
      <c r="C1259" s="3" t="str">
        <f t="shared" si="95"/>
        <v>Budgets.ID</v>
      </c>
      <c r="D1259" s="3">
        <v>200120</v>
      </c>
      <c r="E1259" s="3" t="str">
        <f t="shared" si="93"/>
        <v>Budgets</v>
      </c>
      <c r="F1259" s="3" t="s">
        <v>0</v>
      </c>
      <c r="H1259" s="3" t="str">
        <f t="shared" si="94"/>
        <v>gl.Budget</v>
      </c>
      <c r="I1259" s="3" t="s">
        <v>0</v>
      </c>
      <c r="K1259" s="3" t="s">
        <v>0</v>
      </c>
      <c r="M1259" s="3" t="s">
        <v>195</v>
      </c>
      <c r="Q1259" s="3" t="s">
        <v>919</v>
      </c>
      <c r="U1259" s="3" t="s">
        <v>95</v>
      </c>
      <c r="AD1259">
        <v>-1</v>
      </c>
      <c r="AE1259" t="str">
        <f t="shared" si="97"/>
        <v>All</v>
      </c>
      <c r="AF1259" t="s">
        <v>788</v>
      </c>
      <c r="AJ1259" t="e">
        <f>VLOOKUP(E1259,temp1,1,FALSE)</f>
        <v>#NAME?</v>
      </c>
      <c r="AP1259" t="e">
        <f>VLOOKUP(E1259,temp6,1,FALSE)</f>
        <v>#NAME?</v>
      </c>
    </row>
    <row r="1260" spans="1:46" ht="15" hidden="1" customHeight="1">
      <c r="A1260">
        <v>203590</v>
      </c>
      <c r="B1260" s="3" t="s">
        <v>464</v>
      </c>
      <c r="C1260" s="3" t="str">
        <f t="shared" si="95"/>
        <v>Budgets.GLAccountID</v>
      </c>
      <c r="D1260" s="3">
        <v>200120</v>
      </c>
      <c r="E1260" s="3" t="str">
        <f t="shared" si="93"/>
        <v>Budgets</v>
      </c>
      <c r="F1260" s="3" t="s">
        <v>74</v>
      </c>
      <c r="H1260" s="3" t="str">
        <f t="shared" si="94"/>
        <v>gl.Budget</v>
      </c>
      <c r="I1260" s="3" t="s">
        <v>74</v>
      </c>
      <c r="K1260" s="3" t="s">
        <v>123</v>
      </c>
      <c r="M1260" s="3" t="s">
        <v>195</v>
      </c>
      <c r="Q1260" s="3" t="s">
        <v>92</v>
      </c>
      <c r="U1260" s="3" t="s">
        <v>96</v>
      </c>
      <c r="V1260">
        <v>200260</v>
      </c>
      <c r="W1260" s="3" t="str">
        <f>VLOOKUP(V1260,DictionaryTableID,3,FALSE)</f>
        <v>GLAccounts</v>
      </c>
      <c r="AD1260">
        <v>14550</v>
      </c>
      <c r="AE1260" t="str">
        <f t="shared" si="97"/>
        <v>glBudget.glAccountID</v>
      </c>
      <c r="AF1260" t="s">
        <v>789</v>
      </c>
      <c r="AJ1260" t="e">
        <f>VLOOKUP(E1260,temp1,1,FALSE)</f>
        <v>#NAME?</v>
      </c>
      <c r="AP1260" t="e">
        <f>VLOOKUP(E1260,temp6,1,FALSE)</f>
        <v>#NAME?</v>
      </c>
    </row>
    <row r="1261" spans="1:46" ht="15" hidden="1" customHeight="1">
      <c r="A1261">
        <v>203600</v>
      </c>
      <c r="B1261" s="3" t="s">
        <v>464</v>
      </c>
      <c r="C1261" s="3" t="str">
        <f t="shared" si="95"/>
        <v>Budgets.CostCentreID</v>
      </c>
      <c r="D1261" s="3">
        <v>200120</v>
      </c>
      <c r="E1261" s="3" t="str">
        <f t="shared" si="93"/>
        <v>Budgets</v>
      </c>
      <c r="F1261" s="3" t="s">
        <v>212</v>
      </c>
      <c r="H1261" s="3" t="str">
        <f t="shared" si="94"/>
        <v>gl.Budget</v>
      </c>
      <c r="I1261" s="3" t="s">
        <v>212</v>
      </c>
      <c r="K1261" s="3" t="s">
        <v>328</v>
      </c>
      <c r="M1261" s="3" t="s">
        <v>195</v>
      </c>
      <c r="Q1261" s="3" t="s">
        <v>92</v>
      </c>
      <c r="U1261" s="3" t="s">
        <v>96</v>
      </c>
      <c r="V1261">
        <v>200170</v>
      </c>
      <c r="W1261" s="3" t="str">
        <f>VLOOKUP(V1261,DictionaryTableID,3,FALSE)</f>
        <v>CostCentres</v>
      </c>
      <c r="AD1261">
        <v>14560</v>
      </c>
      <c r="AE1261" t="str">
        <f t="shared" si="97"/>
        <v>glBudget.glCostCentreID</v>
      </c>
      <c r="AF1261" t="s">
        <v>790</v>
      </c>
      <c r="AJ1261" t="e">
        <f>VLOOKUP(E1261,temp1,1,FALSE)</f>
        <v>#NAME?</v>
      </c>
      <c r="AO1261" t="str">
        <f>SUBSTITUTE(VLOOKUP(V1261,DictionaryTableID,16,FALSE)&amp;"ID",".","")</f>
        <v>glCostCentreID</v>
      </c>
      <c r="AP1261" t="e">
        <f>VLOOKUP(E1261,temp6,1,FALSE)</f>
        <v>#NAME?</v>
      </c>
    </row>
    <row r="1262" spans="1:46" ht="15" hidden="1" customHeight="1">
      <c r="A1262">
        <v>203610</v>
      </c>
      <c r="B1262" s="3" t="s">
        <v>464</v>
      </c>
      <c r="C1262" s="3" t="str">
        <f t="shared" si="95"/>
        <v>Budgets.Date</v>
      </c>
      <c r="D1262" s="3">
        <v>200120</v>
      </c>
      <c r="E1262" s="3" t="str">
        <f t="shared" si="93"/>
        <v>Budgets</v>
      </c>
      <c r="F1262" s="3" t="s">
        <v>81</v>
      </c>
      <c r="H1262" s="3" t="str">
        <f t="shared" si="94"/>
        <v>gl.Budget</v>
      </c>
      <c r="I1262" s="3" t="s">
        <v>81</v>
      </c>
      <c r="K1262" s="3" t="s">
        <v>81</v>
      </c>
      <c r="M1262" s="3" t="s">
        <v>329</v>
      </c>
      <c r="N1262" s="3">
        <v>8</v>
      </c>
      <c r="O1262" s="3">
        <v>0</v>
      </c>
      <c r="Q1262" s="3" t="s">
        <v>92</v>
      </c>
      <c r="U1262" s="3" t="s">
        <v>93</v>
      </c>
      <c r="W1262" s="3"/>
      <c r="AD1262">
        <v>14590</v>
      </c>
      <c r="AE1262" t="str">
        <f t="shared" si="97"/>
        <v>glBudget.BudgetDate</v>
      </c>
      <c r="AF1262" t="s">
        <v>791</v>
      </c>
      <c r="AJ1262" t="e">
        <f>VLOOKUP(E1262,temp1,1,FALSE)</f>
        <v>#NAME?</v>
      </c>
      <c r="AP1262" t="e">
        <f>VLOOKUP(E1262,temp6,1,FALSE)</f>
        <v>#NAME?</v>
      </c>
    </row>
    <row r="1263" spans="1:46" ht="15" hidden="1" customHeight="1">
      <c r="A1263">
        <v>203620</v>
      </c>
      <c r="B1263" s="3" t="s">
        <v>464</v>
      </c>
      <c r="C1263" s="3" t="str">
        <f t="shared" si="95"/>
        <v>Budgets.RollupAmount</v>
      </c>
      <c r="D1263" s="3">
        <v>200120</v>
      </c>
      <c r="E1263" s="3" t="str">
        <f t="shared" si="93"/>
        <v>Budgets</v>
      </c>
      <c r="F1263" s="3" t="s">
        <v>59</v>
      </c>
      <c r="H1263" s="3" t="str">
        <f t="shared" si="94"/>
        <v>gl.Budget</v>
      </c>
      <c r="I1263" s="3" t="s">
        <v>59</v>
      </c>
      <c r="K1263" s="3" t="s">
        <v>349</v>
      </c>
      <c r="M1263" s="3" t="s">
        <v>197</v>
      </c>
      <c r="N1263" s="3">
        <v>15</v>
      </c>
      <c r="O1263" s="3">
        <v>2</v>
      </c>
      <c r="Q1263" s="3" t="s">
        <v>92</v>
      </c>
      <c r="U1263" s="3" t="s">
        <v>93</v>
      </c>
      <c r="W1263" s="3"/>
      <c r="AD1263">
        <v>14600</v>
      </c>
      <c r="AE1263" t="str">
        <f t="shared" si="97"/>
        <v>glBudget.RollupAmount</v>
      </c>
      <c r="AF1263" t="s">
        <v>792</v>
      </c>
      <c r="AJ1263" t="e">
        <f>VLOOKUP(E1263,temp1,1,FALSE)</f>
        <v>#NAME?</v>
      </c>
      <c r="AP1263" t="e">
        <f>VLOOKUP(E1263,temp6,1,FALSE)</f>
        <v>#NAME?</v>
      </c>
    </row>
    <row r="1264" spans="1:46" ht="15" hidden="1" customHeight="1">
      <c r="A1264">
        <v>203630</v>
      </c>
      <c r="B1264" s="3" t="s">
        <v>464</v>
      </c>
      <c r="C1264" s="3" t="str">
        <f t="shared" si="95"/>
        <v>Budgets.Amount</v>
      </c>
      <c r="D1264" s="3">
        <v>200120</v>
      </c>
      <c r="E1264" s="3" t="str">
        <f t="shared" si="93"/>
        <v>Budgets</v>
      </c>
      <c r="F1264" s="3" t="s">
        <v>49</v>
      </c>
      <c r="H1264" s="3" t="str">
        <f t="shared" si="94"/>
        <v>gl.Budget</v>
      </c>
      <c r="I1264" s="3" t="s">
        <v>49</v>
      </c>
      <c r="K1264" s="3" t="s">
        <v>49</v>
      </c>
      <c r="M1264" s="3" t="s">
        <v>197</v>
      </c>
      <c r="N1264" s="3">
        <v>15</v>
      </c>
      <c r="O1264" s="3">
        <v>2</v>
      </c>
      <c r="Q1264" s="3" t="s">
        <v>92</v>
      </c>
      <c r="U1264" s="3" t="s">
        <v>93</v>
      </c>
      <c r="W1264" s="3"/>
      <c r="AD1264">
        <v>14570</v>
      </c>
      <c r="AE1264" t="str">
        <f t="shared" si="97"/>
        <v>glBudget.Amount</v>
      </c>
      <c r="AF1264" t="s">
        <v>793</v>
      </c>
      <c r="AJ1264" t="e">
        <f>VLOOKUP(E1264,temp1,1,FALSE)</f>
        <v>#NAME?</v>
      </c>
      <c r="AP1264" t="e">
        <f>VLOOKUP(E1264,temp6,1,FALSE)</f>
        <v>#NAME?</v>
      </c>
    </row>
    <row r="1265" spans="1:42" ht="15" hidden="1" customHeight="1">
      <c r="A1265">
        <v>203640</v>
      </c>
      <c r="B1265" s="3" t="s">
        <v>464</v>
      </c>
      <c r="C1265" s="3" t="str">
        <f t="shared" si="95"/>
        <v>Budgets.Notes</v>
      </c>
      <c r="D1265" s="3">
        <v>200120</v>
      </c>
      <c r="E1265" s="3" t="str">
        <f t="shared" si="93"/>
        <v>Budgets</v>
      </c>
      <c r="F1265" s="3" t="s">
        <v>268</v>
      </c>
      <c r="H1265" s="3" t="str">
        <f t="shared" si="94"/>
        <v>gl.Budget</v>
      </c>
      <c r="I1265" s="3" t="s">
        <v>268</v>
      </c>
      <c r="K1265" s="3" t="s">
        <v>268</v>
      </c>
      <c r="M1265" s="3" t="s">
        <v>196</v>
      </c>
      <c r="O1265" s="3">
        <v>0</v>
      </c>
      <c r="Q1265" s="3" t="s">
        <v>92</v>
      </c>
      <c r="U1265" s="3" t="s">
        <v>93</v>
      </c>
      <c r="W1265" s="3"/>
      <c r="AD1265">
        <v>14580</v>
      </c>
      <c r="AE1265" t="str">
        <f t="shared" si="97"/>
        <v>glBudget.Comments</v>
      </c>
      <c r="AF1265" t="s">
        <v>794</v>
      </c>
      <c r="AJ1265" t="e">
        <f>VLOOKUP(E1265,temp1,1,FALSE)</f>
        <v>#NAME?</v>
      </c>
      <c r="AP1265" t="e">
        <f>VLOOKUP(E1265,temp6,1,FALSE)</f>
        <v>#NAME?</v>
      </c>
    </row>
    <row r="1266" spans="1:42" ht="15" hidden="1" customHeight="1">
      <c r="A1266">
        <v>203650</v>
      </c>
      <c r="B1266" s="3" t="s">
        <v>464</v>
      </c>
      <c r="C1266" s="3" t="str">
        <f t="shared" si="95"/>
        <v>Budgets.RecordStatus</v>
      </c>
      <c r="D1266" s="3">
        <v>200120</v>
      </c>
      <c r="E1266" s="3" t="str">
        <f t="shared" si="93"/>
        <v>Budgets</v>
      </c>
      <c r="F1266" s="3" t="s">
        <v>4</v>
      </c>
      <c r="H1266" s="3" t="str">
        <f t="shared" si="94"/>
        <v>gl.Budget</v>
      </c>
      <c r="I1266" s="3" t="s">
        <v>4</v>
      </c>
      <c r="K1266" s="3" t="s">
        <v>4</v>
      </c>
      <c r="M1266" s="3" t="s">
        <v>196</v>
      </c>
      <c r="O1266" s="3">
        <v>0</v>
      </c>
      <c r="Q1266" s="3" t="s">
        <v>92</v>
      </c>
      <c r="U1266" s="3" t="s">
        <v>94</v>
      </c>
      <c r="W1266" s="3"/>
      <c r="AD1266">
        <v>14610</v>
      </c>
      <c r="AE1266" t="str">
        <f t="shared" si="97"/>
        <v>glBudget.RowStatus</v>
      </c>
      <c r="AJ1266" t="e">
        <f>VLOOKUP(E1266,temp1,1,FALSE)</f>
        <v>#NAME?</v>
      </c>
      <c r="AP1266" t="e">
        <f>VLOOKUP(E1266,temp6,1,FALSE)</f>
        <v>#NAME?</v>
      </c>
    </row>
    <row r="1267" spans="1:42" ht="15" hidden="1" customHeight="1">
      <c r="A1267">
        <v>203660</v>
      </c>
      <c r="B1267" s="3" t="s">
        <v>464</v>
      </c>
      <c r="C1267" s="3" t="str">
        <f t="shared" si="95"/>
        <v>Attributes.ID</v>
      </c>
      <c r="D1267" s="3">
        <v>200060</v>
      </c>
      <c r="E1267" s="3" t="str">
        <f t="shared" si="93"/>
        <v>Attributes</v>
      </c>
      <c r="F1267" s="3" t="s">
        <v>0</v>
      </c>
      <c r="H1267" s="3" t="str">
        <f t="shared" si="94"/>
        <v>com.Attribute</v>
      </c>
      <c r="I1267" s="3" t="s">
        <v>0</v>
      </c>
      <c r="K1267" s="3" t="s">
        <v>0</v>
      </c>
      <c r="M1267" s="3" t="s">
        <v>195</v>
      </c>
      <c r="Q1267" s="3" t="s">
        <v>919</v>
      </c>
      <c r="U1267" s="3" t="s">
        <v>95</v>
      </c>
      <c r="AD1267">
        <v>-1</v>
      </c>
      <c r="AE1267" t="str">
        <f t="shared" si="97"/>
        <v>All</v>
      </c>
      <c r="AF1267" t="s">
        <v>795</v>
      </c>
      <c r="AJ1267" t="e">
        <f>VLOOKUP(E1267,temp1,1,FALSE)</f>
        <v>#NAME?</v>
      </c>
      <c r="AP1267" t="e">
        <f>VLOOKUP(E1267,temp6,1,FALSE)</f>
        <v>#NAME?</v>
      </c>
    </row>
    <row r="1268" spans="1:42" ht="15" hidden="1" customHeight="1">
      <c r="A1268">
        <v>203670</v>
      </c>
      <c r="B1268" s="3" t="s">
        <v>464</v>
      </c>
      <c r="C1268" s="3" t="str">
        <f t="shared" si="95"/>
        <v>Attributes.AttributeID</v>
      </c>
      <c r="D1268" s="3">
        <v>200060</v>
      </c>
      <c r="E1268" s="3" t="str">
        <f t="shared" si="93"/>
        <v>Attributes</v>
      </c>
      <c r="F1268" s="3" t="s">
        <v>214</v>
      </c>
      <c r="H1268" s="3" t="str">
        <f t="shared" si="94"/>
        <v>com.Attribute</v>
      </c>
      <c r="I1268" s="3" t="s">
        <v>214</v>
      </c>
      <c r="K1268" s="3" t="s">
        <v>211</v>
      </c>
      <c r="M1268" s="3" t="s">
        <v>195</v>
      </c>
      <c r="Q1268" s="3" t="s">
        <v>92</v>
      </c>
      <c r="U1268" s="3" t="s">
        <v>96</v>
      </c>
      <c r="V1268">
        <v>200060</v>
      </c>
      <c r="W1268" s="3" t="str">
        <f>VLOOKUP(V1268,DictionaryTableID,3,FALSE)</f>
        <v>Attributes</v>
      </c>
      <c r="AD1268">
        <v>11260</v>
      </c>
      <c r="AE1268" t="str">
        <f t="shared" si="97"/>
        <v>comAttribute.comAttributeIDParent</v>
      </c>
      <c r="AF1268" t="s">
        <v>796</v>
      </c>
      <c r="AJ1268" t="e">
        <f>VLOOKUP(E1268,temp1,1,FALSE)</f>
        <v>#NAME?</v>
      </c>
      <c r="AP1268" t="e">
        <f>VLOOKUP(E1268,temp6,1,FALSE)</f>
        <v>#NAME?</v>
      </c>
    </row>
    <row r="1269" spans="1:42" ht="15" hidden="1" customHeight="1">
      <c r="A1269">
        <v>203680</v>
      </c>
      <c r="B1269" s="3" t="s">
        <v>464</v>
      </c>
      <c r="C1269" s="3" t="str">
        <f t="shared" si="95"/>
        <v>Attributes.Description</v>
      </c>
      <c r="D1269" s="3">
        <v>200060</v>
      </c>
      <c r="E1269" s="3" t="str">
        <f t="shared" si="93"/>
        <v>Attributes</v>
      </c>
      <c r="F1269" s="3" t="s">
        <v>12</v>
      </c>
      <c r="H1269" s="3" t="str">
        <f t="shared" si="94"/>
        <v>com.Attribute</v>
      </c>
      <c r="I1269" s="3" t="s">
        <v>12</v>
      </c>
      <c r="K1269" s="3" t="s">
        <v>12</v>
      </c>
      <c r="M1269" s="3" t="s">
        <v>196</v>
      </c>
      <c r="O1269" s="3">
        <v>0</v>
      </c>
      <c r="Q1269" s="3" t="s">
        <v>92</v>
      </c>
      <c r="U1269" s="3" t="s">
        <v>93</v>
      </c>
      <c r="W1269" s="3"/>
      <c r="AD1269">
        <v>11280</v>
      </c>
      <c r="AE1269" t="str">
        <f t="shared" si="97"/>
        <v>comAttribute.Description</v>
      </c>
      <c r="AF1269" t="s">
        <v>797</v>
      </c>
      <c r="AJ1269" t="e">
        <f>VLOOKUP(E1269,temp1,1,FALSE)</f>
        <v>#NAME?</v>
      </c>
      <c r="AP1269" t="e">
        <f>VLOOKUP(E1269,temp6,1,FALSE)</f>
        <v>#NAME?</v>
      </c>
    </row>
    <row r="1270" spans="1:42" ht="15" hidden="1" customHeight="1">
      <c r="A1270">
        <v>203690</v>
      </c>
      <c r="B1270" s="3" t="s">
        <v>464</v>
      </c>
      <c r="C1270" s="3" t="str">
        <f t="shared" si="95"/>
        <v>Attributes.SeqNo</v>
      </c>
      <c r="D1270" s="3">
        <v>200060</v>
      </c>
      <c r="E1270" s="3" t="str">
        <f t="shared" si="93"/>
        <v>Attributes</v>
      </c>
      <c r="F1270" s="3" t="s">
        <v>1360</v>
      </c>
      <c r="H1270" s="3" t="str">
        <f t="shared" si="94"/>
        <v>com.Attribute</v>
      </c>
      <c r="I1270" s="3" t="s">
        <v>1360</v>
      </c>
      <c r="K1270" s="3" t="s">
        <v>360</v>
      </c>
      <c r="M1270" s="3" t="s">
        <v>195</v>
      </c>
      <c r="Q1270" s="3" t="s">
        <v>92</v>
      </c>
      <c r="U1270" s="3" t="s">
        <v>93</v>
      </c>
      <c r="W1270" s="3"/>
      <c r="AD1270">
        <v>11300</v>
      </c>
      <c r="AE1270" t="str">
        <f t="shared" si="97"/>
        <v>comAttribute.DisplaySequence</v>
      </c>
      <c r="AF1270" t="s">
        <v>798</v>
      </c>
      <c r="AJ1270" t="e">
        <f>VLOOKUP(E1270,temp1,1,FALSE)</f>
        <v>#NAME?</v>
      </c>
      <c r="AP1270" t="e">
        <f>VLOOKUP(E1270,temp6,1,FALSE)</f>
        <v>#NAME?</v>
      </c>
    </row>
    <row r="1271" spans="1:42" ht="15" hidden="1" customHeight="1">
      <c r="A1271">
        <v>203700</v>
      </c>
      <c r="B1271" s="3" t="s">
        <v>464</v>
      </c>
      <c r="C1271" s="3" t="str">
        <f t="shared" si="95"/>
        <v>Attributes.ExtraData</v>
      </c>
      <c r="D1271" s="3">
        <v>200060</v>
      </c>
      <c r="E1271" s="3" t="str">
        <f t="shared" si="93"/>
        <v>Attributes</v>
      </c>
      <c r="F1271" s="3" t="s">
        <v>236</v>
      </c>
      <c r="H1271" s="3" t="str">
        <f t="shared" si="94"/>
        <v>com.Attribute</v>
      </c>
      <c r="I1271" s="3" t="s">
        <v>236</v>
      </c>
      <c r="K1271" s="3" t="s">
        <v>361</v>
      </c>
      <c r="L1271" t="s">
        <v>2408</v>
      </c>
      <c r="M1271" s="3" t="s">
        <v>196</v>
      </c>
      <c r="O1271" s="3">
        <v>0</v>
      </c>
      <c r="Q1271" s="3" t="s">
        <v>92</v>
      </c>
      <c r="U1271" s="3" t="s">
        <v>93</v>
      </c>
      <c r="W1271" s="3"/>
      <c r="AF1271" t="s">
        <v>799</v>
      </c>
      <c r="AJ1271" t="e">
        <f>VLOOKUP(E1271,temp1,1,FALSE)</f>
        <v>#NAME?</v>
      </c>
      <c r="AP1271" t="e">
        <f>VLOOKUP(E1271,temp6,1,FALSE)</f>
        <v>#NAME?</v>
      </c>
    </row>
    <row r="1272" spans="1:42" ht="15" hidden="1" customHeight="1">
      <c r="A1272">
        <v>203710</v>
      </c>
      <c r="B1272" s="3" t="s">
        <v>464</v>
      </c>
      <c r="C1272" s="3" t="str">
        <f t="shared" si="95"/>
        <v>Attributes.RefTypeID</v>
      </c>
      <c r="D1272" s="3">
        <v>200060</v>
      </c>
      <c r="E1272" s="3" t="str">
        <f t="shared" si="93"/>
        <v>Attributes</v>
      </c>
      <c r="F1272" s="3" t="s">
        <v>277</v>
      </c>
      <c r="H1272" s="3" t="str">
        <f t="shared" si="94"/>
        <v>com.Attribute</v>
      </c>
      <c r="I1272" s="3" t="s">
        <v>277</v>
      </c>
      <c r="K1272" s="3" t="s">
        <v>40</v>
      </c>
      <c r="M1272" s="3" t="s">
        <v>195</v>
      </c>
      <c r="Q1272" s="3" t="s">
        <v>92</v>
      </c>
      <c r="U1272" s="3" t="s">
        <v>97</v>
      </c>
      <c r="V1272">
        <v>200360</v>
      </c>
      <c r="W1272" s="3" t="str">
        <f>VLOOKUP(V1272,DictionaryTableID,3,FALSE)</f>
        <v>ReferenceFields</v>
      </c>
      <c r="AD1272">
        <v>11270</v>
      </c>
      <c r="AE1272" t="str">
        <f t="shared" ref="AE1272:AE1292" si="98">IF(AD1272=-1,"All",VLOOKUP(AD1272,ColumnId,3,FALSE))</f>
        <v>comAttribute.sysMultilinkTableRuleID</v>
      </c>
      <c r="AF1272" t="s">
        <v>800</v>
      </c>
      <c r="AJ1272" t="e">
        <f>VLOOKUP(E1272,temp1,1,FALSE)</f>
        <v>#NAME?</v>
      </c>
      <c r="AP1272" t="e">
        <f>VLOOKUP(E1272,temp6,1,FALSE)</f>
        <v>#NAME?</v>
      </c>
    </row>
    <row r="1273" spans="1:42" ht="15" hidden="1" customHeight="1">
      <c r="A1273">
        <v>203720</v>
      </c>
      <c r="B1273" s="3" t="s">
        <v>464</v>
      </c>
      <c r="C1273" s="3" t="str">
        <f t="shared" si="95"/>
        <v>Attributes.RecordStatus</v>
      </c>
      <c r="D1273" s="3">
        <v>200060</v>
      </c>
      <c r="E1273" s="3" t="str">
        <f t="shared" si="93"/>
        <v>Attributes</v>
      </c>
      <c r="F1273" s="3" t="s">
        <v>4</v>
      </c>
      <c r="H1273" s="3" t="str">
        <f t="shared" si="94"/>
        <v>com.Attribute</v>
      </c>
      <c r="I1273" s="3" t="s">
        <v>4</v>
      </c>
      <c r="K1273" s="3" t="s">
        <v>4</v>
      </c>
      <c r="M1273" s="3" t="s">
        <v>196</v>
      </c>
      <c r="O1273" s="3">
        <v>0</v>
      </c>
      <c r="Q1273" s="3" t="s">
        <v>92</v>
      </c>
      <c r="U1273" s="3" t="s">
        <v>94</v>
      </c>
      <c r="W1273" s="3"/>
      <c r="AD1273">
        <v>11310</v>
      </c>
      <c r="AE1273" t="str">
        <f t="shared" si="98"/>
        <v>comAttribute.RowStatus</v>
      </c>
      <c r="AJ1273" t="e">
        <f>VLOOKUP(E1273,temp1,1,FALSE)</f>
        <v>#NAME?</v>
      </c>
      <c r="AP1273" t="e">
        <f>VLOOKUP(E1273,temp6,1,FALSE)</f>
        <v>#NAME?</v>
      </c>
    </row>
    <row r="1274" spans="1:42" ht="15" hidden="1" customHeight="1">
      <c r="A1274">
        <v>203730</v>
      </c>
      <c r="B1274" s="3" t="s">
        <v>464</v>
      </c>
      <c r="C1274" s="3" t="str">
        <f t="shared" si="95"/>
        <v>Attributelinkstoclient.ID</v>
      </c>
      <c r="D1274" s="3">
        <v>200050</v>
      </c>
      <c r="E1274" s="3" t="str">
        <f t="shared" si="93"/>
        <v>Attributelinkstoclient</v>
      </c>
      <c r="F1274" s="3" t="s">
        <v>0</v>
      </c>
      <c r="H1274" s="3" t="str">
        <f t="shared" si="94"/>
        <v>com.Attributelinkstoclient</v>
      </c>
      <c r="I1274" s="3" t="s">
        <v>0</v>
      </c>
      <c r="K1274" s="3" t="s">
        <v>0</v>
      </c>
      <c r="M1274" s="3" t="s">
        <v>195</v>
      </c>
      <c r="Q1274" s="3" t="s">
        <v>919</v>
      </c>
      <c r="U1274" s="3" t="s">
        <v>95</v>
      </c>
      <c r="AD1274">
        <v>-1</v>
      </c>
      <c r="AE1274" t="str">
        <f t="shared" si="98"/>
        <v>All</v>
      </c>
      <c r="AF1274" t="s">
        <v>801</v>
      </c>
      <c r="AJ1274" t="e">
        <f>VLOOKUP(E1274,temp1,1,FALSE)</f>
        <v>#NAME?</v>
      </c>
      <c r="AP1274" t="e">
        <f>VLOOKUP(E1274,temp6,1,FALSE)</f>
        <v>#NAME?</v>
      </c>
    </row>
    <row r="1275" spans="1:42" ht="15" hidden="1" customHeight="1">
      <c r="A1275">
        <v>203740</v>
      </c>
      <c r="B1275" s="3" t="s">
        <v>464</v>
      </c>
      <c r="C1275" s="3" t="str">
        <f t="shared" si="95"/>
        <v>Attributelinkstoclient.DBID</v>
      </c>
      <c r="D1275" s="3">
        <v>200050</v>
      </c>
      <c r="E1275" s="3" t="str">
        <f t="shared" si="93"/>
        <v>Attributelinkstoclient</v>
      </c>
      <c r="F1275" s="3" t="s">
        <v>54</v>
      </c>
      <c r="H1275" s="3" t="str">
        <f t="shared" si="94"/>
        <v>com.Attributelinkstoclient</v>
      </c>
      <c r="I1275" s="3" t="s">
        <v>54</v>
      </c>
      <c r="K1275" s="3" t="s">
        <v>54</v>
      </c>
      <c r="L1275" s="21" t="s">
        <v>2871</v>
      </c>
      <c r="M1275" s="3" t="s">
        <v>196</v>
      </c>
      <c r="O1275" s="3">
        <v>0</v>
      </c>
      <c r="Q1275" s="3" t="s">
        <v>92</v>
      </c>
      <c r="U1275" s="3" t="s">
        <v>93</v>
      </c>
      <c r="W1275" s="3"/>
      <c r="AD1275">
        <v>11350</v>
      </c>
      <c r="AE1275" t="str">
        <f t="shared" si="98"/>
        <v>comAttributeDetail.sysDictionaryTableIDAppliesTo</v>
      </c>
      <c r="AF1275" t="s">
        <v>802</v>
      </c>
      <c r="AJ1275" t="e">
        <f>VLOOKUP(E1275,temp1,1,FALSE)</f>
        <v>#NAME?</v>
      </c>
      <c r="AP1275" t="e">
        <f>VLOOKUP(E1275,temp6,1,FALSE)</f>
        <v>#NAME?</v>
      </c>
    </row>
    <row r="1276" spans="1:42" ht="15" hidden="1" customHeight="1">
      <c r="A1276">
        <v>203750</v>
      </c>
      <c r="B1276" s="3" t="s">
        <v>464</v>
      </c>
      <c r="C1276" s="3" t="str">
        <f t="shared" si="95"/>
        <v>Attributelinkstoclient.DBCODEID</v>
      </c>
      <c r="D1276" s="3">
        <v>200050</v>
      </c>
      <c r="E1276" s="3" t="str">
        <f t="shared" si="93"/>
        <v>Attributelinkstoclient</v>
      </c>
      <c r="F1276" s="3" t="s">
        <v>64</v>
      </c>
      <c r="H1276" s="3" t="str">
        <f t="shared" si="94"/>
        <v>com.Attributelinkstoclient</v>
      </c>
      <c r="I1276" s="3" t="s">
        <v>64</v>
      </c>
      <c r="K1276" s="3" t="s">
        <v>29</v>
      </c>
      <c r="M1276" s="3" t="s">
        <v>195</v>
      </c>
      <c r="Q1276" s="3" t="s">
        <v>92</v>
      </c>
      <c r="U1276" s="3" t="s">
        <v>93</v>
      </c>
      <c r="W1276" s="3"/>
      <c r="AD1276">
        <v>11360</v>
      </c>
      <c r="AE1276" t="str">
        <f t="shared" si="98"/>
        <v>comAttributeDetail.RowIDAppliesTo</v>
      </c>
      <c r="AF1276" t="s">
        <v>803</v>
      </c>
      <c r="AJ1276" t="e">
        <f>VLOOKUP(E1276,temp1,1,FALSE)</f>
        <v>#NAME?</v>
      </c>
      <c r="AP1276" t="e">
        <f>VLOOKUP(E1276,temp6,1,FALSE)</f>
        <v>#NAME?</v>
      </c>
    </row>
    <row r="1277" spans="1:42" ht="15" hidden="1" customHeight="1">
      <c r="A1277">
        <v>203760</v>
      </c>
      <c r="B1277" s="3" t="s">
        <v>464</v>
      </c>
      <c r="C1277" s="3" t="str">
        <f t="shared" si="95"/>
        <v>Attributelinkstoclient.AttributeID</v>
      </c>
      <c r="D1277" s="3">
        <v>200050</v>
      </c>
      <c r="E1277" s="3" t="str">
        <f t="shared" si="93"/>
        <v>Attributelinkstoclient</v>
      </c>
      <c r="F1277" s="3" t="s">
        <v>214</v>
      </c>
      <c r="H1277" s="3" t="str">
        <f t="shared" si="94"/>
        <v>com.Attributelinkstoclient</v>
      </c>
      <c r="I1277" s="3" t="s">
        <v>214</v>
      </c>
      <c r="K1277" s="3" t="s">
        <v>211</v>
      </c>
      <c r="M1277" s="3" t="s">
        <v>195</v>
      </c>
      <c r="Q1277" s="3" t="s">
        <v>92</v>
      </c>
      <c r="U1277" s="3" t="s">
        <v>96</v>
      </c>
      <c r="V1277">
        <v>200060</v>
      </c>
      <c r="W1277" s="3" t="str">
        <f>VLOOKUP(V1277,DictionaryTableID,3,FALSE)</f>
        <v>Attributes</v>
      </c>
      <c r="AD1277">
        <v>11340</v>
      </c>
      <c r="AE1277" t="str">
        <f t="shared" si="98"/>
        <v>comAttributeDetail.comAttributeID</v>
      </c>
      <c r="AF1277" t="s">
        <v>804</v>
      </c>
      <c r="AJ1277" t="e">
        <f>VLOOKUP(E1277,temp1,1,FALSE)</f>
        <v>#NAME?</v>
      </c>
      <c r="AP1277" t="e">
        <f>VLOOKUP(E1277,temp6,1,FALSE)</f>
        <v>#NAME?</v>
      </c>
    </row>
    <row r="1278" spans="1:42" ht="15" hidden="1" customHeight="1">
      <c r="A1278">
        <v>203770</v>
      </c>
      <c r="B1278" s="3" t="s">
        <v>464</v>
      </c>
      <c r="C1278" s="3" t="str">
        <f t="shared" si="95"/>
        <v>Attributelinkstoclient.Notes</v>
      </c>
      <c r="D1278" s="3">
        <v>200050</v>
      </c>
      <c r="E1278" s="3" t="str">
        <f t="shared" si="93"/>
        <v>Attributelinkstoclient</v>
      </c>
      <c r="F1278" s="3" t="s">
        <v>268</v>
      </c>
      <c r="H1278" s="3" t="str">
        <f t="shared" si="94"/>
        <v>com.Attributelinkstoclient</v>
      </c>
      <c r="I1278" s="3" t="s">
        <v>268</v>
      </c>
      <c r="K1278" s="3" t="s">
        <v>268</v>
      </c>
      <c r="M1278" s="3" t="s">
        <v>196</v>
      </c>
      <c r="O1278" s="3">
        <v>0</v>
      </c>
      <c r="Q1278" s="3" t="s">
        <v>92</v>
      </c>
      <c r="U1278" s="3" t="s">
        <v>93</v>
      </c>
      <c r="W1278" s="3"/>
      <c r="AD1278">
        <v>11370</v>
      </c>
      <c r="AE1278" t="str">
        <f t="shared" si="98"/>
        <v>comAttributeDetail.AttributeValue</v>
      </c>
      <c r="AF1278" t="s">
        <v>805</v>
      </c>
      <c r="AJ1278" t="e">
        <f>VLOOKUP(E1278,temp1,1,FALSE)</f>
        <v>#NAME?</v>
      </c>
      <c r="AP1278" t="e">
        <f>VLOOKUP(E1278,temp6,1,FALSE)</f>
        <v>#NAME?</v>
      </c>
    </row>
    <row r="1279" spans="1:42" ht="15" hidden="1" customHeight="1">
      <c r="A1279">
        <v>203780</v>
      </c>
      <c r="B1279" s="3" t="s">
        <v>464</v>
      </c>
      <c r="C1279" s="3" t="str">
        <f t="shared" si="95"/>
        <v>Attributelinkstoclient.RecordStatus</v>
      </c>
      <c r="D1279" s="3">
        <v>200050</v>
      </c>
      <c r="E1279" s="3" t="str">
        <f t="shared" ref="E1279:E1342" si="99">VLOOKUP(D1279,DictionaryTableID,3,FALSE)</f>
        <v>Attributelinkstoclient</v>
      </c>
      <c r="F1279" s="3" t="s">
        <v>4</v>
      </c>
      <c r="H1279" s="3" t="str">
        <f t="shared" ref="H1279:H1342" si="100">VLOOKUP(E1279,DictionaryTables,14,FALSE)</f>
        <v>com.Attributelinkstoclient</v>
      </c>
      <c r="I1279" s="3" t="s">
        <v>4</v>
      </c>
      <c r="K1279" s="3" t="s">
        <v>4</v>
      </c>
      <c r="M1279" s="3" t="s">
        <v>196</v>
      </c>
      <c r="O1279" s="3">
        <v>0</v>
      </c>
      <c r="Q1279" s="3" t="s">
        <v>92</v>
      </c>
      <c r="U1279" s="3" t="s">
        <v>94</v>
      </c>
      <c r="W1279" s="3"/>
      <c r="AD1279">
        <v>11380</v>
      </c>
      <c r="AE1279" t="str">
        <f t="shared" si="98"/>
        <v>comAttributeDetail.RowStatus</v>
      </c>
      <c r="AJ1279" t="e">
        <f>VLOOKUP(E1279,temp1,1,FALSE)</f>
        <v>#NAME?</v>
      </c>
      <c r="AP1279" t="e">
        <f>VLOOKUP(E1279,temp6,1,FALSE)</f>
        <v>#NAME?</v>
      </c>
    </row>
    <row r="1280" spans="1:42" ht="15" hidden="1" customHeight="1">
      <c r="A1280">
        <v>203790</v>
      </c>
      <c r="B1280" s="3" t="s">
        <v>464</v>
      </c>
      <c r="C1280" s="3" t="str">
        <f t="shared" si="95"/>
        <v>ActivityAllocations.ID</v>
      </c>
      <c r="D1280" s="3">
        <v>200020</v>
      </c>
      <c r="E1280" s="3" t="str">
        <f t="shared" si="99"/>
        <v>ActivityAllocations</v>
      </c>
      <c r="F1280" s="3" t="s">
        <v>0</v>
      </c>
      <c r="H1280" s="3" t="str">
        <f t="shared" si="100"/>
        <v>act.ActivityAllocation</v>
      </c>
      <c r="I1280" s="3" t="s">
        <v>0</v>
      </c>
      <c r="K1280" s="3" t="s">
        <v>0</v>
      </c>
      <c r="M1280" s="3" t="s">
        <v>195</v>
      </c>
      <c r="Q1280" s="3" t="s">
        <v>919</v>
      </c>
      <c r="U1280" s="3" t="s">
        <v>95</v>
      </c>
      <c r="AD1280">
        <v>-1</v>
      </c>
      <c r="AE1280" t="str">
        <f t="shared" si="98"/>
        <v>All</v>
      </c>
      <c r="AF1280" t="s">
        <v>806</v>
      </c>
      <c r="AJ1280" t="e">
        <f>VLOOKUP(E1280,temp1,1,FALSE)</f>
        <v>#NAME?</v>
      </c>
      <c r="AP1280" t="e">
        <f>VLOOKUP(E1280,temp6,1,FALSE)</f>
        <v>#NAME?</v>
      </c>
    </row>
    <row r="1281" spans="1:42" ht="15" hidden="1" customHeight="1">
      <c r="A1281">
        <v>203800</v>
      </c>
      <c r="B1281" s="3" t="s">
        <v>464</v>
      </c>
      <c r="C1281" s="3" t="str">
        <f t="shared" si="95"/>
        <v>ActivityAllocations.ContactID</v>
      </c>
      <c r="D1281" s="3">
        <v>200020</v>
      </c>
      <c r="E1281" s="3" t="str">
        <f t="shared" si="99"/>
        <v>ActivityAllocations</v>
      </c>
      <c r="F1281" s="3" t="s">
        <v>73</v>
      </c>
      <c r="H1281" s="3" t="str">
        <f t="shared" si="100"/>
        <v>act.ActivityAllocation</v>
      </c>
      <c r="I1281" s="3" t="s">
        <v>73</v>
      </c>
      <c r="K1281" s="3" t="s">
        <v>29</v>
      </c>
      <c r="M1281" s="3" t="s">
        <v>195</v>
      </c>
      <c r="Q1281" s="3" t="s">
        <v>92</v>
      </c>
      <c r="U1281" s="3" t="s">
        <v>96</v>
      </c>
      <c r="V1281">
        <v>200150</v>
      </c>
      <c r="W1281" s="3" t="str">
        <f>VLOOKUP(V1281,DictionaryTableID,3,FALSE)</f>
        <v>Contacts</v>
      </c>
      <c r="AD1281">
        <v>10690</v>
      </c>
      <c r="AE1281" t="str">
        <f t="shared" si="98"/>
        <v>actProjectResourceAllocation.crmContactID</v>
      </c>
      <c r="AF1281" t="s">
        <v>807</v>
      </c>
      <c r="AJ1281" t="e">
        <f>VLOOKUP(E1281,temp1,1,FALSE)</f>
        <v>#NAME?</v>
      </c>
      <c r="AP1281" t="e">
        <f>VLOOKUP(E1281,temp6,1,FALSE)</f>
        <v>#NAME?</v>
      </c>
    </row>
    <row r="1282" spans="1:42" ht="15" hidden="1" customHeight="1">
      <c r="A1282">
        <v>203810</v>
      </c>
      <c r="B1282" s="3" t="s">
        <v>464</v>
      </c>
      <c r="C1282" s="3" t="str">
        <f t="shared" ref="C1282:C1345" si="101">CONCATENATE(E1282,".",F1282)</f>
        <v>ActivityAllocations.ActivityProjectID</v>
      </c>
      <c r="D1282" s="3">
        <v>200020</v>
      </c>
      <c r="E1282" s="3" t="str">
        <f t="shared" si="99"/>
        <v>ActivityAllocations</v>
      </c>
      <c r="F1282" s="3" t="s">
        <v>213</v>
      </c>
      <c r="H1282" s="3" t="str">
        <f t="shared" si="100"/>
        <v>act.ActivityAllocation</v>
      </c>
      <c r="I1282" s="3" t="s">
        <v>213</v>
      </c>
      <c r="K1282" s="3" t="s">
        <v>433</v>
      </c>
      <c r="M1282" s="3" t="s">
        <v>195</v>
      </c>
      <c r="Q1282" s="3" t="s">
        <v>92</v>
      </c>
      <c r="U1282" s="3" t="s">
        <v>96</v>
      </c>
      <c r="V1282">
        <v>200030</v>
      </c>
      <c r="W1282" s="3" t="str">
        <f>VLOOKUP(V1282,DictionaryTableID,3,FALSE)</f>
        <v>ActivityProjects</v>
      </c>
      <c r="AD1282">
        <v>10670</v>
      </c>
      <c r="AE1282" t="str">
        <f t="shared" si="98"/>
        <v>actProjectResourceAllocation.actProjectID</v>
      </c>
      <c r="AF1282" t="s">
        <v>808</v>
      </c>
      <c r="AJ1282" t="e">
        <f>VLOOKUP(E1282,temp1,1,FALSE)</f>
        <v>#NAME?</v>
      </c>
      <c r="AP1282" t="e">
        <f>VLOOKUP(E1282,temp6,1,FALSE)</f>
        <v>#NAME?</v>
      </c>
    </row>
    <row r="1283" spans="1:42" ht="15" hidden="1" customHeight="1">
      <c r="A1283">
        <v>203820</v>
      </c>
      <c r="B1283" s="3" t="s">
        <v>464</v>
      </c>
      <c r="C1283" s="3" t="str">
        <f t="shared" si="101"/>
        <v>ActivityAllocations.ActivityTypeID</v>
      </c>
      <c r="D1283" s="3">
        <v>200020</v>
      </c>
      <c r="E1283" s="3" t="str">
        <f t="shared" si="99"/>
        <v>ActivityAllocations</v>
      </c>
      <c r="F1283" s="3" t="s">
        <v>70</v>
      </c>
      <c r="H1283" s="3" t="str">
        <f t="shared" si="100"/>
        <v>act.ActivityAllocation</v>
      </c>
      <c r="I1283" s="3" t="s">
        <v>70</v>
      </c>
      <c r="K1283" s="3" t="s">
        <v>119</v>
      </c>
      <c r="M1283" s="3" t="s">
        <v>195</v>
      </c>
      <c r="Q1283" s="3" t="s">
        <v>92</v>
      </c>
      <c r="U1283" s="3" t="s">
        <v>96</v>
      </c>
      <c r="V1283">
        <v>200040</v>
      </c>
      <c r="W1283" s="3" t="str">
        <f>VLOOKUP(V1283,DictionaryTableID,3,FALSE)</f>
        <v>ActivityTypes</v>
      </c>
      <c r="AD1283">
        <v>10680</v>
      </c>
      <c r="AE1283" t="str">
        <f t="shared" si="98"/>
        <v>actProjectResourceAllocation.actTypeID</v>
      </c>
      <c r="AF1283" t="s">
        <v>809</v>
      </c>
      <c r="AJ1283" t="e">
        <f>VLOOKUP(E1283,temp1,1,FALSE)</f>
        <v>#NAME?</v>
      </c>
      <c r="AP1283" t="e">
        <f>VLOOKUP(E1283,temp6,1,FALSE)</f>
        <v>#NAME?</v>
      </c>
    </row>
    <row r="1284" spans="1:42" hidden="1">
      <c r="A1284">
        <v>203830</v>
      </c>
      <c r="B1284" s="3" t="s">
        <v>464</v>
      </c>
      <c r="C1284" s="3" t="str">
        <f t="shared" si="101"/>
        <v>ActivityAllocations.Hours</v>
      </c>
      <c r="D1284" s="3">
        <v>200020</v>
      </c>
      <c r="E1284" s="3" t="str">
        <f t="shared" si="99"/>
        <v>ActivityAllocations</v>
      </c>
      <c r="F1284" s="3" t="s">
        <v>265</v>
      </c>
      <c r="H1284" s="3" t="str">
        <f t="shared" si="100"/>
        <v>act.ActivityAllocation</v>
      </c>
      <c r="I1284" s="3" t="s">
        <v>265</v>
      </c>
      <c r="K1284" s="3" t="s">
        <v>265</v>
      </c>
      <c r="M1284" s="3" t="s">
        <v>197</v>
      </c>
      <c r="N1284" s="3">
        <v>10</v>
      </c>
      <c r="O1284" s="3">
        <v>2</v>
      </c>
      <c r="Q1284" s="3" t="s">
        <v>92</v>
      </c>
      <c r="U1284" s="3" t="s">
        <v>93</v>
      </c>
      <c r="W1284" s="3"/>
      <c r="AD1284">
        <v>10710</v>
      </c>
      <c r="AE1284" t="str">
        <f t="shared" si="98"/>
        <v>actProjectResourceAllocation.Hours</v>
      </c>
      <c r="AF1284" t="s">
        <v>810</v>
      </c>
      <c r="AJ1284" t="e">
        <f>VLOOKUP(E1284,temp1,1,FALSE)</f>
        <v>#NAME?</v>
      </c>
      <c r="AP1284" t="e">
        <f>VLOOKUP(E1284,temp6,1,FALSE)</f>
        <v>#NAME?</v>
      </c>
    </row>
    <row r="1285" spans="1:42" ht="15" hidden="1" customHeight="1">
      <c r="A1285">
        <v>203840</v>
      </c>
      <c r="B1285" s="3" t="s">
        <v>464</v>
      </c>
      <c r="C1285" s="3" t="str">
        <f t="shared" si="101"/>
        <v>ActivityAllocations.Dollars</v>
      </c>
      <c r="D1285" s="3">
        <v>200020</v>
      </c>
      <c r="E1285" s="3" t="str">
        <f t="shared" si="99"/>
        <v>ActivityAllocations</v>
      </c>
      <c r="F1285" s="3" t="s">
        <v>261</v>
      </c>
      <c r="H1285" s="3" t="str">
        <f t="shared" si="100"/>
        <v>act.ActivityAllocation</v>
      </c>
      <c r="I1285" s="3" t="s">
        <v>261</v>
      </c>
      <c r="K1285" s="3" t="s">
        <v>261</v>
      </c>
      <c r="M1285" s="3" t="s">
        <v>197</v>
      </c>
      <c r="N1285" s="3">
        <v>12</v>
      </c>
      <c r="O1285" s="3">
        <v>2</v>
      </c>
      <c r="Q1285" s="3" t="s">
        <v>92</v>
      </c>
      <c r="U1285" s="3" t="s">
        <v>93</v>
      </c>
      <c r="W1285" s="3"/>
      <c r="AD1285">
        <v>10700</v>
      </c>
      <c r="AE1285" t="str">
        <f t="shared" si="98"/>
        <v>actProjectResourceAllocation.Dollars</v>
      </c>
      <c r="AF1285" t="s">
        <v>811</v>
      </c>
      <c r="AJ1285" t="e">
        <f>VLOOKUP(E1285,temp1,1,FALSE)</f>
        <v>#NAME?</v>
      </c>
      <c r="AP1285" t="e">
        <f>VLOOKUP(E1285,temp6,1,FALSE)</f>
        <v>#NAME?</v>
      </c>
    </row>
    <row r="1286" spans="1:42" hidden="1">
      <c r="A1286">
        <v>203850</v>
      </c>
      <c r="B1286" s="3" t="s">
        <v>464</v>
      </c>
      <c r="C1286" s="3" t="str">
        <f t="shared" si="101"/>
        <v>ActivityAllocations.RecordStatus</v>
      </c>
      <c r="D1286" s="3">
        <v>200020</v>
      </c>
      <c r="E1286" s="3" t="str">
        <f t="shared" si="99"/>
        <v>ActivityAllocations</v>
      </c>
      <c r="F1286" s="3" t="s">
        <v>4</v>
      </c>
      <c r="H1286" s="3" t="str">
        <f t="shared" si="100"/>
        <v>act.ActivityAllocation</v>
      </c>
      <c r="I1286" s="3" t="s">
        <v>4</v>
      </c>
      <c r="K1286" s="3" t="s">
        <v>4</v>
      </c>
      <c r="M1286" s="3" t="s">
        <v>196</v>
      </c>
      <c r="O1286" s="3">
        <v>0</v>
      </c>
      <c r="Q1286" s="3" t="s">
        <v>92</v>
      </c>
      <c r="U1286" s="3" t="s">
        <v>94</v>
      </c>
      <c r="W1286" s="3"/>
      <c r="AD1286">
        <v>10720</v>
      </c>
      <c r="AE1286" t="str">
        <f t="shared" si="98"/>
        <v>actProjectResourceAllocation.RowStatus</v>
      </c>
      <c r="AJ1286" t="e">
        <f>VLOOKUP(E1286,temp1,1,FALSE)</f>
        <v>#NAME?</v>
      </c>
      <c r="AP1286" t="e">
        <f>VLOOKUP(E1286,temp6,1,FALSE)</f>
        <v>#NAME?</v>
      </c>
    </row>
    <row r="1287" spans="1:42" ht="15" hidden="1" customHeight="1">
      <c r="A1287">
        <v>203860</v>
      </c>
      <c r="B1287" s="3" t="s">
        <v>464</v>
      </c>
      <c r="C1287" s="3" t="str">
        <f t="shared" si="101"/>
        <v>ActivityProjects.ID</v>
      </c>
      <c r="D1287" s="3">
        <v>200030</v>
      </c>
      <c r="E1287" s="3" t="str">
        <f t="shared" si="99"/>
        <v>ActivityProjects</v>
      </c>
      <c r="F1287" s="3" t="s">
        <v>0</v>
      </c>
      <c r="H1287" s="3" t="str">
        <f t="shared" si="100"/>
        <v>act.ActivityProject</v>
      </c>
      <c r="I1287" s="3" t="s">
        <v>0</v>
      </c>
      <c r="K1287" s="3" t="s">
        <v>0</v>
      </c>
      <c r="M1287" s="3" t="s">
        <v>195</v>
      </c>
      <c r="Q1287" s="3" t="s">
        <v>919</v>
      </c>
      <c r="U1287" s="3" t="s">
        <v>95</v>
      </c>
      <c r="AD1287">
        <v>-1</v>
      </c>
      <c r="AE1287" t="str">
        <f t="shared" si="98"/>
        <v>All</v>
      </c>
      <c r="AF1287" t="s">
        <v>812</v>
      </c>
      <c r="AJ1287" t="e">
        <f>VLOOKUP(E1287,temp1,1,FALSE)</f>
        <v>#NAME?</v>
      </c>
      <c r="AP1287" t="e">
        <f>VLOOKUP(E1287,temp6,1,FALSE)</f>
        <v>#NAME?</v>
      </c>
    </row>
    <row r="1288" spans="1:42" ht="15" hidden="1" customHeight="1">
      <c r="A1288">
        <v>203870</v>
      </c>
      <c r="B1288" s="3" t="s">
        <v>464</v>
      </c>
      <c r="C1288" s="3" t="str">
        <f t="shared" si="101"/>
        <v>ActivityProjects.ContactID</v>
      </c>
      <c r="D1288" s="3">
        <v>200030</v>
      </c>
      <c r="E1288" s="3" t="str">
        <f t="shared" si="99"/>
        <v>ActivityProjects</v>
      </c>
      <c r="F1288" s="3" t="s">
        <v>73</v>
      </c>
      <c r="H1288" s="3" t="str">
        <f t="shared" si="100"/>
        <v>act.ActivityProject</v>
      </c>
      <c r="I1288" s="3" t="s">
        <v>73</v>
      </c>
      <c r="K1288" s="3" t="s">
        <v>107</v>
      </c>
      <c r="M1288" s="3" t="s">
        <v>195</v>
      </c>
      <c r="Q1288" s="3" t="s">
        <v>92</v>
      </c>
      <c r="U1288" s="3" t="s">
        <v>96</v>
      </c>
      <c r="V1288">
        <v>200150</v>
      </c>
      <c r="W1288" s="3" t="str">
        <f>VLOOKUP(V1288,DictionaryTableID,3,FALSE)</f>
        <v>Contacts</v>
      </c>
      <c r="AD1288">
        <v>10530</v>
      </c>
      <c r="AE1288" t="str">
        <f t="shared" si="98"/>
        <v>actProject.crmContactID</v>
      </c>
      <c r="AF1288" t="s">
        <v>813</v>
      </c>
      <c r="AJ1288" t="e">
        <f>VLOOKUP(E1288,temp1,1,FALSE)</f>
        <v>#NAME?</v>
      </c>
      <c r="AP1288" t="e">
        <f>VLOOKUP(E1288,temp6,1,FALSE)</f>
        <v>#NAME?</v>
      </c>
    </row>
    <row r="1289" spans="1:42" ht="15" hidden="1" customHeight="1">
      <c r="A1289">
        <v>203880</v>
      </c>
      <c r="B1289" s="3" t="s">
        <v>464</v>
      </c>
      <c r="C1289" s="3" t="str">
        <f t="shared" si="101"/>
        <v>ActivityProjects.RefStatusID</v>
      </c>
      <c r="D1289" s="3">
        <v>200030</v>
      </c>
      <c r="E1289" s="3" t="str">
        <f t="shared" si="99"/>
        <v>ActivityProjects</v>
      </c>
      <c r="F1289" s="3" t="s">
        <v>5</v>
      </c>
      <c r="H1289" s="3" t="str">
        <f t="shared" si="100"/>
        <v>act.ActivityProject</v>
      </c>
      <c r="I1289" s="3" t="s">
        <v>5</v>
      </c>
      <c r="K1289" s="3" t="s">
        <v>55</v>
      </c>
      <c r="M1289" s="3" t="s">
        <v>195</v>
      </c>
      <c r="Q1289" s="3" t="s">
        <v>92</v>
      </c>
      <c r="U1289" s="3" t="s">
        <v>97</v>
      </c>
      <c r="V1289">
        <v>200360</v>
      </c>
      <c r="W1289" s="3" t="str">
        <f>VLOOKUP(V1289,DictionaryTableID,3,FALSE)</f>
        <v>ReferenceFields</v>
      </c>
      <c r="AD1289">
        <v>10520</v>
      </c>
      <c r="AE1289" t="str">
        <f t="shared" si="98"/>
        <v>actProject.actStatusID</v>
      </c>
      <c r="AF1289" t="s">
        <v>814</v>
      </c>
      <c r="AJ1289" t="e">
        <f>VLOOKUP(E1289,temp1,1,FALSE)</f>
        <v>#NAME?</v>
      </c>
      <c r="AP1289" t="e">
        <f>VLOOKUP(E1289,temp6,1,FALSE)</f>
        <v>#NAME?</v>
      </c>
    </row>
    <row r="1290" spans="1:42" hidden="1">
      <c r="A1290">
        <v>203890</v>
      </c>
      <c r="B1290" s="3" t="s">
        <v>464</v>
      </c>
      <c r="C1290" s="3" t="str">
        <f t="shared" si="101"/>
        <v>ActivityProjects.CompletionDate</v>
      </c>
      <c r="D1290" s="3">
        <v>200030</v>
      </c>
      <c r="E1290" s="3" t="str">
        <f t="shared" si="99"/>
        <v>ActivityProjects</v>
      </c>
      <c r="F1290" s="3" t="s">
        <v>282</v>
      </c>
      <c r="H1290" s="3" t="str">
        <f t="shared" si="100"/>
        <v>act.ActivityProject</v>
      </c>
      <c r="I1290" s="3" t="s">
        <v>282</v>
      </c>
      <c r="K1290" s="3" t="s">
        <v>351</v>
      </c>
      <c r="M1290" s="3" t="s">
        <v>329</v>
      </c>
      <c r="N1290" s="3">
        <v>8</v>
      </c>
      <c r="O1290" s="3">
        <v>0</v>
      </c>
      <c r="Q1290" s="3" t="s">
        <v>92</v>
      </c>
      <c r="U1290" s="3" t="s">
        <v>93</v>
      </c>
      <c r="W1290" s="3"/>
      <c r="AD1290">
        <v>10570</v>
      </c>
      <c r="AE1290" t="str">
        <f t="shared" si="98"/>
        <v>actProject.CompletionDate</v>
      </c>
      <c r="AF1290" t="s">
        <v>815</v>
      </c>
      <c r="AJ1290" t="e">
        <f>VLOOKUP(E1290,temp1,1,FALSE)</f>
        <v>#NAME?</v>
      </c>
      <c r="AP1290" t="e">
        <f>VLOOKUP(E1290,temp6,1,FALSE)</f>
        <v>#NAME?</v>
      </c>
    </row>
    <row r="1291" spans="1:42" ht="15" hidden="1" customHeight="1">
      <c r="A1291">
        <v>203900</v>
      </c>
      <c r="B1291" s="3" t="s">
        <v>464</v>
      </c>
      <c r="C1291" s="3" t="str">
        <f t="shared" si="101"/>
        <v>ActivityProjects.StartDate</v>
      </c>
      <c r="D1291" s="3">
        <v>200030</v>
      </c>
      <c r="E1291" s="3" t="str">
        <f t="shared" si="99"/>
        <v>ActivityProjects</v>
      </c>
      <c r="F1291" s="3" t="s">
        <v>17</v>
      </c>
      <c r="H1291" s="3" t="str">
        <f t="shared" si="100"/>
        <v>act.ActivityProject</v>
      </c>
      <c r="I1291" s="3" t="s">
        <v>17</v>
      </c>
      <c r="K1291" s="3" t="s">
        <v>108</v>
      </c>
      <c r="M1291" s="3" t="s">
        <v>329</v>
      </c>
      <c r="N1291" s="3">
        <v>8</v>
      </c>
      <c r="O1291" s="3">
        <v>0</v>
      </c>
      <c r="Q1291" s="3" t="s">
        <v>92</v>
      </c>
      <c r="U1291" s="3" t="s">
        <v>93</v>
      </c>
      <c r="W1291" s="3"/>
      <c r="AD1291">
        <v>10630</v>
      </c>
      <c r="AE1291" t="str">
        <f t="shared" si="98"/>
        <v>actProject.StartDate</v>
      </c>
      <c r="AF1291" t="s">
        <v>816</v>
      </c>
      <c r="AJ1291" t="e">
        <f>VLOOKUP(E1291,temp1,1,FALSE)</f>
        <v>#NAME?</v>
      </c>
      <c r="AP1291" t="e">
        <f>VLOOKUP(E1291,temp6,1,FALSE)</f>
        <v>#NAME?</v>
      </c>
    </row>
    <row r="1292" spans="1:42" ht="15" hidden="1" customHeight="1">
      <c r="A1292">
        <v>203910</v>
      </c>
      <c r="B1292" s="3" t="s">
        <v>464</v>
      </c>
      <c r="C1292" s="3" t="str">
        <f t="shared" si="101"/>
        <v>ActivityProjects.Description</v>
      </c>
      <c r="D1292" s="3">
        <v>200030</v>
      </c>
      <c r="E1292" s="3" t="str">
        <f t="shared" si="99"/>
        <v>ActivityProjects</v>
      </c>
      <c r="F1292" s="3" t="s">
        <v>12</v>
      </c>
      <c r="H1292" s="3" t="str">
        <f t="shared" si="100"/>
        <v>act.ActivityProject</v>
      </c>
      <c r="I1292" s="3" t="s">
        <v>12</v>
      </c>
      <c r="K1292" s="3" t="s">
        <v>12</v>
      </c>
      <c r="M1292" s="3" t="s">
        <v>196</v>
      </c>
      <c r="O1292" s="3">
        <v>0</v>
      </c>
      <c r="Q1292" s="3" t="s">
        <v>92</v>
      </c>
      <c r="U1292" s="3" t="s">
        <v>93</v>
      </c>
      <c r="W1292" s="3"/>
      <c r="AD1292">
        <v>10590</v>
      </c>
      <c r="AE1292" t="str">
        <f t="shared" si="98"/>
        <v>actProject.Description</v>
      </c>
      <c r="AF1292" t="s">
        <v>817</v>
      </c>
      <c r="AJ1292" t="e">
        <f>VLOOKUP(E1292,temp1,1,FALSE)</f>
        <v>#NAME?</v>
      </c>
      <c r="AP1292" t="e">
        <f>VLOOKUP(E1292,temp6,1,FALSE)</f>
        <v>#NAME?</v>
      </c>
    </row>
    <row r="1293" spans="1:42" ht="15" hidden="1" customHeight="1">
      <c r="A1293">
        <v>203920</v>
      </c>
      <c r="B1293" s="3" t="s">
        <v>464</v>
      </c>
      <c r="C1293" s="3" t="str">
        <f t="shared" si="101"/>
        <v>ActivityProjects.EmployeeID</v>
      </c>
      <c r="D1293" s="3">
        <v>200030</v>
      </c>
      <c r="E1293" s="3" t="str">
        <f t="shared" si="99"/>
        <v>ActivityProjects</v>
      </c>
      <c r="F1293" s="3" t="s">
        <v>25</v>
      </c>
      <c r="H1293" s="3" t="str">
        <f t="shared" si="100"/>
        <v>act.ActivityProject</v>
      </c>
      <c r="I1293" s="3" t="s">
        <v>25</v>
      </c>
      <c r="K1293" s="3" t="s">
        <v>41</v>
      </c>
      <c r="M1293" s="3" t="s">
        <v>195</v>
      </c>
      <c r="Q1293" s="3" t="s">
        <v>92</v>
      </c>
      <c r="U1293" s="3" t="s">
        <v>96</v>
      </c>
      <c r="V1293">
        <v>200150</v>
      </c>
      <c r="W1293" s="3" t="str">
        <f>VLOOKUP(V1293,DictionaryTableID,3,FALSE)</f>
        <v>Contacts</v>
      </c>
      <c r="AF1293" t="s">
        <v>818</v>
      </c>
      <c r="AJ1293" t="e">
        <f>VLOOKUP(E1293,temp1,1,FALSE)</f>
        <v>#NAME?</v>
      </c>
      <c r="AP1293" t="e">
        <f>VLOOKUP(E1293,temp6,1,FALSE)</f>
        <v>#NAME?</v>
      </c>
    </row>
    <row r="1294" spans="1:42" hidden="1">
      <c r="A1294">
        <v>203930</v>
      </c>
      <c r="B1294" s="3" t="s">
        <v>464</v>
      </c>
      <c r="C1294" s="3" t="str">
        <f t="shared" si="101"/>
        <v>ActivityProjects.Notes</v>
      </c>
      <c r="D1294" s="3">
        <v>200030</v>
      </c>
      <c r="E1294" s="3" t="str">
        <f t="shared" si="99"/>
        <v>ActivityProjects</v>
      </c>
      <c r="F1294" s="3" t="s">
        <v>268</v>
      </c>
      <c r="H1294" s="3" t="str">
        <f t="shared" si="100"/>
        <v>act.ActivityProject</v>
      </c>
      <c r="I1294" s="3" t="s">
        <v>268</v>
      </c>
      <c r="K1294" s="3" t="s">
        <v>268</v>
      </c>
      <c r="M1294" s="3" t="s">
        <v>196</v>
      </c>
      <c r="O1294" s="3">
        <v>0</v>
      </c>
      <c r="Q1294" s="3" t="s">
        <v>92</v>
      </c>
      <c r="U1294" s="3" t="s">
        <v>93</v>
      </c>
      <c r="W1294" s="3"/>
      <c r="AD1294">
        <v>10560</v>
      </c>
      <c r="AE1294" t="str">
        <f t="shared" ref="AE1294:AE1299" si="102">IF(AD1294=-1,"All",VLOOKUP(AD1294,ColumnId,3,FALSE))</f>
        <v>actProject.Comments</v>
      </c>
      <c r="AF1294" t="s">
        <v>819</v>
      </c>
      <c r="AJ1294" t="e">
        <f>VLOOKUP(E1294,temp1,1,FALSE)</f>
        <v>#NAME?</v>
      </c>
      <c r="AP1294" t="e">
        <f>VLOOKUP(E1294,temp6,1,FALSE)</f>
        <v>#NAME?</v>
      </c>
    </row>
    <row r="1295" spans="1:42" ht="15" hidden="1" customHeight="1">
      <c r="A1295">
        <v>203940</v>
      </c>
      <c r="B1295" s="3" t="s">
        <v>464</v>
      </c>
      <c r="C1295" s="3" t="str">
        <f t="shared" si="101"/>
        <v>ActivityProjects.BaseAmount</v>
      </c>
      <c r="D1295" s="3">
        <v>200030</v>
      </c>
      <c r="E1295" s="3" t="str">
        <f t="shared" si="99"/>
        <v>ActivityProjects</v>
      </c>
      <c r="F1295" s="3" t="s">
        <v>283</v>
      </c>
      <c r="H1295" s="3" t="str">
        <f t="shared" si="100"/>
        <v>act.ActivityProject</v>
      </c>
      <c r="I1295" s="3" t="s">
        <v>283</v>
      </c>
      <c r="K1295" s="3" t="s">
        <v>358</v>
      </c>
      <c r="M1295" s="3" t="s">
        <v>197</v>
      </c>
      <c r="N1295" s="3">
        <v>10</v>
      </c>
      <c r="O1295" s="3">
        <v>2</v>
      </c>
      <c r="Q1295" s="3" t="s">
        <v>92</v>
      </c>
      <c r="U1295" s="3" t="s">
        <v>93</v>
      </c>
      <c r="W1295" s="3"/>
      <c r="AD1295">
        <v>10550</v>
      </c>
      <c r="AE1295" t="str">
        <f t="shared" si="102"/>
        <v>actProject.BaseAmount</v>
      </c>
      <c r="AF1295" t="s">
        <v>820</v>
      </c>
      <c r="AJ1295" t="e">
        <f>VLOOKUP(E1295,temp1,1,FALSE)</f>
        <v>#NAME?</v>
      </c>
      <c r="AP1295" t="e">
        <f>VLOOKUP(E1295,temp6,1,FALSE)</f>
        <v>#NAME?</v>
      </c>
    </row>
    <row r="1296" spans="1:42" hidden="1">
      <c r="A1296">
        <v>203950</v>
      </c>
      <c r="B1296" s="3" t="s">
        <v>464</v>
      </c>
      <c r="C1296" s="3" t="str">
        <f t="shared" si="101"/>
        <v>ActivityProjects.Acronym</v>
      </c>
      <c r="D1296" s="3">
        <v>200030</v>
      </c>
      <c r="E1296" s="3" t="str">
        <f t="shared" si="99"/>
        <v>ActivityProjects</v>
      </c>
      <c r="F1296" s="3" t="s">
        <v>258</v>
      </c>
      <c r="H1296" s="3" t="str">
        <f t="shared" si="100"/>
        <v>act.ActivityProject</v>
      </c>
      <c r="I1296" s="3" t="s">
        <v>258</v>
      </c>
      <c r="K1296" s="3" t="s">
        <v>258</v>
      </c>
      <c r="M1296" s="3" t="s">
        <v>196</v>
      </c>
      <c r="O1296" s="3">
        <v>0</v>
      </c>
      <c r="Q1296" s="3" t="s">
        <v>92</v>
      </c>
      <c r="U1296" s="3" t="s">
        <v>93</v>
      </c>
      <c r="W1296" s="3"/>
      <c r="AD1296">
        <v>10620</v>
      </c>
      <c r="AE1296" t="str">
        <f t="shared" si="102"/>
        <v>actProject.ShortCode</v>
      </c>
      <c r="AF1296" t="s">
        <v>821</v>
      </c>
      <c r="AJ1296" t="e">
        <f>VLOOKUP(E1296,temp1,1,FALSE)</f>
        <v>#NAME?</v>
      </c>
      <c r="AP1296" t="e">
        <f>VLOOKUP(E1296,temp6,1,FALSE)</f>
        <v>#NAME?</v>
      </c>
    </row>
    <row r="1297" spans="1:42" ht="15" hidden="1" customHeight="1">
      <c r="A1297">
        <v>203960</v>
      </c>
      <c r="B1297" s="3" t="s">
        <v>464</v>
      </c>
      <c r="C1297" s="3" t="str">
        <f t="shared" si="101"/>
        <v>ActivityProjects.RefBillingMethodID</v>
      </c>
      <c r="D1297" s="3">
        <v>200030</v>
      </c>
      <c r="E1297" s="3" t="str">
        <f t="shared" si="99"/>
        <v>ActivityProjects</v>
      </c>
      <c r="F1297" s="3" t="s">
        <v>287</v>
      </c>
      <c r="H1297" s="3" t="str">
        <f t="shared" si="100"/>
        <v>act.ActivityProject</v>
      </c>
      <c r="I1297" s="3" t="s">
        <v>287</v>
      </c>
      <c r="K1297" s="3" t="s">
        <v>389</v>
      </c>
      <c r="M1297" s="3" t="s">
        <v>195</v>
      </c>
      <c r="Q1297" s="3" t="s">
        <v>92</v>
      </c>
      <c r="U1297" s="3" t="s">
        <v>97</v>
      </c>
      <c r="V1297">
        <v>200360</v>
      </c>
      <c r="W1297" s="3" t="str">
        <f>VLOOKUP(V1297,DictionaryTableID,3,FALSE)</f>
        <v>ReferenceFields</v>
      </c>
      <c r="AD1297">
        <v>10490</v>
      </c>
      <c r="AE1297" t="str">
        <f t="shared" si="102"/>
        <v>actProject.actBillingMethodID</v>
      </c>
      <c r="AF1297" t="s">
        <v>822</v>
      </c>
      <c r="AJ1297" t="e">
        <f>VLOOKUP(E1297,temp1,1,FALSE)</f>
        <v>#NAME?</v>
      </c>
      <c r="AP1297" t="e">
        <f>VLOOKUP(E1297,temp6,1,FALSE)</f>
        <v>#NAME?</v>
      </c>
    </row>
    <row r="1298" spans="1:42" ht="15" hidden="1" customHeight="1">
      <c r="A1298">
        <v>203970</v>
      </c>
      <c r="B1298" s="3" t="s">
        <v>464</v>
      </c>
      <c r="C1298" s="3" t="str">
        <f t="shared" si="101"/>
        <v>ActivityProjects.Contact</v>
      </c>
      <c r="D1298" s="3">
        <v>200030</v>
      </c>
      <c r="E1298" s="3" t="str">
        <f t="shared" si="99"/>
        <v>ActivityProjects</v>
      </c>
      <c r="F1298" s="3" t="s">
        <v>29</v>
      </c>
      <c r="H1298" s="3" t="str">
        <f t="shared" si="100"/>
        <v>act.ActivityProject</v>
      </c>
      <c r="I1298" s="3" t="s">
        <v>29</v>
      </c>
      <c r="K1298" s="3" t="s">
        <v>29</v>
      </c>
      <c r="M1298" s="3" t="s">
        <v>196</v>
      </c>
      <c r="O1298" s="3">
        <v>0</v>
      </c>
      <c r="Q1298" s="3" t="s">
        <v>92</v>
      </c>
      <c r="U1298" s="3" t="s">
        <v>93</v>
      </c>
      <c r="W1298" s="3"/>
      <c r="AD1298">
        <v>10580</v>
      </c>
      <c r="AE1298" t="str">
        <f t="shared" si="102"/>
        <v>actProject.Contact</v>
      </c>
      <c r="AF1298" t="s">
        <v>823</v>
      </c>
      <c r="AJ1298" t="e">
        <f>VLOOKUP(E1298,temp1,1,FALSE)</f>
        <v>#NAME?</v>
      </c>
      <c r="AP1298" t="e">
        <f>VLOOKUP(E1298,temp6,1,FALSE)</f>
        <v>#NAME?</v>
      </c>
    </row>
    <row r="1299" spans="1:42" hidden="1">
      <c r="A1299">
        <v>203980</v>
      </c>
      <c r="B1299" s="3" t="s">
        <v>464</v>
      </c>
      <c r="C1299" s="3" t="str">
        <f t="shared" si="101"/>
        <v>ActivityProjects.ExpenseAmount</v>
      </c>
      <c r="D1299" s="3">
        <v>200030</v>
      </c>
      <c r="E1299" s="3" t="str">
        <f t="shared" si="99"/>
        <v>ActivityProjects</v>
      </c>
      <c r="F1299" s="3" t="s">
        <v>305</v>
      </c>
      <c r="H1299" s="3" t="str">
        <f t="shared" si="100"/>
        <v>act.ActivityProject</v>
      </c>
      <c r="I1299" s="3" t="s">
        <v>305</v>
      </c>
      <c r="K1299" s="3" t="s">
        <v>359</v>
      </c>
      <c r="M1299" s="3" t="s">
        <v>197</v>
      </c>
      <c r="N1299" s="3">
        <v>10</v>
      </c>
      <c r="O1299" s="3">
        <v>2</v>
      </c>
      <c r="Q1299" s="3" t="s">
        <v>92</v>
      </c>
      <c r="U1299" s="3" t="s">
        <v>93</v>
      </c>
      <c r="W1299" s="3"/>
      <c r="AD1299">
        <v>10600</v>
      </c>
      <c r="AE1299" t="str">
        <f t="shared" si="102"/>
        <v>actProject.ExpenseAmount</v>
      </c>
      <c r="AF1299" t="s">
        <v>824</v>
      </c>
      <c r="AJ1299" t="e">
        <f>VLOOKUP(E1299,temp1,1,FALSE)</f>
        <v>#NAME?</v>
      </c>
      <c r="AP1299" t="e">
        <f>VLOOKUP(E1299,temp6,1,FALSE)</f>
        <v>#NAME?</v>
      </c>
    </row>
    <row r="1300" spans="1:42" hidden="1">
      <c r="A1300">
        <v>203990</v>
      </c>
      <c r="B1300" s="3" t="s">
        <v>464</v>
      </c>
      <c r="C1300" s="3" t="str">
        <f t="shared" si="101"/>
        <v>ActivityProjects.RefContracteeID</v>
      </c>
      <c r="D1300" s="3">
        <v>200030</v>
      </c>
      <c r="E1300" s="3" t="str">
        <f t="shared" si="99"/>
        <v>ActivityProjects</v>
      </c>
      <c r="F1300" s="3" t="s">
        <v>289</v>
      </c>
      <c r="H1300" s="3" t="str">
        <f t="shared" si="100"/>
        <v>act.ActivityProject</v>
      </c>
      <c r="I1300" s="3" t="s">
        <v>289</v>
      </c>
      <c r="K1300" s="3" t="s">
        <v>445</v>
      </c>
      <c r="M1300" s="3" t="s">
        <v>195</v>
      </c>
      <c r="Q1300" s="3" t="s">
        <v>92</v>
      </c>
      <c r="U1300" s="3" t="s">
        <v>97</v>
      </c>
      <c r="V1300">
        <v>200360</v>
      </c>
      <c r="W1300" s="3" t="str">
        <f>VLOOKUP(V1300,DictionaryTableID,3,FALSE)</f>
        <v>ReferenceFields</v>
      </c>
      <c r="AF1300" t="s">
        <v>825</v>
      </c>
      <c r="AJ1300" t="e">
        <f>VLOOKUP(E1300,temp1,1,FALSE)</f>
        <v>#NAME?</v>
      </c>
      <c r="AP1300" t="e">
        <f>VLOOKUP(E1300,temp6,1,FALSE)</f>
        <v>#NAME?</v>
      </c>
    </row>
    <row r="1301" spans="1:42" ht="15" hidden="1" customHeight="1">
      <c r="A1301">
        <v>204000</v>
      </c>
      <c r="B1301" s="3" t="s">
        <v>464</v>
      </c>
      <c r="C1301" s="3" t="str">
        <f t="shared" si="101"/>
        <v>ActivityProjects.RefSourceID</v>
      </c>
      <c r="D1301" s="3">
        <v>200030</v>
      </c>
      <c r="E1301" s="3" t="str">
        <f t="shared" si="99"/>
        <v>ActivityProjects</v>
      </c>
      <c r="F1301" s="3" t="s">
        <v>296</v>
      </c>
      <c r="H1301" s="3" t="str">
        <f t="shared" si="100"/>
        <v>act.ActivityProject</v>
      </c>
      <c r="I1301" s="3" t="s">
        <v>296</v>
      </c>
      <c r="K1301" s="3" t="s">
        <v>83</v>
      </c>
      <c r="M1301" s="3" t="s">
        <v>195</v>
      </c>
      <c r="Q1301" s="3" t="s">
        <v>92</v>
      </c>
      <c r="U1301" s="3" t="s">
        <v>97</v>
      </c>
      <c r="V1301">
        <v>200360</v>
      </c>
      <c r="W1301" s="3" t="str">
        <f>VLOOKUP(V1301,DictionaryTableID,3,FALSE)</f>
        <v>ReferenceFields</v>
      </c>
      <c r="AD1301">
        <v>10510</v>
      </c>
      <c r="AE1301" t="str">
        <f t="shared" ref="AE1301:AE1326" si="103">IF(AD1301=-1,"All",VLOOKUP(AD1301,ColumnId,3,FALSE))</f>
        <v>actProject.actSourceID</v>
      </c>
      <c r="AF1301" t="s">
        <v>826</v>
      </c>
      <c r="AJ1301" t="e">
        <f>VLOOKUP(E1301,temp1,1,FALSE)</f>
        <v>#NAME?</v>
      </c>
      <c r="AP1301" t="e">
        <f>VLOOKUP(E1301,temp6,1,FALSE)</f>
        <v>#NAME?</v>
      </c>
    </row>
    <row r="1302" spans="1:42" hidden="1">
      <c r="A1302">
        <v>204010</v>
      </c>
      <c r="B1302" s="3" t="s">
        <v>464</v>
      </c>
      <c r="C1302" s="3" t="str">
        <f t="shared" si="101"/>
        <v>ActivityProjects.ActivityProjectID</v>
      </c>
      <c r="D1302" s="3">
        <v>200030</v>
      </c>
      <c r="E1302" s="3" t="str">
        <f t="shared" si="99"/>
        <v>ActivityProjects</v>
      </c>
      <c r="F1302" s="3" t="s">
        <v>213</v>
      </c>
      <c r="H1302" s="3" t="str">
        <f t="shared" si="100"/>
        <v>act.ActivityProject</v>
      </c>
      <c r="I1302" s="3" t="s">
        <v>213</v>
      </c>
      <c r="K1302" s="3" t="s">
        <v>433</v>
      </c>
      <c r="M1302" s="3" t="s">
        <v>195</v>
      </c>
      <c r="Q1302" s="3" t="s">
        <v>92</v>
      </c>
      <c r="U1302" s="3" t="s">
        <v>96</v>
      </c>
      <c r="V1302">
        <v>200030</v>
      </c>
      <c r="W1302" s="3" t="str">
        <f>VLOOKUP(V1302,DictionaryTableID,3,FALSE)</f>
        <v>ActivityProjects</v>
      </c>
      <c r="AD1302">
        <v>10500</v>
      </c>
      <c r="AE1302" t="str">
        <f t="shared" si="103"/>
        <v>actProject.actProjectIDParent</v>
      </c>
      <c r="AF1302" t="s">
        <v>827</v>
      </c>
      <c r="AJ1302" t="e">
        <f>VLOOKUP(E1302,temp1,1,FALSE)</f>
        <v>#NAME?</v>
      </c>
      <c r="AP1302" t="e">
        <f>VLOOKUP(E1302,temp6,1,FALSE)</f>
        <v>#NAME?</v>
      </c>
    </row>
    <row r="1303" spans="1:42" hidden="1">
      <c r="A1303">
        <v>204020</v>
      </c>
      <c r="B1303" s="3" t="s">
        <v>464</v>
      </c>
      <c r="C1303" s="3" t="str">
        <f t="shared" si="101"/>
        <v>ActivityProjects.ReferenceNumber</v>
      </c>
      <c r="D1303" s="3">
        <v>200030</v>
      </c>
      <c r="E1303" s="3" t="str">
        <f t="shared" si="99"/>
        <v>ActivityProjects</v>
      </c>
      <c r="F1303" s="3" t="s">
        <v>28</v>
      </c>
      <c r="H1303" s="3" t="str">
        <f t="shared" si="100"/>
        <v>act.ActivityProject</v>
      </c>
      <c r="I1303" s="3" t="s">
        <v>28</v>
      </c>
      <c r="K1303" s="3" t="s">
        <v>102</v>
      </c>
      <c r="M1303" s="3" t="s">
        <v>196</v>
      </c>
      <c r="O1303" s="3">
        <v>0</v>
      </c>
      <c r="Q1303" s="3" t="s">
        <v>92</v>
      </c>
      <c r="U1303" s="3" t="s">
        <v>93</v>
      </c>
      <c r="W1303" s="3"/>
      <c r="AD1303">
        <v>10610</v>
      </c>
      <c r="AE1303" t="str">
        <f t="shared" si="103"/>
        <v>actProject.ReferenceNumber</v>
      </c>
      <c r="AF1303" t="s">
        <v>828</v>
      </c>
      <c r="AJ1303" t="e">
        <f>VLOOKUP(E1303,temp1,1,FALSE)</f>
        <v>#NAME?</v>
      </c>
      <c r="AP1303" t="e">
        <f>VLOOKUP(E1303,temp6,1,FALSE)</f>
        <v>#NAME?</v>
      </c>
    </row>
    <row r="1304" spans="1:42" hidden="1">
      <c r="A1304">
        <v>204030</v>
      </c>
      <c r="B1304" s="3" t="s">
        <v>464</v>
      </c>
      <c r="C1304" s="3" t="str">
        <f t="shared" si="101"/>
        <v>ActivityProjects.CostCentreID</v>
      </c>
      <c r="D1304" s="3">
        <v>200030</v>
      </c>
      <c r="E1304" s="3" t="str">
        <f t="shared" si="99"/>
        <v>ActivityProjects</v>
      </c>
      <c r="F1304" s="3" t="s">
        <v>212</v>
      </c>
      <c r="H1304" s="3" t="str">
        <f t="shared" si="100"/>
        <v>act.ActivityProject</v>
      </c>
      <c r="I1304" s="3" t="s">
        <v>212</v>
      </c>
      <c r="K1304" s="3" t="s">
        <v>328</v>
      </c>
      <c r="M1304" s="3" t="s">
        <v>195</v>
      </c>
      <c r="Q1304" s="3" t="s">
        <v>92</v>
      </c>
      <c r="U1304" s="3" t="s">
        <v>96</v>
      </c>
      <c r="V1304">
        <v>200170</v>
      </c>
      <c r="W1304" s="3" t="str">
        <f>VLOOKUP(V1304,DictionaryTableID,3,FALSE)</f>
        <v>CostCentres</v>
      </c>
      <c r="AD1304">
        <v>10540</v>
      </c>
      <c r="AE1304" t="str">
        <f t="shared" si="103"/>
        <v>actProject.glCostCentreID</v>
      </c>
      <c r="AF1304" t="s">
        <v>829</v>
      </c>
      <c r="AJ1304" t="e">
        <f>VLOOKUP(E1304,temp1,1,FALSE)</f>
        <v>#NAME?</v>
      </c>
      <c r="AP1304" t="e">
        <f>VLOOKUP(E1304,temp6,1,FALSE)</f>
        <v>#NAME?</v>
      </c>
    </row>
    <row r="1305" spans="1:42" hidden="1">
      <c r="A1305">
        <v>204040</v>
      </c>
      <c r="B1305" s="3" t="s">
        <v>464</v>
      </c>
      <c r="C1305" s="3" t="str">
        <f t="shared" si="101"/>
        <v>ActivityProjects.RecordStatus</v>
      </c>
      <c r="D1305" s="3">
        <v>200030</v>
      </c>
      <c r="E1305" s="3" t="str">
        <f t="shared" si="99"/>
        <v>ActivityProjects</v>
      </c>
      <c r="F1305" s="3" t="s">
        <v>4</v>
      </c>
      <c r="H1305" s="3" t="str">
        <f t="shared" si="100"/>
        <v>act.ActivityProject</v>
      </c>
      <c r="I1305" s="3" t="s">
        <v>4</v>
      </c>
      <c r="K1305" s="3" t="s">
        <v>4</v>
      </c>
      <c r="M1305" s="3" t="s">
        <v>196</v>
      </c>
      <c r="O1305" s="3">
        <v>0</v>
      </c>
      <c r="Q1305" s="3" t="s">
        <v>92</v>
      </c>
      <c r="U1305" s="3" t="s">
        <v>94</v>
      </c>
      <c r="W1305" s="3"/>
      <c r="AD1305">
        <v>10640</v>
      </c>
      <c r="AE1305" t="str">
        <f t="shared" si="103"/>
        <v>actProject.RowStatus</v>
      </c>
      <c r="AJ1305" t="e">
        <f>VLOOKUP(E1305,temp1,1,FALSE)</f>
        <v>#NAME?</v>
      </c>
      <c r="AP1305" t="e">
        <f>VLOOKUP(E1305,temp6,1,FALSE)</f>
        <v>#NAME?</v>
      </c>
    </row>
    <row r="1306" spans="1:42" ht="15" hidden="1" customHeight="1">
      <c r="A1306">
        <v>204050</v>
      </c>
      <c r="B1306" s="3" t="s">
        <v>464</v>
      </c>
      <c r="C1306" s="3" t="str">
        <f t="shared" si="101"/>
        <v>RatesFactor.ID</v>
      </c>
      <c r="D1306" s="3">
        <v>200350</v>
      </c>
      <c r="E1306" s="3" t="str">
        <f t="shared" si="99"/>
        <v>RatesFactor</v>
      </c>
      <c r="F1306" s="3" t="s">
        <v>0</v>
      </c>
      <c r="H1306" s="3" t="str">
        <f t="shared" si="100"/>
        <v>act.RatesFactor</v>
      </c>
      <c r="I1306" s="3" t="s">
        <v>0</v>
      </c>
      <c r="K1306" s="3" t="s">
        <v>0</v>
      </c>
      <c r="M1306" s="3" t="s">
        <v>195</v>
      </c>
      <c r="Q1306" s="3" t="s">
        <v>919</v>
      </c>
      <c r="U1306" s="3" t="s">
        <v>95</v>
      </c>
      <c r="W1306" s="3"/>
      <c r="AD1306">
        <v>-1</v>
      </c>
      <c r="AE1306" t="str">
        <f t="shared" si="103"/>
        <v>All</v>
      </c>
      <c r="AF1306" t="s">
        <v>830</v>
      </c>
      <c r="AJ1306" t="e">
        <f>VLOOKUP(E1306,temp1,1,FALSE)</f>
        <v>#NAME?</v>
      </c>
      <c r="AP1306" t="e">
        <f>VLOOKUP(E1306,temp6,1,FALSE)</f>
        <v>#NAME?</v>
      </c>
    </row>
    <row r="1307" spans="1:42" hidden="1">
      <c r="A1307">
        <v>204060</v>
      </c>
      <c r="B1307" s="3" t="s">
        <v>464</v>
      </c>
      <c r="C1307" s="3" t="str">
        <f t="shared" si="101"/>
        <v>RatesFactor.Date</v>
      </c>
      <c r="D1307" s="3">
        <v>200350</v>
      </c>
      <c r="E1307" s="3" t="str">
        <f t="shared" si="99"/>
        <v>RatesFactor</v>
      </c>
      <c r="F1307" s="3" t="s">
        <v>81</v>
      </c>
      <c r="H1307" s="3" t="str">
        <f t="shared" si="100"/>
        <v>act.RatesFactor</v>
      </c>
      <c r="I1307" s="3" t="s">
        <v>81</v>
      </c>
      <c r="K1307" s="3" t="s">
        <v>81</v>
      </c>
      <c r="M1307" s="3" t="s">
        <v>329</v>
      </c>
      <c r="N1307" s="3">
        <v>8</v>
      </c>
      <c r="O1307" s="3">
        <v>0</v>
      </c>
      <c r="Q1307" s="3" t="s">
        <v>92</v>
      </c>
      <c r="U1307" s="3" t="s">
        <v>93</v>
      </c>
      <c r="W1307" s="3"/>
      <c r="AD1307">
        <v>10985</v>
      </c>
      <c r="AE1307" t="str">
        <f t="shared" si="103"/>
        <v>actRateFactor.TemporalStartDate</v>
      </c>
      <c r="AF1307" t="s">
        <v>831</v>
      </c>
      <c r="AJ1307" t="e">
        <f>VLOOKUP(E1307,temp1,1,FALSE)</f>
        <v>#NAME?</v>
      </c>
      <c r="AP1307" t="e">
        <f>VLOOKUP(E1307,temp6,1,FALSE)</f>
        <v>#NAME?</v>
      </c>
    </row>
    <row r="1308" spans="1:42" hidden="1">
      <c r="A1308">
        <v>204070</v>
      </c>
      <c r="B1308" s="3" t="s">
        <v>464</v>
      </c>
      <c r="C1308" s="3" t="str">
        <f t="shared" si="101"/>
        <v>RatesFactor.Adjustment</v>
      </c>
      <c r="D1308" s="3">
        <v>200350</v>
      </c>
      <c r="E1308" s="3" t="str">
        <f t="shared" si="99"/>
        <v>RatesFactor</v>
      </c>
      <c r="F1308" s="3" t="s">
        <v>259</v>
      </c>
      <c r="H1308" s="3" t="str">
        <f t="shared" si="100"/>
        <v>act.RatesFactor</v>
      </c>
      <c r="I1308" s="3" t="s">
        <v>259</v>
      </c>
      <c r="K1308" s="3" t="s">
        <v>259</v>
      </c>
      <c r="M1308" s="3" t="s">
        <v>197</v>
      </c>
      <c r="N1308" s="3">
        <v>6</v>
      </c>
      <c r="O1308" s="3">
        <v>3</v>
      </c>
      <c r="Q1308" s="3" t="s">
        <v>92</v>
      </c>
      <c r="U1308" s="3" t="s">
        <v>93</v>
      </c>
      <c r="AD1308">
        <v>10970</v>
      </c>
      <c r="AE1308" t="str">
        <f t="shared" si="103"/>
        <v>actRateFactor.Adjustment</v>
      </c>
      <c r="AF1308" t="s">
        <v>832</v>
      </c>
      <c r="AJ1308" t="e">
        <f>VLOOKUP(E1308,temp1,1,FALSE)</f>
        <v>#NAME?</v>
      </c>
      <c r="AP1308" t="e">
        <f>VLOOKUP(E1308,temp6,1,FALSE)</f>
        <v>#NAME?</v>
      </c>
    </row>
    <row r="1309" spans="1:42" ht="15" hidden="1" customHeight="1">
      <c r="A1309">
        <v>204080</v>
      </c>
      <c r="B1309" s="3" t="s">
        <v>464</v>
      </c>
      <c r="C1309" s="3" t="str">
        <f t="shared" si="101"/>
        <v>RatesFactor.RecordStatus</v>
      </c>
      <c r="D1309" s="3">
        <v>200350</v>
      </c>
      <c r="E1309" s="3" t="str">
        <f t="shared" si="99"/>
        <v>RatesFactor</v>
      </c>
      <c r="F1309" s="3" t="s">
        <v>4</v>
      </c>
      <c r="H1309" s="3" t="str">
        <f t="shared" si="100"/>
        <v>act.RatesFactor</v>
      </c>
      <c r="I1309" s="3" t="s">
        <v>4</v>
      </c>
      <c r="K1309" s="3" t="s">
        <v>4</v>
      </c>
      <c r="M1309" s="3" t="s">
        <v>196</v>
      </c>
      <c r="O1309" s="3">
        <v>0</v>
      </c>
      <c r="Q1309" s="3" t="s">
        <v>92</v>
      </c>
      <c r="U1309" s="3" t="s">
        <v>94</v>
      </c>
      <c r="AD1309">
        <v>11010</v>
      </c>
      <c r="AE1309" t="str">
        <f t="shared" si="103"/>
        <v>actRateFactor.RowStatus</v>
      </c>
      <c r="AJ1309" t="e">
        <f>VLOOKUP(E1309,temp1,1,FALSE)</f>
        <v>#NAME?</v>
      </c>
      <c r="AP1309" t="e">
        <f>VLOOKUP(E1309,temp6,1,FALSE)</f>
        <v>#NAME?</v>
      </c>
    </row>
    <row r="1310" spans="1:42" ht="15" hidden="1" customHeight="1">
      <c r="A1310">
        <v>204090</v>
      </c>
      <c r="B1310" s="3" t="s">
        <v>464</v>
      </c>
      <c r="C1310" s="3" t="str">
        <f t="shared" si="101"/>
        <v>RatesExpense.ID</v>
      </c>
      <c r="D1310" s="3">
        <v>200340</v>
      </c>
      <c r="E1310" s="3" t="str">
        <f t="shared" si="99"/>
        <v>RatesExpense</v>
      </c>
      <c r="F1310" s="3" t="s">
        <v>0</v>
      </c>
      <c r="H1310" s="3" t="str">
        <f t="shared" si="100"/>
        <v>act.RatesExpense</v>
      </c>
      <c r="I1310" s="3" t="s">
        <v>0</v>
      </c>
      <c r="K1310" s="3" t="s">
        <v>0</v>
      </c>
      <c r="M1310" s="3" t="s">
        <v>195</v>
      </c>
      <c r="Q1310" s="3" t="s">
        <v>919</v>
      </c>
      <c r="U1310" s="3" t="s">
        <v>95</v>
      </c>
      <c r="AD1310">
        <v>-1</v>
      </c>
      <c r="AE1310" t="str">
        <f t="shared" si="103"/>
        <v>All</v>
      </c>
      <c r="AF1310" t="s">
        <v>833</v>
      </c>
      <c r="AJ1310" t="e">
        <f>VLOOKUP(E1310,temp1,1,FALSE)</f>
        <v>#NAME?</v>
      </c>
      <c r="AP1310" t="e">
        <f>VLOOKUP(E1310,temp6,1,FALSE)</f>
        <v>#NAME?</v>
      </c>
    </row>
    <row r="1311" spans="1:42" hidden="1">
      <c r="A1311">
        <v>204100</v>
      </c>
      <c r="B1311" s="3" t="s">
        <v>464</v>
      </c>
      <c r="C1311" s="3" t="str">
        <f t="shared" si="101"/>
        <v>RatesExpense.ContactIDBY</v>
      </c>
      <c r="D1311" s="3">
        <v>200340</v>
      </c>
      <c r="E1311" s="3" t="str">
        <f t="shared" si="99"/>
        <v>RatesExpense</v>
      </c>
      <c r="F1311" s="3" t="s">
        <v>225</v>
      </c>
      <c r="H1311" s="3" t="str">
        <f t="shared" si="100"/>
        <v>act.RatesExpense</v>
      </c>
      <c r="I1311" s="3" t="s">
        <v>225</v>
      </c>
      <c r="K1311" s="3" t="s">
        <v>440</v>
      </c>
      <c r="M1311" s="3" t="s">
        <v>195</v>
      </c>
      <c r="Q1311" s="3" t="s">
        <v>92</v>
      </c>
      <c r="U1311" s="3" t="s">
        <v>96</v>
      </c>
      <c r="V1311">
        <v>200150</v>
      </c>
      <c r="W1311" s="3" t="str">
        <f>VLOOKUP(V1311,DictionaryTableID,3,FALSE)</f>
        <v>Contacts</v>
      </c>
      <c r="X1311" t="s">
        <v>1465</v>
      </c>
      <c r="AD1311">
        <v>10890</v>
      </c>
      <c r="AE1311" t="str">
        <f t="shared" si="103"/>
        <v>actRateExpense.RowIDChargedBy</v>
      </c>
      <c r="AF1311" t="s">
        <v>834</v>
      </c>
      <c r="AJ1311" t="e">
        <f>VLOOKUP(E1311,temp1,1,FALSE)</f>
        <v>#NAME?</v>
      </c>
      <c r="AP1311" t="e">
        <f>VLOOKUP(E1311,temp6,1,FALSE)</f>
        <v>#NAME?</v>
      </c>
    </row>
    <row r="1312" spans="1:42" ht="15" hidden="1" customHeight="1">
      <c r="A1312">
        <v>204110</v>
      </c>
      <c r="B1312" s="3" t="s">
        <v>464</v>
      </c>
      <c r="C1312" s="3" t="str">
        <f t="shared" si="101"/>
        <v>RatesExpense.ActivityTypeID</v>
      </c>
      <c r="D1312" s="3">
        <v>200340</v>
      </c>
      <c r="E1312" s="3" t="str">
        <f t="shared" si="99"/>
        <v>RatesExpense</v>
      </c>
      <c r="F1312" s="3" t="s">
        <v>70</v>
      </c>
      <c r="H1312" s="3" t="str">
        <f t="shared" si="100"/>
        <v>act.RatesExpense</v>
      </c>
      <c r="I1312" s="3" t="s">
        <v>70</v>
      </c>
      <c r="K1312" s="3" t="s">
        <v>119</v>
      </c>
      <c r="M1312" s="3" t="s">
        <v>195</v>
      </c>
      <c r="Q1312" s="3" t="s">
        <v>92</v>
      </c>
      <c r="U1312" s="3" t="s">
        <v>96</v>
      </c>
      <c r="V1312">
        <v>200040</v>
      </c>
      <c r="W1312" s="3" t="str">
        <f>VLOOKUP(V1312,DictionaryTableID,3,FALSE)</f>
        <v>ActivityTypes</v>
      </c>
      <c r="AD1312">
        <v>10870</v>
      </c>
      <c r="AE1312" t="str">
        <f t="shared" si="103"/>
        <v>actRateExpense.actTypeID</v>
      </c>
      <c r="AF1312" t="s">
        <v>835</v>
      </c>
      <c r="AJ1312" t="e">
        <f>VLOOKUP(E1312,temp1,1,FALSE)</f>
        <v>#NAME?</v>
      </c>
      <c r="AP1312" t="e">
        <f>VLOOKUP(E1312,temp6,1,FALSE)</f>
        <v>#NAME?</v>
      </c>
    </row>
    <row r="1313" spans="1:42" ht="15" hidden="1" customHeight="1">
      <c r="A1313">
        <v>204120</v>
      </c>
      <c r="B1313" s="3" t="s">
        <v>464</v>
      </c>
      <c r="C1313" s="3" t="str">
        <f t="shared" si="101"/>
        <v>RatesExpense.Rate</v>
      </c>
      <c r="D1313" s="3">
        <v>200340</v>
      </c>
      <c r="E1313" s="3" t="str">
        <f t="shared" si="99"/>
        <v>RatesExpense</v>
      </c>
      <c r="F1313" s="3" t="s">
        <v>50</v>
      </c>
      <c r="H1313" s="3" t="str">
        <f t="shared" si="100"/>
        <v>act.RatesExpense</v>
      </c>
      <c r="I1313" s="3" t="s">
        <v>50</v>
      </c>
      <c r="K1313" s="3" t="s">
        <v>50</v>
      </c>
      <c r="M1313" s="3" t="s">
        <v>197</v>
      </c>
      <c r="N1313" s="3">
        <v>10</v>
      </c>
      <c r="O1313" s="3">
        <v>2</v>
      </c>
      <c r="Q1313" s="3" t="s">
        <v>92</v>
      </c>
      <c r="U1313" s="3" t="s">
        <v>93</v>
      </c>
      <c r="AD1313">
        <v>10900</v>
      </c>
      <c r="AE1313" t="str">
        <f t="shared" si="103"/>
        <v>actRateExpense.Rate</v>
      </c>
      <c r="AF1313" t="s">
        <v>836</v>
      </c>
      <c r="AJ1313" t="e">
        <f>VLOOKUP(E1313,temp1,1,FALSE)</f>
        <v>#NAME?</v>
      </c>
      <c r="AP1313" t="e">
        <f>VLOOKUP(E1313,temp6,1,FALSE)</f>
        <v>#NAME?</v>
      </c>
    </row>
    <row r="1314" spans="1:42" ht="15" hidden="1" customHeight="1">
      <c r="A1314">
        <v>204130</v>
      </c>
      <c r="B1314" s="3" t="s">
        <v>464</v>
      </c>
      <c r="C1314" s="3" t="str">
        <f t="shared" si="101"/>
        <v>RatesExpense.ActivityProjectID</v>
      </c>
      <c r="D1314" s="3">
        <v>200340</v>
      </c>
      <c r="E1314" s="3" t="str">
        <f t="shared" si="99"/>
        <v>RatesExpense</v>
      </c>
      <c r="F1314" s="3" t="s">
        <v>213</v>
      </c>
      <c r="H1314" s="3" t="str">
        <f t="shared" si="100"/>
        <v>act.RatesExpense</v>
      </c>
      <c r="I1314" s="3" t="s">
        <v>213</v>
      </c>
      <c r="K1314" s="3" t="s">
        <v>433</v>
      </c>
      <c r="M1314" s="3" t="s">
        <v>195</v>
      </c>
      <c r="Q1314" s="3" t="s">
        <v>92</v>
      </c>
      <c r="U1314" s="3" t="s">
        <v>96</v>
      </c>
      <c r="V1314">
        <v>200030</v>
      </c>
      <c r="W1314" s="3" t="str">
        <f>VLOOKUP(V1314,DictionaryTableID,3,FALSE)</f>
        <v>ActivityProjects</v>
      </c>
      <c r="AD1314">
        <v>10860</v>
      </c>
      <c r="AE1314" t="str">
        <f t="shared" si="103"/>
        <v>actRateExpense.actProjectID</v>
      </c>
      <c r="AF1314" t="s">
        <v>837</v>
      </c>
      <c r="AJ1314" t="e">
        <f>VLOOKUP(E1314,temp1,1,FALSE)</f>
        <v>#NAME?</v>
      </c>
      <c r="AP1314" t="e">
        <f>VLOOKUP(E1314,temp6,1,FALSE)</f>
        <v>#NAME?</v>
      </c>
    </row>
    <row r="1315" spans="1:42" ht="15" hidden="1" customHeight="1">
      <c r="A1315">
        <v>204140</v>
      </c>
      <c r="B1315" s="3" t="s">
        <v>464</v>
      </c>
      <c r="C1315" s="3" t="str">
        <f t="shared" si="101"/>
        <v>RatesExpense.Date</v>
      </c>
      <c r="D1315" s="3">
        <v>200340</v>
      </c>
      <c r="E1315" s="3" t="str">
        <f t="shared" si="99"/>
        <v>RatesExpense</v>
      </c>
      <c r="F1315" s="3" t="s">
        <v>81</v>
      </c>
      <c r="H1315" s="3" t="str">
        <f t="shared" si="100"/>
        <v>act.RatesExpense</v>
      </c>
      <c r="I1315" s="3" t="s">
        <v>81</v>
      </c>
      <c r="K1315" s="3" t="s">
        <v>81</v>
      </c>
      <c r="M1315" s="3" t="s">
        <v>329</v>
      </c>
      <c r="N1315" s="3">
        <v>8</v>
      </c>
      <c r="O1315" s="3">
        <v>0</v>
      </c>
      <c r="Q1315" s="3" t="s">
        <v>92</v>
      </c>
      <c r="U1315" s="3" t="s">
        <v>93</v>
      </c>
      <c r="AD1315">
        <v>10915</v>
      </c>
      <c r="AE1315" t="str">
        <f t="shared" si="103"/>
        <v>actRateExpense.TemporalStartDate</v>
      </c>
      <c r="AF1315" t="s">
        <v>838</v>
      </c>
      <c r="AJ1315" t="e">
        <f>VLOOKUP(E1315,temp1,1,FALSE)</f>
        <v>#NAME?</v>
      </c>
      <c r="AP1315" t="e">
        <f>VLOOKUP(E1315,temp6,1,FALSE)</f>
        <v>#NAME?</v>
      </c>
    </row>
    <row r="1316" spans="1:42" ht="15" hidden="1" customHeight="1">
      <c r="A1316">
        <v>204150</v>
      </c>
      <c r="B1316" s="3" t="s">
        <v>464</v>
      </c>
      <c r="C1316" s="3" t="str">
        <f t="shared" si="101"/>
        <v>RatesExpense.RecordStatus</v>
      </c>
      <c r="D1316" s="3">
        <v>200340</v>
      </c>
      <c r="E1316" s="3" t="str">
        <f t="shared" si="99"/>
        <v>RatesExpense</v>
      </c>
      <c r="F1316" s="3" t="s">
        <v>4</v>
      </c>
      <c r="H1316" s="3" t="str">
        <f t="shared" si="100"/>
        <v>act.RatesExpense</v>
      </c>
      <c r="I1316" s="3" t="s">
        <v>4</v>
      </c>
      <c r="K1316" s="3" t="s">
        <v>4</v>
      </c>
      <c r="M1316" s="3" t="s">
        <v>196</v>
      </c>
      <c r="O1316" s="3">
        <v>0</v>
      </c>
      <c r="Q1316" s="3" t="s">
        <v>92</v>
      </c>
      <c r="U1316" s="3" t="s">
        <v>94</v>
      </c>
      <c r="AD1316">
        <v>10940</v>
      </c>
      <c r="AE1316" t="str">
        <f t="shared" si="103"/>
        <v>actRateExpense.RowStatus</v>
      </c>
      <c r="AJ1316" t="e">
        <f>VLOOKUP(E1316,temp1,1,FALSE)</f>
        <v>#NAME?</v>
      </c>
      <c r="AP1316" t="e">
        <f>VLOOKUP(E1316,temp6,1,FALSE)</f>
        <v>#NAME?</v>
      </c>
    </row>
    <row r="1317" spans="1:42" ht="15" hidden="1" customHeight="1">
      <c r="A1317">
        <v>204160</v>
      </c>
      <c r="B1317" s="3" t="s">
        <v>464</v>
      </c>
      <c r="C1317" s="3" t="str">
        <f t="shared" si="101"/>
        <v>TransactionsCheques.TransactionID</v>
      </c>
      <c r="D1317" s="3">
        <v>200400</v>
      </c>
      <c r="E1317" s="3" t="str">
        <f t="shared" si="99"/>
        <v>TransactionsCheques</v>
      </c>
      <c r="F1317" s="3" t="s">
        <v>68</v>
      </c>
      <c r="H1317" s="3" t="str">
        <f t="shared" si="100"/>
        <v>gl.TransactionsCheque</v>
      </c>
      <c r="I1317" s="3" t="s">
        <v>68</v>
      </c>
      <c r="K1317" s="3" t="s">
        <v>109</v>
      </c>
      <c r="M1317" s="3" t="s">
        <v>195</v>
      </c>
      <c r="Q1317" s="3" t="s">
        <v>919</v>
      </c>
      <c r="U1317" s="3" t="s">
        <v>96</v>
      </c>
      <c r="V1317" s="3">
        <v>200390</v>
      </c>
      <c r="W1317" s="3" t="str">
        <f>VLOOKUP(V1317,DictionaryTableID,3,FALSE)</f>
        <v>Transactions</v>
      </c>
      <c r="AD1317">
        <v>16330</v>
      </c>
      <c r="AE1317" t="str">
        <f t="shared" si="103"/>
        <v>glTransactionSubTypeCheque.ID</v>
      </c>
      <c r="AF1317" t="s">
        <v>839</v>
      </c>
      <c r="AJ1317" t="e">
        <f>VLOOKUP(E1317,temp1,1,FALSE)</f>
        <v>#NAME?</v>
      </c>
      <c r="AP1317" t="e">
        <f>VLOOKUP(E1317,temp6,1,FALSE)</f>
        <v>#NAME?</v>
      </c>
    </row>
    <row r="1318" spans="1:42" ht="15" hidden="1" customHeight="1">
      <c r="A1318">
        <v>204170</v>
      </c>
      <c r="B1318" s="3" t="s">
        <v>464</v>
      </c>
      <c r="C1318" s="3" t="str">
        <f t="shared" si="101"/>
        <v>TransactionsCheques.Type</v>
      </c>
      <c r="D1318" s="3">
        <v>200400</v>
      </c>
      <c r="E1318" s="3" t="str">
        <f t="shared" si="99"/>
        <v>TransactionsCheques</v>
      </c>
      <c r="F1318" s="3" t="s">
        <v>40</v>
      </c>
      <c r="H1318" s="3" t="str">
        <f t="shared" si="100"/>
        <v>gl.TransactionsCheque</v>
      </c>
      <c r="I1318" s="3" t="s">
        <v>40</v>
      </c>
      <c r="K1318" s="3" t="s">
        <v>40</v>
      </c>
      <c r="L1318" t="s">
        <v>2418</v>
      </c>
      <c r="M1318" s="3" t="s">
        <v>196</v>
      </c>
      <c r="O1318" s="3">
        <v>0</v>
      </c>
      <c r="Q1318" s="3" t="s">
        <v>92</v>
      </c>
      <c r="U1318" s="3" t="s">
        <v>93</v>
      </c>
      <c r="AD1318">
        <v>16380</v>
      </c>
      <c r="AE1318" t="str">
        <f t="shared" si="103"/>
        <v>glTransactionSubTypeCheque.IsManual</v>
      </c>
      <c r="AF1318" t="s">
        <v>840</v>
      </c>
      <c r="AJ1318" t="e">
        <f>VLOOKUP(E1318,temp1,1,FALSE)</f>
        <v>#NAME?</v>
      </c>
      <c r="AP1318" t="e">
        <f>VLOOKUP(E1318,temp6,1,FALSE)</f>
        <v>#NAME?</v>
      </c>
    </row>
    <row r="1319" spans="1:42" ht="15" hidden="1" customHeight="1">
      <c r="A1319">
        <v>204180</v>
      </c>
      <c r="B1319" s="3" t="s">
        <v>464</v>
      </c>
      <c r="C1319" s="3" t="str">
        <f t="shared" si="101"/>
        <v>TransactionsCheques.Name</v>
      </c>
      <c r="D1319" s="3">
        <v>200400</v>
      </c>
      <c r="E1319" s="3" t="str">
        <f t="shared" si="99"/>
        <v>TransactionsCheques</v>
      </c>
      <c r="F1319" s="3" t="s">
        <v>22</v>
      </c>
      <c r="H1319" s="3" t="str">
        <f t="shared" si="100"/>
        <v>gl.TransactionsCheque</v>
      </c>
      <c r="I1319" s="3" t="s">
        <v>22</v>
      </c>
      <c r="K1319" s="3" t="s">
        <v>22</v>
      </c>
      <c r="M1319" s="3" t="s">
        <v>196</v>
      </c>
      <c r="O1319" s="3">
        <v>0</v>
      </c>
      <c r="Q1319" s="3" t="s">
        <v>92</v>
      </c>
      <c r="U1319" s="3" t="s">
        <v>93</v>
      </c>
      <c r="AD1319">
        <v>16390</v>
      </c>
      <c r="AE1319" t="str">
        <f t="shared" si="103"/>
        <v>glTransactionSubTypeCheque.Name</v>
      </c>
      <c r="AF1319" t="s">
        <v>841</v>
      </c>
      <c r="AJ1319" t="e">
        <f>VLOOKUP(E1319,temp1,1,FALSE)</f>
        <v>#NAME?</v>
      </c>
      <c r="AP1319" t="e">
        <f>VLOOKUP(E1319,temp6,1,FALSE)</f>
        <v>#NAME?</v>
      </c>
    </row>
    <row r="1320" spans="1:42" hidden="1">
      <c r="A1320">
        <v>204190</v>
      </c>
      <c r="B1320" s="3" t="s">
        <v>464</v>
      </c>
      <c r="C1320" s="3" t="str">
        <f t="shared" si="101"/>
        <v>TransactionsCheques.Address1</v>
      </c>
      <c r="D1320" s="3">
        <v>200400</v>
      </c>
      <c r="E1320" s="3" t="str">
        <f t="shared" si="99"/>
        <v>TransactionsCheques</v>
      </c>
      <c r="F1320" s="3" t="s">
        <v>1</v>
      </c>
      <c r="H1320" s="3" t="str">
        <f t="shared" si="100"/>
        <v>gl.TransactionsCheque</v>
      </c>
      <c r="I1320" s="3" t="s">
        <v>1</v>
      </c>
      <c r="K1320" s="3" t="s">
        <v>113</v>
      </c>
      <c r="M1320" s="3" t="s">
        <v>196</v>
      </c>
      <c r="O1320" s="3">
        <v>0</v>
      </c>
      <c r="Q1320" s="3" t="s">
        <v>92</v>
      </c>
      <c r="U1320" s="3" t="s">
        <v>93</v>
      </c>
      <c r="AD1320">
        <v>16350</v>
      </c>
      <c r="AE1320" t="str">
        <f t="shared" si="103"/>
        <v>glTransactionSubTypeCheque.Address1</v>
      </c>
      <c r="AF1320" t="s">
        <v>842</v>
      </c>
      <c r="AJ1320" t="e">
        <f>VLOOKUP(E1320,temp1,1,FALSE)</f>
        <v>#NAME?</v>
      </c>
      <c r="AP1320" t="e">
        <f>VLOOKUP(E1320,temp6,1,FALSE)</f>
        <v>#NAME?</v>
      </c>
    </row>
    <row r="1321" spans="1:42" ht="15" hidden="1" customHeight="1">
      <c r="A1321">
        <v>204200</v>
      </c>
      <c r="B1321" s="3" t="s">
        <v>464</v>
      </c>
      <c r="C1321" s="3" t="str">
        <f t="shared" si="101"/>
        <v>TransactionsCheques.Address2</v>
      </c>
      <c r="D1321" s="3">
        <v>200400</v>
      </c>
      <c r="E1321" s="3" t="str">
        <f t="shared" si="99"/>
        <v>TransactionsCheques</v>
      </c>
      <c r="F1321" s="3" t="s">
        <v>2</v>
      </c>
      <c r="H1321" s="3" t="str">
        <f t="shared" si="100"/>
        <v>gl.TransactionsCheque</v>
      </c>
      <c r="I1321" s="3" t="s">
        <v>2</v>
      </c>
      <c r="K1321" s="3" t="s">
        <v>114</v>
      </c>
      <c r="M1321" s="3" t="s">
        <v>196</v>
      </c>
      <c r="O1321" s="3">
        <v>0</v>
      </c>
      <c r="Q1321" s="3" t="s">
        <v>92</v>
      </c>
      <c r="U1321" s="3" t="s">
        <v>93</v>
      </c>
      <c r="AD1321">
        <v>16360</v>
      </c>
      <c r="AE1321" t="str">
        <f t="shared" si="103"/>
        <v>glTransactionSubTypeCheque.Address2</v>
      </c>
      <c r="AF1321" t="s">
        <v>843</v>
      </c>
      <c r="AJ1321" t="e">
        <f>VLOOKUP(E1321,temp1,1,FALSE)</f>
        <v>#NAME?</v>
      </c>
      <c r="AP1321" t="e">
        <f>VLOOKUP(E1321,temp6,1,FALSE)</f>
        <v>#NAME?</v>
      </c>
    </row>
    <row r="1322" spans="1:42" ht="15" hidden="1" customHeight="1">
      <c r="A1322">
        <v>204210</v>
      </c>
      <c r="B1322" s="3" t="s">
        <v>464</v>
      </c>
      <c r="C1322" s="3" t="str">
        <f t="shared" si="101"/>
        <v>TransactionsCheques.City</v>
      </c>
      <c r="D1322" s="3">
        <v>200400</v>
      </c>
      <c r="E1322" s="3" t="str">
        <f t="shared" si="99"/>
        <v>TransactionsCheques</v>
      </c>
      <c r="F1322" s="3" t="s">
        <v>24</v>
      </c>
      <c r="H1322" s="3" t="str">
        <f t="shared" si="100"/>
        <v>gl.TransactionsCheque</v>
      </c>
      <c r="I1322" s="3" t="s">
        <v>24</v>
      </c>
      <c r="K1322" s="3" t="s">
        <v>24</v>
      </c>
      <c r="M1322" s="3" t="s">
        <v>196</v>
      </c>
      <c r="O1322" s="3">
        <v>0</v>
      </c>
      <c r="Q1322" s="3" t="s">
        <v>92</v>
      </c>
      <c r="U1322" s="3" t="s">
        <v>93</v>
      </c>
      <c r="AD1322">
        <v>16370</v>
      </c>
      <c r="AE1322" t="str">
        <f t="shared" si="103"/>
        <v>glTransactionSubTypeCheque.CityText</v>
      </c>
      <c r="AF1322" t="s">
        <v>844</v>
      </c>
      <c r="AJ1322" t="e">
        <f>VLOOKUP(E1322,temp1,1,FALSE)</f>
        <v>#NAME?</v>
      </c>
      <c r="AP1322" t="e">
        <f>VLOOKUP(E1322,temp6,1,FALSE)</f>
        <v>#NAME?</v>
      </c>
    </row>
    <row r="1323" spans="1:42" ht="15" hidden="1" customHeight="1">
      <c r="A1323">
        <v>204220</v>
      </c>
      <c r="B1323" s="3" t="s">
        <v>464</v>
      </c>
      <c r="C1323" s="3" t="str">
        <f t="shared" si="101"/>
        <v>TransactionsCheques.Province</v>
      </c>
      <c r="D1323" s="3">
        <v>200400</v>
      </c>
      <c r="E1323" s="3" t="str">
        <f t="shared" si="99"/>
        <v>TransactionsCheques</v>
      </c>
      <c r="F1323" s="3" t="s">
        <v>3</v>
      </c>
      <c r="H1323" s="3" t="str">
        <f t="shared" si="100"/>
        <v>gl.TransactionsCheque</v>
      </c>
      <c r="I1323" s="3" t="s">
        <v>3</v>
      </c>
      <c r="K1323" s="3" t="s">
        <v>3</v>
      </c>
      <c r="M1323" s="3" t="s">
        <v>196</v>
      </c>
      <c r="O1323" s="3">
        <v>0</v>
      </c>
      <c r="Q1323" s="3" t="s">
        <v>92</v>
      </c>
      <c r="U1323" s="3" t="s">
        <v>93</v>
      </c>
      <c r="AD1323">
        <v>16420</v>
      </c>
      <c r="AE1323" t="str">
        <f t="shared" si="103"/>
        <v>glTransactionSubTypeCheque.Province</v>
      </c>
      <c r="AF1323" t="s">
        <v>845</v>
      </c>
      <c r="AJ1323" t="e">
        <f>VLOOKUP(E1323,temp1,1,FALSE)</f>
        <v>#NAME?</v>
      </c>
      <c r="AP1323" t="e">
        <f>VLOOKUP(E1323,temp6,1,FALSE)</f>
        <v>#NAME?</v>
      </c>
    </row>
    <row r="1324" spans="1:42" ht="15" hidden="1" customHeight="1">
      <c r="A1324">
        <v>204230</v>
      </c>
      <c r="B1324" s="3" t="s">
        <v>464</v>
      </c>
      <c r="C1324" s="3" t="str">
        <f t="shared" si="101"/>
        <v>TransactionsCheques.Postal</v>
      </c>
      <c r="D1324" s="3">
        <v>200400</v>
      </c>
      <c r="E1324" s="3" t="str">
        <f t="shared" si="99"/>
        <v>TransactionsCheques</v>
      </c>
      <c r="F1324" s="3" t="s">
        <v>270</v>
      </c>
      <c r="H1324" s="3" t="str">
        <f t="shared" si="100"/>
        <v>gl.TransactionsCheque</v>
      </c>
      <c r="I1324" s="3" t="s">
        <v>270</v>
      </c>
      <c r="K1324" s="3" t="s">
        <v>270</v>
      </c>
      <c r="M1324" s="3" t="s">
        <v>196</v>
      </c>
      <c r="O1324" s="3">
        <v>0</v>
      </c>
      <c r="Q1324" s="3" t="s">
        <v>92</v>
      </c>
      <c r="U1324" s="3" t="s">
        <v>93</v>
      </c>
      <c r="AD1324">
        <v>16400</v>
      </c>
      <c r="AE1324" t="str">
        <f t="shared" si="103"/>
        <v>glTransactionSubTypeCheque.PostalZip</v>
      </c>
      <c r="AF1324" t="s">
        <v>846</v>
      </c>
      <c r="AJ1324" t="e">
        <f>VLOOKUP(E1324,temp1,1,FALSE)</f>
        <v>#NAME?</v>
      </c>
      <c r="AP1324" t="e">
        <f>VLOOKUP(E1324,temp6,1,FALSE)</f>
        <v>#NAME?</v>
      </c>
    </row>
    <row r="1325" spans="1:42" hidden="1">
      <c r="A1325">
        <v>204240</v>
      </c>
      <c r="B1325" s="3" t="s">
        <v>464</v>
      </c>
      <c r="C1325" s="3" t="str">
        <f t="shared" si="101"/>
        <v>TransactionsCheques.PrintCnt</v>
      </c>
      <c r="D1325" s="3">
        <v>200400</v>
      </c>
      <c r="E1325" s="3" t="str">
        <f t="shared" si="99"/>
        <v>TransactionsCheques</v>
      </c>
      <c r="F1325" s="3" t="s">
        <v>248</v>
      </c>
      <c r="H1325" s="3" t="str">
        <f t="shared" si="100"/>
        <v>gl.TransactionsCheque</v>
      </c>
      <c r="I1325" s="3" t="s">
        <v>248</v>
      </c>
      <c r="K1325" s="3" t="s">
        <v>429</v>
      </c>
      <c r="M1325" s="3" t="s">
        <v>195</v>
      </c>
      <c r="Q1325" s="3" t="s">
        <v>92</v>
      </c>
      <c r="U1325" s="3" t="s">
        <v>93</v>
      </c>
      <c r="AD1325">
        <v>16410</v>
      </c>
      <c r="AE1325" t="str">
        <f t="shared" si="103"/>
        <v>glTransactionSubTypeCheque.PrintCnt</v>
      </c>
      <c r="AF1325" t="s">
        <v>847</v>
      </c>
      <c r="AJ1325" t="e">
        <f>VLOOKUP(E1325,temp1,1,FALSE)</f>
        <v>#NAME?</v>
      </c>
      <c r="AP1325" t="e">
        <f>VLOOKUP(E1325,temp6,1,FALSE)</f>
        <v>#NAME?</v>
      </c>
    </row>
    <row r="1326" spans="1:42" hidden="1">
      <c r="A1326">
        <v>204250</v>
      </c>
      <c r="B1326" s="3" t="s">
        <v>464</v>
      </c>
      <c r="C1326" s="3" t="str">
        <f t="shared" si="101"/>
        <v>TransactionsCheques.BillingAccountID</v>
      </c>
      <c r="D1326" s="3">
        <v>200400</v>
      </c>
      <c r="E1326" s="3" t="str">
        <f t="shared" si="99"/>
        <v>TransactionsCheques</v>
      </c>
      <c r="F1326" s="3" t="s">
        <v>47</v>
      </c>
      <c r="H1326" s="3" t="str">
        <f t="shared" si="100"/>
        <v>gl.TransactionsCheque</v>
      </c>
      <c r="I1326" s="3" t="s">
        <v>47</v>
      </c>
      <c r="K1326" s="3" t="s">
        <v>101</v>
      </c>
      <c r="M1326" s="3" t="s">
        <v>195</v>
      </c>
      <c r="Q1326" s="3" t="s">
        <v>92</v>
      </c>
      <c r="U1326" s="3" t="s">
        <v>96</v>
      </c>
      <c r="V1326">
        <v>200110</v>
      </c>
      <c r="W1326" s="3" t="str">
        <f>VLOOKUP(V1326,DictionaryTableID,3,FALSE)</f>
        <v>BillingAccounts</v>
      </c>
      <c r="AD1326">
        <v>16340</v>
      </c>
      <c r="AE1326" t="str">
        <f t="shared" si="103"/>
        <v>glTransactionSubTypeCheque.glBillingAccountID</v>
      </c>
      <c r="AF1326" t="s">
        <v>848</v>
      </c>
      <c r="AJ1326" t="e">
        <f>VLOOKUP(E1326,temp1,1,FALSE)</f>
        <v>#NAME?</v>
      </c>
      <c r="AO1326" t="str">
        <f>SUBSTITUTE(VLOOKUP(V1326,DictionaryTableID,6,FALSE)&amp;"ID",".","")</f>
        <v>BillingAccountID</v>
      </c>
      <c r="AP1326" t="e">
        <f>VLOOKUP(E1326,temp6,1,FALSE)</f>
        <v>#NAME?</v>
      </c>
    </row>
    <row r="1327" spans="1:42" hidden="1">
      <c r="A1327">
        <v>204260</v>
      </c>
      <c r="B1327" s="3" t="s">
        <v>464</v>
      </c>
      <c r="C1327" s="3" t="str">
        <f t="shared" si="101"/>
        <v>TransactionsCheques.RecordStatus</v>
      </c>
      <c r="D1327" s="3">
        <v>200400</v>
      </c>
      <c r="E1327" s="3" t="str">
        <f t="shared" si="99"/>
        <v>TransactionsCheques</v>
      </c>
      <c r="F1327" s="3" t="s">
        <v>4</v>
      </c>
      <c r="H1327" s="3" t="str">
        <f t="shared" si="100"/>
        <v>gl.TransactionsCheque</v>
      </c>
      <c r="I1327" s="3" t="s">
        <v>4</v>
      </c>
      <c r="K1327" s="3" t="s">
        <v>4</v>
      </c>
      <c r="M1327" s="3" t="s">
        <v>196</v>
      </c>
      <c r="O1327" s="3">
        <v>0</v>
      </c>
      <c r="Q1327" s="3" t="s">
        <v>92</v>
      </c>
      <c r="U1327" s="3" t="s">
        <v>94</v>
      </c>
      <c r="AJ1327" t="e">
        <f>VLOOKUP(E1327,temp1,1,FALSE)</f>
        <v>#NAME?</v>
      </c>
      <c r="AP1327" t="e">
        <f>VLOOKUP(E1327,temp6,1,FALSE)</f>
        <v>#NAME?</v>
      </c>
    </row>
    <row r="1328" spans="1:42" ht="15" hidden="1" customHeight="1">
      <c r="A1328">
        <v>204270</v>
      </c>
      <c r="B1328" s="3" t="s">
        <v>464</v>
      </c>
      <c r="C1328" s="3" t="str">
        <f t="shared" si="101"/>
        <v>Transactions.ID</v>
      </c>
      <c r="D1328" s="3">
        <v>200390</v>
      </c>
      <c r="E1328" s="3" t="str">
        <f t="shared" si="99"/>
        <v>Transactions</v>
      </c>
      <c r="F1328" s="3" t="s">
        <v>0</v>
      </c>
      <c r="H1328" s="3" t="str">
        <f t="shared" si="100"/>
        <v>gl.Transaction</v>
      </c>
      <c r="I1328" s="3" t="s">
        <v>0</v>
      </c>
      <c r="K1328" s="3" t="s">
        <v>0</v>
      </c>
      <c r="M1328" s="3" t="s">
        <v>195</v>
      </c>
      <c r="Q1328" s="3" t="s">
        <v>919</v>
      </c>
      <c r="U1328" s="3" t="s">
        <v>95</v>
      </c>
      <c r="W1328" s="3"/>
      <c r="AD1328">
        <v>-1</v>
      </c>
      <c r="AE1328" t="str">
        <f t="shared" ref="AE1328:AE1337" si="104">IF(AD1328=-1,"All",VLOOKUP(AD1328,ColumnId,3,FALSE))</f>
        <v>All</v>
      </c>
      <c r="AF1328" t="s">
        <v>849</v>
      </c>
      <c r="AJ1328" t="e">
        <f>VLOOKUP(E1328,temp1,1,FALSE)</f>
        <v>#NAME?</v>
      </c>
      <c r="AP1328" t="e">
        <f>VLOOKUP(E1328,temp6,1,FALSE)</f>
        <v>#NAME?</v>
      </c>
    </row>
    <row r="1329" spans="1:42" ht="15" hidden="1" customHeight="1">
      <c r="A1329">
        <v>204280</v>
      </c>
      <c r="B1329" s="3" t="s">
        <v>464</v>
      </c>
      <c r="C1329" s="3" t="str">
        <f t="shared" si="101"/>
        <v>Transactions.BatchID</v>
      </c>
      <c r="D1329" s="3">
        <v>200390</v>
      </c>
      <c r="E1329" s="3" t="str">
        <f t="shared" si="99"/>
        <v>Transactions</v>
      </c>
      <c r="F1329" s="3" t="s">
        <v>66</v>
      </c>
      <c r="H1329" s="3" t="str">
        <f t="shared" si="100"/>
        <v>gl.Transaction</v>
      </c>
      <c r="I1329" s="3" t="s">
        <v>66</v>
      </c>
      <c r="K1329" s="3" t="s">
        <v>6</v>
      </c>
      <c r="M1329" s="3" t="s">
        <v>195</v>
      </c>
      <c r="Q1329" s="3" t="s">
        <v>92</v>
      </c>
      <c r="U1329" s="3" t="s">
        <v>96</v>
      </c>
      <c r="V1329">
        <v>200080</v>
      </c>
      <c r="W1329" s="3" t="str">
        <f>VLOOKUP(V1329,DictionaryTableID,3,FALSE)</f>
        <v>Batches</v>
      </c>
      <c r="AD1329">
        <v>15990</v>
      </c>
      <c r="AE1329" t="str">
        <f t="shared" si="104"/>
        <v>glTransaction.glBatchID</v>
      </c>
      <c r="AF1329" t="s">
        <v>850</v>
      </c>
      <c r="AJ1329" t="e">
        <f>VLOOKUP(E1329,temp1,1,FALSE)</f>
        <v>#NAME?</v>
      </c>
      <c r="AP1329" t="e">
        <f>VLOOKUP(E1329,temp6,1,FALSE)</f>
        <v>#NAME?</v>
      </c>
    </row>
    <row r="1330" spans="1:42" hidden="1">
      <c r="A1330">
        <v>204290</v>
      </c>
      <c r="B1330" s="3" t="s">
        <v>464</v>
      </c>
      <c r="C1330" s="3" t="str">
        <f t="shared" si="101"/>
        <v>Transactions.ParentID</v>
      </c>
      <c r="D1330" s="3">
        <v>200390</v>
      </c>
      <c r="E1330" s="3" t="str">
        <f t="shared" si="99"/>
        <v>Transactions</v>
      </c>
      <c r="F1330" s="3" t="s">
        <v>27</v>
      </c>
      <c r="H1330" s="3" t="str">
        <f t="shared" si="100"/>
        <v>gl.Transaction</v>
      </c>
      <c r="I1330" s="3" t="s">
        <v>27</v>
      </c>
      <c r="K1330" s="3" t="s">
        <v>432</v>
      </c>
      <c r="M1330" s="3" t="s">
        <v>195</v>
      </c>
      <c r="Q1330" s="3" t="s">
        <v>92</v>
      </c>
      <c r="U1330" s="3" t="s">
        <v>96</v>
      </c>
      <c r="V1330" s="3">
        <v>200390</v>
      </c>
      <c r="W1330" s="3" t="str">
        <f>VLOOKUP(V1330,DictionaryTableID,3,FALSE)</f>
        <v>Transactions</v>
      </c>
      <c r="AD1330">
        <v>16020</v>
      </c>
      <c r="AE1330" t="str">
        <f t="shared" si="104"/>
        <v>glTransaction.glTransactionIDReversed</v>
      </c>
      <c r="AF1330" t="s">
        <v>851</v>
      </c>
      <c r="AJ1330" t="e">
        <f>VLOOKUP(E1330,temp1,1,FALSE)</f>
        <v>#NAME?</v>
      </c>
      <c r="AP1330" t="e">
        <f>VLOOKUP(E1330,temp6,1,FALSE)</f>
        <v>#NAME?</v>
      </c>
    </row>
    <row r="1331" spans="1:42" hidden="1">
      <c r="A1331">
        <v>204300</v>
      </c>
      <c r="B1331" s="3" t="s">
        <v>464</v>
      </c>
      <c r="C1331" s="3" t="str">
        <f t="shared" si="101"/>
        <v>Transactions.RecType</v>
      </c>
      <c r="D1331" s="3">
        <v>200390</v>
      </c>
      <c r="E1331" s="3" t="str">
        <f t="shared" si="99"/>
        <v>Transactions</v>
      </c>
      <c r="F1331" s="3" t="s">
        <v>23</v>
      </c>
      <c r="H1331" s="3" t="str">
        <f t="shared" si="100"/>
        <v>gl.Transaction</v>
      </c>
      <c r="I1331" s="3" t="s">
        <v>23</v>
      </c>
      <c r="K1331" s="3" t="s">
        <v>367</v>
      </c>
      <c r="L1331" s="3" t="s">
        <v>3020</v>
      </c>
      <c r="M1331" s="3" t="s">
        <v>196</v>
      </c>
      <c r="O1331" s="3">
        <v>0</v>
      </c>
      <c r="Q1331" s="3" t="s">
        <v>92</v>
      </c>
      <c r="U1331" s="3" t="s">
        <v>93</v>
      </c>
      <c r="AD1331">
        <v>16040</v>
      </c>
      <c r="AE1331" t="str">
        <f t="shared" si="104"/>
        <v>glTransaction.sysDictionaryTableIDSubType</v>
      </c>
      <c r="AF1331" t="s">
        <v>852</v>
      </c>
      <c r="AJ1331" t="e">
        <f>VLOOKUP(E1331,temp1,1,FALSE)</f>
        <v>#NAME?</v>
      </c>
      <c r="AP1331" t="e">
        <f>VLOOKUP(E1331,temp6,1,FALSE)</f>
        <v>#NAME?</v>
      </c>
    </row>
    <row r="1332" spans="1:42" hidden="1">
      <c r="A1332">
        <v>204310</v>
      </c>
      <c r="B1332" s="3" t="s">
        <v>464</v>
      </c>
      <c r="C1332" s="3" t="str">
        <f t="shared" si="101"/>
        <v>Transactions.Description</v>
      </c>
      <c r="D1332" s="3">
        <v>200390</v>
      </c>
      <c r="E1332" s="3" t="str">
        <f t="shared" si="99"/>
        <v>Transactions</v>
      </c>
      <c r="F1332" s="3" t="s">
        <v>12</v>
      </c>
      <c r="H1332" s="3" t="str">
        <f t="shared" si="100"/>
        <v>gl.Transaction</v>
      </c>
      <c r="I1332" s="3" t="s">
        <v>12</v>
      </c>
      <c r="K1332" s="3" t="s">
        <v>12</v>
      </c>
      <c r="M1332" s="3" t="s">
        <v>196</v>
      </c>
      <c r="O1332" s="3">
        <v>0</v>
      </c>
      <c r="Q1332" s="3" t="s">
        <v>92</v>
      </c>
      <c r="U1332" s="3" t="s">
        <v>93</v>
      </c>
      <c r="AD1332">
        <v>16060</v>
      </c>
      <c r="AE1332" t="str">
        <f t="shared" si="104"/>
        <v>glTransaction.Description</v>
      </c>
      <c r="AF1332" t="s">
        <v>853</v>
      </c>
      <c r="AJ1332" t="e">
        <f>VLOOKUP(E1332,temp1,1,FALSE)</f>
        <v>#NAME?</v>
      </c>
      <c r="AP1332" t="e">
        <f>VLOOKUP(E1332,temp6,1,FALSE)</f>
        <v>#NAME?</v>
      </c>
    </row>
    <row r="1333" spans="1:42" ht="15" hidden="1" customHeight="1">
      <c r="A1333">
        <v>204320</v>
      </c>
      <c r="B1333" s="3" t="s">
        <v>464</v>
      </c>
      <c r="C1333" s="3" t="str">
        <f t="shared" si="101"/>
        <v>Transactions.Date</v>
      </c>
      <c r="D1333" s="3">
        <v>200390</v>
      </c>
      <c r="E1333" s="3" t="str">
        <f t="shared" si="99"/>
        <v>Transactions</v>
      </c>
      <c r="F1333" s="3" t="s">
        <v>81</v>
      </c>
      <c r="H1333" s="3" t="str">
        <f t="shared" si="100"/>
        <v>gl.Transaction</v>
      </c>
      <c r="I1333" s="3" t="s">
        <v>81</v>
      </c>
      <c r="K1333" s="3" t="s">
        <v>81</v>
      </c>
      <c r="M1333" s="3" t="s">
        <v>329</v>
      </c>
      <c r="N1333" s="3">
        <v>8</v>
      </c>
      <c r="O1333" s="3">
        <v>0</v>
      </c>
      <c r="Q1333" s="3" t="s">
        <v>92</v>
      </c>
      <c r="U1333" s="3" t="s">
        <v>93</v>
      </c>
      <c r="AD1333">
        <v>16090</v>
      </c>
      <c r="AE1333" t="str">
        <f t="shared" si="104"/>
        <v>glTransaction.TransactionDate</v>
      </c>
      <c r="AF1333" t="s">
        <v>854</v>
      </c>
      <c r="AJ1333" t="e">
        <f>VLOOKUP(E1333,temp1,1,FALSE)</f>
        <v>#NAME?</v>
      </c>
      <c r="AP1333" t="e">
        <f>VLOOKUP(E1333,temp6,1,FALSE)</f>
        <v>#NAME?</v>
      </c>
    </row>
    <row r="1334" spans="1:42" ht="15" hidden="1" customHeight="1">
      <c r="A1334">
        <v>204330</v>
      </c>
      <c r="B1334" s="3" t="s">
        <v>464</v>
      </c>
      <c r="C1334" s="3" t="str">
        <f t="shared" si="101"/>
        <v>Transactions.RefStatusID</v>
      </c>
      <c r="D1334" s="3">
        <v>200390</v>
      </c>
      <c r="E1334" s="3" t="str">
        <f t="shared" si="99"/>
        <v>Transactions</v>
      </c>
      <c r="F1334" s="3" t="s">
        <v>5</v>
      </c>
      <c r="H1334" s="3" t="str">
        <f t="shared" si="100"/>
        <v>gl.Transaction</v>
      </c>
      <c r="I1334" s="3" t="s">
        <v>5</v>
      </c>
      <c r="K1334" s="3" t="s">
        <v>55</v>
      </c>
      <c r="M1334" s="3" t="s">
        <v>195</v>
      </c>
      <c r="Q1334" s="3" t="s">
        <v>92</v>
      </c>
      <c r="U1334" s="3" t="s">
        <v>97</v>
      </c>
      <c r="V1334">
        <v>200360</v>
      </c>
      <c r="W1334" s="3" t="str">
        <f>VLOOKUP(V1334,DictionaryTableID,3,FALSE)</f>
        <v>ReferenceFields</v>
      </c>
      <c r="AD1334">
        <v>16010</v>
      </c>
      <c r="AE1334" t="str">
        <f t="shared" si="104"/>
        <v>glTransaction.glPostingStatusID</v>
      </c>
      <c r="AF1334" t="s">
        <v>855</v>
      </c>
      <c r="AJ1334" t="e">
        <f>VLOOKUP(E1334,temp1,1,FALSE)</f>
        <v>#NAME?</v>
      </c>
      <c r="AP1334" t="e">
        <f>VLOOKUP(E1334,temp6,1,FALSE)</f>
        <v>#NAME?</v>
      </c>
    </row>
    <row r="1335" spans="1:42" hidden="1">
      <c r="A1335">
        <v>204340</v>
      </c>
      <c r="B1335" s="3" t="s">
        <v>464</v>
      </c>
      <c r="C1335" s="3" t="str">
        <f t="shared" si="101"/>
        <v>Transactions.CreateDate</v>
      </c>
      <c r="D1335" s="3">
        <v>200390</v>
      </c>
      <c r="E1335" s="3" t="str">
        <f t="shared" si="99"/>
        <v>Transactions</v>
      </c>
      <c r="F1335" s="3" t="s">
        <v>11</v>
      </c>
      <c r="H1335" s="3" t="str">
        <f t="shared" si="100"/>
        <v>gl.Transaction</v>
      </c>
      <c r="I1335" s="3" t="s">
        <v>11</v>
      </c>
      <c r="K1335" s="3" t="s">
        <v>111</v>
      </c>
      <c r="M1335" s="3" t="s">
        <v>329</v>
      </c>
      <c r="N1335" s="3">
        <v>8</v>
      </c>
      <c r="O1335" s="3">
        <v>0</v>
      </c>
      <c r="Q1335" s="3" t="s">
        <v>92</v>
      </c>
      <c r="U1335" s="3" t="s">
        <v>93</v>
      </c>
      <c r="AD1335">
        <v>16050</v>
      </c>
      <c r="AE1335" t="str">
        <f t="shared" si="104"/>
        <v>glTransaction.CreateDate</v>
      </c>
      <c r="AF1335" t="s">
        <v>856</v>
      </c>
      <c r="AJ1335" t="e">
        <f>VLOOKUP(E1335,temp1,1,FALSE)</f>
        <v>#NAME?</v>
      </c>
      <c r="AP1335" t="e">
        <f>VLOOKUP(E1335,temp6,1,FALSE)</f>
        <v>#NAME?</v>
      </c>
    </row>
    <row r="1336" spans="1:42" hidden="1">
      <c r="A1336">
        <v>204350</v>
      </c>
      <c r="B1336" s="3" t="s">
        <v>464</v>
      </c>
      <c r="C1336" s="3" t="str">
        <f t="shared" si="101"/>
        <v>Transactions.ReferenceNumber</v>
      </c>
      <c r="D1336" s="3">
        <v>200390</v>
      </c>
      <c r="E1336" s="3" t="str">
        <f t="shared" si="99"/>
        <v>Transactions</v>
      </c>
      <c r="F1336" s="3" t="s">
        <v>28</v>
      </c>
      <c r="H1336" s="3" t="str">
        <f t="shared" si="100"/>
        <v>gl.Transaction</v>
      </c>
      <c r="I1336" s="3" t="s">
        <v>28</v>
      </c>
      <c r="K1336" s="3" t="s">
        <v>102</v>
      </c>
      <c r="M1336" s="3" t="s">
        <v>196</v>
      </c>
      <c r="O1336" s="3">
        <v>0</v>
      </c>
      <c r="Q1336" s="3" t="s">
        <v>92</v>
      </c>
      <c r="U1336" s="3" t="s">
        <v>93</v>
      </c>
      <c r="AD1336">
        <v>16080</v>
      </c>
      <c r="AE1336" t="str">
        <f t="shared" si="104"/>
        <v>glTransaction.ReferenceNumber</v>
      </c>
      <c r="AF1336" t="s">
        <v>857</v>
      </c>
      <c r="AJ1336" t="e">
        <f>VLOOKUP(E1336,temp1,1,FALSE)</f>
        <v>#NAME?</v>
      </c>
      <c r="AP1336" t="e">
        <f>VLOOKUP(E1336,temp6,1,FALSE)</f>
        <v>#NAME?</v>
      </c>
    </row>
    <row r="1337" spans="1:42" hidden="1">
      <c r="A1337">
        <v>204360</v>
      </c>
      <c r="B1337" s="3" t="s">
        <v>464</v>
      </c>
      <c r="C1337" s="3" t="str">
        <f t="shared" si="101"/>
        <v>Transactions.GLEntryIDMain</v>
      </c>
      <c r="D1337" s="3">
        <v>200390</v>
      </c>
      <c r="E1337" s="3" t="str">
        <f t="shared" si="99"/>
        <v>Transactions</v>
      </c>
      <c r="F1337" s="3" t="s">
        <v>226</v>
      </c>
      <c r="H1337" s="3" t="str">
        <f t="shared" si="100"/>
        <v>gl.Transaction</v>
      </c>
      <c r="I1337" s="3" t="s">
        <v>226</v>
      </c>
      <c r="K1337" s="3" t="s">
        <v>442</v>
      </c>
      <c r="M1337" s="3" t="s">
        <v>195</v>
      </c>
      <c r="Q1337" s="3" t="s">
        <v>92</v>
      </c>
      <c r="U1337" s="3" t="s">
        <v>96</v>
      </c>
      <c r="V1337">
        <v>200280</v>
      </c>
      <c r="W1337" s="3" t="str">
        <f>VLOOKUP(V1337,DictionaryTableID,3,FALSE)</f>
        <v>GLEntries</v>
      </c>
      <c r="X1337" t="s">
        <v>1219</v>
      </c>
      <c r="AD1337">
        <v>16000</v>
      </c>
      <c r="AE1337" t="str">
        <f t="shared" si="104"/>
        <v>glTransaction.glEntryIDMain</v>
      </c>
      <c r="AF1337" t="s">
        <v>858</v>
      </c>
      <c r="AJ1337" t="e">
        <f>VLOOKUP(E1337,temp1,1,FALSE)</f>
        <v>#NAME?</v>
      </c>
      <c r="AP1337" t="e">
        <f>VLOOKUP(E1337,temp6,1,FALSE)</f>
        <v>#NAME?</v>
      </c>
    </row>
    <row r="1338" spans="1:42" hidden="1">
      <c r="A1338">
        <v>204370</v>
      </c>
      <c r="B1338" s="3" t="s">
        <v>464</v>
      </c>
      <c r="C1338" s="3" t="str">
        <f t="shared" si="101"/>
        <v>Transactions.RecordStatus</v>
      </c>
      <c r="D1338" s="3">
        <v>200390</v>
      </c>
      <c r="E1338" s="3" t="str">
        <f t="shared" si="99"/>
        <v>Transactions</v>
      </c>
      <c r="F1338" s="3" t="s">
        <v>4</v>
      </c>
      <c r="H1338" s="3" t="str">
        <f t="shared" si="100"/>
        <v>gl.Transaction</v>
      </c>
      <c r="I1338" s="3" t="s">
        <v>4</v>
      </c>
      <c r="K1338" s="3" t="s">
        <v>4</v>
      </c>
      <c r="M1338" s="3" t="s">
        <v>196</v>
      </c>
      <c r="O1338" s="3">
        <v>0</v>
      </c>
      <c r="Q1338" s="3" t="s">
        <v>92</v>
      </c>
      <c r="U1338" s="3" t="s">
        <v>94</v>
      </c>
      <c r="AJ1338" t="e">
        <f>VLOOKUP(E1338,temp1,1,FALSE)</f>
        <v>#NAME?</v>
      </c>
      <c r="AP1338" t="e">
        <f>VLOOKUP(E1338,temp6,1,FALSE)</f>
        <v>#NAME?</v>
      </c>
    </row>
    <row r="1339" spans="1:42" hidden="1">
      <c r="A1339">
        <v>204380</v>
      </c>
      <c r="B1339" s="3" t="s">
        <v>464</v>
      </c>
      <c r="C1339" s="3" t="str">
        <f t="shared" si="101"/>
        <v>BillingAccountBalances.ID</v>
      </c>
      <c r="D1339" s="3">
        <v>200100</v>
      </c>
      <c r="E1339" s="3" t="str">
        <f t="shared" si="99"/>
        <v>BillingAccountBalances</v>
      </c>
      <c r="F1339" s="3" t="s">
        <v>0</v>
      </c>
      <c r="H1339" s="3" t="str">
        <f t="shared" si="100"/>
        <v>gl.BillingAccountBalance</v>
      </c>
      <c r="I1339" s="3" t="s">
        <v>0</v>
      </c>
      <c r="K1339" s="3" t="s">
        <v>0</v>
      </c>
      <c r="M1339" s="3" t="s">
        <v>195</v>
      </c>
      <c r="Q1339" s="3" t="s">
        <v>919</v>
      </c>
      <c r="U1339" s="3" t="s">
        <v>95</v>
      </c>
      <c r="AF1339" t="s">
        <v>859</v>
      </c>
      <c r="AJ1339" t="e">
        <f>VLOOKUP(E1339,temp1,1,FALSE)</f>
        <v>#NAME?</v>
      </c>
      <c r="AP1339" t="e">
        <f>VLOOKUP(E1339,temp6,1,FALSE)</f>
        <v>#NAME?</v>
      </c>
    </row>
    <row r="1340" spans="1:42" hidden="1">
      <c r="A1340">
        <v>204390</v>
      </c>
      <c r="B1340" s="3" t="s">
        <v>464</v>
      </c>
      <c r="C1340" s="3" t="str">
        <f t="shared" si="101"/>
        <v>BillingAccountBalances.DBID</v>
      </c>
      <c r="D1340" s="3">
        <v>200100</v>
      </c>
      <c r="E1340" s="3" t="str">
        <f t="shared" si="99"/>
        <v>BillingAccountBalances</v>
      </c>
      <c r="F1340" s="3" t="s">
        <v>54</v>
      </c>
      <c r="H1340" s="3" t="str">
        <f t="shared" si="100"/>
        <v>gl.BillingAccountBalance</v>
      </c>
      <c r="I1340" s="3" t="s">
        <v>54</v>
      </c>
      <c r="K1340" s="3" t="s">
        <v>54</v>
      </c>
      <c r="L1340" s="21" t="s">
        <v>2871</v>
      </c>
      <c r="M1340" s="3" t="s">
        <v>196</v>
      </c>
      <c r="O1340" s="3">
        <v>0</v>
      </c>
      <c r="Q1340" s="3" t="s">
        <v>92</v>
      </c>
      <c r="U1340" s="3" t="s">
        <v>93</v>
      </c>
      <c r="AF1340" t="s">
        <v>860</v>
      </c>
      <c r="AJ1340" t="e">
        <f>VLOOKUP(E1340,temp1,1,FALSE)</f>
        <v>#NAME?</v>
      </c>
      <c r="AP1340" t="e">
        <f>VLOOKUP(E1340,temp6,1,FALSE)</f>
        <v>#NAME?</v>
      </c>
    </row>
    <row r="1341" spans="1:42" ht="15" hidden="1" customHeight="1">
      <c r="A1341">
        <v>204400</v>
      </c>
      <c r="B1341" s="3" t="s">
        <v>464</v>
      </c>
      <c r="C1341" s="3" t="str">
        <f t="shared" si="101"/>
        <v>BillingAccountBalances.DBCODEID</v>
      </c>
      <c r="D1341" s="3">
        <v>200100</v>
      </c>
      <c r="E1341" s="3" t="str">
        <f t="shared" si="99"/>
        <v>BillingAccountBalances</v>
      </c>
      <c r="F1341" s="3" t="s">
        <v>64</v>
      </c>
      <c r="H1341" s="3" t="str">
        <f t="shared" si="100"/>
        <v>gl.BillingAccountBalance</v>
      </c>
      <c r="I1341" s="3" t="s">
        <v>64</v>
      </c>
      <c r="K1341" s="3" t="s">
        <v>19</v>
      </c>
      <c r="M1341" s="3" t="s">
        <v>195</v>
      </c>
      <c r="Q1341" s="3" t="s">
        <v>92</v>
      </c>
      <c r="U1341" s="3" t="s">
        <v>93</v>
      </c>
      <c r="W1341" s="3"/>
      <c r="AF1341" t="s">
        <v>861</v>
      </c>
      <c r="AJ1341" t="e">
        <f>VLOOKUP(E1341,temp1,1,FALSE)</f>
        <v>#NAME?</v>
      </c>
      <c r="AP1341" t="e">
        <f>VLOOKUP(E1341,temp6,1,FALSE)</f>
        <v>#NAME?</v>
      </c>
    </row>
    <row r="1342" spans="1:42" ht="15" hidden="1" customHeight="1">
      <c r="A1342">
        <v>204410</v>
      </c>
      <c r="B1342" s="3" t="s">
        <v>464</v>
      </c>
      <c r="C1342" s="3" t="str">
        <f t="shared" si="101"/>
        <v>BillingAccountBalances.GLAccountID</v>
      </c>
      <c r="D1342" s="3">
        <v>200100</v>
      </c>
      <c r="E1342" s="3" t="str">
        <f t="shared" si="99"/>
        <v>BillingAccountBalances</v>
      </c>
      <c r="F1342" s="3" t="s">
        <v>74</v>
      </c>
      <c r="H1342" s="3" t="str">
        <f t="shared" si="100"/>
        <v>gl.BillingAccountBalance</v>
      </c>
      <c r="I1342" s="3" t="s">
        <v>74</v>
      </c>
      <c r="K1342" s="3" t="s">
        <v>123</v>
      </c>
      <c r="M1342" s="3" t="s">
        <v>195</v>
      </c>
      <c r="Q1342" s="3" t="s">
        <v>92</v>
      </c>
      <c r="U1342" s="3" t="s">
        <v>96</v>
      </c>
      <c r="V1342">
        <v>200260</v>
      </c>
      <c r="W1342" s="3" t="str">
        <f>VLOOKUP(V1342,DictionaryTableID,3,FALSE)</f>
        <v>GLAccounts</v>
      </c>
      <c r="AF1342" t="s">
        <v>862</v>
      </c>
      <c r="AJ1342" t="e">
        <f>VLOOKUP(E1342,temp1,1,FALSE)</f>
        <v>#NAME?</v>
      </c>
      <c r="AP1342" t="e">
        <f>VLOOKUP(E1342,temp6,1,FALSE)</f>
        <v>#NAME?</v>
      </c>
    </row>
    <row r="1343" spans="1:42" ht="15" hidden="1" customHeight="1">
      <c r="A1343">
        <v>204420</v>
      </c>
      <c r="B1343" s="3" t="s">
        <v>464</v>
      </c>
      <c r="C1343" s="3" t="str">
        <f t="shared" si="101"/>
        <v>BillingAccountBalances.Balance</v>
      </c>
      <c r="D1343" s="3">
        <v>200100</v>
      </c>
      <c r="E1343" s="3" t="str">
        <f t="shared" ref="E1343:E1406" si="105">VLOOKUP(D1343,DictionaryTableID,3,FALSE)</f>
        <v>BillingAccountBalances</v>
      </c>
      <c r="F1343" s="3" t="s">
        <v>260</v>
      </c>
      <c r="H1343" s="3" t="str">
        <f t="shared" ref="H1343:H1355" si="106">VLOOKUP(E1343,DictionaryTables,14,FALSE)</f>
        <v>gl.BillingAccountBalance</v>
      </c>
      <c r="I1343" s="3" t="s">
        <v>260</v>
      </c>
      <c r="K1343" s="3" t="s">
        <v>260</v>
      </c>
      <c r="M1343" s="3" t="s">
        <v>197</v>
      </c>
      <c r="N1343" s="3">
        <v>15</v>
      </c>
      <c r="O1343" s="3">
        <v>2</v>
      </c>
      <c r="Q1343" s="3" t="s">
        <v>92</v>
      </c>
      <c r="U1343" s="3" t="s">
        <v>93</v>
      </c>
      <c r="AF1343" t="s">
        <v>863</v>
      </c>
      <c r="AJ1343" t="e">
        <f>VLOOKUP(E1343,temp1,1,FALSE)</f>
        <v>#NAME?</v>
      </c>
      <c r="AP1343" t="e">
        <f>VLOOKUP(E1343,temp6,1,FALSE)</f>
        <v>#NAME?</v>
      </c>
    </row>
    <row r="1344" spans="1:42" ht="15" hidden="1" customHeight="1">
      <c r="A1344">
        <v>204430</v>
      </c>
      <c r="B1344" s="3" t="s">
        <v>464</v>
      </c>
      <c r="C1344" s="3" t="str">
        <f t="shared" si="101"/>
        <v>BillingAccountBalances.RecordStatus</v>
      </c>
      <c r="D1344" s="3">
        <v>200100</v>
      </c>
      <c r="E1344" s="3" t="str">
        <f t="shared" si="105"/>
        <v>BillingAccountBalances</v>
      </c>
      <c r="F1344" s="3" t="s">
        <v>4</v>
      </c>
      <c r="H1344" s="3" t="str">
        <f t="shared" si="106"/>
        <v>gl.BillingAccountBalance</v>
      </c>
      <c r="I1344" s="3" t="s">
        <v>4</v>
      </c>
      <c r="K1344" s="3" t="s">
        <v>4</v>
      </c>
      <c r="M1344" s="3" t="s">
        <v>196</v>
      </c>
      <c r="O1344" s="3">
        <v>0</v>
      </c>
      <c r="Q1344" s="3" t="s">
        <v>92</v>
      </c>
      <c r="U1344" s="3" t="s">
        <v>94</v>
      </c>
      <c r="AJ1344" t="e">
        <f>VLOOKUP(E1344,temp1,1,FALSE)</f>
        <v>#NAME?</v>
      </c>
      <c r="AP1344" t="e">
        <f>VLOOKUP(E1344,temp6,1,FALSE)</f>
        <v>#NAME?</v>
      </c>
    </row>
    <row r="1345" spans="1:42" ht="15" hidden="1" customHeight="1">
      <c r="A1345">
        <v>204440</v>
      </c>
      <c r="B1345" s="3" t="s">
        <v>464</v>
      </c>
      <c r="C1345" s="3" t="str">
        <f t="shared" si="101"/>
        <v>CostCentres.ID</v>
      </c>
      <c r="D1345" s="3">
        <v>200170</v>
      </c>
      <c r="E1345" s="3" t="str">
        <f t="shared" si="105"/>
        <v>CostCentres</v>
      </c>
      <c r="F1345" s="3" t="s">
        <v>0</v>
      </c>
      <c r="H1345" s="3" t="str">
        <f t="shared" si="106"/>
        <v>gl.CostCentre</v>
      </c>
      <c r="I1345" s="3" t="s">
        <v>0</v>
      </c>
      <c r="K1345" s="3" t="s">
        <v>0</v>
      </c>
      <c r="M1345" s="3" t="s">
        <v>195</v>
      </c>
      <c r="Q1345" s="3" t="s">
        <v>919</v>
      </c>
      <c r="U1345" s="3" t="s">
        <v>95</v>
      </c>
      <c r="AD1345">
        <v>-1</v>
      </c>
      <c r="AE1345" t="str">
        <f t="shared" ref="AE1345:AE1351" si="107">IF(AD1345=-1,"All",VLOOKUP(AD1345,ColumnId,3,FALSE))</f>
        <v>All</v>
      </c>
      <c r="AF1345" t="s">
        <v>864</v>
      </c>
      <c r="AJ1345" t="e">
        <f>VLOOKUP(E1345,temp1,1,FALSE)</f>
        <v>#NAME?</v>
      </c>
      <c r="AP1345" t="e">
        <f>VLOOKUP(E1345,temp6,1,FALSE)</f>
        <v>#NAME?</v>
      </c>
    </row>
    <row r="1346" spans="1:42" ht="15" hidden="1" customHeight="1">
      <c r="A1346">
        <v>204450</v>
      </c>
      <c r="B1346" s="3" t="s">
        <v>464</v>
      </c>
      <c r="C1346" s="3" t="str">
        <f t="shared" ref="C1346:C1355" si="108">CONCATENATE(E1346,".",F1346)</f>
        <v>CostCentres.SeqNo</v>
      </c>
      <c r="D1346" s="3">
        <v>200170</v>
      </c>
      <c r="E1346" s="3" t="str">
        <f t="shared" si="105"/>
        <v>CostCentres</v>
      </c>
      <c r="F1346" s="3" t="s">
        <v>1360</v>
      </c>
      <c r="H1346" s="3" t="str">
        <f t="shared" si="106"/>
        <v>gl.CostCentre</v>
      </c>
      <c r="I1346" s="3" t="s">
        <v>1360</v>
      </c>
      <c r="K1346" s="3" t="s">
        <v>360</v>
      </c>
      <c r="M1346" s="3" t="s">
        <v>195</v>
      </c>
      <c r="Q1346" s="3" t="s">
        <v>92</v>
      </c>
      <c r="U1346" s="3" t="s">
        <v>93</v>
      </c>
      <c r="AD1346">
        <v>14690</v>
      </c>
      <c r="AE1346" t="str">
        <f t="shared" si="107"/>
        <v>glCostCentre.DisplaySequence</v>
      </c>
      <c r="AF1346" t="s">
        <v>865</v>
      </c>
      <c r="AJ1346" t="e">
        <f>VLOOKUP(E1346,temp1,1,FALSE)</f>
        <v>#NAME?</v>
      </c>
      <c r="AP1346" t="e">
        <f>VLOOKUP(E1346,temp6,1,FALSE)</f>
        <v>#NAME?</v>
      </c>
    </row>
    <row r="1347" spans="1:42" ht="15" hidden="1" customHeight="1">
      <c r="A1347">
        <v>204460</v>
      </c>
      <c r="B1347" s="3" t="s">
        <v>464</v>
      </c>
      <c r="C1347" s="3" t="str">
        <f t="shared" si="108"/>
        <v>CostCentres.Description</v>
      </c>
      <c r="D1347" s="3">
        <v>200170</v>
      </c>
      <c r="E1347" s="3" t="str">
        <f t="shared" si="105"/>
        <v>CostCentres</v>
      </c>
      <c r="F1347" s="3" t="s">
        <v>12</v>
      </c>
      <c r="H1347" s="3" t="str">
        <f t="shared" si="106"/>
        <v>gl.CostCentre</v>
      </c>
      <c r="I1347" s="3" t="s">
        <v>12</v>
      </c>
      <c r="K1347" s="3" t="s">
        <v>12</v>
      </c>
      <c r="M1347" s="3" t="s">
        <v>196</v>
      </c>
      <c r="O1347" s="3">
        <v>0</v>
      </c>
      <c r="Q1347" s="3" t="s">
        <v>92</v>
      </c>
      <c r="U1347" s="3" t="s">
        <v>93</v>
      </c>
      <c r="AD1347">
        <v>14660</v>
      </c>
      <c r="AE1347" t="str">
        <f t="shared" si="107"/>
        <v>glCostCentre.Description</v>
      </c>
      <c r="AF1347" t="s">
        <v>866</v>
      </c>
      <c r="AJ1347" t="e">
        <f>VLOOKUP(E1347,temp1,1,FALSE)</f>
        <v>#NAME?</v>
      </c>
      <c r="AP1347" t="e">
        <f>VLOOKUP(E1347,temp6,1,FALSE)</f>
        <v>#NAME?</v>
      </c>
    </row>
    <row r="1348" spans="1:42" ht="15" hidden="1" customHeight="1">
      <c r="A1348">
        <v>204470</v>
      </c>
      <c r="B1348" s="3" t="s">
        <v>464</v>
      </c>
      <c r="C1348" s="3" t="str">
        <f t="shared" si="108"/>
        <v>CostCentres.CostCentreID</v>
      </c>
      <c r="D1348" s="3">
        <v>200170</v>
      </c>
      <c r="E1348" s="3" t="str">
        <f t="shared" si="105"/>
        <v>CostCentres</v>
      </c>
      <c r="F1348" s="3" t="s">
        <v>212</v>
      </c>
      <c r="H1348" s="3" t="str">
        <f t="shared" si="106"/>
        <v>gl.CostCentre</v>
      </c>
      <c r="I1348" s="3" t="s">
        <v>212</v>
      </c>
      <c r="K1348" s="3" t="s">
        <v>328</v>
      </c>
      <c r="M1348" s="3" t="s">
        <v>195</v>
      </c>
      <c r="Q1348" s="3" t="s">
        <v>92</v>
      </c>
      <c r="U1348" s="3" t="s">
        <v>96</v>
      </c>
      <c r="V1348">
        <v>200170</v>
      </c>
      <c r="W1348" s="3" t="str">
        <f>VLOOKUP(V1348,DictionaryTableID,3,FALSE)</f>
        <v>CostCentres</v>
      </c>
      <c r="AD1348">
        <v>14640</v>
      </c>
      <c r="AE1348" t="str">
        <f t="shared" si="107"/>
        <v>glCostCentre.glCostCentreIDParent</v>
      </c>
      <c r="AF1348" t="s">
        <v>867</v>
      </c>
      <c r="AJ1348" t="e">
        <f>VLOOKUP(E1348,temp1,1,FALSE)</f>
        <v>#NAME?</v>
      </c>
      <c r="AP1348" t="e">
        <f>VLOOKUP(E1348,temp6,1,FALSE)</f>
        <v>#NAME?</v>
      </c>
    </row>
    <row r="1349" spans="1:42" ht="15" hidden="1" customHeight="1">
      <c r="A1349">
        <v>204480</v>
      </c>
      <c r="B1349" s="3" t="s">
        <v>464</v>
      </c>
      <c r="C1349" s="3" t="str">
        <f t="shared" si="108"/>
        <v>CostCentres.Narrative</v>
      </c>
      <c r="D1349" s="3">
        <v>200170</v>
      </c>
      <c r="E1349" s="3" t="str">
        <f t="shared" si="105"/>
        <v>CostCentres</v>
      </c>
      <c r="F1349" s="3" t="s">
        <v>267</v>
      </c>
      <c r="H1349" s="3" t="str">
        <f t="shared" si="106"/>
        <v>gl.CostCentre</v>
      </c>
      <c r="I1349" s="3" t="s">
        <v>267</v>
      </c>
      <c r="K1349" s="3" t="s">
        <v>267</v>
      </c>
      <c r="M1349" s="3" t="s">
        <v>196</v>
      </c>
      <c r="O1349" s="3">
        <v>0</v>
      </c>
      <c r="Q1349" s="3" t="s">
        <v>92</v>
      </c>
      <c r="U1349" s="3" t="s">
        <v>93</v>
      </c>
      <c r="AD1349">
        <v>14650</v>
      </c>
      <c r="AE1349" t="str">
        <f t="shared" si="107"/>
        <v>glCostCentre.Comments</v>
      </c>
      <c r="AF1349" t="s">
        <v>868</v>
      </c>
      <c r="AJ1349" t="e">
        <f>VLOOKUP(E1349,temp1,1,FALSE)</f>
        <v>#NAME?</v>
      </c>
      <c r="AP1349" t="e">
        <f>VLOOKUP(E1349,temp6,1,FALSE)</f>
        <v>#NAME?</v>
      </c>
    </row>
    <row r="1350" spans="1:42" ht="15" hidden="1" customHeight="1">
      <c r="A1350">
        <v>204490</v>
      </c>
      <c r="B1350" s="3" t="s">
        <v>464</v>
      </c>
      <c r="C1350" s="3" t="str">
        <f t="shared" si="108"/>
        <v>CostCentres.ReferenceNumber</v>
      </c>
      <c r="D1350" s="3">
        <v>200170</v>
      </c>
      <c r="E1350" s="3" t="str">
        <f t="shared" si="105"/>
        <v>CostCentres</v>
      </c>
      <c r="F1350" s="3" t="s">
        <v>28</v>
      </c>
      <c r="H1350" s="3" t="str">
        <f t="shared" si="106"/>
        <v>gl.CostCentre</v>
      </c>
      <c r="I1350" s="3" t="s">
        <v>28</v>
      </c>
      <c r="K1350" s="3" t="s">
        <v>102</v>
      </c>
      <c r="M1350" s="3" t="s">
        <v>196</v>
      </c>
      <c r="O1350" s="3">
        <v>0</v>
      </c>
      <c r="Q1350" s="3" t="s">
        <v>92</v>
      </c>
      <c r="U1350" s="3" t="s">
        <v>93</v>
      </c>
      <c r="AD1350">
        <v>14680</v>
      </c>
      <c r="AE1350" t="str">
        <f t="shared" si="107"/>
        <v>glCostCentre.ReferenceNumber</v>
      </c>
      <c r="AF1350" t="s">
        <v>869</v>
      </c>
      <c r="AJ1350" t="e">
        <f>VLOOKUP(E1350,temp1,1,FALSE)</f>
        <v>#NAME?</v>
      </c>
      <c r="AP1350" t="e">
        <f>VLOOKUP(E1350,temp6,1,FALSE)</f>
        <v>#NAME?</v>
      </c>
    </row>
    <row r="1351" spans="1:42" ht="15" hidden="1" customHeight="1">
      <c r="A1351">
        <v>204500</v>
      </c>
      <c r="B1351" s="3" t="s">
        <v>464</v>
      </c>
      <c r="C1351" s="3" t="str">
        <f t="shared" si="108"/>
        <v>CostCentres.Classify</v>
      </c>
      <c r="D1351" s="3">
        <v>200170</v>
      </c>
      <c r="E1351" s="3" t="str">
        <f t="shared" si="105"/>
        <v>CostCentres</v>
      </c>
      <c r="F1351" s="3" t="s">
        <v>26</v>
      </c>
      <c r="H1351" s="3" t="str">
        <f t="shared" si="106"/>
        <v>gl.CostCentre</v>
      </c>
      <c r="I1351" s="3" t="s">
        <v>26</v>
      </c>
      <c r="K1351" s="3" t="s">
        <v>26</v>
      </c>
      <c r="L1351" t="s">
        <v>2414</v>
      </c>
      <c r="M1351" s="3" t="s">
        <v>196</v>
      </c>
      <c r="O1351" s="3">
        <v>0</v>
      </c>
      <c r="Q1351" s="3" t="s">
        <v>92</v>
      </c>
      <c r="U1351" s="3" t="s">
        <v>93</v>
      </c>
      <c r="AD1351">
        <v>14670</v>
      </c>
      <c r="AE1351" t="str">
        <f t="shared" si="107"/>
        <v>glCostCentre.IsUsedToClassifyRecords</v>
      </c>
      <c r="AF1351" t="s">
        <v>870</v>
      </c>
      <c r="AJ1351" t="e">
        <f>VLOOKUP(E1351,temp1,1,FALSE)</f>
        <v>#NAME?</v>
      </c>
      <c r="AP1351" t="e">
        <f>VLOOKUP(E1351,temp6,1,FALSE)</f>
        <v>#NAME?</v>
      </c>
    </row>
    <row r="1352" spans="1:42" ht="15" hidden="1" customHeight="1">
      <c r="A1352">
        <v>204510</v>
      </c>
      <c r="B1352" s="3" t="s">
        <v>464</v>
      </c>
      <c r="C1352" s="3" t="str">
        <f t="shared" si="108"/>
        <v>CostCentres.TreeString</v>
      </c>
      <c r="D1352" s="3">
        <v>200170</v>
      </c>
      <c r="E1352" s="3" t="str">
        <f t="shared" si="105"/>
        <v>CostCentres</v>
      </c>
      <c r="F1352" s="3" t="s">
        <v>460</v>
      </c>
      <c r="H1352" s="3" t="str">
        <f t="shared" si="106"/>
        <v>gl.CostCentre</v>
      </c>
      <c r="I1352" s="3" t="s">
        <v>460</v>
      </c>
      <c r="K1352" s="3" t="s">
        <v>460</v>
      </c>
      <c r="M1352" s="3" t="s">
        <v>196</v>
      </c>
      <c r="Q1352" s="3" t="s">
        <v>92</v>
      </c>
      <c r="U1352" s="3" t="s">
        <v>93</v>
      </c>
      <c r="AF1352" t="s">
        <v>871</v>
      </c>
      <c r="AJ1352" t="e">
        <f>VLOOKUP(E1352,temp1,1,FALSE)</f>
        <v>#NAME?</v>
      </c>
      <c r="AP1352" t="e">
        <f>VLOOKUP(E1352,temp6,1,FALSE)</f>
        <v>#NAME?</v>
      </c>
    </row>
    <row r="1353" spans="1:42" ht="15" hidden="1" customHeight="1">
      <c r="A1353">
        <v>204530</v>
      </c>
      <c r="B1353" s="3" t="s">
        <v>464</v>
      </c>
      <c r="C1353" s="3" t="str">
        <f t="shared" si="108"/>
        <v>CostCentres.RecordStatus</v>
      </c>
      <c r="D1353" s="3">
        <v>200170</v>
      </c>
      <c r="E1353" s="3" t="str">
        <f t="shared" si="105"/>
        <v>CostCentres</v>
      </c>
      <c r="F1353" s="3" t="s">
        <v>4</v>
      </c>
      <c r="H1353" s="3" t="str">
        <f t="shared" si="106"/>
        <v>gl.CostCentre</v>
      </c>
      <c r="I1353" s="3" t="s">
        <v>4</v>
      </c>
      <c r="K1353" s="3" t="s">
        <v>4</v>
      </c>
      <c r="M1353" s="3" t="s">
        <v>196</v>
      </c>
      <c r="O1353" s="3">
        <v>0</v>
      </c>
      <c r="Q1353" s="3" t="s">
        <v>92</v>
      </c>
      <c r="U1353" s="3" t="s">
        <v>94</v>
      </c>
      <c r="AD1353">
        <v>14700</v>
      </c>
      <c r="AE1353" t="str">
        <f>IF(AD1353=-1,"All",VLOOKUP(AD1353,ColumnId,3,FALSE))</f>
        <v>glCostCentre.RowStatus</v>
      </c>
      <c r="AJ1353" t="e">
        <f>VLOOKUP(E1353,temp1,1,FALSE)</f>
        <v>#NAME?</v>
      </c>
      <c r="AP1353" t="e">
        <f>VLOOKUP(E1353,temp6,1,FALSE)</f>
        <v>#NAME?</v>
      </c>
    </row>
    <row r="1354" spans="1:42" ht="15" hidden="1" customHeight="1">
      <c r="A1354">
        <v>204540</v>
      </c>
      <c r="B1354" s="3" t="s">
        <v>464</v>
      </c>
      <c r="C1354" s="3" t="str">
        <f t="shared" si="108"/>
        <v>GLAccountsCostCentres.GLAccountID</v>
      </c>
      <c r="D1354" s="3">
        <v>200270</v>
      </c>
      <c r="E1354" s="3" t="str">
        <f t="shared" si="105"/>
        <v>GLAccountsCostCentres</v>
      </c>
      <c r="F1354" s="3" t="s">
        <v>74</v>
      </c>
      <c r="H1354" s="3" t="str">
        <f t="shared" si="106"/>
        <v>gl.AccountsCostCentre</v>
      </c>
      <c r="I1354" s="3" t="s">
        <v>74</v>
      </c>
      <c r="K1354" s="3" t="s">
        <v>123</v>
      </c>
      <c r="M1354" s="3" t="s">
        <v>195</v>
      </c>
      <c r="Q1354" s="3" t="s">
        <v>92</v>
      </c>
      <c r="U1354" s="3" t="s">
        <v>96</v>
      </c>
      <c r="V1354">
        <v>200260</v>
      </c>
      <c r="W1354" s="3" t="str">
        <f>VLOOKUP(V1354,DictionaryTableID,3,FALSE)</f>
        <v>GLAccounts</v>
      </c>
      <c r="AF1354" t="s">
        <v>872</v>
      </c>
      <c r="AJ1354" t="e">
        <f>VLOOKUP(E1354,temp1,1,FALSE)</f>
        <v>#NAME?</v>
      </c>
      <c r="AO1354" t="str">
        <f>SUBSTITUTE(VLOOKUP(V1354,DictionaryTableID,16,FALSE)&amp;"ID",".","")</f>
        <v>glAccountID</v>
      </c>
      <c r="AP1354" t="e">
        <f>VLOOKUP(E1354,temp6,1,FALSE)</f>
        <v>#NAME?</v>
      </c>
    </row>
    <row r="1355" spans="1:42" ht="15" hidden="1" customHeight="1">
      <c r="A1355">
        <v>204550</v>
      </c>
      <c r="B1355" s="3" t="s">
        <v>464</v>
      </c>
      <c r="C1355" s="3" t="str">
        <f t="shared" si="108"/>
        <v>GLAccountsCostCentres.CostCentreID</v>
      </c>
      <c r="D1355" s="3">
        <v>200270</v>
      </c>
      <c r="E1355" s="3" t="str">
        <f t="shared" si="105"/>
        <v>GLAccountsCostCentres</v>
      </c>
      <c r="F1355" s="3" t="s">
        <v>212</v>
      </c>
      <c r="H1355" s="3" t="str">
        <f t="shared" si="106"/>
        <v>gl.AccountsCostCentre</v>
      </c>
      <c r="I1355" s="3" t="s">
        <v>212</v>
      </c>
      <c r="K1355" s="3" t="s">
        <v>328</v>
      </c>
      <c r="M1355" s="3" t="s">
        <v>195</v>
      </c>
      <c r="Q1355" s="3" t="s">
        <v>92</v>
      </c>
      <c r="U1355" s="3" t="s">
        <v>96</v>
      </c>
      <c r="V1355">
        <v>200170</v>
      </c>
      <c r="W1355" s="3" t="str">
        <f>VLOOKUP(V1355,DictionaryTableID,3,FALSE)</f>
        <v>CostCentres</v>
      </c>
      <c r="AF1355" t="s">
        <v>873</v>
      </c>
      <c r="AJ1355" t="e">
        <f>VLOOKUP(E1355,temp1,1,FALSE)</f>
        <v>#NAME?</v>
      </c>
      <c r="AP1355" t="e">
        <f>VLOOKUP(E1355,temp6,1,FALSE)</f>
        <v>#NAME?</v>
      </c>
    </row>
    <row r="1356" spans="1:42" hidden="1"/>
    <row r="1357" spans="1:42" hidden="1"/>
    <row r="1358" spans="1:42" hidden="1"/>
    <row r="1359" spans="1:42" hidden="1"/>
    <row r="1360" spans="1:42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t="15" hidden="1" customHeight="1"/>
    <row r="1792" ht="15" hidden="1" customHeight="1"/>
    <row r="1793" ht="15" hidden="1" customHeight="1"/>
    <row r="1794" ht="15" hidden="1" customHeight="1"/>
    <row r="1795" ht="15" hidden="1" customHeight="1"/>
    <row r="1796" ht="15" hidden="1" customHeight="1"/>
  </sheetData>
  <autoFilter ref="A1:AT1796" xr:uid="{00000000-0001-0000-0000-000000000000}">
    <filterColumn colId="1">
      <filters blank="1">
        <filter val="NEWBMS"/>
      </filters>
    </filterColumn>
    <filterColumn colId="20">
      <filters>
        <filter val="Multilink"/>
      </filters>
    </filterColumn>
    <sortState xmlns:xlrd2="http://schemas.microsoft.com/office/spreadsheetml/2017/richdata2" ref="A2:AT1796">
      <sortCondition ref="A1:A1796"/>
    </sortState>
  </autoFilter>
  <sortState xmlns:xlrd2="http://schemas.microsoft.com/office/spreadsheetml/2017/richdata2" ref="A584:AT603">
    <sortCondition ref="C584:C60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 filterMode="1"/>
  <dimension ref="A1:AP236"/>
  <sheetViews>
    <sheetView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I14" sqref="I14"/>
    </sheetView>
  </sheetViews>
  <sheetFormatPr defaultColWidth="9.1328125" defaultRowHeight="14.25"/>
  <cols>
    <col min="1" max="1" width="16.1328125" customWidth="1"/>
    <col min="3" max="6" width="40.73046875" style="3" customWidth="1"/>
    <col min="7" max="7" width="25.1328125" style="3" customWidth="1"/>
    <col min="8" max="10" width="11.59765625" style="3" customWidth="1"/>
    <col min="11" max="11" width="31" style="3" customWidth="1"/>
    <col min="12" max="12" width="19.59765625" style="3" customWidth="1"/>
    <col min="13" max="14" width="40.73046875" style="3" hidden="1" customWidth="1"/>
    <col min="15" max="15" width="16.59765625" style="3" customWidth="1"/>
    <col min="16" max="16" width="35.1328125" style="3" customWidth="1"/>
    <col min="17" max="17" width="8.73046875" style="3" customWidth="1"/>
    <col min="18" max="18" width="8.73046875" style="13" customWidth="1"/>
    <col min="19" max="19" width="8.73046875" style="10" customWidth="1"/>
    <col min="20" max="20" width="8.73046875" style="3" customWidth="1"/>
    <col min="21" max="23" width="22.3984375" style="3" customWidth="1"/>
    <col min="24" max="24" width="25.59765625" style="3" customWidth="1"/>
    <col min="25" max="32" width="8.73046875" style="3" customWidth="1"/>
    <col min="33" max="33" width="26.59765625" customWidth="1"/>
    <col min="34" max="34" width="9.1328125" customWidth="1"/>
    <col min="35" max="35" width="10.73046875" style="3" customWidth="1"/>
    <col min="36" max="37" width="9.1328125" customWidth="1"/>
  </cols>
  <sheetData>
    <row r="1" spans="1:39" s="1" customFormat="1">
      <c r="A1" s="1" t="s">
        <v>0</v>
      </c>
      <c r="B1" s="1" t="s">
        <v>2863</v>
      </c>
      <c r="C1" s="1" t="s">
        <v>72</v>
      </c>
      <c r="D1" s="1" t="s">
        <v>12</v>
      </c>
      <c r="E1" s="1" t="s">
        <v>887</v>
      </c>
      <c r="F1" s="1" t="s">
        <v>333</v>
      </c>
      <c r="G1" s="1" t="s">
        <v>463</v>
      </c>
      <c r="H1" s="1" t="s">
        <v>875</v>
      </c>
      <c r="I1" s="1" t="s">
        <v>896</v>
      </c>
      <c r="J1" s="1" t="s">
        <v>876</v>
      </c>
      <c r="K1" s="1" t="s">
        <v>877</v>
      </c>
      <c r="L1" s="1" t="s">
        <v>338</v>
      </c>
      <c r="M1" s="1" t="s">
        <v>878</v>
      </c>
      <c r="N1" s="1" t="s">
        <v>879</v>
      </c>
      <c r="O1" s="1" t="s">
        <v>880</v>
      </c>
      <c r="P1" s="1" t="s">
        <v>881</v>
      </c>
      <c r="Q1" s="1" t="s">
        <v>882</v>
      </c>
      <c r="R1" s="22" t="s">
        <v>883</v>
      </c>
      <c r="S1" s="2" t="s">
        <v>468</v>
      </c>
      <c r="T1" s="1" t="s">
        <v>2862</v>
      </c>
      <c r="U1" s="1" t="s">
        <v>83</v>
      </c>
      <c r="V1" s="1" t="s">
        <v>1476</v>
      </c>
      <c r="W1" s="1" t="s">
        <v>1535</v>
      </c>
      <c r="Y1" s="1" t="s">
        <v>7235</v>
      </c>
      <c r="Z1" s="1" t="s">
        <v>2497</v>
      </c>
      <c r="AA1" s="1" t="s">
        <v>0</v>
      </c>
      <c r="AB1" s="1" t="s">
        <v>6071</v>
      </c>
      <c r="AC1" s="1" t="s">
        <v>897</v>
      </c>
      <c r="AD1" s="1" t="s">
        <v>898</v>
      </c>
      <c r="AE1" s="1" t="s">
        <v>899</v>
      </c>
      <c r="AI1" s="1" t="s">
        <v>6146</v>
      </c>
      <c r="AJ1" s="1" t="s">
        <v>900</v>
      </c>
      <c r="AK1" s="1" t="s">
        <v>901</v>
      </c>
    </row>
    <row r="2" spans="1:39" ht="14.25" customHeight="1">
      <c r="A2">
        <v>1</v>
      </c>
      <c r="B2" t="s">
        <v>1475</v>
      </c>
      <c r="C2" s="3" t="s">
        <v>2808</v>
      </c>
      <c r="D2" t="s">
        <v>2867</v>
      </c>
      <c r="E2" s="3" t="s">
        <v>902</v>
      </c>
      <c r="F2" s="3" t="s">
        <v>6008</v>
      </c>
      <c r="G2" t="s">
        <v>7087</v>
      </c>
      <c r="H2" t="s">
        <v>94</v>
      </c>
      <c r="I2" s="3" t="s">
        <v>919</v>
      </c>
      <c r="K2" s="3" t="s">
        <v>0</v>
      </c>
      <c r="L2" s="4" t="s">
        <v>22</v>
      </c>
      <c r="M2" s="4"/>
      <c r="N2" s="4"/>
      <c r="O2" s="4"/>
      <c r="P2" s="3" t="str">
        <f>T2&amp;"."&amp;F2</f>
        <v>System.Table</v>
      </c>
      <c r="R2" s="4"/>
      <c r="T2" s="7" t="s">
        <v>94</v>
      </c>
      <c r="U2" s="3" t="s">
        <v>2451</v>
      </c>
      <c r="X2" s="4"/>
      <c r="Y2" t="str">
        <f t="shared" ref="Y2:AA6" si="0">IF(ISERROR(VLOOKUP($C2&amp;"."&amp;Y$1,DictionaryColumns,1,FALSE)),"N","Y")</f>
        <v>Y</v>
      </c>
      <c r="Z2" t="str">
        <f t="shared" si="0"/>
        <v>Y</v>
      </c>
      <c r="AA2" t="str">
        <f t="shared" si="0"/>
        <v>Y</v>
      </c>
      <c r="AB2"/>
      <c r="AC2"/>
      <c r="AD2"/>
      <c r="AE2"/>
      <c r="AF2"/>
      <c r="AG2" s="3"/>
      <c r="AI2" t="str">
        <f>"WHEN p_sysDictionaryTableID = "&amp;A2&amp;" THEN (SELECT "&amp;L2&amp;" FROM "&amp;C2&amp;" x WHERE x.ID = p_RowID "&amp;IF(I2="Y", " and x.TemporalEndDate = '9999-12-31'","")&amp;")"</f>
        <v>WHEN p_sysDictionaryTableID = 1 THEN (SELECT Name FROM sysDictionaryTable x WHERE x.ID = p_RowID )</v>
      </c>
      <c r="AK2" t="str">
        <f t="shared" ref="AK2:AK33" si="1">"SELECT setval('"&amp;C2&amp;"_id_seq', COALESCE((SELECT MAX(id)+1 FROM "&amp;C2&amp;"), 1), false);"</f>
        <v>SELECT setval('sysDictionaryTable_id_seq', COALESCE((SELECT MAX(id)+1 FROM sysDictionaryTable), 1), false);</v>
      </c>
    </row>
    <row r="3" spans="1:39" ht="14.25" customHeight="1">
      <c r="A3">
        <v>2</v>
      </c>
      <c r="B3" t="s">
        <v>1475</v>
      </c>
      <c r="C3" s="3" t="s">
        <v>2807</v>
      </c>
      <c r="D3" t="s">
        <v>2866</v>
      </c>
      <c r="E3" s="3" t="s">
        <v>1349</v>
      </c>
      <c r="F3" s="3" t="s">
        <v>1866</v>
      </c>
      <c r="G3" t="s">
        <v>7088</v>
      </c>
      <c r="H3" t="s">
        <v>94</v>
      </c>
      <c r="I3" s="3" t="s">
        <v>919</v>
      </c>
      <c r="K3" s="3" t="s">
        <v>0</v>
      </c>
      <c r="L3" s="4" t="s">
        <v>22</v>
      </c>
      <c r="M3" s="4"/>
      <c r="N3" s="4"/>
      <c r="O3" s="4"/>
      <c r="P3" s="3" t="str">
        <f>T3&amp;"."&amp;F3</f>
        <v>System.Column</v>
      </c>
      <c r="R3" s="4"/>
      <c r="T3" s="7" t="s">
        <v>94</v>
      </c>
      <c r="U3" s="3" t="s">
        <v>2448</v>
      </c>
      <c r="X3" s="4"/>
      <c r="Y3" t="str">
        <f t="shared" si="0"/>
        <v>Y</v>
      </c>
      <c r="Z3" t="str">
        <f t="shared" si="0"/>
        <v>Y</v>
      </c>
      <c r="AA3" t="str">
        <f t="shared" si="0"/>
        <v>Y</v>
      </c>
      <c r="AB3"/>
      <c r="AC3"/>
      <c r="AD3"/>
      <c r="AE3"/>
      <c r="AF3"/>
      <c r="AG3" s="3"/>
      <c r="AI3" t="str">
        <f>"WHEN p_sysDictionaryTableID = "&amp;A3&amp;" THEN (SELECT "&amp;L3&amp;" FROM "&amp;C3&amp;" x WHERE x.ID = p_RowID "&amp;IF(I3="Y", " and x.TemporalEndDate = '9999-12-31'","")&amp;")"</f>
        <v>WHEN p_sysDictionaryTableID = 2 THEN (SELECT Name FROM sysDictionaryColumn x WHERE x.ID = p_RowID )</v>
      </c>
      <c r="AK3" t="str">
        <f t="shared" si="1"/>
        <v>SELECT setval('sysDictionaryColumn_id_seq', COALESCE((SELECT MAX(id)+1 FROM sysDictionaryColumn), 1), false);</v>
      </c>
    </row>
    <row r="4" spans="1:39" ht="14.25" customHeight="1">
      <c r="A4">
        <v>4</v>
      </c>
      <c r="B4" t="s">
        <v>1475</v>
      </c>
      <c r="C4" s="3" t="s">
        <v>2801</v>
      </c>
      <c r="D4" t="s">
        <v>1057</v>
      </c>
      <c r="E4" s="3" t="s">
        <v>1056</v>
      </c>
      <c r="F4" s="3" t="s">
        <v>5994</v>
      </c>
      <c r="G4" t="s">
        <v>5994</v>
      </c>
      <c r="H4" t="s">
        <v>94</v>
      </c>
      <c r="I4" s="3" t="s">
        <v>919</v>
      </c>
      <c r="K4" s="3" t="s">
        <v>0</v>
      </c>
      <c r="L4" s="4" t="s">
        <v>1036</v>
      </c>
      <c r="M4" s="4"/>
      <c r="N4" s="4"/>
      <c r="O4" s="4"/>
      <c r="P4" s="3" t="str">
        <f>T4&amp;"."&amp;F4</f>
        <v>System.Change History</v>
      </c>
      <c r="R4" s="4"/>
      <c r="T4" s="7" t="s">
        <v>94</v>
      </c>
      <c r="U4"/>
      <c r="V4"/>
      <c r="W4"/>
      <c r="X4" s="4"/>
      <c r="Y4" t="str">
        <f t="shared" si="0"/>
        <v>Y</v>
      </c>
      <c r="Z4" t="str">
        <f t="shared" si="0"/>
        <v>N</v>
      </c>
      <c r="AA4" t="str">
        <f t="shared" si="0"/>
        <v>Y</v>
      </c>
      <c r="AB4"/>
      <c r="AC4"/>
      <c r="AD4"/>
      <c r="AE4"/>
      <c r="AF4"/>
      <c r="AG4" s="3"/>
      <c r="AI4"/>
      <c r="AK4" t="str">
        <f t="shared" si="1"/>
        <v>SELECT setval('sysChangeHistory_id_seq', COALESCE((SELECT MAX(id)+1 FROM sysChangeHistory), 1), false);</v>
      </c>
      <c r="AL4" t="s">
        <v>3937</v>
      </c>
      <c r="AM4" t="str">
        <f>"truncate table "&amp;C4&amp;";"</f>
        <v>truncate table sysChangeHistory;</v>
      </c>
    </row>
    <row r="5" spans="1:39" ht="14.25" customHeight="1">
      <c r="A5">
        <v>6</v>
      </c>
      <c r="B5" t="s">
        <v>1475</v>
      </c>
      <c r="C5" s="3" t="s">
        <v>6154</v>
      </c>
      <c r="D5" t="s">
        <v>6156</v>
      </c>
      <c r="E5" s="3" t="s">
        <v>6157</v>
      </c>
      <c r="F5" s="3" t="s">
        <v>7140</v>
      </c>
      <c r="G5" t="s">
        <v>7093</v>
      </c>
      <c r="H5" t="s">
        <v>94</v>
      </c>
      <c r="I5" s="3" t="s">
        <v>919</v>
      </c>
      <c r="K5" s="3" t="s">
        <v>0</v>
      </c>
      <c r="L5" s="4" t="s">
        <v>1036</v>
      </c>
      <c r="M5" s="4"/>
      <c r="N5" s="4"/>
      <c r="O5" s="4"/>
      <c r="P5" s="3" t="str">
        <f>T5&amp;"."&amp;F5</f>
        <v>System.Change History Row</v>
      </c>
      <c r="R5" s="4"/>
      <c r="T5" s="7" t="s">
        <v>94</v>
      </c>
      <c r="U5"/>
      <c r="V5"/>
      <c r="W5"/>
      <c r="X5" s="4"/>
      <c r="Y5" t="str">
        <f t="shared" si="0"/>
        <v>N</v>
      </c>
      <c r="Z5" t="str">
        <f t="shared" si="0"/>
        <v>Y</v>
      </c>
      <c r="AA5" t="str">
        <f t="shared" si="0"/>
        <v>Y</v>
      </c>
      <c r="AB5"/>
      <c r="AC5"/>
      <c r="AD5"/>
      <c r="AE5"/>
      <c r="AF5"/>
      <c r="AG5" s="3"/>
      <c r="AI5"/>
      <c r="AK5" t="str">
        <f t="shared" si="1"/>
        <v>SELECT setval('sysChangeHistoryRow_id_seq', COALESCE((SELECT MAX(id)+1 FROM sysChangeHistoryRow), 1), false);</v>
      </c>
    </row>
    <row r="6" spans="1:39" ht="14.25" customHeight="1">
      <c r="A6">
        <v>7</v>
      </c>
      <c r="B6" t="s">
        <v>1475</v>
      </c>
      <c r="C6" s="3" t="s">
        <v>6155</v>
      </c>
      <c r="D6" t="s">
        <v>6161</v>
      </c>
      <c r="E6" s="3" t="s">
        <v>6162</v>
      </c>
      <c r="F6" s="3" t="s">
        <v>7141</v>
      </c>
      <c r="G6" t="s">
        <v>7094</v>
      </c>
      <c r="H6" t="s">
        <v>94</v>
      </c>
      <c r="I6" s="3" t="s">
        <v>919</v>
      </c>
      <c r="K6" s="3" t="s">
        <v>0</v>
      </c>
      <c r="L6" s="4" t="s">
        <v>1036</v>
      </c>
      <c r="M6" s="4"/>
      <c r="N6" s="4"/>
      <c r="O6" s="4"/>
      <c r="P6" s="3" t="str">
        <f>T6&amp;"."&amp;F6</f>
        <v>System.Change History Column</v>
      </c>
      <c r="R6" s="4"/>
      <c r="T6" s="7" t="s">
        <v>94</v>
      </c>
      <c r="U6"/>
      <c r="V6"/>
      <c r="W6"/>
      <c r="X6" s="4"/>
      <c r="Y6" t="str">
        <f t="shared" si="0"/>
        <v>N</v>
      </c>
      <c r="Z6" t="str">
        <f t="shared" si="0"/>
        <v>N</v>
      </c>
      <c r="AA6" t="str">
        <f t="shared" si="0"/>
        <v>Y</v>
      </c>
      <c r="AB6"/>
      <c r="AC6"/>
      <c r="AD6"/>
      <c r="AE6"/>
      <c r="AF6"/>
      <c r="AG6" s="3"/>
      <c r="AI6"/>
      <c r="AK6" t="str">
        <f t="shared" si="1"/>
        <v>SELECT setval('sysChangeHistoryColumn_id_seq', COALESCE((SELECT MAX(id)+1 FROM sysChangeHistoryColumn), 1), false);</v>
      </c>
    </row>
    <row r="7" spans="1:39" ht="14.25" customHeight="1">
      <c r="A7">
        <v>8</v>
      </c>
      <c r="B7" t="s">
        <v>1475</v>
      </c>
      <c r="C7" s="7" t="s">
        <v>2984</v>
      </c>
      <c r="D7" s="7" t="s">
        <v>6213</v>
      </c>
      <c r="E7" s="7" t="s">
        <v>2985</v>
      </c>
      <c r="F7" s="7" t="s">
        <v>7095</v>
      </c>
      <c r="G7" s="7" t="s">
        <v>7095</v>
      </c>
      <c r="H7" t="s">
        <v>94</v>
      </c>
      <c r="I7" s="7" t="s">
        <v>919</v>
      </c>
      <c r="K7" s="7" t="s">
        <v>0</v>
      </c>
      <c r="L7" s="7" t="s">
        <v>2982</v>
      </c>
      <c r="M7" s="4"/>
      <c r="N7" s="7"/>
      <c r="O7" s="7"/>
      <c r="P7" s="8" t="s">
        <v>2986</v>
      </c>
      <c r="R7" s="4"/>
      <c r="T7" s="7" t="s">
        <v>94</v>
      </c>
      <c r="U7" s="7"/>
      <c r="V7" s="7"/>
      <c r="W7" s="7"/>
      <c r="X7" s="7"/>
      <c r="Y7" t="str">
        <f>IF(ISERROR(VLOOKUP($C7&amp;"."&amp;Y$1,DictionaryColumns,1,FALSE)),"N","Y")</f>
        <v>N</v>
      </c>
      <c r="Z7" s="7"/>
      <c r="AA7" s="7"/>
      <c r="AB7" s="7"/>
      <c r="AC7" s="7"/>
      <c r="AD7" s="7"/>
      <c r="AE7" s="7"/>
      <c r="AF7"/>
      <c r="AG7" s="3"/>
      <c r="AH7" s="7"/>
      <c r="AI7" t="str">
        <f>"WHEN p_sysDictionaryTableID = "&amp;A7&amp;" THEN (SELECT "&amp;L7&amp;" FROM "&amp;C7&amp;" x WHERE x.ID = p_RowID "&amp;IF(I7="Y", " and x.TemporalEndDate = '9999-12-31'","")&amp;")"</f>
        <v>WHEN p_sysDictionaryTableID = 8 THEN (SELECT Message FROM sysError x WHERE x.ID = p_RowID )</v>
      </c>
      <c r="AJ7" s="7"/>
      <c r="AK7" t="str">
        <f t="shared" si="1"/>
        <v>SELECT setval('sysError_id_seq', COALESCE((SELECT MAX(id)+1 FROM sysError), 1), false);</v>
      </c>
    </row>
    <row r="8" spans="1:39">
      <c r="A8">
        <v>9</v>
      </c>
      <c r="B8" t="s">
        <v>1475</v>
      </c>
      <c r="C8" s="7" t="s">
        <v>2981</v>
      </c>
      <c r="D8" s="7" t="s">
        <v>6214</v>
      </c>
      <c r="E8" s="7" t="s">
        <v>2982</v>
      </c>
      <c r="F8" s="7" t="s">
        <v>7142</v>
      </c>
      <c r="G8" s="7" t="s">
        <v>7096</v>
      </c>
      <c r="H8" t="s">
        <v>94</v>
      </c>
      <c r="I8" s="7" t="s">
        <v>919</v>
      </c>
      <c r="K8" s="7" t="s">
        <v>0</v>
      </c>
      <c r="L8" s="7" t="s">
        <v>12</v>
      </c>
      <c r="M8" s="4"/>
      <c r="N8" s="7"/>
      <c r="O8" s="7"/>
      <c r="P8" s="8" t="s">
        <v>2983</v>
      </c>
      <c r="R8" s="4"/>
      <c r="T8" s="7" t="s">
        <v>94</v>
      </c>
      <c r="U8" s="7"/>
      <c r="V8" s="7"/>
      <c r="W8" s="7"/>
      <c r="X8" s="7"/>
      <c r="Y8" t="str">
        <f>IF(ISERROR(VLOOKUP($C8&amp;"."&amp;Y$1,DictionaryColumns,1,FALSE)),"N","Y")</f>
        <v>N</v>
      </c>
      <c r="Z8" s="7"/>
      <c r="AA8" s="7"/>
      <c r="AB8" s="7"/>
      <c r="AC8" s="7"/>
      <c r="AD8" s="7"/>
      <c r="AE8" s="7"/>
      <c r="AF8"/>
      <c r="AG8" s="3"/>
      <c r="AH8" s="7"/>
      <c r="AI8" t="str">
        <f>"WHEN p_sysDictionaryTableID = "&amp;A8&amp;" THEN (SELECT "&amp;L8&amp;" FROM "&amp;C8&amp;" x WHERE x.ID = p_RowID "&amp;IF(I8="Y", " and x.TemporalEndDate = '9999-12-31'","")&amp;")"</f>
        <v>WHEN p_sysDictionaryTableID = 9 THEN (SELECT Description FROM sysMessage x WHERE x.ID = p_RowID )</v>
      </c>
      <c r="AJ8" s="7"/>
      <c r="AK8" t="str">
        <f t="shared" si="1"/>
        <v>SELECT setval('sysMessage_id_seq', COALESCE((SELECT MAX(id)+1 FROM sysMessage), 1), false);</v>
      </c>
    </row>
    <row r="9" spans="1:39" ht="14.25" customHeight="1">
      <c r="A9">
        <v>13</v>
      </c>
      <c r="B9" t="s">
        <v>1475</v>
      </c>
      <c r="C9" s="3" t="s">
        <v>2805</v>
      </c>
      <c r="D9" t="s">
        <v>1060</v>
      </c>
      <c r="E9" s="3" t="s">
        <v>35</v>
      </c>
      <c r="F9" s="3" t="s">
        <v>35</v>
      </c>
      <c r="G9" t="s">
        <v>78</v>
      </c>
      <c r="H9" t="s">
        <v>94</v>
      </c>
      <c r="I9" s="3" t="s">
        <v>919</v>
      </c>
      <c r="K9" s="3" t="s">
        <v>0</v>
      </c>
      <c r="L9" s="4" t="s">
        <v>22</v>
      </c>
      <c r="M9" s="4"/>
      <c r="N9" s="4"/>
      <c r="O9" s="4"/>
      <c r="P9" s="3" t="str">
        <f>T9&amp;"."&amp;F9</f>
        <v>System.Command</v>
      </c>
      <c r="R9" s="4"/>
      <c r="T9" s="7" t="s">
        <v>94</v>
      </c>
      <c r="U9" s="3" t="s">
        <v>2454</v>
      </c>
      <c r="X9" s="4"/>
      <c r="Y9" t="str">
        <f>IF(ISERROR(VLOOKUP($C9&amp;"."&amp;Y$1,DictionaryColumns,1,FALSE)),"N","Y")</f>
        <v>Y</v>
      </c>
      <c r="Z9" t="str">
        <f>IF(ISERROR(VLOOKUP($C9&amp;"."&amp;Z$1,DictionaryColumns,1,FALSE)),"N","Y")</f>
        <v>Y</v>
      </c>
      <c r="AA9" t="str">
        <f>IF(ISERROR(VLOOKUP($C9&amp;"."&amp;AA$1,DictionaryColumns,1,FALSE)),"N","Y")</f>
        <v>Y</v>
      </c>
      <c r="AB9"/>
      <c r="AC9"/>
      <c r="AD9"/>
      <c r="AE9"/>
      <c r="AF9"/>
      <c r="AG9" s="3"/>
      <c r="AI9" t="str">
        <f>"WHEN p_sysDictionaryTableID = "&amp;A9&amp;" THEN (SELECT "&amp;L9&amp;" FROM "&amp;C9&amp;" x WHERE x.ID = p_RowID "&amp;IF(I9="Y", " and x.TemporalEndDate = '9999-12-31'","")&amp;")"</f>
        <v>WHEN p_sysDictionaryTableID = 13 THEN (SELECT Name FROM sysCommand x WHERE x.ID = p_RowID )</v>
      </c>
      <c r="AK9" t="str">
        <f t="shared" si="1"/>
        <v>SELECT setval('sysCommand_id_seq', COALESCE((SELECT MAX(id)+1 FROM sysCommand), 1), false);</v>
      </c>
    </row>
    <row r="10" spans="1:39" ht="14.25" customHeight="1">
      <c r="A10">
        <v>26</v>
      </c>
      <c r="B10" t="s">
        <v>1475</v>
      </c>
      <c r="C10" s="7" t="s">
        <v>2833</v>
      </c>
      <c r="D10" s="7"/>
      <c r="E10" s="7" t="s">
        <v>334</v>
      </c>
      <c r="F10" s="7" t="s">
        <v>1961</v>
      </c>
      <c r="G10" s="7" t="s">
        <v>7097</v>
      </c>
      <c r="H10" t="s">
        <v>94</v>
      </c>
      <c r="I10" s="7" t="s">
        <v>919</v>
      </c>
      <c r="K10" s="7" t="s">
        <v>0</v>
      </c>
      <c r="L10" s="7" t="s">
        <v>22</v>
      </c>
      <c r="M10" s="4"/>
      <c r="N10" s="7"/>
      <c r="O10" s="7"/>
      <c r="P10" s="8" t="s">
        <v>2163</v>
      </c>
      <c r="R10" s="4"/>
      <c r="T10" s="7" t="s">
        <v>94</v>
      </c>
      <c r="U10" s="7"/>
      <c r="V10" s="7"/>
      <c r="W10" s="7"/>
      <c r="X10" s="7"/>
      <c r="Y10" t="str">
        <f>IF(ISERROR(VLOOKUP($C10&amp;"."&amp;SystemTables!Y$1,DictionaryColumns,1,FALSE)),"N","Y")</f>
        <v>N</v>
      </c>
      <c r="Z10" s="7"/>
      <c r="AA10" s="7"/>
      <c r="AB10" s="7"/>
      <c r="AC10" s="7"/>
      <c r="AD10" s="7"/>
      <c r="AE10" s="7"/>
      <c r="AF10"/>
      <c r="AG10" s="3"/>
      <c r="AH10" s="7"/>
      <c r="AI10" t="str">
        <f>"WHEN p_sysDictionaryTableID = "&amp;A10&amp;" THEN (SELECT "&amp;L10&amp;" FROM "&amp;C10&amp;" x WHERE x.ID = p_RowID "&amp;IF(I10="Y", " and x.TemporalEndDate = '9999-12-31'","")&amp;")"</f>
        <v>WHEN p_sysDictionaryTableID = 26 THEN (SELECT Name FROM sysDataType x WHERE x.ID = p_RowID )</v>
      </c>
      <c r="AJ10" s="7"/>
      <c r="AK10" t="str">
        <f t="shared" si="1"/>
        <v>SELECT setval('sysDataType_id_seq', COALESCE((SELECT MAX(id)+1 FROM sysDataType), 1), false);</v>
      </c>
    </row>
    <row r="11" spans="1:39" ht="14.25" customHeight="1">
      <c r="A11">
        <v>42</v>
      </c>
      <c r="B11" t="s">
        <v>1475</v>
      </c>
      <c r="C11" s="3" t="s">
        <v>2734</v>
      </c>
      <c r="D11" t="s">
        <v>1432</v>
      </c>
      <c r="E11" s="3" t="s">
        <v>1431</v>
      </c>
      <c r="F11" s="3" t="s">
        <v>7143</v>
      </c>
      <c r="G11" s="3" t="s">
        <v>7098</v>
      </c>
      <c r="H11" t="s">
        <v>94</v>
      </c>
      <c r="I11" s="3" t="s">
        <v>919</v>
      </c>
      <c r="K11" s="3" t="s">
        <v>0</v>
      </c>
      <c r="L11" s="3" t="s">
        <v>12</v>
      </c>
      <c r="M11" s="4"/>
      <c r="O11"/>
      <c r="P11" s="3" t="str">
        <f t="shared" ref="P11:P49" si="2">T11&amp;"."&amp;F11</f>
        <v>System.Multilink Table Rule</v>
      </c>
      <c r="T11" s="7" t="s">
        <v>94</v>
      </c>
      <c r="U11"/>
      <c r="V11"/>
      <c r="W11"/>
      <c r="Y11" t="str">
        <f t="shared" ref="Y11:AA30" si="3">IF(ISERROR(VLOOKUP($C11&amp;"."&amp;Y$1,DictionaryColumns,1,FALSE)),"N","Y")</f>
        <v>Y</v>
      </c>
      <c r="Z11" t="str">
        <f t="shared" si="3"/>
        <v>Y</v>
      </c>
      <c r="AA11" t="str">
        <f t="shared" si="3"/>
        <v>Y</v>
      </c>
      <c r="AF11"/>
      <c r="AG11" s="3"/>
      <c r="AI11" t="str">
        <f>"WHEN p_sysDictionaryTableID = "&amp;A11&amp;" THEN (SELECT "&amp;L11&amp;" FROM "&amp;C11&amp;" x WHERE x.ID = p_RowID "&amp;IF(I11="Y", " and x.TemporalEndDate = '9999-12-31'","")&amp;")"</f>
        <v>WHEN p_sysDictionaryTableID = 42 THEN (SELECT Description FROM sysMultilinkTableRule x WHERE x.ID = p_RowID )</v>
      </c>
      <c r="AK11" t="str">
        <f t="shared" si="1"/>
        <v>SELECT setval('sysMultilinkTableRule_id_seq', COALESCE((SELECT MAX(id)+1 FROM sysMultilinkTableRule), 1), false);</v>
      </c>
    </row>
    <row r="12" spans="1:39" ht="14.25" customHeight="1">
      <c r="A12">
        <v>98</v>
      </c>
      <c r="B12" t="s">
        <v>1475</v>
      </c>
      <c r="C12" s="3" t="s">
        <v>7179</v>
      </c>
      <c r="D12" t="s">
        <v>7180</v>
      </c>
      <c r="E12" s="3" t="s">
        <v>6220</v>
      </c>
      <c r="F12" s="3" t="s">
        <v>7181</v>
      </c>
      <c r="G12" s="3" t="s">
        <v>7181</v>
      </c>
      <c r="H12" t="s">
        <v>94</v>
      </c>
      <c r="I12" s="3" t="s">
        <v>919</v>
      </c>
      <c r="K12" s="3" t="s">
        <v>0</v>
      </c>
      <c r="L12" s="4" t="s">
        <v>1036</v>
      </c>
      <c r="M12" s="4"/>
      <c r="N12" s="4"/>
      <c r="O12" s="4"/>
      <c r="P12" s="3" t="str">
        <f t="shared" si="2"/>
        <v>System.Master Data Index</v>
      </c>
      <c r="T12" s="7" t="s">
        <v>94</v>
      </c>
      <c r="Y12" t="str">
        <f t="shared" si="3"/>
        <v>N</v>
      </c>
      <c r="Z12" t="str">
        <f t="shared" si="3"/>
        <v>Y</v>
      </c>
      <c r="AA12" t="str">
        <f t="shared" si="3"/>
        <v>Y</v>
      </c>
      <c r="AF12"/>
      <c r="AG12" s="3"/>
      <c r="AK12" t="str">
        <f t="shared" si="1"/>
        <v>SELECT setval('sysMasterDataIndex_id_seq', COALESCE((SELECT MAX(id)+1 FROM sysMasterDataIndex), 1), false);</v>
      </c>
    </row>
    <row r="13" spans="1:39" ht="14.25" customHeight="1">
      <c r="A13">
        <v>99</v>
      </c>
      <c r="B13" t="s">
        <v>1475</v>
      </c>
      <c r="C13" s="3" t="s">
        <v>6220</v>
      </c>
      <c r="D13" t="s">
        <v>6221</v>
      </c>
      <c r="E13" s="3" t="s">
        <v>6220</v>
      </c>
      <c r="F13" s="3" t="s">
        <v>7099</v>
      </c>
      <c r="G13" s="3" t="s">
        <v>7099</v>
      </c>
      <c r="H13" t="s">
        <v>94</v>
      </c>
      <c r="I13" s="3" t="s">
        <v>919</v>
      </c>
      <c r="K13" s="3" t="s">
        <v>0</v>
      </c>
      <c r="L13" s="4" t="s">
        <v>1036</v>
      </c>
      <c r="M13" s="4"/>
      <c r="N13" s="4"/>
      <c r="O13" s="4"/>
      <c r="P13" s="3" t="str">
        <f t="shared" si="2"/>
        <v>System.Foreign Key Cache</v>
      </c>
      <c r="T13" s="7" t="s">
        <v>94</v>
      </c>
      <c r="Y13" t="str">
        <f t="shared" si="3"/>
        <v>N</v>
      </c>
      <c r="Z13" t="str">
        <f t="shared" si="3"/>
        <v>Y</v>
      </c>
      <c r="AA13" t="str">
        <f t="shared" si="3"/>
        <v>Y</v>
      </c>
      <c r="AF13"/>
      <c r="AG13" s="3"/>
      <c r="AK13" t="str">
        <f t="shared" si="1"/>
        <v>SELECT setval('sysForeignKeyCache_id_seq', COALESCE((SELECT MAX(id)+1 FROM sysForeignKeyCache), 1), false);</v>
      </c>
    </row>
    <row r="14" spans="1:39" ht="14.25" customHeight="1">
      <c r="A14">
        <v>100</v>
      </c>
      <c r="B14" t="s">
        <v>1475</v>
      </c>
      <c r="C14" s="3" t="s">
        <v>2747</v>
      </c>
      <c r="D14" t="s">
        <v>1037</v>
      </c>
      <c r="E14" s="3" t="s">
        <v>29</v>
      </c>
      <c r="F14" s="3" t="s">
        <v>29</v>
      </c>
      <c r="G14" t="s">
        <v>79</v>
      </c>
      <c r="H14" t="s">
        <v>93</v>
      </c>
      <c r="I14" s="3" t="s">
        <v>919</v>
      </c>
      <c r="K14" s="3" t="s">
        <v>0</v>
      </c>
      <c r="L14" s="4" t="s">
        <v>22</v>
      </c>
      <c r="M14" s="4"/>
      <c r="N14" s="4"/>
      <c r="O14" s="4"/>
      <c r="P14" s="3" t="str">
        <f t="shared" si="2"/>
        <v>Contact Management.Contact</v>
      </c>
      <c r="R14" s="4" t="s">
        <v>2059</v>
      </c>
      <c r="T14" s="3" t="s">
        <v>7086</v>
      </c>
      <c r="U14" s="3" t="s">
        <v>2458</v>
      </c>
      <c r="X14" s="4"/>
      <c r="Y14" t="str">
        <f t="shared" si="3"/>
        <v>Y</v>
      </c>
      <c r="Z14" t="str">
        <f t="shared" si="3"/>
        <v>Y</v>
      </c>
      <c r="AA14" t="str">
        <f t="shared" si="3"/>
        <v>Y</v>
      </c>
      <c r="AB14" t="s">
        <v>2972</v>
      </c>
      <c r="AD14" t="str">
        <f>IF(ISERROR(VLOOKUP($C14&amp;"."&amp;#REF!,DictionaryColumns,1,FALSE)),"N","Y")</f>
        <v>N</v>
      </c>
      <c r="AE14" t="str">
        <f>IF(ISERROR(VLOOKUP($C14&amp;"."&amp;#REF!,DictionaryColumns,1,FALSE)),"N","Y")</f>
        <v>N</v>
      </c>
      <c r="AF14"/>
      <c r="AG14" s="3"/>
      <c r="AI14" t="str">
        <f>"WHEN p_sysDictionaryTableID = "&amp;A14&amp;" THEN (SELECT "&amp;L14&amp;" FROM "&amp;C14&amp;" x WHERE x.ID = p_RowID "&amp;IF(I14="Y", " and x.TemporalEndDate = '9999-12-31'","")&amp;")"</f>
        <v>WHEN p_sysDictionaryTableID = 100 THEN (SELECT Name FROM crmContact x WHERE x.ID = p_RowID )</v>
      </c>
      <c r="AK14" t="str">
        <f t="shared" si="1"/>
        <v>SELECT setval('crmContact_id_seq', COALESCE((SELECT MAX(id)+1 FROM crmContact), 1), false);</v>
      </c>
    </row>
    <row r="15" spans="1:39" ht="14.25" customHeight="1">
      <c r="A15">
        <v>101</v>
      </c>
      <c r="B15" t="s">
        <v>1475</v>
      </c>
      <c r="C15" s="3" t="s">
        <v>2748</v>
      </c>
      <c r="D15" t="s">
        <v>2864</v>
      </c>
      <c r="E15" s="3" t="s">
        <v>1477</v>
      </c>
      <c r="F15" s="3" t="s">
        <v>7144</v>
      </c>
      <c r="G15" t="s">
        <v>7079</v>
      </c>
      <c r="H15" t="s">
        <v>252</v>
      </c>
      <c r="I15" s="3" t="s">
        <v>92</v>
      </c>
      <c r="K15" s="3" t="s">
        <v>6145</v>
      </c>
      <c r="L15" s="4" t="s">
        <v>1036</v>
      </c>
      <c r="M15" s="4"/>
      <c r="N15" s="4"/>
      <c r="O15" s="4"/>
      <c r="P15" s="3" t="str">
        <f t="shared" si="2"/>
        <v>Contact Management.Employee Detail</v>
      </c>
      <c r="R15" s="4" t="s">
        <v>2059</v>
      </c>
      <c r="T15" s="3" t="s">
        <v>7086</v>
      </c>
      <c r="U15" s="3" t="s">
        <v>2429</v>
      </c>
      <c r="X15" s="4"/>
      <c r="Y15" t="str">
        <f t="shared" si="3"/>
        <v>Y</v>
      </c>
      <c r="Z15" t="str">
        <f t="shared" si="3"/>
        <v>Y</v>
      </c>
      <c r="AA15" t="str">
        <f t="shared" si="3"/>
        <v>Y</v>
      </c>
      <c r="AB15"/>
      <c r="AC15"/>
      <c r="AD15"/>
      <c r="AE15"/>
      <c r="AF15"/>
      <c r="AG15" s="3"/>
      <c r="AI15"/>
      <c r="AK15" t="str">
        <f t="shared" si="1"/>
        <v>SELECT setval('crmContactSubTypeEmployee_id_seq', COALESCE((SELECT MAX(id)+1 FROM crmContactSubTypeEmployee), 1), false);</v>
      </c>
    </row>
    <row r="16" spans="1:39" ht="14.25" customHeight="1">
      <c r="A16">
        <v>102</v>
      </c>
      <c r="B16" t="s">
        <v>1475</v>
      </c>
      <c r="C16" s="3" t="s">
        <v>2749</v>
      </c>
      <c r="D16"/>
      <c r="E16" s="3" t="s">
        <v>1478</v>
      </c>
      <c r="F16" s="3" t="s">
        <v>7145</v>
      </c>
      <c r="G16" t="s">
        <v>7080</v>
      </c>
      <c r="H16" t="s">
        <v>252</v>
      </c>
      <c r="I16" s="3" t="s">
        <v>919</v>
      </c>
      <c r="K16" s="3" t="s">
        <v>0</v>
      </c>
      <c r="L16" s="4"/>
      <c r="M16" s="4"/>
      <c r="N16" s="4"/>
      <c r="O16" s="4"/>
      <c r="P16" s="3" t="str">
        <f t="shared" si="2"/>
        <v>Contact Management.User Detail</v>
      </c>
      <c r="R16" s="4" t="s">
        <v>2059</v>
      </c>
      <c r="T16" s="3" t="s">
        <v>7086</v>
      </c>
      <c r="U16"/>
      <c r="V16"/>
      <c r="W16"/>
      <c r="X16" s="4"/>
      <c r="Y16" t="str">
        <f t="shared" si="3"/>
        <v>Y</v>
      </c>
      <c r="Z16" t="str">
        <f t="shared" si="3"/>
        <v>Y</v>
      </c>
      <c r="AA16" t="str">
        <f t="shared" si="3"/>
        <v>Y</v>
      </c>
      <c r="AB16"/>
      <c r="AC16"/>
      <c r="AD16"/>
      <c r="AE16"/>
      <c r="AF16"/>
      <c r="AG16" s="3"/>
      <c r="AI16"/>
      <c r="AK16" t="str">
        <f t="shared" si="1"/>
        <v>SELECT setval('crmContactSubTypeUser_id_seq', COALESCE((SELECT MAX(id)+1 FROM crmContactSubTypeUser), 1), false);</v>
      </c>
    </row>
    <row r="17" spans="1:39" ht="14.25" customHeight="1">
      <c r="A17">
        <v>110</v>
      </c>
      <c r="B17" t="s">
        <v>1475</v>
      </c>
      <c r="C17" s="3" t="s">
        <v>2742</v>
      </c>
      <c r="D17" t="s">
        <v>1030</v>
      </c>
      <c r="E17" s="3" t="s">
        <v>1480</v>
      </c>
      <c r="F17" s="3" t="s">
        <v>1029</v>
      </c>
      <c r="G17" t="s">
        <v>1031</v>
      </c>
      <c r="H17" t="s">
        <v>93</v>
      </c>
      <c r="I17" s="3" t="s">
        <v>919</v>
      </c>
      <c r="K17" s="3" t="s">
        <v>0</v>
      </c>
      <c r="L17" s="4" t="s">
        <v>7026</v>
      </c>
      <c r="M17" s="4"/>
      <c r="N17" s="4"/>
      <c r="O17" s="4"/>
      <c r="P17" s="3" t="str">
        <f t="shared" si="2"/>
        <v>Contact Management.Address</v>
      </c>
      <c r="R17" s="4" t="s">
        <v>2059</v>
      </c>
      <c r="T17" s="3" t="s">
        <v>7086</v>
      </c>
      <c r="U17"/>
      <c r="V17"/>
      <c r="W17"/>
      <c r="X17" s="4"/>
      <c r="Y17" t="str">
        <f t="shared" si="3"/>
        <v>Y</v>
      </c>
      <c r="Z17" t="str">
        <f t="shared" si="3"/>
        <v>Y</v>
      </c>
      <c r="AA17" t="str">
        <f t="shared" si="3"/>
        <v>Y</v>
      </c>
      <c r="AB17"/>
      <c r="AC17"/>
      <c r="AD17"/>
      <c r="AE17"/>
      <c r="AF17"/>
      <c r="AG17" s="3"/>
      <c r="AI17" t="str">
        <f>"WHEN p_sysDictionaryTableID = "&amp;A17&amp;" THEN (SELECT "&amp;L17&amp;" FROM "&amp;C17&amp;" x WHERE x.ID = p_RowID "&amp;IF(I17="Y", " and x.TemporalEndDate = '9999-12-31'","")&amp;")"</f>
        <v>WHEN p_sysDictionaryTableID = 110 THEN (SELECT (select aa.name||' - '||x.address1 from crmContact aa where aa.id=x.crmContactID LIMIT 1) FROM crmAddress x WHERE x.ID = p_RowID )</v>
      </c>
      <c r="AK17" t="str">
        <f t="shared" si="1"/>
        <v>SELECT setval('crmAddress_id_seq', COALESCE((SELECT MAX(id)+1 FROM crmAddress), 1), false);</v>
      </c>
      <c r="AL17" t="s">
        <v>3937</v>
      </c>
      <c r="AM17" t="str">
        <f>"truncate table "&amp;C17&amp;";"</f>
        <v>truncate table crmAddress;</v>
      </c>
    </row>
    <row r="18" spans="1:39" ht="14.25" customHeight="1">
      <c r="A18">
        <v>111</v>
      </c>
      <c r="B18" t="s">
        <v>1475</v>
      </c>
      <c r="C18" s="3" t="s">
        <v>2743</v>
      </c>
      <c r="D18"/>
      <c r="E18" s="3" t="s">
        <v>2353</v>
      </c>
      <c r="F18" s="3" t="s">
        <v>1086</v>
      </c>
      <c r="G18" t="s">
        <v>1260</v>
      </c>
      <c r="H18" t="s">
        <v>93</v>
      </c>
      <c r="I18" s="3" t="s">
        <v>919</v>
      </c>
      <c r="K18" s="3" t="s">
        <v>0</v>
      </c>
      <c r="L18" s="4" t="s">
        <v>7027</v>
      </c>
      <c r="M18" s="4"/>
      <c r="N18" s="4"/>
      <c r="O18" s="4"/>
      <c r="P18" s="3" t="str">
        <f t="shared" si="2"/>
        <v>Contact Management.Email</v>
      </c>
      <c r="R18" s="4" t="s">
        <v>2059</v>
      </c>
      <c r="T18" s="3" t="s">
        <v>7086</v>
      </c>
      <c r="U18"/>
      <c r="V18"/>
      <c r="W18"/>
      <c r="X18" s="4"/>
      <c r="Y18" t="str">
        <f t="shared" si="3"/>
        <v>Y</v>
      </c>
      <c r="Z18" t="str">
        <f t="shared" si="3"/>
        <v>Y</v>
      </c>
      <c r="AA18" t="str">
        <f t="shared" si="3"/>
        <v>Y</v>
      </c>
      <c r="AB18"/>
      <c r="AC18"/>
      <c r="AD18"/>
      <c r="AE18"/>
      <c r="AF18"/>
      <c r="AG18" s="3"/>
      <c r="AI18"/>
      <c r="AK18" t="str">
        <f t="shared" si="1"/>
        <v>SELECT setval('crmAddressEmail_id_seq', COALESCE((SELECT MAX(id)+1 FROM crmAddressEmail), 1), false);</v>
      </c>
      <c r="AL18" t="s">
        <v>3937</v>
      </c>
      <c r="AM18" t="str">
        <f>"truncate table "&amp;C18&amp;";"</f>
        <v>truncate table crmAddressEmail;</v>
      </c>
    </row>
    <row r="19" spans="1:39" ht="14.25" customHeight="1">
      <c r="A19">
        <v>112</v>
      </c>
      <c r="B19" t="s">
        <v>1475</v>
      </c>
      <c r="C19" s="3" t="s">
        <v>2744</v>
      </c>
      <c r="D19"/>
      <c r="E19" s="3" t="s">
        <v>2354</v>
      </c>
      <c r="F19" s="3" t="s">
        <v>7146</v>
      </c>
      <c r="G19" t="s">
        <v>7100</v>
      </c>
      <c r="H19" t="s">
        <v>93</v>
      </c>
      <c r="I19" s="3" t="s">
        <v>919</v>
      </c>
      <c r="K19" s="3" t="s">
        <v>0</v>
      </c>
      <c r="L19" s="4" t="s">
        <v>7028</v>
      </c>
      <c r="M19" s="4"/>
      <c r="N19" s="4"/>
      <c r="O19" s="4"/>
      <c r="P19" s="3" t="str">
        <f t="shared" si="2"/>
        <v>Contact Management.Phone Number</v>
      </c>
      <c r="R19" s="4" t="s">
        <v>2059</v>
      </c>
      <c r="T19" s="3" t="s">
        <v>7086</v>
      </c>
      <c r="U19"/>
      <c r="V19"/>
      <c r="W19"/>
      <c r="X19" s="4"/>
      <c r="Y19" t="str">
        <f t="shared" si="3"/>
        <v>Y</v>
      </c>
      <c r="Z19" t="str">
        <f t="shared" si="3"/>
        <v>Y</v>
      </c>
      <c r="AA19" t="str">
        <f t="shared" si="3"/>
        <v>Y</v>
      </c>
      <c r="AB19"/>
      <c r="AC19"/>
      <c r="AD19"/>
      <c r="AE19"/>
      <c r="AF19"/>
      <c r="AG19" s="3"/>
      <c r="AI19"/>
      <c r="AK19" t="str">
        <f t="shared" si="1"/>
        <v>SELECT setval('crmAddressPhone_id_seq', COALESCE((SELECT MAX(id)+1 FROM crmAddressPhone), 1), false);</v>
      </c>
      <c r="AL19" t="s">
        <v>3937</v>
      </c>
      <c r="AM19" t="str">
        <f>"truncate table "&amp;C19&amp;";"</f>
        <v>truncate table crmAddressPhone;</v>
      </c>
    </row>
    <row r="20" spans="1:39">
      <c r="A20">
        <v>113</v>
      </c>
      <c r="B20" t="s">
        <v>1475</v>
      </c>
      <c r="C20" s="3" t="s">
        <v>2745</v>
      </c>
      <c r="D20"/>
      <c r="E20" s="3" t="s">
        <v>2355</v>
      </c>
      <c r="F20" s="3" t="s">
        <v>2492</v>
      </c>
      <c r="G20" t="s">
        <v>7101</v>
      </c>
      <c r="H20" t="s">
        <v>1274</v>
      </c>
      <c r="I20" s="3" t="s">
        <v>919</v>
      </c>
      <c r="K20" s="3" t="s">
        <v>0</v>
      </c>
      <c r="L20" s="3" t="s">
        <v>12</v>
      </c>
      <c r="M20" s="4"/>
      <c r="N20" s="4"/>
      <c r="O20" s="4"/>
      <c r="P20" s="3" t="str">
        <f t="shared" si="2"/>
        <v>Contact Management.Phone Type</v>
      </c>
      <c r="R20" s="4" t="s">
        <v>2059</v>
      </c>
      <c r="T20" s="3" t="s">
        <v>7086</v>
      </c>
      <c r="U20"/>
      <c r="V20"/>
      <c r="W20"/>
      <c r="X20" s="4"/>
      <c r="Y20" t="str">
        <f t="shared" si="3"/>
        <v>Y</v>
      </c>
      <c r="Z20" t="str">
        <f t="shared" si="3"/>
        <v>Y</v>
      </c>
      <c r="AA20" t="str">
        <f t="shared" si="3"/>
        <v>Y</v>
      </c>
      <c r="AB20"/>
      <c r="AC20"/>
      <c r="AD20"/>
      <c r="AE20"/>
      <c r="AF20"/>
      <c r="AG20" s="3"/>
      <c r="AI20" t="str">
        <f>"WHEN p_sysDictionaryTableID = "&amp;A20&amp;" THEN (SELECT "&amp;L20&amp;" FROM "&amp;C20&amp;" x WHERE x.ID = p_RowID "&amp;IF(I20="Y", " and x.TemporalEndDate = '9999-12-31'","")&amp;")"</f>
        <v>WHEN p_sysDictionaryTableID = 113 THEN (SELECT Description FROM crmAddressPhoneType x WHERE x.ID = p_RowID )</v>
      </c>
      <c r="AK20" t="str">
        <f t="shared" si="1"/>
        <v>SELECT setval('crmAddressPhoneType_id_seq', COALESCE((SELECT MAX(id)+1 FROM crmAddressPhoneType), 1), false);</v>
      </c>
    </row>
    <row r="21" spans="1:39">
      <c r="A21">
        <v>114</v>
      </c>
      <c r="B21" t="s">
        <v>1475</v>
      </c>
      <c r="C21" s="3" t="s">
        <v>2746</v>
      </c>
      <c r="D21"/>
      <c r="E21" s="3" t="s">
        <v>1481</v>
      </c>
      <c r="F21" s="3" t="s">
        <v>1081</v>
      </c>
      <c r="G21" t="s">
        <v>7102</v>
      </c>
      <c r="H21" s="3" t="s">
        <v>1274</v>
      </c>
      <c r="I21" s="3" t="s">
        <v>919</v>
      </c>
      <c r="K21" s="3" t="s">
        <v>0</v>
      </c>
      <c r="L21" s="4" t="s">
        <v>12</v>
      </c>
      <c r="M21" s="4"/>
      <c r="N21" s="4"/>
      <c r="O21" s="4"/>
      <c r="P21" s="3" t="str">
        <f t="shared" si="2"/>
        <v>Contact Management.Address Type</v>
      </c>
      <c r="R21" s="4" t="s">
        <v>2059</v>
      </c>
      <c r="T21" s="3" t="s">
        <v>7086</v>
      </c>
      <c r="U21" t="s">
        <v>5968</v>
      </c>
      <c r="V21"/>
      <c r="W21"/>
      <c r="X21" s="4"/>
      <c r="Y21" t="str">
        <f t="shared" si="3"/>
        <v>Y</v>
      </c>
      <c r="Z21" t="str">
        <f t="shared" si="3"/>
        <v>Y</v>
      </c>
      <c r="AA21" t="str">
        <f t="shared" si="3"/>
        <v>Y</v>
      </c>
      <c r="AB21"/>
      <c r="AC21"/>
      <c r="AD21"/>
      <c r="AE21"/>
      <c r="AF21"/>
      <c r="AG21" s="3"/>
      <c r="AI21" t="str">
        <f>"WHEN p_sysDictionaryTableID = "&amp;A21&amp;" THEN (SELECT "&amp;L21&amp;" FROM "&amp;C21&amp;" x WHERE x.ID = p_RowID "&amp;IF(I21="Y", " and x.TemporalEndDate = '9999-12-31'","")&amp;")"</f>
        <v>WHEN p_sysDictionaryTableID = 114 THEN (SELECT Description FROM crmAddressType x WHERE x.ID = p_RowID )</v>
      </c>
      <c r="AK21" t="str">
        <f t="shared" si="1"/>
        <v>SELECT setval('crmAddressType_id_seq', COALESCE((SELECT MAX(id)+1 FROM crmAddressType), 1), false);</v>
      </c>
    </row>
    <row r="22" spans="1:39">
      <c r="A22">
        <v>120</v>
      </c>
      <c r="B22" t="s">
        <v>1475</v>
      </c>
      <c r="C22" s="3" t="s">
        <v>2751</v>
      </c>
      <c r="D22" t="s">
        <v>1042</v>
      </c>
      <c r="E22" s="3" t="s">
        <v>1483</v>
      </c>
      <c r="F22" s="3" t="s">
        <v>60</v>
      </c>
      <c r="G22" t="s">
        <v>189</v>
      </c>
      <c r="H22" t="s">
        <v>93</v>
      </c>
      <c r="I22" s="3" t="s">
        <v>92</v>
      </c>
      <c r="K22" s="3" t="s">
        <v>6145</v>
      </c>
      <c r="L22" s="4"/>
      <c r="M22" s="4"/>
      <c r="N22" s="4"/>
      <c r="O22" s="4"/>
      <c r="P22" s="3" t="str">
        <f t="shared" si="2"/>
        <v>Contact Management.Relationship</v>
      </c>
      <c r="R22" s="4" t="s">
        <v>2059</v>
      </c>
      <c r="T22" s="3" t="s">
        <v>7086</v>
      </c>
      <c r="U22" s="3" t="s">
        <v>2434</v>
      </c>
      <c r="X22" s="4"/>
      <c r="Y22" t="str">
        <f t="shared" si="3"/>
        <v>Y</v>
      </c>
      <c r="Z22" t="str">
        <f t="shared" si="3"/>
        <v>Y</v>
      </c>
      <c r="AA22" t="str">
        <f t="shared" si="3"/>
        <v>Y</v>
      </c>
      <c r="AB22"/>
      <c r="AC22"/>
      <c r="AD22"/>
      <c r="AE22"/>
      <c r="AF22"/>
      <c r="AG22" s="3"/>
      <c r="AI22"/>
      <c r="AK22" t="str">
        <f t="shared" si="1"/>
        <v>SELECT setval('crmRelationship_id_seq', COALESCE((SELECT MAX(id)+1 FROM crmRelationship), 1), false);</v>
      </c>
      <c r="AL22" t="s">
        <v>3937</v>
      </c>
      <c r="AM22" t="str">
        <f>"truncate table "&amp;C22&amp;";"</f>
        <v>truncate table crmRelationship;</v>
      </c>
    </row>
    <row r="23" spans="1:39" ht="14.25" customHeight="1">
      <c r="A23">
        <v>121</v>
      </c>
      <c r="B23" t="s">
        <v>1475</v>
      </c>
      <c r="C23" s="3" t="s">
        <v>2752</v>
      </c>
      <c r="D23" t="s">
        <v>908</v>
      </c>
      <c r="E23" s="3" t="s">
        <v>1484</v>
      </c>
      <c r="F23" s="3" t="s">
        <v>7147</v>
      </c>
      <c r="G23" s="3" t="s">
        <v>7081</v>
      </c>
      <c r="H23" s="3" t="s">
        <v>1274</v>
      </c>
      <c r="I23" s="3" t="s">
        <v>919</v>
      </c>
      <c r="K23" s="3" t="s">
        <v>0</v>
      </c>
      <c r="L23" s="3" t="s">
        <v>1358</v>
      </c>
      <c r="M23" s="4"/>
      <c r="O23"/>
      <c r="P23" s="3" t="str">
        <f t="shared" si="2"/>
        <v>Contact Management.Relationship Type</v>
      </c>
      <c r="R23" s="4" t="s">
        <v>2059</v>
      </c>
      <c r="T23" s="3" t="s">
        <v>7086</v>
      </c>
      <c r="U23" t="s">
        <v>959</v>
      </c>
      <c r="V23"/>
      <c r="W23"/>
      <c r="X23" s="4"/>
      <c r="Y23" t="str">
        <f t="shared" si="3"/>
        <v>Y</v>
      </c>
      <c r="Z23" t="str">
        <f t="shared" si="3"/>
        <v>Y</v>
      </c>
      <c r="AA23" t="str">
        <f t="shared" si="3"/>
        <v>Y</v>
      </c>
      <c r="AF23"/>
      <c r="AG23" s="3"/>
      <c r="AI23" t="str">
        <f>"WHEN p_sysDictionaryTableID = "&amp;A23&amp;" THEN (SELECT "&amp;L23&amp;" FROM "&amp;C23&amp;" x WHERE x.ID = p_RowID "&amp;IF(I23="Y", " and x.TemporalEndDate = '9999-12-31'","")&amp;")"</f>
        <v>WHEN p_sysDictionaryTableID = 121 THEN (SELECT PrimaryName FROM crmRelationshipType x WHERE x.ID = p_RowID )</v>
      </c>
      <c r="AK23" t="str">
        <f t="shared" si="1"/>
        <v>SELECT setval('crmRelationshipType_id_seq', COALESCE((SELECT MAX(id)+1 FROM crmRelationshipType), 1), false);</v>
      </c>
    </row>
    <row r="24" spans="1:39" ht="14.25" customHeight="1">
      <c r="A24" s="7">
        <v>130</v>
      </c>
      <c r="B24" t="s">
        <v>1475</v>
      </c>
      <c r="C24" s="3" t="s">
        <v>3021</v>
      </c>
      <c r="E24" s="3" t="s">
        <v>3022</v>
      </c>
      <c r="F24" s="3" t="s">
        <v>1271</v>
      </c>
      <c r="G24" t="s">
        <v>3023</v>
      </c>
      <c r="H24" s="3" t="s">
        <v>1274</v>
      </c>
      <c r="I24" s="3" t="s">
        <v>919</v>
      </c>
      <c r="K24" s="3" t="s">
        <v>0</v>
      </c>
      <c r="L24" s="4" t="s">
        <v>12</v>
      </c>
      <c r="M24" s="4"/>
      <c r="P24" s="3" t="str">
        <f t="shared" si="2"/>
        <v>Contact Management.Gender</v>
      </c>
      <c r="R24" s="4" t="s">
        <v>2059</v>
      </c>
      <c r="T24" s="3" t="s">
        <v>7086</v>
      </c>
      <c r="U24" s="3" t="s">
        <v>5978</v>
      </c>
      <c r="X24" s="4"/>
      <c r="Y24" t="str">
        <f t="shared" si="3"/>
        <v>Y</v>
      </c>
      <c r="Z24" t="str">
        <f t="shared" si="3"/>
        <v>Y</v>
      </c>
      <c r="AA24" t="str">
        <f t="shared" si="3"/>
        <v>Y</v>
      </c>
      <c r="AB24"/>
      <c r="AD24"/>
      <c r="AE24"/>
      <c r="AF24"/>
      <c r="AG24" s="3"/>
      <c r="AI24" t="str">
        <f>"WHEN p_sysDictionaryTableID = "&amp;A24&amp;" THEN (SELECT "&amp;L24&amp;" FROM "&amp;C24&amp;" x WHERE x.ID = p_RowID "&amp;IF(I24="Y", " and x.TemporalEndDate = '9999-12-31'","")&amp;")"</f>
        <v>WHEN p_sysDictionaryTableID = 130 THEN (SELECT Description FROM crmGender x WHERE x.ID = p_RowID )</v>
      </c>
      <c r="AK24" t="str">
        <f t="shared" si="1"/>
        <v>SELECT setval('crmGender_id_seq', COALESCE((SELECT MAX(id)+1 FROM crmGender), 1), false);</v>
      </c>
    </row>
    <row r="25" spans="1:39" ht="14.25" customHeight="1">
      <c r="A25">
        <v>131</v>
      </c>
      <c r="B25" t="s">
        <v>1475</v>
      </c>
      <c r="C25" s="3" t="s">
        <v>2750</v>
      </c>
      <c r="E25" s="3" t="s">
        <v>1482</v>
      </c>
      <c r="F25" s="3" t="s">
        <v>1137</v>
      </c>
      <c r="G25" t="s">
        <v>1207</v>
      </c>
      <c r="H25" s="3" t="s">
        <v>1274</v>
      </c>
      <c r="I25" s="3" t="s">
        <v>919</v>
      </c>
      <c r="K25" s="3" t="s">
        <v>0</v>
      </c>
      <c r="L25" s="4" t="s">
        <v>12</v>
      </c>
      <c r="M25" s="4"/>
      <c r="P25" s="3" t="str">
        <f t="shared" si="2"/>
        <v>Contact Management.Language</v>
      </c>
      <c r="R25" s="4" t="s">
        <v>2059</v>
      </c>
      <c r="T25" s="3" t="s">
        <v>7086</v>
      </c>
      <c r="U25" s="3" t="s">
        <v>5969</v>
      </c>
      <c r="X25" s="4"/>
      <c r="Y25" t="str">
        <f t="shared" si="3"/>
        <v>Y</v>
      </c>
      <c r="Z25" t="str">
        <f t="shared" si="3"/>
        <v>Y</v>
      </c>
      <c r="AA25" t="str">
        <f t="shared" si="3"/>
        <v>Y</v>
      </c>
      <c r="AB25"/>
      <c r="AD25"/>
      <c r="AE25"/>
      <c r="AF25"/>
      <c r="AG25" s="3"/>
      <c r="AI25" t="str">
        <f>"WHEN p_sysDictionaryTableID = "&amp;A25&amp;" THEN (SELECT "&amp;L25&amp;" FROM "&amp;C25&amp;" x WHERE x.ID = p_RowID "&amp;IF(I25="Y", " and x.TemporalEndDate = '9999-12-31'","")&amp;")"</f>
        <v>WHEN p_sysDictionaryTableID = 131 THEN (SELECT Description FROM crmLanguage x WHERE x.ID = p_RowID )</v>
      </c>
      <c r="AK25" t="str">
        <f t="shared" si="1"/>
        <v>SELECT setval('crmLanguage_id_seq', COALESCE((SELECT MAX(id)+1 FROM crmLanguage), 1), false);</v>
      </c>
    </row>
    <row r="26" spans="1:39" ht="14.25" customHeight="1">
      <c r="A26">
        <v>132</v>
      </c>
      <c r="B26" t="s">
        <v>1475</v>
      </c>
      <c r="C26" s="3" t="s">
        <v>2753</v>
      </c>
      <c r="D26"/>
      <c r="E26" s="3" t="s">
        <v>1485</v>
      </c>
      <c r="F26" s="3" t="s">
        <v>272</v>
      </c>
      <c r="G26" s="3" t="s">
        <v>1330</v>
      </c>
      <c r="H26" t="s">
        <v>1274</v>
      </c>
      <c r="I26" s="3" t="s">
        <v>919</v>
      </c>
      <c r="K26" s="3" t="s">
        <v>0</v>
      </c>
      <c r="L26" s="4" t="s">
        <v>12</v>
      </c>
      <c r="M26" s="4"/>
      <c r="N26" s="4"/>
      <c r="O26" s="4"/>
      <c r="P26" s="3" t="str">
        <f t="shared" si="2"/>
        <v>Contact Management.Salutation</v>
      </c>
      <c r="R26" s="4" t="s">
        <v>2059</v>
      </c>
      <c r="T26" s="3" t="s">
        <v>7086</v>
      </c>
      <c r="U26" s="3" t="s">
        <v>5974</v>
      </c>
      <c r="X26" s="4"/>
      <c r="Y26" t="str">
        <f t="shared" si="3"/>
        <v>Y</v>
      </c>
      <c r="Z26" t="str">
        <f t="shared" si="3"/>
        <v>Y</v>
      </c>
      <c r="AA26" t="str">
        <f t="shared" si="3"/>
        <v>Y</v>
      </c>
      <c r="AB26" t="str">
        <f>IF(ISERROR(VLOOKUP($C26&amp;"."&amp;#REF!,DictionaryColumns,1,FALSE)),"N","Y")</f>
        <v>N</v>
      </c>
      <c r="AD26" t="str">
        <f>IF(ISERROR(VLOOKUP($C26&amp;"."&amp;#REF!,DictionaryColumns,1,FALSE)),"N","Y")</f>
        <v>N</v>
      </c>
      <c r="AE26" t="str">
        <f>IF(ISERROR(VLOOKUP($C26&amp;"."&amp;#REF!,DictionaryColumns,1,FALSE)),"N","Y")</f>
        <v>N</v>
      </c>
      <c r="AF26"/>
      <c r="AG26" s="3"/>
      <c r="AI26" t="str">
        <f>"WHEN p_sysDictionaryTableID = "&amp;A26&amp;" THEN (SELECT "&amp;L26&amp;" FROM "&amp;C26&amp;" x WHERE x.ID = p_RowID "&amp;IF(I26="Y", " and x.TemporalEndDate = '9999-12-31'","")&amp;")"</f>
        <v>WHEN p_sysDictionaryTableID = 132 THEN (SELECT Description FROM crmSalutation x WHERE x.ID = p_RowID )</v>
      </c>
      <c r="AK26" t="str">
        <f t="shared" si="1"/>
        <v>SELECT setval('crmSalutation_id_seq', COALESCE((SELECT MAX(id)+1 FROM crmSalutation), 1), false);</v>
      </c>
    </row>
    <row r="27" spans="1:39" ht="14.25" customHeight="1">
      <c r="A27">
        <v>200</v>
      </c>
      <c r="B27" t="s">
        <v>1475</v>
      </c>
      <c r="C27" s="3" t="s">
        <v>2756</v>
      </c>
      <c r="D27" s="3" t="s">
        <v>923</v>
      </c>
      <c r="E27" s="3" t="s">
        <v>210</v>
      </c>
      <c r="F27" s="3" t="s">
        <v>437</v>
      </c>
      <c r="G27" s="3" t="s">
        <v>923</v>
      </c>
      <c r="H27" s="3" t="s">
        <v>93</v>
      </c>
      <c r="I27" s="3" t="s">
        <v>919</v>
      </c>
      <c r="K27" s="3" t="s">
        <v>0</v>
      </c>
      <c r="L27" s="3" t="s">
        <v>12</v>
      </c>
      <c r="M27" s="4"/>
      <c r="P27" s="3" t="str">
        <f t="shared" si="2"/>
        <v>Fixed Asset.Fixed Asset</v>
      </c>
      <c r="R27" s="4" t="s">
        <v>2059</v>
      </c>
      <c r="T27" s="3" t="s">
        <v>437</v>
      </c>
      <c r="U27" s="3" t="s">
        <v>2444</v>
      </c>
      <c r="Y27" t="str">
        <f t="shared" si="3"/>
        <v>Y</v>
      </c>
      <c r="Z27" t="str">
        <f t="shared" si="3"/>
        <v>Y</v>
      </c>
      <c r="AA27" t="str">
        <f t="shared" si="3"/>
        <v>Y</v>
      </c>
      <c r="AB27"/>
      <c r="AD27" t="str">
        <f>IF(ISERROR(VLOOKUP($C27&amp;"."&amp;#REF!,DictionaryColumns,1,FALSE)),"N","Y")</f>
        <v>N</v>
      </c>
      <c r="AE27" t="str">
        <f>IF(ISERROR(VLOOKUP($C27&amp;"."&amp;#REF!,DictionaryColumns,1,FALSE)),"N","Y")</f>
        <v>N</v>
      </c>
      <c r="AF27"/>
      <c r="AG27" s="3"/>
      <c r="AI27" t="str">
        <f>"WHEN p_sysDictionaryTableID = "&amp;A27&amp;" THEN (SELECT "&amp;L27&amp;" FROM "&amp;C27&amp;" x WHERE x.ID = p_RowID "&amp;IF(I27="Y", " and x.TemporalEndDate = '9999-12-31'","")&amp;")"</f>
        <v>WHEN p_sysDictionaryTableID = 200 THEN (SELECT Description FROM faFixedAsset x WHERE x.ID = p_RowID )</v>
      </c>
      <c r="AK27" t="str">
        <f t="shared" si="1"/>
        <v>SELECT setval('faFixedAsset_id_seq', COALESCE((SELECT MAX(id)+1 FROM faFixedAsset), 1), false);</v>
      </c>
      <c r="AL27" t="s">
        <v>3937</v>
      </c>
      <c r="AM27" t="str">
        <f>"truncate table "&amp;C27&amp;";"</f>
        <v>truncate table faFixedAsset;</v>
      </c>
    </row>
    <row r="28" spans="1:39" ht="14.25" customHeight="1">
      <c r="A28">
        <v>201</v>
      </c>
      <c r="B28" t="s">
        <v>1475</v>
      </c>
      <c r="C28" s="3" t="s">
        <v>2757</v>
      </c>
      <c r="D28" s="3" t="s">
        <v>924</v>
      </c>
      <c r="E28" s="3" t="s">
        <v>176</v>
      </c>
      <c r="F28" s="3" t="s">
        <v>7103</v>
      </c>
      <c r="G28" s="3" t="s">
        <v>7204</v>
      </c>
      <c r="H28" s="3" t="s">
        <v>93</v>
      </c>
      <c r="I28" s="3" t="s">
        <v>92</v>
      </c>
      <c r="K28" s="3" t="s">
        <v>6145</v>
      </c>
      <c r="M28" s="4"/>
      <c r="P28" s="3" t="str">
        <f t="shared" si="2"/>
        <v>Fixed Asset.Location History</v>
      </c>
      <c r="R28" s="4" t="s">
        <v>2059</v>
      </c>
      <c r="T28" s="3" t="s">
        <v>437</v>
      </c>
      <c r="U28" s="3" t="s">
        <v>2424</v>
      </c>
      <c r="Y28" t="str">
        <f t="shared" si="3"/>
        <v>Y</v>
      </c>
      <c r="Z28" t="str">
        <f t="shared" si="3"/>
        <v>Y</v>
      </c>
      <c r="AA28" t="str">
        <f t="shared" si="3"/>
        <v>Y</v>
      </c>
      <c r="AB28"/>
      <c r="AD28" t="str">
        <f>IF(ISERROR(VLOOKUP($C28&amp;"."&amp;#REF!,DictionaryColumns,1,FALSE)),"N","Y")</f>
        <v>N</v>
      </c>
      <c r="AE28" t="str">
        <f>IF(ISERROR(VLOOKUP($C28&amp;"."&amp;#REF!,DictionaryColumns,1,FALSE)),"N","Y")</f>
        <v>N</v>
      </c>
      <c r="AF28"/>
      <c r="AG28" s="3"/>
      <c r="AK28" t="str">
        <f t="shared" si="1"/>
        <v>SELECT setval('faLocationHistory_id_seq', COALESCE((SELECT MAX(id)+1 FROM faLocationHistory), 1), false);</v>
      </c>
      <c r="AL28" t="s">
        <v>3937</v>
      </c>
      <c r="AM28" t="str">
        <f>"truncate table "&amp;C28&amp;";"</f>
        <v>truncate table faLocationHistory;</v>
      </c>
    </row>
    <row r="29" spans="1:39" ht="14.25" customHeight="1">
      <c r="A29">
        <v>206</v>
      </c>
      <c r="B29" t="s">
        <v>1475</v>
      </c>
      <c r="C29" s="3" t="s">
        <v>2754</v>
      </c>
      <c r="D29" t="s">
        <v>909</v>
      </c>
      <c r="E29" s="3" t="s">
        <v>1493</v>
      </c>
      <c r="F29" s="3" t="s">
        <v>7148</v>
      </c>
      <c r="G29" s="3" t="s">
        <v>7104</v>
      </c>
      <c r="H29" s="3" t="s">
        <v>1274</v>
      </c>
      <c r="I29" s="3" t="s">
        <v>919</v>
      </c>
      <c r="K29" s="3" t="s">
        <v>0</v>
      </c>
      <c r="L29" s="3" t="s">
        <v>12</v>
      </c>
      <c r="M29" s="4"/>
      <c r="O29"/>
      <c r="P29" s="3" t="str">
        <f t="shared" si="2"/>
        <v>Fixed Asset.Depreciation Method</v>
      </c>
      <c r="R29" s="4" t="s">
        <v>2059</v>
      </c>
      <c r="T29" s="3" t="s">
        <v>437</v>
      </c>
      <c r="U29" t="s">
        <v>960</v>
      </c>
      <c r="V29"/>
      <c r="W29"/>
      <c r="X29" s="4"/>
      <c r="Y29" t="str">
        <f t="shared" si="3"/>
        <v>Y</v>
      </c>
      <c r="Z29" t="str">
        <f t="shared" si="3"/>
        <v>Y</v>
      </c>
      <c r="AA29" t="str">
        <f t="shared" si="3"/>
        <v>Y</v>
      </c>
      <c r="AF29"/>
      <c r="AG29" s="3"/>
      <c r="AI29" t="str">
        <f t="shared" ref="AI29:AI34" si="4">"WHEN p_sysDictionaryTableID = "&amp;A29&amp;" THEN (SELECT "&amp;L29&amp;" FROM "&amp;C29&amp;" x WHERE x.ID = p_RowID "&amp;IF(I29="Y", " and x.TemporalEndDate = '9999-12-31'","")&amp;")"</f>
        <v>WHEN p_sysDictionaryTableID = 206 THEN (SELECT Description FROM faDepreciationMethod x WHERE x.ID = p_RowID )</v>
      </c>
      <c r="AK29" t="str">
        <f t="shared" si="1"/>
        <v>SELECT setval('faDepreciationMethod_id_seq', COALESCE((SELECT MAX(id)+1 FROM faDepreciationMethod), 1), false);</v>
      </c>
    </row>
    <row r="30" spans="1:39" ht="14.25" customHeight="1">
      <c r="A30">
        <v>207</v>
      </c>
      <c r="B30" t="s">
        <v>1475</v>
      </c>
      <c r="C30" s="3" t="s">
        <v>2755</v>
      </c>
      <c r="D30" t="s">
        <v>1225</v>
      </c>
      <c r="E30" s="3" t="s">
        <v>1494</v>
      </c>
      <c r="F30" s="3" t="s">
        <v>7149</v>
      </c>
      <c r="G30" s="3" t="s">
        <v>7105</v>
      </c>
      <c r="H30" s="3" t="s">
        <v>1274</v>
      </c>
      <c r="I30" s="3" t="s">
        <v>919</v>
      </c>
      <c r="K30" s="3" t="s">
        <v>0</v>
      </c>
      <c r="L30" s="3" t="s">
        <v>12</v>
      </c>
      <c r="M30" s="4"/>
      <c r="O30"/>
      <c r="P30" s="3" t="str">
        <f t="shared" si="2"/>
        <v>Fixed Asset.Disposal Reason</v>
      </c>
      <c r="R30" s="4" t="s">
        <v>2059</v>
      </c>
      <c r="T30" s="3" t="s">
        <v>437</v>
      </c>
      <c r="U30" t="s">
        <v>962</v>
      </c>
      <c r="V30"/>
      <c r="W30"/>
      <c r="X30" s="4"/>
      <c r="Y30" t="str">
        <f t="shared" si="3"/>
        <v>Y</v>
      </c>
      <c r="Z30" t="str">
        <f t="shared" si="3"/>
        <v>Y</v>
      </c>
      <c r="AA30" t="str">
        <f t="shared" si="3"/>
        <v>Y</v>
      </c>
      <c r="AF30"/>
      <c r="AG30" s="3"/>
      <c r="AI30" t="str">
        <f t="shared" si="4"/>
        <v>WHEN p_sysDictionaryTableID = 207 THEN (SELECT Description FROM faDisposalReason x WHERE x.ID = p_RowID )</v>
      </c>
      <c r="AK30" t="str">
        <f t="shared" si="1"/>
        <v>SELECT setval('faDisposalReason_id_seq', COALESCE((SELECT MAX(id)+1 FROM faDisposalReason), 1), false);</v>
      </c>
    </row>
    <row r="31" spans="1:39" ht="14.25" customHeight="1">
      <c r="A31">
        <v>208</v>
      </c>
      <c r="B31" t="s">
        <v>1475</v>
      </c>
      <c r="C31" s="3" t="s">
        <v>2758</v>
      </c>
      <c r="D31" t="s">
        <v>910</v>
      </c>
      <c r="E31" s="3" t="s">
        <v>1495</v>
      </c>
      <c r="F31" s="3" t="s">
        <v>55</v>
      </c>
      <c r="G31" s="3" t="s">
        <v>1411</v>
      </c>
      <c r="H31" s="3" t="s">
        <v>1274</v>
      </c>
      <c r="I31" s="3" t="s">
        <v>919</v>
      </c>
      <c r="K31" s="3" t="s">
        <v>0</v>
      </c>
      <c r="L31" s="3" t="s">
        <v>12</v>
      </c>
      <c r="M31" s="4"/>
      <c r="O31"/>
      <c r="P31" s="3" t="str">
        <f t="shared" si="2"/>
        <v>Fixed Asset.Status</v>
      </c>
      <c r="R31" s="4" t="s">
        <v>2059</v>
      </c>
      <c r="T31" s="3" t="s">
        <v>437</v>
      </c>
      <c r="U31" t="s">
        <v>961</v>
      </c>
      <c r="V31"/>
      <c r="W31"/>
      <c r="X31" s="4"/>
      <c r="Y31" t="str">
        <f t="shared" ref="Y31:AA49" si="5">IF(ISERROR(VLOOKUP($C31&amp;"."&amp;Y$1,DictionaryColumns,1,FALSE)),"N","Y")</f>
        <v>Y</v>
      </c>
      <c r="Z31" t="str">
        <f t="shared" si="5"/>
        <v>Y</v>
      </c>
      <c r="AA31" t="str">
        <f t="shared" si="5"/>
        <v>Y</v>
      </c>
      <c r="AF31"/>
      <c r="AG31" s="3"/>
      <c r="AI31" t="str">
        <f t="shared" si="4"/>
        <v>WHEN p_sysDictionaryTableID = 208 THEN (SELECT Description FROM faStatus x WHERE x.ID = p_RowID )</v>
      </c>
      <c r="AK31" t="str">
        <f t="shared" si="1"/>
        <v>SELECT setval('faStatus_id_seq', COALESCE((SELECT MAX(id)+1 FROM faStatus), 1), false);</v>
      </c>
    </row>
    <row r="32" spans="1:39" ht="14.25" customHeight="1">
      <c r="A32">
        <v>209</v>
      </c>
      <c r="B32" t="s">
        <v>1475</v>
      </c>
      <c r="C32" s="3" t="s">
        <v>2759</v>
      </c>
      <c r="D32" s="3" t="s">
        <v>326</v>
      </c>
      <c r="E32" s="3" t="s">
        <v>181</v>
      </c>
      <c r="F32" s="3" t="s">
        <v>40</v>
      </c>
      <c r="G32" s="3" t="s">
        <v>7089</v>
      </c>
      <c r="H32" s="3" t="s">
        <v>1274</v>
      </c>
      <c r="I32" s="3" t="s">
        <v>919</v>
      </c>
      <c r="K32" s="3" t="s">
        <v>0</v>
      </c>
      <c r="L32" s="3" t="s">
        <v>12</v>
      </c>
      <c r="M32" s="4"/>
      <c r="P32" s="3" t="str">
        <f t="shared" si="2"/>
        <v>Fixed Asset.Type</v>
      </c>
      <c r="R32" s="4" t="s">
        <v>2059</v>
      </c>
      <c r="T32" s="3" t="s">
        <v>437</v>
      </c>
      <c r="U32" s="3" t="s">
        <v>2447</v>
      </c>
      <c r="X32" s="4"/>
      <c r="Y32" t="str">
        <f t="shared" si="5"/>
        <v>Y</v>
      </c>
      <c r="Z32" t="str">
        <f t="shared" si="5"/>
        <v>Y</v>
      </c>
      <c r="AA32" t="str">
        <f t="shared" si="5"/>
        <v>Y</v>
      </c>
      <c r="AB32" t="str">
        <f>IF(ISERROR(VLOOKUP($C32&amp;"."&amp;#REF!,DictionaryColumns,1,FALSE)),"N","Y")</f>
        <v>N</v>
      </c>
      <c r="AD32" t="str">
        <f>IF(ISERROR(VLOOKUP($C32&amp;"."&amp;#REF!,DictionaryColumns,1,FALSE)),"N","Y")</f>
        <v>N</v>
      </c>
      <c r="AE32" t="str">
        <f>IF(ISERROR(VLOOKUP($C32&amp;"."&amp;#REF!,DictionaryColumns,1,FALSE)),"N","Y")</f>
        <v>N</v>
      </c>
      <c r="AF32"/>
      <c r="AG32" s="3"/>
      <c r="AI32" t="str">
        <f t="shared" si="4"/>
        <v>WHEN p_sysDictionaryTableID = 209 THEN (SELECT Description FROM faType x WHERE x.ID = p_RowID )</v>
      </c>
      <c r="AK32" t="str">
        <f t="shared" si="1"/>
        <v>SELECT setval('faType_id_seq', COALESCE((SELECT MAX(id)+1 FROM faType), 1), false);</v>
      </c>
      <c r="AL32" t="s">
        <v>3937</v>
      </c>
    </row>
    <row r="33" spans="1:39" ht="14.25" customHeight="1">
      <c r="A33">
        <v>300</v>
      </c>
      <c r="B33" t="s">
        <v>1475</v>
      </c>
      <c r="C33" s="3" t="s">
        <v>2760</v>
      </c>
      <c r="D33" t="s">
        <v>1047</v>
      </c>
      <c r="E33" s="3" t="s">
        <v>129</v>
      </c>
      <c r="F33" s="3" t="s">
        <v>123</v>
      </c>
      <c r="G33" t="s">
        <v>7214</v>
      </c>
      <c r="H33" t="s">
        <v>1274</v>
      </c>
      <c r="I33" s="3" t="s">
        <v>919</v>
      </c>
      <c r="K33" s="3" t="s">
        <v>0</v>
      </c>
      <c r="L33" s="4" t="s">
        <v>12</v>
      </c>
      <c r="M33" s="4"/>
      <c r="N33" s="4"/>
      <c r="O33" s="4"/>
      <c r="P33" s="3" t="str">
        <f t="shared" si="2"/>
        <v>General Ledger.GL Account</v>
      </c>
      <c r="R33" s="4" t="s">
        <v>2059</v>
      </c>
      <c r="T33" s="3" t="s">
        <v>7084</v>
      </c>
      <c r="U33" s="3" t="s">
        <v>2457</v>
      </c>
      <c r="X33" s="4"/>
      <c r="Y33" t="str">
        <f t="shared" si="5"/>
        <v>Y</v>
      </c>
      <c r="Z33" t="str">
        <f t="shared" si="5"/>
        <v>Y</v>
      </c>
      <c r="AA33" t="str">
        <f t="shared" si="5"/>
        <v>Y</v>
      </c>
      <c r="AB33" t="s">
        <v>2972</v>
      </c>
      <c r="AC33"/>
      <c r="AD33"/>
      <c r="AE33"/>
      <c r="AF33"/>
      <c r="AG33" s="3"/>
      <c r="AI33" t="str">
        <f t="shared" si="4"/>
        <v>WHEN p_sysDictionaryTableID = 300 THEN (SELECT Description FROM glAccount x WHERE x.ID = p_RowID )</v>
      </c>
      <c r="AK33" t="str">
        <f t="shared" si="1"/>
        <v>SELECT setval('glAccount_id_seq', COALESCE((SELECT MAX(id)+1 FROM glAccount), 1), false);</v>
      </c>
      <c r="AL33" t="s">
        <v>4160</v>
      </c>
    </row>
    <row r="34" spans="1:39" ht="14.25" customHeight="1">
      <c r="A34">
        <v>301</v>
      </c>
      <c r="B34" t="s">
        <v>1475</v>
      </c>
      <c r="C34" s="3" t="s">
        <v>2770</v>
      </c>
      <c r="D34" s="3" t="s">
        <v>328</v>
      </c>
      <c r="E34" s="3" t="s">
        <v>1505</v>
      </c>
      <c r="F34" s="3" t="s">
        <v>328</v>
      </c>
      <c r="G34" s="3" t="s">
        <v>7106</v>
      </c>
      <c r="H34" s="3" t="s">
        <v>1274</v>
      </c>
      <c r="I34" s="3" t="s">
        <v>919</v>
      </c>
      <c r="K34" s="3" t="s">
        <v>0</v>
      </c>
      <c r="L34" s="3" t="s">
        <v>12</v>
      </c>
      <c r="M34" s="4"/>
      <c r="P34" s="3" t="str">
        <f t="shared" si="2"/>
        <v>General Ledger.Cost Centre</v>
      </c>
      <c r="R34" s="4" t="s">
        <v>2059</v>
      </c>
      <c r="T34" s="3" t="s">
        <v>7084</v>
      </c>
      <c r="U34" s="3" t="s">
        <v>2456</v>
      </c>
      <c r="X34" s="4"/>
      <c r="Y34" t="str">
        <f t="shared" si="5"/>
        <v>Y</v>
      </c>
      <c r="Z34" t="str">
        <f t="shared" si="5"/>
        <v>Y</v>
      </c>
      <c r="AA34" t="str">
        <f t="shared" si="5"/>
        <v>Y</v>
      </c>
      <c r="AB34" t="str">
        <f>IF(ISERROR(VLOOKUP($C34&amp;"."&amp;#REF!,DictionaryColumns,1,FALSE)),"N","Y")</f>
        <v>N</v>
      </c>
      <c r="AD34" t="str">
        <f>IF(ISERROR(VLOOKUP($C34&amp;"."&amp;#REF!,DictionaryColumns,1,FALSE)),"N","Y")</f>
        <v>N</v>
      </c>
      <c r="AE34" t="str">
        <f>IF(ISERROR(VLOOKUP($C34&amp;"."&amp;#REF!,DictionaryColumns,1,FALSE)),"N","Y")</f>
        <v>N</v>
      </c>
      <c r="AF34"/>
      <c r="AG34" s="3"/>
      <c r="AI34" t="str">
        <f t="shared" si="4"/>
        <v>WHEN p_sysDictionaryTableID = 301 THEN (SELECT Description FROM glCostCentre x WHERE x.ID = p_RowID )</v>
      </c>
      <c r="AK34" t="str">
        <f t="shared" ref="AK34:AK65" si="6">"SELECT setval('"&amp;C34&amp;"_id_seq', COALESCE((SELECT MAX(id)+1 FROM "&amp;C34&amp;"), 1), false);"</f>
        <v>SELECT setval('glCostCentre_id_seq', COALESCE((SELECT MAX(id)+1 FROM glCostCentre), 1), false);</v>
      </c>
    </row>
    <row r="35" spans="1:39" ht="14.25" customHeight="1">
      <c r="A35">
        <v>302</v>
      </c>
      <c r="B35" t="s">
        <v>1475</v>
      </c>
      <c r="C35" s="3" t="s">
        <v>6023</v>
      </c>
      <c r="D35" s="3" t="s">
        <v>931</v>
      </c>
      <c r="E35" s="3" t="s">
        <v>1888</v>
      </c>
      <c r="F35" s="3" t="s">
        <v>7169</v>
      </c>
      <c r="G35" s="3" t="s">
        <v>7169</v>
      </c>
      <c r="H35" s="3" t="s">
        <v>93</v>
      </c>
      <c r="I35" s="3" t="s">
        <v>919</v>
      </c>
      <c r="K35" s="3" t="s">
        <v>0</v>
      </c>
      <c r="M35" s="4"/>
      <c r="P35" s="3" t="str">
        <f t="shared" si="2"/>
        <v>General Ledger.Account Cost Centre</v>
      </c>
      <c r="R35" s="4" t="s">
        <v>2059</v>
      </c>
      <c r="T35" s="3" t="s">
        <v>7084</v>
      </c>
      <c r="U35" s="3" t="s">
        <v>2443</v>
      </c>
      <c r="Y35" t="str">
        <f t="shared" si="5"/>
        <v>Y</v>
      </c>
      <c r="Z35" t="str">
        <f t="shared" si="5"/>
        <v>Y</v>
      </c>
      <c r="AA35" t="str">
        <f t="shared" si="5"/>
        <v>Y</v>
      </c>
      <c r="AB35" t="s">
        <v>2972</v>
      </c>
      <c r="AD35" t="str">
        <f>IF(ISERROR(VLOOKUP($C35&amp;"."&amp;#REF!,DictionaryColumns,1,FALSE)),"N","Y")</f>
        <v>N</v>
      </c>
      <c r="AE35" t="str">
        <f>IF(ISERROR(VLOOKUP($C35&amp;"."&amp;#REF!,DictionaryColumns,1,FALSE)),"N","Y")</f>
        <v>N</v>
      </c>
      <c r="AF35"/>
      <c r="AG35" s="3"/>
      <c r="AK35" t="str">
        <f t="shared" si="6"/>
        <v>SELECT setval('glAccountCostCentre_id_seq', COALESCE((SELECT MAX(id)+1 FROM glAccountCostCentre), 1), false);</v>
      </c>
      <c r="AL35" t="s">
        <v>4160</v>
      </c>
    </row>
    <row r="36" spans="1:39" ht="14.25" customHeight="1">
      <c r="A36">
        <v>303</v>
      </c>
      <c r="B36" t="s">
        <v>1475</v>
      </c>
      <c r="C36" s="3" t="s">
        <v>2761</v>
      </c>
      <c r="D36" s="3" t="s">
        <v>925</v>
      </c>
      <c r="E36" s="3" t="s">
        <v>1496</v>
      </c>
      <c r="F36" s="3" t="s">
        <v>7150</v>
      </c>
      <c r="G36" s="3" t="s">
        <v>7107</v>
      </c>
      <c r="H36" s="3" t="s">
        <v>93</v>
      </c>
      <c r="I36" s="3" t="s">
        <v>919</v>
      </c>
      <c r="K36" s="3" t="s">
        <v>0</v>
      </c>
      <c r="M36" s="4"/>
      <c r="P36" s="3" t="str">
        <f t="shared" si="2"/>
        <v>General Ledger.Account Balance</v>
      </c>
      <c r="T36" s="3" t="s">
        <v>7084</v>
      </c>
      <c r="U36" s="3" t="s">
        <v>2441</v>
      </c>
      <c r="Y36" t="str">
        <f t="shared" si="5"/>
        <v>N</v>
      </c>
      <c r="Z36" t="str">
        <f t="shared" si="5"/>
        <v>Y</v>
      </c>
      <c r="AA36" t="str">
        <f t="shared" si="5"/>
        <v>Y</v>
      </c>
      <c r="AB36"/>
      <c r="AD36" t="str">
        <f>IF(ISERROR(VLOOKUP($C36&amp;"."&amp;#REF!,DictionaryColumns,1,FALSE)),"N","Y")</f>
        <v>N</v>
      </c>
      <c r="AE36" t="str">
        <f>IF(ISERROR(VLOOKUP($C36&amp;"."&amp;#REF!,DictionaryColumns,1,FALSE)),"N","Y")</f>
        <v>N</v>
      </c>
      <c r="AF36"/>
      <c r="AG36" s="3"/>
      <c r="AK36" t="str">
        <f t="shared" si="6"/>
        <v>SELECT setval('glAccountBalance_id_seq', COALESCE((SELECT MAX(id)+1 FROM glAccountBalance), 1), false);</v>
      </c>
      <c r="AL36" t="s">
        <v>3937</v>
      </c>
      <c r="AM36" t="str">
        <f>"truncate table "&amp;C36&amp;";"</f>
        <v>truncate table glAccountBalance;</v>
      </c>
    </row>
    <row r="37" spans="1:39" ht="14.25" customHeight="1">
      <c r="A37">
        <v>310</v>
      </c>
      <c r="B37" t="s">
        <v>1475</v>
      </c>
      <c r="C37" s="3" t="s">
        <v>2763</v>
      </c>
      <c r="D37" t="s">
        <v>1043</v>
      </c>
      <c r="E37" s="3" t="s">
        <v>1498</v>
      </c>
      <c r="F37" s="3" t="s">
        <v>7215</v>
      </c>
      <c r="G37" t="s">
        <v>7213</v>
      </c>
      <c r="H37" t="s">
        <v>93</v>
      </c>
      <c r="I37" s="3" t="s">
        <v>919</v>
      </c>
      <c r="K37" s="3" t="s">
        <v>0</v>
      </c>
      <c r="L37" s="4" t="s">
        <v>12</v>
      </c>
      <c r="M37" s="4"/>
      <c r="N37" s="4"/>
      <c r="O37" s="4"/>
      <c r="P37" s="3" t="str">
        <f t="shared" si="2"/>
        <v>General Ledger.GL Batch</v>
      </c>
      <c r="R37" s="4"/>
      <c r="T37" s="3" t="s">
        <v>7084</v>
      </c>
      <c r="U37" s="3" t="s">
        <v>2449</v>
      </c>
      <c r="X37" s="4"/>
      <c r="Y37" t="str">
        <f t="shared" si="5"/>
        <v>N</v>
      </c>
      <c r="Z37" t="str">
        <f t="shared" si="5"/>
        <v>Y</v>
      </c>
      <c r="AA37" t="str">
        <f t="shared" si="5"/>
        <v>Y</v>
      </c>
      <c r="AB37" t="s">
        <v>2972</v>
      </c>
      <c r="AC37"/>
      <c r="AD37"/>
      <c r="AE37"/>
      <c r="AF37"/>
      <c r="AG37" s="3"/>
      <c r="AI37" t="str">
        <f>"WHEN p_sysDictionaryTableID = "&amp;A37&amp;" THEN (SELECT "&amp;L37&amp;" FROM "&amp;C37&amp;" x WHERE x.ID = p_RowID "&amp;IF(I37="Y", " and x.TemporalEndDate = '9999-12-31'","")&amp;")"</f>
        <v>WHEN p_sysDictionaryTableID = 310 THEN (SELECT Description FROM glBatch x WHERE x.ID = p_RowID )</v>
      </c>
      <c r="AK37" t="str">
        <f t="shared" si="6"/>
        <v>SELECT setval('glBatch_id_seq', COALESCE((SELECT MAX(id)+1 FROM glBatch), 1), false);</v>
      </c>
      <c r="AL37" t="s">
        <v>3937</v>
      </c>
      <c r="AM37" t="str">
        <f>"truncate table "&amp;C37&amp;";"</f>
        <v>truncate table glBatch;</v>
      </c>
    </row>
    <row r="38" spans="1:39" ht="14.25" customHeight="1">
      <c r="A38">
        <v>311</v>
      </c>
      <c r="B38" t="s">
        <v>1475</v>
      </c>
      <c r="C38" s="3" t="s">
        <v>2779</v>
      </c>
      <c r="D38" t="s">
        <v>1054</v>
      </c>
      <c r="E38" s="3" t="s">
        <v>1513</v>
      </c>
      <c r="F38" s="3" t="s">
        <v>7216</v>
      </c>
      <c r="G38" t="s">
        <v>7212</v>
      </c>
      <c r="H38" t="s">
        <v>93</v>
      </c>
      <c r="I38" s="3" t="s">
        <v>919</v>
      </c>
      <c r="K38" s="3" t="s">
        <v>0</v>
      </c>
      <c r="L38" s="4" t="s">
        <v>12</v>
      </c>
      <c r="M38" s="4"/>
      <c r="N38" s="4"/>
      <c r="O38" s="4" t="s">
        <v>1055</v>
      </c>
      <c r="P38" s="3" t="str">
        <f t="shared" si="2"/>
        <v>General Ledger.GL Transaction</v>
      </c>
      <c r="R38" s="4"/>
      <c r="T38" s="3" t="s">
        <v>7084</v>
      </c>
      <c r="U38" s="3" t="s">
        <v>2452</v>
      </c>
      <c r="X38" s="4"/>
      <c r="Y38" t="str">
        <f t="shared" si="5"/>
        <v>N</v>
      </c>
      <c r="Z38" t="str">
        <f t="shared" si="5"/>
        <v>Y</v>
      </c>
      <c r="AA38" t="str">
        <f t="shared" si="5"/>
        <v>Y</v>
      </c>
      <c r="AB38" t="s">
        <v>2972</v>
      </c>
      <c r="AC38"/>
      <c r="AD38"/>
      <c r="AE38"/>
      <c r="AF38"/>
      <c r="AG38" s="3"/>
      <c r="AI38" t="str">
        <f>"WHEN p_sysDictionaryTableID = "&amp;A38&amp;" THEN (SELECT "&amp;L38&amp;" FROM "&amp;C38&amp;" x WHERE x.ID = p_RowID "&amp;IF(I38="Y", " and x.TemporalEndDate = '9999-12-31'","")&amp;")"</f>
        <v>WHEN p_sysDictionaryTableID = 311 THEN (SELECT Description FROM glTransaction x WHERE x.ID = p_RowID )</v>
      </c>
      <c r="AK38" t="str">
        <f t="shared" si="6"/>
        <v>SELECT setval('glTransaction_id_seq', COALESCE((SELECT MAX(id)+1 FROM glTransaction), 1), false);</v>
      </c>
      <c r="AL38" t="s">
        <v>3937</v>
      </c>
      <c r="AM38" t="str">
        <f>"truncate table "&amp;C38&amp;";"</f>
        <v>truncate table glTransaction;</v>
      </c>
    </row>
    <row r="39" spans="1:39" ht="14.25" customHeight="1">
      <c r="A39">
        <v>312</v>
      </c>
      <c r="B39" t="s">
        <v>1475</v>
      </c>
      <c r="C39" s="3" t="s">
        <v>2780</v>
      </c>
      <c r="D39" t="s">
        <v>1045</v>
      </c>
      <c r="E39" s="3" t="s">
        <v>1514</v>
      </c>
      <c r="F39" s="3" t="s">
        <v>7151</v>
      </c>
      <c r="G39" t="s">
        <v>7108</v>
      </c>
      <c r="H39" t="s">
        <v>252</v>
      </c>
      <c r="I39" s="3" t="s">
        <v>919</v>
      </c>
      <c r="K39" s="3" t="s">
        <v>0</v>
      </c>
      <c r="L39" s="4"/>
      <c r="M39" s="4"/>
      <c r="N39" s="4"/>
      <c r="O39" s="4"/>
      <c r="P39" s="3" t="str">
        <f t="shared" si="2"/>
        <v>General Ledger.Cash Receipt Detail</v>
      </c>
      <c r="R39" s="4"/>
      <c r="T39" s="3" t="s">
        <v>7084</v>
      </c>
      <c r="U39"/>
      <c r="V39"/>
      <c r="W39"/>
      <c r="X39" s="4"/>
      <c r="Y39" t="str">
        <f t="shared" si="5"/>
        <v>N</v>
      </c>
      <c r="Z39" t="str">
        <f t="shared" si="5"/>
        <v>Y</v>
      </c>
      <c r="AA39" t="str">
        <f t="shared" si="5"/>
        <v>Y</v>
      </c>
      <c r="AB39"/>
      <c r="AC39"/>
      <c r="AD39"/>
      <c r="AE39"/>
      <c r="AF39"/>
      <c r="AG39" s="3"/>
      <c r="AI39"/>
      <c r="AK39" t="str">
        <f t="shared" si="6"/>
        <v>SELECT setval('glTransactionSubTypeCashReceipt_id_seq', COALESCE((SELECT MAX(id)+1 FROM glTransactionSubTypeCashReceipt), 1), false);</v>
      </c>
      <c r="AL39" t="s">
        <v>3937</v>
      </c>
      <c r="AM39" t="str">
        <f>"truncate table "&amp;C39&amp;";"</f>
        <v>truncate table glTransactionSubTypeCashReceipt;</v>
      </c>
    </row>
    <row r="40" spans="1:39" ht="14.25" customHeight="1">
      <c r="A40">
        <v>313</v>
      </c>
      <c r="B40" t="s">
        <v>1475</v>
      </c>
      <c r="C40" s="3" t="s">
        <v>2781</v>
      </c>
      <c r="D40" s="3" t="s">
        <v>930</v>
      </c>
      <c r="E40" s="3" t="s">
        <v>1515</v>
      </c>
      <c r="F40" s="3" t="s">
        <v>7152</v>
      </c>
      <c r="G40" s="3" t="s">
        <v>7109</v>
      </c>
      <c r="H40" t="s">
        <v>252</v>
      </c>
      <c r="I40" s="3" t="s">
        <v>919</v>
      </c>
      <c r="K40" s="3" t="s">
        <v>0</v>
      </c>
      <c r="M40" s="4"/>
      <c r="P40" s="3" t="str">
        <f t="shared" si="2"/>
        <v>General Ledger.Cheque Detail</v>
      </c>
      <c r="T40" s="3" t="s">
        <v>7084</v>
      </c>
      <c r="U40" s="3" t="s">
        <v>2438</v>
      </c>
      <c r="Y40" t="str">
        <f t="shared" si="5"/>
        <v>N</v>
      </c>
      <c r="Z40" t="str">
        <f t="shared" si="5"/>
        <v>Y</v>
      </c>
      <c r="AA40" t="str">
        <f t="shared" si="5"/>
        <v>Y</v>
      </c>
      <c r="AB40" t="str">
        <f>IF(ISERROR(VLOOKUP($C40&amp;"."&amp;#REF!,DictionaryColumns,1,FALSE)),"N","Y")</f>
        <v>N</v>
      </c>
      <c r="AD40" t="str">
        <f>IF(ISERROR(VLOOKUP($C40&amp;"."&amp;#REF!,DictionaryColumns,1,FALSE)),"N","Y")</f>
        <v>N</v>
      </c>
      <c r="AE40" t="str">
        <f>IF(ISERROR(VLOOKUP($C40&amp;"."&amp;#REF!,DictionaryColumns,1,FALSE)),"N","Y")</f>
        <v>N</v>
      </c>
      <c r="AF40"/>
      <c r="AG40" s="3"/>
      <c r="AK40" t="str">
        <f t="shared" si="6"/>
        <v>SELECT setval('glTransactionSubTypeCheque_id_seq', COALESCE((SELECT MAX(id)+1 FROM glTransactionSubTypeCheque), 1), false);</v>
      </c>
      <c r="AL40" t="s">
        <v>3937</v>
      </c>
      <c r="AM40" t="str">
        <f>"truncate table "&amp;C40&amp;";"</f>
        <v>truncate table glTransactionSubTypeCheque;</v>
      </c>
    </row>
    <row r="41" spans="1:39" ht="14.25" customHeight="1">
      <c r="A41">
        <v>314</v>
      </c>
      <c r="B41" t="s">
        <v>1475</v>
      </c>
      <c r="C41" s="3" t="s">
        <v>2782</v>
      </c>
      <c r="D41" s="3" t="s">
        <v>937</v>
      </c>
      <c r="E41" s="3" t="s">
        <v>1516</v>
      </c>
      <c r="F41" s="3" t="s">
        <v>7153</v>
      </c>
      <c r="G41" s="3" t="s">
        <v>7110</v>
      </c>
      <c r="H41" t="s">
        <v>252</v>
      </c>
      <c r="I41" s="3" t="s">
        <v>919</v>
      </c>
      <c r="K41" s="3" t="s">
        <v>0</v>
      </c>
      <c r="M41" s="4"/>
      <c r="P41" s="3" t="str">
        <f t="shared" si="2"/>
        <v>General Ledger.Invoice Detail</v>
      </c>
      <c r="T41" s="3" t="s">
        <v>7084</v>
      </c>
      <c r="U41" s="3" t="s">
        <v>2439</v>
      </c>
      <c r="Y41" t="str">
        <f t="shared" si="5"/>
        <v>Y</v>
      </c>
      <c r="Z41" t="str">
        <f t="shared" si="5"/>
        <v>Y</v>
      </c>
      <c r="AA41" t="str">
        <f t="shared" si="5"/>
        <v>Y</v>
      </c>
      <c r="AB41" t="str">
        <f>IF(ISERROR(VLOOKUP($C41&amp;"."&amp;#REF!,DictionaryColumns,1,FALSE)),"N","Y")</f>
        <v>N</v>
      </c>
      <c r="AD41" t="str">
        <f>IF(ISERROR(VLOOKUP($C41&amp;"."&amp;#REF!,DictionaryColumns,1,FALSE)),"N","Y")</f>
        <v>N</v>
      </c>
      <c r="AE41" t="str">
        <f>IF(ISERROR(VLOOKUP($C41&amp;"."&amp;#REF!,DictionaryColumns,1,FALSE)),"N","Y")</f>
        <v>N</v>
      </c>
      <c r="AF41"/>
      <c r="AG41" s="3"/>
      <c r="AK41" t="str">
        <f t="shared" si="6"/>
        <v>SELECT setval('glTransactionSubTypeInvoice_id_seq', COALESCE((SELECT MAX(id)+1 FROM glTransactionSubTypeInvoice), 1), false);</v>
      </c>
    </row>
    <row r="42" spans="1:39" ht="14.25" customHeight="1">
      <c r="A42">
        <v>315</v>
      </c>
      <c r="B42" t="s">
        <v>1475</v>
      </c>
      <c r="C42" s="3" t="s">
        <v>2783</v>
      </c>
      <c r="E42" s="3" t="s">
        <v>1517</v>
      </c>
      <c r="F42" s="3" t="s">
        <v>7218</v>
      </c>
      <c r="G42" t="s">
        <v>7217</v>
      </c>
      <c r="H42" s="3" t="s">
        <v>1274</v>
      </c>
      <c r="I42" s="3" t="s">
        <v>919</v>
      </c>
      <c r="K42" s="3" t="s">
        <v>0</v>
      </c>
      <c r="L42" s="4" t="s">
        <v>12</v>
      </c>
      <c r="M42" s="4"/>
      <c r="P42" s="3" t="str">
        <f t="shared" si="2"/>
        <v>General Ledger.GL Transaction Type</v>
      </c>
      <c r="R42" s="4" t="s">
        <v>2059</v>
      </c>
      <c r="T42" s="3" t="s">
        <v>7084</v>
      </c>
      <c r="U42" s="3" t="s">
        <v>5972</v>
      </c>
      <c r="X42" s="4"/>
      <c r="Y42" t="str">
        <f t="shared" si="5"/>
        <v>Y</v>
      </c>
      <c r="Z42" t="str">
        <f t="shared" si="5"/>
        <v>Y</v>
      </c>
      <c r="AA42" t="str">
        <f t="shared" si="5"/>
        <v>Y</v>
      </c>
      <c r="AB42"/>
      <c r="AD42"/>
      <c r="AE42"/>
      <c r="AF42"/>
      <c r="AG42" s="3"/>
      <c r="AI42" t="str">
        <f>"WHEN p_sysDictionaryTableID = "&amp;A42&amp;" THEN (SELECT "&amp;L42&amp;" FROM "&amp;C42&amp;" x WHERE x.ID = p_RowID "&amp;IF(I42="Y", " and x.TemporalEndDate = '9999-12-31'","")&amp;")"</f>
        <v>WHEN p_sysDictionaryTableID = 315 THEN (SELECT Description FROM glTransactionType x WHERE x.ID = p_RowID )</v>
      </c>
      <c r="AK42" t="str">
        <f t="shared" si="6"/>
        <v>SELECT setval('glTransactionType_id_seq', COALESCE((SELECT MAX(id)+1 FROM glTransactionType), 1), false);</v>
      </c>
    </row>
    <row r="43" spans="1:39" ht="14.25" customHeight="1">
      <c r="A43">
        <v>316</v>
      </c>
      <c r="B43" t="s">
        <v>1475</v>
      </c>
      <c r="C43" s="3" t="s">
        <v>2772</v>
      </c>
      <c r="D43" t="s">
        <v>1048</v>
      </c>
      <c r="E43" s="3" t="s">
        <v>128</v>
      </c>
      <c r="F43" s="3" t="s">
        <v>1351</v>
      </c>
      <c r="G43" t="s">
        <v>7201</v>
      </c>
      <c r="H43" t="s">
        <v>93</v>
      </c>
      <c r="I43" s="3" t="s">
        <v>919</v>
      </c>
      <c r="K43" s="3" t="s">
        <v>0</v>
      </c>
      <c r="L43" s="4" t="s">
        <v>12</v>
      </c>
      <c r="M43" s="4"/>
      <c r="N43" s="4"/>
      <c r="O43" s="4" t="s">
        <v>1049</v>
      </c>
      <c r="P43" s="3" t="str">
        <f t="shared" si="2"/>
        <v>General Ledger.Entry</v>
      </c>
      <c r="R43" s="4" t="s">
        <v>6325</v>
      </c>
      <c r="T43" s="3" t="s">
        <v>7084</v>
      </c>
      <c r="U43" s="3" t="s">
        <v>2430</v>
      </c>
      <c r="X43" s="4"/>
      <c r="Y43" t="str">
        <f t="shared" si="5"/>
        <v>N</v>
      </c>
      <c r="Z43" t="str">
        <f t="shared" si="5"/>
        <v>Y</v>
      </c>
      <c r="AA43" t="str">
        <f t="shared" si="5"/>
        <v>Y</v>
      </c>
      <c r="AB43" t="s">
        <v>2972</v>
      </c>
      <c r="AC43"/>
      <c r="AD43"/>
      <c r="AE43"/>
      <c r="AF43"/>
      <c r="AG43" s="3"/>
      <c r="AI43" t="str">
        <f>"WHEN p_sysDictionaryTableID = "&amp;A43&amp;" THEN (SELECT "&amp;L43&amp;" FROM "&amp;C43&amp;" x WHERE x.ID = p_RowID "&amp;IF(I43="Y", " and x.TemporalEndDate = '9999-12-31'","")&amp;")"</f>
        <v>WHEN p_sysDictionaryTableID = 316 THEN (SELECT Description FROM glEntry x WHERE x.ID = p_RowID )</v>
      </c>
      <c r="AK43" t="str">
        <f t="shared" si="6"/>
        <v>SELECT setval('glEntry_id_seq', COALESCE((SELECT MAX(id)+1 FROM glEntry), 1), false);</v>
      </c>
      <c r="AL43" t="s">
        <v>3937</v>
      </c>
      <c r="AM43" t="str">
        <f>"truncate table "&amp;C43&amp;";"</f>
        <v>truncate table glEntry;</v>
      </c>
    </row>
    <row r="44" spans="1:39" ht="14.25" customHeight="1">
      <c r="A44">
        <v>317</v>
      </c>
      <c r="B44" t="s">
        <v>1475</v>
      </c>
      <c r="C44" s="3" t="s">
        <v>2773</v>
      </c>
      <c r="E44" s="3" t="s">
        <v>1507</v>
      </c>
      <c r="F44" s="3" t="s">
        <v>7154</v>
      </c>
      <c r="G44" s="3" t="s">
        <v>7202</v>
      </c>
      <c r="H44" s="3" t="s">
        <v>1274</v>
      </c>
      <c r="I44" s="3" t="s">
        <v>919</v>
      </c>
      <c r="K44" s="3" t="s">
        <v>0</v>
      </c>
      <c r="L44" s="4" t="s">
        <v>12</v>
      </c>
      <c r="M44" s="4"/>
      <c r="P44" s="3" t="str">
        <f t="shared" si="2"/>
        <v>General Ledger.Entry Type</v>
      </c>
      <c r="R44" s="4" t="s">
        <v>2059</v>
      </c>
      <c r="T44" s="3" t="s">
        <v>7084</v>
      </c>
      <c r="U44" s="3" t="s">
        <v>5973</v>
      </c>
      <c r="X44" s="4"/>
      <c r="Y44" t="str">
        <f t="shared" si="5"/>
        <v>Y</v>
      </c>
      <c r="Z44" t="str">
        <f t="shared" si="5"/>
        <v>Y</v>
      </c>
      <c r="AA44" t="str">
        <f t="shared" si="5"/>
        <v>Y</v>
      </c>
      <c r="AB44"/>
      <c r="AD44"/>
      <c r="AE44"/>
      <c r="AF44"/>
      <c r="AG44" s="3"/>
      <c r="AI44" t="str">
        <f>"WHEN p_sysDictionaryTableID = "&amp;A44&amp;" THEN (SELECT "&amp;L44&amp;" FROM "&amp;C44&amp;" x WHERE x.ID = p_RowID "&amp;IF(I44="Y", " and x.TemporalEndDate = '9999-12-31'","")&amp;")"</f>
        <v>WHEN p_sysDictionaryTableID = 317 THEN (SELECT Description FROM glEntryType x WHERE x.ID = p_RowID )</v>
      </c>
      <c r="AK44" t="str">
        <f t="shared" si="6"/>
        <v>SELECT setval('glEntryType_id_seq', COALESCE((SELECT MAX(id)+1 FROM glEntryType), 1), false);</v>
      </c>
    </row>
    <row r="45" spans="1:39" ht="14.25" customHeight="1">
      <c r="A45">
        <v>318</v>
      </c>
      <c r="B45" t="s">
        <v>1475</v>
      </c>
      <c r="C45" s="3" t="s">
        <v>2777</v>
      </c>
      <c r="D45" t="s">
        <v>1051</v>
      </c>
      <c r="E45" s="3" t="s">
        <v>1511</v>
      </c>
      <c r="F45" s="3" t="s">
        <v>1052</v>
      </c>
      <c r="G45" t="s">
        <v>7203</v>
      </c>
      <c r="H45" t="s">
        <v>94</v>
      </c>
      <c r="I45" s="3" t="s">
        <v>919</v>
      </c>
      <c r="K45" s="3" t="s">
        <v>0</v>
      </c>
      <c r="L45" s="4" t="s">
        <v>1036</v>
      </c>
      <c r="M45" s="4"/>
      <c r="N45" s="4"/>
      <c r="O45" s="4"/>
      <c r="P45" s="3" t="str">
        <f t="shared" si="2"/>
        <v>General Ledger.Reconciliation</v>
      </c>
      <c r="R45" s="4"/>
      <c r="T45" s="3" t="s">
        <v>7084</v>
      </c>
      <c r="U45"/>
      <c r="V45"/>
      <c r="W45"/>
      <c r="X45" s="4"/>
      <c r="Y45" t="str">
        <f t="shared" si="5"/>
        <v>N</v>
      </c>
      <c r="Z45" t="str">
        <f t="shared" si="5"/>
        <v>Y</v>
      </c>
      <c r="AA45" t="str">
        <f t="shared" si="5"/>
        <v>Y</v>
      </c>
      <c r="AB45"/>
      <c r="AC45"/>
      <c r="AD45"/>
      <c r="AE45"/>
      <c r="AF45"/>
      <c r="AG45" s="3"/>
      <c r="AI45"/>
      <c r="AK45" t="str">
        <f t="shared" si="6"/>
        <v>SELECT setval('glReconciliation_id_seq', COALESCE((SELECT MAX(id)+1 FROM glReconciliation), 1), false);</v>
      </c>
      <c r="AL45" t="s">
        <v>3937</v>
      </c>
      <c r="AM45" t="str">
        <f>"truncate table "&amp;C45&amp;";"</f>
        <v>truncate table glReconciliation;</v>
      </c>
    </row>
    <row r="46" spans="1:39" ht="14.25" customHeight="1">
      <c r="A46">
        <v>320</v>
      </c>
      <c r="B46" t="s">
        <v>1475</v>
      </c>
      <c r="C46" s="3" t="s">
        <v>2778</v>
      </c>
      <c r="D46" t="s">
        <v>1046</v>
      </c>
      <c r="E46" s="3" t="s">
        <v>1512</v>
      </c>
      <c r="F46" s="3" t="s">
        <v>7111</v>
      </c>
      <c r="G46" t="s">
        <v>7111</v>
      </c>
      <c r="H46" t="s">
        <v>94</v>
      </c>
      <c r="I46" s="3" t="s">
        <v>919</v>
      </c>
      <c r="K46" s="3" t="s">
        <v>0</v>
      </c>
      <c r="L46" s="6"/>
      <c r="M46" s="4"/>
      <c r="N46" s="6"/>
      <c r="O46" s="4"/>
      <c r="P46" s="3" t="str">
        <f t="shared" si="2"/>
        <v>General Ledger.Set Up</v>
      </c>
      <c r="R46" s="4"/>
      <c r="T46" s="3" t="s">
        <v>7084</v>
      </c>
      <c r="U46" s="3" t="s">
        <v>2430</v>
      </c>
      <c r="X46" s="4"/>
      <c r="Y46" t="str">
        <f t="shared" si="5"/>
        <v>Y</v>
      </c>
      <c r="Z46" t="str">
        <f t="shared" si="5"/>
        <v>Y</v>
      </c>
      <c r="AA46" t="str">
        <f t="shared" si="5"/>
        <v>Y</v>
      </c>
      <c r="AB46"/>
      <c r="AC46"/>
      <c r="AD46"/>
      <c r="AE46"/>
      <c r="AF46"/>
      <c r="AG46" s="3"/>
      <c r="AI46"/>
      <c r="AK46" t="str">
        <f t="shared" si="6"/>
        <v>SELECT setval('glSetUp_id_seq', COALESCE((SELECT MAX(id)+1 FROM glSetUp), 1), false);</v>
      </c>
    </row>
    <row r="47" spans="1:39" ht="14.25" customHeight="1">
      <c r="A47">
        <v>321</v>
      </c>
      <c r="B47" t="s">
        <v>1475</v>
      </c>
      <c r="C47" s="3" t="s">
        <v>2765</v>
      </c>
      <c r="D47" t="s">
        <v>1044</v>
      </c>
      <c r="E47" s="3" t="s">
        <v>1500</v>
      </c>
      <c r="F47" s="3" t="s">
        <v>101</v>
      </c>
      <c r="G47" t="s">
        <v>926</v>
      </c>
      <c r="H47" t="s">
        <v>93</v>
      </c>
      <c r="I47" s="3" t="s">
        <v>919</v>
      </c>
      <c r="K47" s="3" t="s">
        <v>0</v>
      </c>
      <c r="L47" s="4" t="s">
        <v>22</v>
      </c>
      <c r="M47" s="4"/>
      <c r="N47" s="4"/>
      <c r="O47" s="4" t="s">
        <v>1025</v>
      </c>
      <c r="P47" s="3" t="str">
        <f t="shared" si="2"/>
        <v>General Ledger.Billing Account</v>
      </c>
      <c r="R47" s="4" t="s">
        <v>2059</v>
      </c>
      <c r="T47" s="3" t="s">
        <v>7084</v>
      </c>
      <c r="U47" s="3" t="s">
        <v>2450</v>
      </c>
      <c r="X47" s="4"/>
      <c r="Y47" t="str">
        <f t="shared" si="5"/>
        <v>Y</v>
      </c>
      <c r="Z47" t="str">
        <f t="shared" si="5"/>
        <v>Y</v>
      </c>
      <c r="AA47" t="str">
        <f t="shared" si="5"/>
        <v>Y</v>
      </c>
      <c r="AB47" t="s">
        <v>2972</v>
      </c>
      <c r="AC47"/>
      <c r="AD47"/>
      <c r="AE47"/>
      <c r="AF47"/>
      <c r="AG47" s="3"/>
      <c r="AI47" t="str">
        <f>"WHEN p_sysDictionaryTableID = "&amp;A47&amp;" THEN (SELECT "&amp;L47&amp;" FROM "&amp;C47&amp;" x WHERE x.ID = p_RowID "&amp;IF(I47="Y", " and x.TemporalEndDate = '9999-12-31'","")&amp;")"</f>
        <v>WHEN p_sysDictionaryTableID = 321 THEN (SELECT Name FROM glBillingAccount x WHERE x.ID = p_RowID )</v>
      </c>
      <c r="AK47" t="str">
        <f t="shared" si="6"/>
        <v>SELECT setval('glBillingAccount_id_seq', COALESCE((SELECT MAX(id)+1 FROM glBillingAccount), 1), false);</v>
      </c>
      <c r="AL47" t="s">
        <v>3937</v>
      </c>
      <c r="AM47" t="str">
        <f>"truncate table "&amp;C47&amp;";"</f>
        <v>truncate table glBillingAccount;</v>
      </c>
    </row>
    <row r="48" spans="1:39" ht="14.25" customHeight="1">
      <c r="A48">
        <v>322</v>
      </c>
      <c r="B48" t="s">
        <v>1475</v>
      </c>
      <c r="C48" s="3" t="s">
        <v>2766</v>
      </c>
      <c r="D48" s="3" t="s">
        <v>929</v>
      </c>
      <c r="E48" s="3" t="s">
        <v>1501</v>
      </c>
      <c r="F48" s="3" t="s">
        <v>7155</v>
      </c>
      <c r="G48" s="3" t="s">
        <v>7112</v>
      </c>
      <c r="H48" s="3" t="s">
        <v>93</v>
      </c>
      <c r="I48" s="3" t="s">
        <v>919</v>
      </c>
      <c r="K48" s="3" t="s">
        <v>0</v>
      </c>
      <c r="M48" s="4"/>
      <c r="P48" s="3" t="str">
        <f t="shared" si="2"/>
        <v>General Ledger.Billing Account Balance</v>
      </c>
      <c r="T48" s="3" t="s">
        <v>7084</v>
      </c>
      <c r="U48" s="3" t="s">
        <v>2442</v>
      </c>
      <c r="Y48" t="str">
        <f t="shared" si="5"/>
        <v>Y</v>
      </c>
      <c r="Z48" t="str">
        <f t="shared" si="5"/>
        <v>Y</v>
      </c>
      <c r="AA48" t="str">
        <f t="shared" si="5"/>
        <v>Y</v>
      </c>
      <c r="AB48"/>
      <c r="AD48" t="str">
        <f>IF(ISERROR(VLOOKUP($C48&amp;"."&amp;#REF!,DictionaryColumns,1,FALSE)),"N","Y")</f>
        <v>N</v>
      </c>
      <c r="AE48" t="str">
        <f>IF(ISERROR(VLOOKUP($C48&amp;"."&amp;#REF!,DictionaryColumns,1,FALSE)),"N","Y")</f>
        <v>N</v>
      </c>
      <c r="AF48"/>
      <c r="AG48" s="3"/>
      <c r="AK48" t="str">
        <f t="shared" si="6"/>
        <v>SELECT setval('glBillingAccountBalance_id_seq', COALESCE((SELECT MAX(id)+1 FROM glBillingAccountBalance), 1), false);</v>
      </c>
    </row>
    <row r="49" spans="1:39" ht="14.25" customHeight="1">
      <c r="A49">
        <v>323</v>
      </c>
      <c r="B49" t="s">
        <v>1475</v>
      </c>
      <c r="C49" s="3" t="s">
        <v>2767</v>
      </c>
      <c r="D49" t="s">
        <v>912</v>
      </c>
      <c r="E49" s="3" t="s">
        <v>1502</v>
      </c>
      <c r="F49" s="3" t="s">
        <v>912</v>
      </c>
      <c r="G49" s="3" t="s">
        <v>7113</v>
      </c>
      <c r="H49" s="3" t="s">
        <v>1274</v>
      </c>
      <c r="I49" s="3" t="s">
        <v>919</v>
      </c>
      <c r="K49" s="3" t="s">
        <v>0</v>
      </c>
      <c r="L49" s="3" t="s">
        <v>12</v>
      </c>
      <c r="M49" s="4"/>
      <c r="O49"/>
      <c r="P49" s="3" t="str">
        <f t="shared" si="2"/>
        <v>General Ledger.Billing Account Status</v>
      </c>
      <c r="R49" s="4" t="s">
        <v>2059</v>
      </c>
      <c r="T49" s="3" t="s">
        <v>7084</v>
      </c>
      <c r="U49" t="s">
        <v>963</v>
      </c>
      <c r="V49"/>
      <c r="W49"/>
      <c r="X49" s="4"/>
      <c r="Y49" t="str">
        <f t="shared" si="5"/>
        <v>Y</v>
      </c>
      <c r="Z49" t="str">
        <f t="shared" si="5"/>
        <v>Y</v>
      </c>
      <c r="AA49" t="str">
        <f t="shared" si="5"/>
        <v>Y</v>
      </c>
      <c r="AF49"/>
      <c r="AG49" s="3"/>
      <c r="AI49" t="str">
        <f>"WHEN p_sysDictionaryTableID = "&amp;A49&amp;" THEN (SELECT "&amp;L49&amp;" FROM "&amp;C49&amp;" x WHERE x.ID = p_RowID "&amp;IF(I49="Y", " and x.TemporalEndDate = '9999-12-31'","")&amp;")"</f>
        <v>WHEN p_sysDictionaryTableID = 323 THEN (SELECT Description FROM glBillingAccountStatus x WHERE x.ID = p_RowID )</v>
      </c>
      <c r="AK49" t="str">
        <f t="shared" si="6"/>
        <v>SELECT setval('glBillingAccountStatus_id_seq', COALESCE((SELECT MAX(id)+1 FROM glBillingAccountStatus), 1), false);</v>
      </c>
    </row>
    <row r="50" spans="1:39" ht="14.25" customHeight="1">
      <c r="A50" s="7">
        <v>330</v>
      </c>
      <c r="B50" t="s">
        <v>1475</v>
      </c>
      <c r="C50" s="3" t="s">
        <v>5997</v>
      </c>
      <c r="D50" s="7"/>
      <c r="E50" s="8" t="s">
        <v>6002</v>
      </c>
      <c r="F50" s="3" t="s">
        <v>6005</v>
      </c>
      <c r="G50" s="8" t="s">
        <v>7114</v>
      </c>
      <c r="H50" s="7" t="s">
        <v>93</v>
      </c>
      <c r="I50" s="7" t="s">
        <v>919</v>
      </c>
      <c r="K50" s="7" t="s">
        <v>0</v>
      </c>
      <c r="L50" s="7"/>
      <c r="M50" s="4"/>
      <c r="N50" s="7"/>
      <c r="O50" s="7"/>
      <c r="P50" s="8" t="s">
        <v>5999</v>
      </c>
      <c r="R50" s="4"/>
      <c r="T50" s="3" t="s">
        <v>7084</v>
      </c>
      <c r="U50" s="7"/>
      <c r="V50" s="7"/>
      <c r="W50" s="7"/>
      <c r="X50" s="7"/>
      <c r="Y50" t="str">
        <f t="shared" ref="Y50:Y81" si="7">IF(ISERROR(VLOOKUP($C50&amp;"."&amp;Y$1,DictionaryColumns,1,FALSE)),"N","Y")</f>
        <v>N</v>
      </c>
      <c r="Z50" s="7"/>
      <c r="AA50" s="7"/>
      <c r="AB50" s="7"/>
      <c r="AC50" s="7"/>
      <c r="AD50" s="7"/>
      <c r="AE50" s="7"/>
      <c r="AF50"/>
      <c r="AG50" s="3"/>
      <c r="AH50" s="7"/>
      <c r="AI50" s="7"/>
      <c r="AJ50" s="7"/>
      <c r="AK50" t="str">
        <f t="shared" si="6"/>
        <v>SELECT setval('glExportBatch_id_seq', COALESCE((SELECT MAX(id)+1 FROM glExportBatch), 1), false);</v>
      </c>
    </row>
    <row r="51" spans="1:39" ht="14.25" customHeight="1">
      <c r="A51" s="7">
        <v>331</v>
      </c>
      <c r="B51" t="s">
        <v>1475</v>
      </c>
      <c r="C51" s="3" t="s">
        <v>5996</v>
      </c>
      <c r="D51" s="7"/>
      <c r="E51" s="8" t="s">
        <v>6003</v>
      </c>
      <c r="F51" s="3" t="s">
        <v>7178</v>
      </c>
      <c r="G51" s="8" t="s">
        <v>7115</v>
      </c>
      <c r="H51" s="7" t="s">
        <v>93</v>
      </c>
      <c r="I51" s="7" t="s">
        <v>919</v>
      </c>
      <c r="K51" s="7" t="s">
        <v>0</v>
      </c>
      <c r="L51" s="7" t="s">
        <v>12</v>
      </c>
      <c r="M51" s="4"/>
      <c r="N51" s="7"/>
      <c r="O51" s="7"/>
      <c r="P51" s="8" t="s">
        <v>6000</v>
      </c>
      <c r="R51" s="4"/>
      <c r="T51" s="3" t="s">
        <v>7084</v>
      </c>
      <c r="U51" s="7"/>
      <c r="V51" s="7"/>
      <c r="W51" s="7"/>
      <c r="X51" s="7"/>
      <c r="Y51" t="str">
        <f t="shared" si="7"/>
        <v>N</v>
      </c>
      <c r="Z51" s="7"/>
      <c r="AA51" s="7"/>
      <c r="AB51" s="7"/>
      <c r="AC51" s="7"/>
      <c r="AD51" s="7"/>
      <c r="AE51" s="7"/>
      <c r="AF51"/>
      <c r="AG51" s="3"/>
      <c r="AH51" s="7"/>
      <c r="AI51" s="7"/>
      <c r="AJ51" s="7"/>
      <c r="AK51" t="str">
        <f t="shared" si="6"/>
        <v>SELECT setval('glExportEntry_id_seq', COALESCE((SELECT MAX(id)+1 FROM glExportEntry), 1), false);</v>
      </c>
    </row>
    <row r="52" spans="1:39" ht="14.25" customHeight="1">
      <c r="A52" s="7">
        <v>332</v>
      </c>
      <c r="B52" t="s">
        <v>1475</v>
      </c>
      <c r="C52" s="3" t="s">
        <v>5998</v>
      </c>
      <c r="D52" s="7"/>
      <c r="E52" s="8" t="s">
        <v>6004</v>
      </c>
      <c r="F52" s="3" t="s">
        <v>2139</v>
      </c>
      <c r="G52" s="8" t="s">
        <v>7116</v>
      </c>
      <c r="H52" s="7" t="s">
        <v>93</v>
      </c>
      <c r="I52" s="7" t="s">
        <v>919</v>
      </c>
      <c r="K52" s="7" t="s">
        <v>0</v>
      </c>
      <c r="L52" s="7" t="s">
        <v>12</v>
      </c>
      <c r="M52" s="4"/>
      <c r="N52" s="7"/>
      <c r="O52" s="7"/>
      <c r="P52" s="8" t="s">
        <v>6001</v>
      </c>
      <c r="R52" s="4"/>
      <c r="T52" s="3" t="s">
        <v>7084</v>
      </c>
      <c r="U52" s="7"/>
      <c r="V52" s="7"/>
      <c r="W52" s="7"/>
      <c r="X52" s="7"/>
      <c r="Y52" t="str">
        <f t="shared" si="7"/>
        <v>N</v>
      </c>
      <c r="Z52" s="7"/>
      <c r="AA52" s="7"/>
      <c r="AB52" s="7"/>
      <c r="AC52" s="7"/>
      <c r="AD52" s="7"/>
      <c r="AE52" s="7"/>
      <c r="AF52"/>
      <c r="AG52" s="3"/>
      <c r="AH52" s="7"/>
      <c r="AI52" s="7"/>
      <c r="AJ52" s="7"/>
      <c r="AK52" t="str">
        <f t="shared" si="6"/>
        <v>SELECT setval('glExportTransaction_id_seq', COALESCE((SELECT MAX(id)+1 FROM glExportTransaction), 1), false);</v>
      </c>
    </row>
    <row r="53" spans="1:39" ht="14.25" customHeight="1">
      <c r="A53" s="7">
        <v>340</v>
      </c>
      <c r="B53" t="s">
        <v>1475</v>
      </c>
      <c r="C53" s="3" t="s">
        <v>2854</v>
      </c>
      <c r="D53" s="7"/>
      <c r="E53" s="7" t="s">
        <v>2138</v>
      </c>
      <c r="F53" s="3" t="s">
        <v>2120</v>
      </c>
      <c r="G53" s="7" t="s">
        <v>7090</v>
      </c>
      <c r="H53" s="7" t="s">
        <v>94</v>
      </c>
      <c r="I53" s="7" t="s">
        <v>919</v>
      </c>
      <c r="K53" s="7" t="s">
        <v>0</v>
      </c>
      <c r="L53" s="7"/>
      <c r="M53" s="4"/>
      <c r="N53" s="7"/>
      <c r="O53" s="7"/>
      <c r="P53" s="8" t="s">
        <v>2178</v>
      </c>
      <c r="R53" s="4"/>
      <c r="T53" s="3" t="s">
        <v>7084</v>
      </c>
      <c r="U53" s="7"/>
      <c r="V53" s="7"/>
      <c r="W53" s="7"/>
      <c r="X53" s="7"/>
      <c r="Y53" t="str">
        <f t="shared" si="7"/>
        <v>Y</v>
      </c>
      <c r="Z53" s="7"/>
      <c r="AA53" s="7"/>
      <c r="AB53" s="7"/>
      <c r="AC53" s="7"/>
      <c r="AD53" s="7"/>
      <c r="AE53" s="7"/>
      <c r="AF53"/>
      <c r="AG53" s="3"/>
      <c r="AH53" s="7"/>
      <c r="AI53" t="str">
        <f>"WHEN p_sysDictionaryTableID = "&amp;A53&amp;" THEN (SELECT "&amp;L53&amp;" FROM "&amp;C53&amp;" x WHERE x.ID = p_RowID "&amp;IF(I53="Y", " and x.TemporalEndDate = '9999-12-31'","")&amp;")"</f>
        <v>WHEN p_sysDictionaryTableID = 340 THEN (SELECT  FROM glDeposit x WHERE x.ID = p_RowID )</v>
      </c>
      <c r="AJ53" s="7"/>
      <c r="AK53" t="str">
        <f t="shared" si="6"/>
        <v>SELECT setval('glDeposit_id_seq', COALESCE((SELECT MAX(id)+1 FROM glDeposit), 1), false);</v>
      </c>
      <c r="AL53" t="s">
        <v>3937</v>
      </c>
      <c r="AM53" t="str">
        <f>"truncate table "&amp;C53&amp;";"</f>
        <v>truncate table glDeposit;</v>
      </c>
    </row>
    <row r="54" spans="1:39" ht="14.25" customHeight="1">
      <c r="A54">
        <v>341</v>
      </c>
      <c r="B54" t="s">
        <v>1475</v>
      </c>
      <c r="C54" s="3" t="s">
        <v>2855</v>
      </c>
      <c r="E54" s="3" t="s">
        <v>2143</v>
      </c>
      <c r="F54" s="3" t="s">
        <v>2132</v>
      </c>
      <c r="G54" s="3" t="s">
        <v>7117</v>
      </c>
      <c r="H54" s="3" t="s">
        <v>1274</v>
      </c>
      <c r="I54" s="3" t="s">
        <v>919</v>
      </c>
      <c r="K54" s="7" t="s">
        <v>0</v>
      </c>
      <c r="L54" s="3" t="s">
        <v>12</v>
      </c>
      <c r="M54" s="4"/>
      <c r="P54" s="8" t="s">
        <v>2180</v>
      </c>
      <c r="R54" s="4" t="s">
        <v>2059</v>
      </c>
      <c r="T54" s="3" t="s">
        <v>7084</v>
      </c>
      <c r="X54" s="4"/>
      <c r="Y54" t="str">
        <f t="shared" si="7"/>
        <v>Y</v>
      </c>
      <c r="AF54"/>
      <c r="AG54" s="3"/>
      <c r="AK54" t="str">
        <f t="shared" si="6"/>
        <v>SELECT setval('glDepositStatus_id_seq', COALESCE((SELECT MAX(id)+1 FROM glDepositStatus), 1), false);</v>
      </c>
    </row>
    <row r="55" spans="1:39" ht="14.25" customHeight="1">
      <c r="A55">
        <v>350</v>
      </c>
      <c r="B55" t="s">
        <v>1475</v>
      </c>
      <c r="C55" s="3" t="s">
        <v>2769</v>
      </c>
      <c r="D55" s="3" t="s">
        <v>940</v>
      </c>
      <c r="E55" s="3" t="s">
        <v>1504</v>
      </c>
      <c r="F55" s="3" t="s">
        <v>7156</v>
      </c>
      <c r="G55" s="3" t="s">
        <v>7082</v>
      </c>
      <c r="H55" s="3" t="s">
        <v>93</v>
      </c>
      <c r="I55" s="3" t="s">
        <v>919</v>
      </c>
      <c r="K55" s="3" t="s">
        <v>0</v>
      </c>
      <c r="M55" s="4"/>
      <c r="P55" s="3" t="str">
        <f>T55&amp;"."&amp;F55</f>
        <v>General Ledger.Budget Detail</v>
      </c>
      <c r="R55" s="4" t="s">
        <v>2059</v>
      </c>
      <c r="T55" s="3" t="s">
        <v>7084</v>
      </c>
      <c r="U55" s="3" t="s">
        <v>2437</v>
      </c>
      <c r="Y55" t="str">
        <f t="shared" si="7"/>
        <v>Y</v>
      </c>
      <c r="Z55" t="str">
        <f>IF(ISERROR(VLOOKUP($C55&amp;"."&amp;Z$1,DictionaryColumns,1,FALSE)),"N","Y")</f>
        <v>Y</v>
      </c>
      <c r="AA55" t="str">
        <f>IF(ISERROR(VLOOKUP($C55&amp;"."&amp;AA$1,DictionaryColumns,1,FALSE)),"N","Y")</f>
        <v>Y</v>
      </c>
      <c r="AB55" t="s">
        <v>2972</v>
      </c>
      <c r="AD55" t="str">
        <f>IF(ISERROR(VLOOKUP($C55&amp;"."&amp;#REF!,DictionaryColumns,1,FALSE)),"N","Y")</f>
        <v>N</v>
      </c>
      <c r="AE55" t="str">
        <f>IF(ISERROR(VLOOKUP($C55&amp;"."&amp;#REF!,DictionaryColumns,1,FALSE)),"N","Y")</f>
        <v>N</v>
      </c>
      <c r="AF55"/>
      <c r="AG55" s="3"/>
      <c r="AK55" t="str">
        <f t="shared" si="6"/>
        <v>SELECT setval('glBudget_id_seq', COALESCE((SELECT MAX(id)+1 FROM glBudget), 1), false);</v>
      </c>
      <c r="AL55" t="s">
        <v>3937</v>
      </c>
      <c r="AM55" t="str">
        <f>"truncate table "&amp;C55&amp;";"</f>
        <v>truncate table glBudget;</v>
      </c>
    </row>
    <row r="56" spans="1:39" ht="14.25" customHeight="1">
      <c r="A56">
        <v>390</v>
      </c>
      <c r="B56" t="s">
        <v>1475</v>
      </c>
      <c r="C56" s="3" t="s">
        <v>2853</v>
      </c>
      <c r="E56" s="3" t="s">
        <v>2142</v>
      </c>
      <c r="F56" s="3" t="s">
        <v>5981</v>
      </c>
      <c r="G56" s="3" t="s">
        <v>7118</v>
      </c>
      <c r="H56" s="3" t="s">
        <v>1274</v>
      </c>
      <c r="I56" s="3" t="s">
        <v>919</v>
      </c>
      <c r="K56" s="3" t="s">
        <v>0</v>
      </c>
      <c r="L56" s="3" t="s">
        <v>12</v>
      </c>
      <c r="M56" s="4"/>
      <c r="P56" s="8" t="s">
        <v>2179</v>
      </c>
      <c r="R56" s="4" t="s">
        <v>2059</v>
      </c>
      <c r="T56" s="3" t="s">
        <v>7084</v>
      </c>
      <c r="U56" s="3" t="s">
        <v>5977</v>
      </c>
      <c r="X56" s="4"/>
      <c r="Y56" t="str">
        <f t="shared" si="7"/>
        <v>Y</v>
      </c>
      <c r="AF56"/>
      <c r="AG56" s="3"/>
      <c r="AK56" t="str">
        <f t="shared" si="6"/>
        <v>SELECT setval('glBatchStatus_id_seq', COALESCE((SELECT MAX(id)+1 FROM glBatchStatus), 1), false);</v>
      </c>
    </row>
    <row r="57" spans="1:39" ht="14.25" customHeight="1">
      <c r="A57">
        <v>391</v>
      </c>
      <c r="B57" t="s">
        <v>1475</v>
      </c>
      <c r="C57" s="3" t="s">
        <v>2764</v>
      </c>
      <c r="D57" s="3" t="s">
        <v>103</v>
      </c>
      <c r="E57" s="3" t="s">
        <v>1499</v>
      </c>
      <c r="F57" s="3" t="s">
        <v>103</v>
      </c>
      <c r="G57" s="3" t="s">
        <v>7119</v>
      </c>
      <c r="H57" s="3" t="s">
        <v>1274</v>
      </c>
      <c r="I57" s="3" t="s">
        <v>919</v>
      </c>
      <c r="K57" s="3" t="s">
        <v>0</v>
      </c>
      <c r="L57" s="3" t="s">
        <v>12</v>
      </c>
      <c r="M57" s="4"/>
      <c r="P57" s="3" t="str">
        <f>T57&amp;"."&amp;F57</f>
        <v>General Ledger.Batch Type</v>
      </c>
      <c r="R57" s="4" t="s">
        <v>2059</v>
      </c>
      <c r="T57" s="3" t="s">
        <v>7084</v>
      </c>
      <c r="X57" s="4"/>
      <c r="Y57" t="str">
        <f t="shared" si="7"/>
        <v>Y</v>
      </c>
      <c r="Z57" t="str">
        <f t="shared" ref="Z57:AA59" si="8">IF(ISERROR(VLOOKUP($C57&amp;"."&amp;Z$1,DictionaryColumns,1,FALSE)),"N","Y")</f>
        <v>Y</v>
      </c>
      <c r="AA57" t="str">
        <f t="shared" si="8"/>
        <v>Y</v>
      </c>
      <c r="AB57" t="str">
        <f>IF(ISERROR(VLOOKUP($C57&amp;"."&amp;#REF!,DictionaryColumns,1,FALSE)),"N","Y")</f>
        <v>N</v>
      </c>
      <c r="AD57" t="str">
        <f>IF(ISERROR(VLOOKUP($C57&amp;"."&amp;#REF!,DictionaryColumns,1,FALSE)),"N","Y")</f>
        <v>N</v>
      </c>
      <c r="AE57" t="str">
        <f>IF(ISERROR(VLOOKUP($C57&amp;"."&amp;#REF!,DictionaryColumns,1,FALSE)),"N","Y")</f>
        <v>N</v>
      </c>
      <c r="AF57"/>
      <c r="AG57" s="3"/>
      <c r="AI57" t="str">
        <f>"WHEN p_sysDictionaryTableID = "&amp;A57&amp;" THEN (SELECT "&amp;L57&amp;" FROM "&amp;C57&amp;" x WHERE x.ID = p_RowID "&amp;IF(I57="Y", " and x.TemporalEndDate = '9999-12-31'","")&amp;")"</f>
        <v>WHEN p_sysDictionaryTableID = 391 THEN (SELECT Description FROM glBatchType x WHERE x.ID = p_RowID )</v>
      </c>
      <c r="AK57" t="str">
        <f t="shared" si="6"/>
        <v>SELECT setval('glBatchType_id_seq', COALESCE((SELECT MAX(id)+1 FROM glBatchType), 1), false);</v>
      </c>
    </row>
    <row r="58" spans="1:39" ht="14.25" customHeight="1">
      <c r="A58">
        <v>392</v>
      </c>
      <c r="B58" t="s">
        <v>1475</v>
      </c>
      <c r="C58" s="3" t="s">
        <v>2768</v>
      </c>
      <c r="D58"/>
      <c r="E58" s="3" t="s">
        <v>1503</v>
      </c>
      <c r="F58" s="3" t="s">
        <v>389</v>
      </c>
      <c r="G58" s="3" t="s">
        <v>906</v>
      </c>
      <c r="H58" t="s">
        <v>1274</v>
      </c>
      <c r="I58" s="3" t="s">
        <v>919</v>
      </c>
      <c r="K58" s="3" t="s">
        <v>0</v>
      </c>
      <c r="L58" s="3" t="s">
        <v>12</v>
      </c>
      <c r="M58" s="4"/>
      <c r="N58" s="4"/>
      <c r="O58" s="4"/>
      <c r="P58" s="3" t="str">
        <f>T58&amp;"."&amp;F58</f>
        <v>General Ledger.Billing Method</v>
      </c>
      <c r="R58" s="4" t="s">
        <v>2059</v>
      </c>
      <c r="T58" s="3" t="s">
        <v>7084</v>
      </c>
      <c r="X58" s="4"/>
      <c r="Y58" t="str">
        <f t="shared" si="7"/>
        <v>Y</v>
      </c>
      <c r="Z58" t="str">
        <f t="shared" si="8"/>
        <v>Y</v>
      </c>
      <c r="AA58" t="str">
        <f t="shared" si="8"/>
        <v>Y</v>
      </c>
      <c r="AB58" t="str">
        <f>IF(ISERROR(VLOOKUP($C58&amp;"."&amp;#REF!,DictionaryColumns,1,FALSE)),"N","Y")</f>
        <v>N</v>
      </c>
      <c r="AD58" t="str">
        <f>IF(ISERROR(VLOOKUP($C58&amp;"."&amp;#REF!,DictionaryColumns,1,FALSE)),"N","Y")</f>
        <v>N</v>
      </c>
      <c r="AE58" t="str">
        <f>IF(ISERROR(VLOOKUP($C58&amp;"."&amp;#REF!,DictionaryColumns,1,FALSE)),"N","Y")</f>
        <v>N</v>
      </c>
      <c r="AF58"/>
      <c r="AG58" s="3"/>
      <c r="AI58" t="str">
        <f>"WHEN p_sysDictionaryTableID = "&amp;A58&amp;" THEN (SELECT "&amp;L58&amp;" FROM "&amp;C58&amp;" x WHERE x.ID = p_RowID "&amp;IF(I58="Y", " and x.TemporalEndDate = '9999-12-31'","")&amp;")"</f>
        <v>WHEN p_sysDictionaryTableID = 392 THEN (SELECT Description FROM glBillingMethod x WHERE x.ID = p_RowID )</v>
      </c>
      <c r="AK58" t="str">
        <f t="shared" si="6"/>
        <v>SELECT setval('glBillingMethod_id_seq', COALESCE((SELECT MAX(id)+1 FROM glBillingMethod), 1), false);</v>
      </c>
    </row>
    <row r="59" spans="1:39" ht="14.25" customHeight="1">
      <c r="A59">
        <v>393</v>
      </c>
      <c r="B59" t="s">
        <v>1475</v>
      </c>
      <c r="C59" s="3" t="s">
        <v>2771</v>
      </c>
      <c r="D59"/>
      <c r="E59" s="3" t="s">
        <v>1506</v>
      </c>
      <c r="F59" s="3" t="s">
        <v>7157</v>
      </c>
      <c r="G59" t="s">
        <v>7120</v>
      </c>
      <c r="H59" t="s">
        <v>1274</v>
      </c>
      <c r="I59" s="3" t="s">
        <v>919</v>
      </c>
      <c r="K59" s="3" t="s">
        <v>0</v>
      </c>
      <c r="L59" s="3" t="s">
        <v>12</v>
      </c>
      <c r="M59" s="4"/>
      <c r="N59" s="4"/>
      <c r="O59" s="4"/>
      <c r="P59" s="3" t="str">
        <f>T59&amp;"."&amp;F59</f>
        <v>General Ledger.EFT Type</v>
      </c>
      <c r="R59" s="4" t="s">
        <v>2059</v>
      </c>
      <c r="T59" s="3" t="s">
        <v>7084</v>
      </c>
      <c r="X59" s="4"/>
      <c r="Y59" t="str">
        <f t="shared" si="7"/>
        <v>Y</v>
      </c>
      <c r="Z59" t="str">
        <f t="shared" si="8"/>
        <v>Y</v>
      </c>
      <c r="AA59" t="str">
        <f t="shared" si="8"/>
        <v>Y</v>
      </c>
      <c r="AB59" t="str">
        <f>IF(ISERROR(VLOOKUP($C59&amp;"."&amp;#REF!,DictionaryColumns,1,FALSE)),"N","Y")</f>
        <v>N</v>
      </c>
      <c r="AD59" t="str">
        <f>IF(ISERROR(VLOOKUP($C59&amp;"."&amp;#REF!,DictionaryColumns,1,FALSE)),"N","Y")</f>
        <v>N</v>
      </c>
      <c r="AE59" t="str">
        <f>IF(ISERROR(VLOOKUP($C59&amp;"."&amp;#REF!,DictionaryColumns,1,FALSE)),"N","Y")</f>
        <v>N</v>
      </c>
      <c r="AF59"/>
      <c r="AG59" s="3"/>
      <c r="AI59" t="str">
        <f>"WHEN p_sysDictionaryTableID = "&amp;A59&amp;" THEN (SELECT "&amp;L59&amp;" FROM "&amp;C59&amp;" x WHERE x.ID = p_RowID "&amp;IF(I59="Y", " and x.TemporalEndDate = '9999-12-31'","")&amp;")"</f>
        <v>WHEN p_sysDictionaryTableID = 393 THEN (SELECT Description FROM glEFTType x WHERE x.ID = p_RowID )</v>
      </c>
      <c r="AK59" t="str">
        <f t="shared" si="6"/>
        <v>SELECT setval('glEFTType_id_seq', COALESCE((SELECT MAX(id)+1 FROM glEFTType), 1), false);</v>
      </c>
    </row>
    <row r="60" spans="1:39" ht="14.25" customHeight="1">
      <c r="A60">
        <v>394</v>
      </c>
      <c r="B60" t="s">
        <v>1475</v>
      </c>
      <c r="C60" s="3" t="s">
        <v>2858</v>
      </c>
      <c r="E60" s="3" t="s">
        <v>2144</v>
      </c>
      <c r="F60" s="3" t="s">
        <v>2124</v>
      </c>
      <c r="G60" s="3" t="s">
        <v>7121</v>
      </c>
      <c r="H60" s="3" t="s">
        <v>1274</v>
      </c>
      <c r="I60" s="3" t="s">
        <v>919</v>
      </c>
      <c r="K60" s="7" t="s">
        <v>0</v>
      </c>
      <c r="L60" s="3" t="s">
        <v>12</v>
      </c>
      <c r="M60" s="4"/>
      <c r="P60" s="8" t="s">
        <v>2181</v>
      </c>
      <c r="R60" s="4" t="s">
        <v>2059</v>
      </c>
      <c r="T60" s="3" t="s">
        <v>7084</v>
      </c>
      <c r="U60" t="s">
        <v>6073</v>
      </c>
      <c r="X60" s="4"/>
      <c r="Y60" t="str">
        <f t="shared" si="7"/>
        <v>Y</v>
      </c>
      <c r="AF60"/>
      <c r="AG60" s="3"/>
      <c r="AK60" t="str">
        <f t="shared" si="6"/>
        <v>SELECT setval('glPaymentMethod_id_seq', COALESCE((SELECT MAX(id)+1 FROM glPaymentMethod), 1), false);</v>
      </c>
    </row>
    <row r="61" spans="1:39" ht="14.25" customHeight="1">
      <c r="A61">
        <v>395</v>
      </c>
      <c r="B61" t="s">
        <v>1475</v>
      </c>
      <c r="C61" s="3" t="s">
        <v>2774</v>
      </c>
      <c r="D61" t="s">
        <v>914</v>
      </c>
      <c r="E61" s="3" t="s">
        <v>1508</v>
      </c>
      <c r="F61" s="3" t="s">
        <v>3608</v>
      </c>
      <c r="G61" s="3" t="s">
        <v>7122</v>
      </c>
      <c r="H61" s="3" t="s">
        <v>1274</v>
      </c>
      <c r="I61" s="3" t="s">
        <v>919</v>
      </c>
      <c r="K61" s="3" t="s">
        <v>0</v>
      </c>
      <c r="L61" s="3" t="s">
        <v>12</v>
      </c>
      <c r="M61" s="4"/>
      <c r="O61"/>
      <c r="P61" s="3" t="str">
        <f t="shared" ref="P61:P106" si="9">T61&amp;"."&amp;F61</f>
        <v>General Ledger.Posting Status</v>
      </c>
      <c r="R61" s="4" t="s">
        <v>2059</v>
      </c>
      <c r="T61" s="3" t="s">
        <v>7084</v>
      </c>
      <c r="U61" t="s">
        <v>5983</v>
      </c>
      <c r="V61"/>
      <c r="W61"/>
      <c r="X61" s="4"/>
      <c r="Y61" t="str">
        <f t="shared" si="7"/>
        <v>Y</v>
      </c>
      <c r="Z61" t="str">
        <f t="shared" ref="Z61:AA80" si="10">IF(ISERROR(VLOOKUP($C61&amp;"."&amp;Z$1,DictionaryColumns,1,FALSE)),"N","Y")</f>
        <v>Y</v>
      </c>
      <c r="AA61" t="str">
        <f t="shared" si="10"/>
        <v>Y</v>
      </c>
      <c r="AF61"/>
      <c r="AG61" s="3"/>
      <c r="AI61" t="str">
        <f t="shared" ref="AI61:AI66" si="11">"WHEN p_sysDictionaryTableID = "&amp;A61&amp;" THEN (SELECT "&amp;L61&amp;" FROM "&amp;C61&amp;" x WHERE x.ID = p_RowID "&amp;IF(I61="Y", " and x.TemporalEndDate = '9999-12-31'","")&amp;")"</f>
        <v>WHEN p_sysDictionaryTableID = 395 THEN (SELECT Description FROM glPostingStatus x WHERE x.ID = p_RowID )</v>
      </c>
      <c r="AK61" t="str">
        <f t="shared" si="6"/>
        <v>SELECT setval('glPostingStatus_id_seq', COALESCE((SELECT MAX(id)+1 FROM glPostingStatus), 1), false);</v>
      </c>
    </row>
    <row r="62" spans="1:39" ht="14.25" customHeight="1">
      <c r="A62">
        <v>396</v>
      </c>
      <c r="B62" t="s">
        <v>1475</v>
      </c>
      <c r="C62" s="3" t="s">
        <v>2775</v>
      </c>
      <c r="D62" t="s">
        <v>2865</v>
      </c>
      <c r="E62" s="3" t="s">
        <v>1509</v>
      </c>
      <c r="F62" s="3" t="s">
        <v>7220</v>
      </c>
      <c r="G62" t="s">
        <v>7211</v>
      </c>
      <c r="H62" t="s">
        <v>93</v>
      </c>
      <c r="I62" s="3" t="s">
        <v>92</v>
      </c>
      <c r="K62" s="3" t="s">
        <v>6145</v>
      </c>
      <c r="L62" s="4" t="s">
        <v>12</v>
      </c>
      <c r="M62" s="4"/>
      <c r="N62" s="4"/>
      <c r="O62" s="4"/>
      <c r="P62" s="3" t="str">
        <f t="shared" si="9"/>
        <v>General Ledger.GL Rate</v>
      </c>
      <c r="Q62" s="13"/>
      <c r="R62" s="4" t="s">
        <v>2059</v>
      </c>
      <c r="T62" s="3" t="s">
        <v>7084</v>
      </c>
      <c r="V62"/>
      <c r="W62"/>
      <c r="X62" s="4"/>
      <c r="Y62" t="str">
        <f t="shared" si="7"/>
        <v>Y</v>
      </c>
      <c r="Z62" t="str">
        <f t="shared" si="10"/>
        <v>Y</v>
      </c>
      <c r="AA62" t="str">
        <f t="shared" si="10"/>
        <v>Y</v>
      </c>
      <c r="AB62"/>
      <c r="AD62" t="str">
        <f>IF(ISERROR(VLOOKUP($C62&amp;"."&amp;#REF!,DictionaryColumns,1,FALSE)),"N","Y")</f>
        <v>N</v>
      </c>
      <c r="AE62" t="str">
        <f>IF(ISERROR(VLOOKUP($C62&amp;"."&amp;#REF!,DictionaryColumns,1,FALSE)),"N","Y")</f>
        <v>N</v>
      </c>
      <c r="AF62"/>
      <c r="AG62" s="3"/>
      <c r="AI62" t="str">
        <f t="shared" si="11"/>
        <v>WHEN p_sysDictionaryTableID = 396 THEN (SELECT Description FROM glRate x WHERE x.ID = p_RowID  and x.TemporalEndDate = '9999-12-31')</v>
      </c>
      <c r="AK62" t="str">
        <f t="shared" si="6"/>
        <v>SELECT setval('glRate_id_seq', COALESCE((SELECT MAX(id)+1 FROM glRate), 1), false);</v>
      </c>
    </row>
    <row r="63" spans="1:39" ht="14.25" customHeight="1">
      <c r="A63">
        <v>397</v>
      </c>
      <c r="B63" t="s">
        <v>1475</v>
      </c>
      <c r="C63" s="3" t="s">
        <v>2776</v>
      </c>
      <c r="D63" t="s">
        <v>1248</v>
      </c>
      <c r="E63" s="3" t="s">
        <v>1510</v>
      </c>
      <c r="F63" s="3" t="s">
        <v>6138</v>
      </c>
      <c r="G63" t="s">
        <v>7219</v>
      </c>
      <c r="H63" t="s">
        <v>1274</v>
      </c>
      <c r="I63" s="3" t="s">
        <v>919</v>
      </c>
      <c r="K63" s="3" t="s">
        <v>0</v>
      </c>
      <c r="L63" s="4" t="s">
        <v>12</v>
      </c>
      <c r="M63" s="4"/>
      <c r="N63" s="4"/>
      <c r="O63" s="4"/>
      <c r="P63" s="3" t="str">
        <f t="shared" si="9"/>
        <v>General Ledger.GL Rate Type</v>
      </c>
      <c r="R63" s="4" t="s">
        <v>2059</v>
      </c>
      <c r="T63" s="3" t="s">
        <v>7084</v>
      </c>
      <c r="U63" t="s">
        <v>6142</v>
      </c>
      <c r="V63"/>
      <c r="W63"/>
      <c r="X63" s="4"/>
      <c r="Y63" t="str">
        <f t="shared" si="7"/>
        <v>Y</v>
      </c>
      <c r="Z63" t="str">
        <f t="shared" si="10"/>
        <v>Y</v>
      </c>
      <c r="AA63" t="str">
        <f t="shared" si="10"/>
        <v>Y</v>
      </c>
      <c r="AB63"/>
      <c r="AC63"/>
      <c r="AD63"/>
      <c r="AE63"/>
      <c r="AF63"/>
      <c r="AG63" s="3"/>
      <c r="AI63" t="str">
        <f t="shared" si="11"/>
        <v>WHEN p_sysDictionaryTableID = 397 THEN (SELECT Description FROM glRateType x WHERE x.ID = p_RowID )</v>
      </c>
      <c r="AK63" t="str">
        <f t="shared" si="6"/>
        <v>SELECT setval('glRateType_id_seq', COALESCE((SELECT MAX(id)+1 FROM glRateType), 1), false);</v>
      </c>
    </row>
    <row r="64" spans="1:39" ht="14.25" customHeight="1">
      <c r="A64">
        <v>398</v>
      </c>
      <c r="B64" t="s">
        <v>1475</v>
      </c>
      <c r="C64" s="3" t="s">
        <v>2762</v>
      </c>
      <c r="D64" t="s">
        <v>913</v>
      </c>
      <c r="E64" s="3" t="s">
        <v>1497</v>
      </c>
      <c r="F64" s="3" t="s">
        <v>971</v>
      </c>
      <c r="G64" s="3" t="s">
        <v>7123</v>
      </c>
      <c r="H64" s="3" t="s">
        <v>1274</v>
      </c>
      <c r="I64" s="3" t="s">
        <v>919</v>
      </c>
      <c r="K64" s="3" t="s">
        <v>0</v>
      </c>
      <c r="L64" s="3" t="s">
        <v>12</v>
      </c>
      <c r="M64" s="4"/>
      <c r="O64"/>
      <c r="P64" s="3" t="str">
        <f t="shared" si="9"/>
        <v>General Ledger.Account Type</v>
      </c>
      <c r="R64" s="4" t="s">
        <v>2059</v>
      </c>
      <c r="T64" s="3" t="s">
        <v>7084</v>
      </c>
      <c r="U64"/>
      <c r="V64"/>
      <c r="W64"/>
      <c r="X64" s="4"/>
      <c r="Y64" t="str">
        <f t="shared" si="7"/>
        <v>Y</v>
      </c>
      <c r="Z64" t="str">
        <f t="shared" si="10"/>
        <v>Y</v>
      </c>
      <c r="AA64" t="str">
        <f t="shared" si="10"/>
        <v>Y</v>
      </c>
      <c r="AF64"/>
      <c r="AG64" s="3"/>
      <c r="AI64" t="str">
        <f t="shared" si="11"/>
        <v>WHEN p_sysDictionaryTableID = 398 THEN (SELECT Description FROM glAccountType x WHERE x.ID = p_RowID )</v>
      </c>
      <c r="AK64" t="str">
        <f t="shared" si="6"/>
        <v>SELECT setval('glAccountType_id_seq', COALESCE((SELECT MAX(id)+1 FROM glAccountType), 1), false);</v>
      </c>
    </row>
    <row r="65" spans="1:39" ht="14.25" customHeight="1">
      <c r="A65">
        <v>400</v>
      </c>
      <c r="B65" t="s">
        <v>1475</v>
      </c>
      <c r="C65" s="3" t="s">
        <v>2731</v>
      </c>
      <c r="D65" t="s">
        <v>1028</v>
      </c>
      <c r="E65" s="3" t="s">
        <v>203</v>
      </c>
      <c r="F65" s="3" t="s">
        <v>119</v>
      </c>
      <c r="G65" t="s">
        <v>7205</v>
      </c>
      <c r="H65" t="s">
        <v>1274</v>
      </c>
      <c r="I65" s="3" t="s">
        <v>919</v>
      </c>
      <c r="K65" s="3" t="s">
        <v>0</v>
      </c>
      <c r="L65" s="3" t="s">
        <v>12</v>
      </c>
      <c r="M65" s="4"/>
      <c r="N65" s="4"/>
      <c r="O65" s="4"/>
      <c r="P65" s="3" t="str">
        <f t="shared" si="9"/>
        <v>Activity.Activity Type</v>
      </c>
      <c r="R65" s="4" t="s">
        <v>2059</v>
      </c>
      <c r="T65" s="3" t="s">
        <v>98</v>
      </c>
      <c r="U65" s="3" t="s">
        <v>2453</v>
      </c>
      <c r="X65" s="4"/>
      <c r="Y65" t="str">
        <f t="shared" si="7"/>
        <v>Y</v>
      </c>
      <c r="Z65" t="str">
        <f t="shared" si="10"/>
        <v>Y</v>
      </c>
      <c r="AA65" t="str">
        <f t="shared" si="10"/>
        <v>Y</v>
      </c>
      <c r="AB65"/>
      <c r="AC65"/>
      <c r="AD65"/>
      <c r="AE65"/>
      <c r="AF65"/>
      <c r="AG65" s="3"/>
      <c r="AI65" t="str">
        <f t="shared" si="11"/>
        <v>WHEN p_sysDictionaryTableID = 400 THEN (SELECT Description FROM actType x WHERE x.ID = p_RowID )</v>
      </c>
      <c r="AK65" t="str">
        <f t="shared" si="6"/>
        <v>SELECT setval('actType_id_seq', COALESCE((SELECT MAX(id)+1 FROM actType), 1), false);</v>
      </c>
      <c r="AL65" t="s">
        <v>3937</v>
      </c>
      <c r="AM65" t="str">
        <f>"truncate table "&amp;C65&amp;";"</f>
        <v>truncate table actType;</v>
      </c>
    </row>
    <row r="66" spans="1:39" ht="14.25" customHeight="1">
      <c r="A66">
        <v>401</v>
      </c>
      <c r="B66" t="s">
        <v>1475</v>
      </c>
      <c r="C66" s="3" t="s">
        <v>2727</v>
      </c>
      <c r="D66" s="3" t="s">
        <v>935</v>
      </c>
      <c r="E66" s="3" t="s">
        <v>208</v>
      </c>
      <c r="F66" s="3" t="s">
        <v>1350</v>
      </c>
      <c r="G66" s="3" t="s">
        <v>7091</v>
      </c>
      <c r="H66" s="3" t="s">
        <v>93</v>
      </c>
      <c r="I66" s="3" t="s">
        <v>919</v>
      </c>
      <c r="K66" s="3" t="s">
        <v>0</v>
      </c>
      <c r="L66" s="3" t="s">
        <v>12</v>
      </c>
      <c r="M66" s="4"/>
      <c r="P66" s="3" t="str">
        <f t="shared" si="9"/>
        <v>Activity.Project</v>
      </c>
      <c r="R66" s="4" t="s">
        <v>2059</v>
      </c>
      <c r="T66" s="3" t="s">
        <v>98</v>
      </c>
      <c r="U66" s="3" t="s">
        <v>2455</v>
      </c>
      <c r="Y66" t="str">
        <f t="shared" si="7"/>
        <v>Y</v>
      </c>
      <c r="Z66" t="str">
        <f t="shared" si="10"/>
        <v>Y</v>
      </c>
      <c r="AA66" t="str">
        <f t="shared" si="10"/>
        <v>Y</v>
      </c>
      <c r="AB66" t="s">
        <v>6072</v>
      </c>
      <c r="AD66" t="str">
        <f>IF(ISERROR(VLOOKUP($C66&amp;"."&amp;#REF!,DictionaryColumns,1,FALSE)),"N","Y")</f>
        <v>N</v>
      </c>
      <c r="AE66" t="str">
        <f>IF(ISERROR(VLOOKUP($C66&amp;"."&amp;#REF!,DictionaryColumns,1,FALSE)),"N","Y")</f>
        <v>N</v>
      </c>
      <c r="AF66"/>
      <c r="AG66" s="3"/>
      <c r="AI66" t="str">
        <f t="shared" si="11"/>
        <v>WHEN p_sysDictionaryTableID = 401 THEN (SELECT Description FROM actProject x WHERE x.ID = p_RowID )</v>
      </c>
      <c r="AK66" t="str">
        <f t="shared" ref="AK66:AK97" si="12">"SELECT setval('"&amp;C66&amp;"_id_seq', COALESCE((SELECT MAX(id)+1 FROM "&amp;C66&amp;"), 1), false);"</f>
        <v>SELECT setval('actProject_id_seq', COALESCE((SELECT MAX(id)+1 FROM actProject), 1), false);</v>
      </c>
      <c r="AL66" t="s">
        <v>3937</v>
      </c>
      <c r="AM66" t="str">
        <f>"truncate table "&amp;C66&amp;";"</f>
        <v>truncate table actProject;</v>
      </c>
    </row>
    <row r="67" spans="1:39" ht="14.25" customHeight="1">
      <c r="A67">
        <v>402</v>
      </c>
      <c r="B67" t="s">
        <v>1475</v>
      </c>
      <c r="C67" s="3" t="s">
        <v>2728</v>
      </c>
      <c r="D67" s="3" t="s">
        <v>934</v>
      </c>
      <c r="E67" s="3" t="s">
        <v>1490</v>
      </c>
      <c r="F67" s="3" t="s">
        <v>1884</v>
      </c>
      <c r="G67" s="3" t="s">
        <v>7124</v>
      </c>
      <c r="H67" s="3" t="s">
        <v>93</v>
      </c>
      <c r="I67" s="3" t="s">
        <v>919</v>
      </c>
      <c r="K67" s="3" t="s">
        <v>0</v>
      </c>
      <c r="M67" s="4"/>
      <c r="P67" s="3" t="str">
        <f t="shared" si="9"/>
        <v>Activity.Project Resource Allocation</v>
      </c>
      <c r="R67" s="4" t="s">
        <v>2059</v>
      </c>
      <c r="T67" s="3" t="s">
        <v>98</v>
      </c>
      <c r="U67" s="3" t="s">
        <v>2436</v>
      </c>
      <c r="Y67" t="str">
        <f t="shared" si="7"/>
        <v>Y</v>
      </c>
      <c r="Z67" t="str">
        <f t="shared" si="10"/>
        <v>Y</v>
      </c>
      <c r="AA67" t="str">
        <f t="shared" si="10"/>
        <v>Y</v>
      </c>
      <c r="AB67"/>
      <c r="AD67" t="str">
        <f>IF(ISERROR(VLOOKUP($C67&amp;"."&amp;#REF!,DictionaryColumns,1,FALSE)),"N","Y")</f>
        <v>N</v>
      </c>
      <c r="AE67" t="str">
        <f>IF(ISERROR(VLOOKUP($C67&amp;"."&amp;#REF!,DictionaryColumns,1,FALSE)),"N","Y")</f>
        <v>N</v>
      </c>
      <c r="AF67"/>
      <c r="AG67" s="3"/>
      <c r="AK67" t="str">
        <f t="shared" si="12"/>
        <v>SELECT setval('actProjectResourceAllocation_id_seq', COALESCE((SELECT MAX(id)+1 FROM actProjectResourceAllocation), 1), false);</v>
      </c>
      <c r="AL67" t="s">
        <v>3937</v>
      </c>
      <c r="AM67" t="str">
        <f>"truncate table "&amp;C67&amp;";"</f>
        <v>truncate table actProjectResourceAllocation;</v>
      </c>
    </row>
    <row r="68" spans="1:39" ht="14.25" customHeight="1">
      <c r="A68">
        <v>403</v>
      </c>
      <c r="B68" t="s">
        <v>1475</v>
      </c>
      <c r="C68" s="3" t="s">
        <v>2724</v>
      </c>
      <c r="D68" t="s">
        <v>443</v>
      </c>
      <c r="E68" s="3" t="s">
        <v>1487</v>
      </c>
      <c r="F68" s="3" t="s">
        <v>443</v>
      </c>
      <c r="G68" s="3" t="s">
        <v>7125</v>
      </c>
      <c r="H68" s="3" t="s">
        <v>1274</v>
      </c>
      <c r="I68" s="3" t="s">
        <v>919</v>
      </c>
      <c r="K68" s="3" t="s">
        <v>0</v>
      </c>
      <c r="L68" s="3" t="s">
        <v>12</v>
      </c>
      <c r="M68" s="4"/>
      <c r="O68"/>
      <c r="P68" s="3" t="str">
        <f t="shared" si="9"/>
        <v>Activity.Billing Status</v>
      </c>
      <c r="R68" s="4" t="s">
        <v>2059</v>
      </c>
      <c r="T68" s="3" t="s">
        <v>98</v>
      </c>
      <c r="U68" t="s">
        <v>957</v>
      </c>
      <c r="V68"/>
      <c r="W68"/>
      <c r="X68" s="4"/>
      <c r="Y68" t="str">
        <f t="shared" si="7"/>
        <v>Y</v>
      </c>
      <c r="Z68" t="str">
        <f t="shared" si="10"/>
        <v>Y</v>
      </c>
      <c r="AA68" t="str">
        <f t="shared" si="10"/>
        <v>Y</v>
      </c>
      <c r="AF68"/>
      <c r="AG68" s="3"/>
      <c r="AI68" t="str">
        <f t="shared" ref="AI68:AI73" si="13">"WHEN p_sysDictionaryTableID = "&amp;A68&amp;" THEN (SELECT "&amp;L68&amp;" FROM "&amp;C68&amp;" x WHERE x.ID = p_RowID "&amp;IF(I68="Y", " and x.TemporalEndDate = '9999-12-31'","")&amp;")"</f>
        <v>WHEN p_sysDictionaryTableID = 403 THEN (SELECT Description FROM actBillingStatus x WHERE x.ID = p_RowID )</v>
      </c>
      <c r="AK68" t="str">
        <f t="shared" si="12"/>
        <v>SELECT setval('actBillingStatus_id_seq', COALESCE((SELECT MAX(id)+1 FROM actBillingStatus), 1), false);</v>
      </c>
    </row>
    <row r="69" spans="1:39" ht="14.25" customHeight="1">
      <c r="A69">
        <v>404</v>
      </c>
      <c r="B69" t="s">
        <v>1475</v>
      </c>
      <c r="C69" s="3" t="s">
        <v>2729</v>
      </c>
      <c r="D69" t="s">
        <v>903</v>
      </c>
      <c r="E69" s="3" t="s">
        <v>1491</v>
      </c>
      <c r="F69" s="3" t="s">
        <v>7207</v>
      </c>
      <c r="G69" s="3" t="s">
        <v>7206</v>
      </c>
      <c r="H69" s="3" t="s">
        <v>1274</v>
      </c>
      <c r="I69" s="3" t="s">
        <v>919</v>
      </c>
      <c r="K69" s="3" t="s">
        <v>0</v>
      </c>
      <c r="L69" s="3" t="s">
        <v>12</v>
      </c>
      <c r="M69" s="4"/>
      <c r="O69"/>
      <c r="P69" s="3" t="str">
        <f t="shared" si="9"/>
        <v>Activity.Project Source</v>
      </c>
      <c r="R69" s="4" t="s">
        <v>2059</v>
      </c>
      <c r="T69" s="3" t="s">
        <v>98</v>
      </c>
      <c r="U69" t="s">
        <v>953</v>
      </c>
      <c r="V69"/>
      <c r="W69"/>
      <c r="X69" s="4"/>
      <c r="Y69" t="str">
        <f t="shared" si="7"/>
        <v>Y</v>
      </c>
      <c r="Z69" t="str">
        <f t="shared" si="10"/>
        <v>Y</v>
      </c>
      <c r="AA69" t="str">
        <f t="shared" si="10"/>
        <v>Y</v>
      </c>
      <c r="AF69"/>
      <c r="AG69" s="3"/>
      <c r="AI69" t="str">
        <f t="shared" si="13"/>
        <v>WHEN p_sysDictionaryTableID = 404 THEN (SELECT Description FROM actSource x WHERE x.ID = p_RowID )</v>
      </c>
      <c r="AK69" t="str">
        <f t="shared" si="12"/>
        <v>SELECT setval('actSource_id_seq', COALESCE((SELECT MAX(id)+1 FROM actSource), 1), false);</v>
      </c>
    </row>
    <row r="70" spans="1:39" ht="14.25" customHeight="1">
      <c r="A70">
        <v>405</v>
      </c>
      <c r="B70" t="s">
        <v>1475</v>
      </c>
      <c r="C70" s="3" t="s">
        <v>2730</v>
      </c>
      <c r="D70" t="s">
        <v>904</v>
      </c>
      <c r="E70" s="3" t="s">
        <v>1492</v>
      </c>
      <c r="F70" s="3" t="s">
        <v>978</v>
      </c>
      <c r="G70" s="3" t="s">
        <v>7208</v>
      </c>
      <c r="H70" s="3" t="s">
        <v>1274</v>
      </c>
      <c r="I70" s="3" t="s">
        <v>919</v>
      </c>
      <c r="K70" s="3" t="s">
        <v>0</v>
      </c>
      <c r="L70" s="3" t="s">
        <v>12</v>
      </c>
      <c r="M70" s="4"/>
      <c r="O70"/>
      <c r="P70" s="3" t="str">
        <f t="shared" si="9"/>
        <v>Activity.Activity Status</v>
      </c>
      <c r="R70" s="4" t="s">
        <v>2059</v>
      </c>
      <c r="T70" s="3" t="s">
        <v>98</v>
      </c>
      <c r="U70" t="s">
        <v>954</v>
      </c>
      <c r="V70"/>
      <c r="W70"/>
      <c r="X70" s="4"/>
      <c r="Y70" t="str">
        <f t="shared" si="7"/>
        <v>Y</v>
      </c>
      <c r="Z70" t="str">
        <f t="shared" si="10"/>
        <v>Y</v>
      </c>
      <c r="AA70" t="str">
        <f t="shared" si="10"/>
        <v>Y</v>
      </c>
      <c r="AF70"/>
      <c r="AG70" s="3"/>
      <c r="AI70" t="str">
        <f t="shared" si="13"/>
        <v>WHEN p_sysDictionaryTableID = 405 THEN (SELECT Description FROM actStatus x WHERE x.ID = p_RowID )</v>
      </c>
      <c r="AK70" t="str">
        <f t="shared" si="12"/>
        <v>SELECT setval('actStatus_id_seq', COALESCE((SELECT MAX(id)+1 FROM actStatus), 1), false);</v>
      </c>
    </row>
    <row r="71" spans="1:39" ht="14.25" customHeight="1">
      <c r="A71">
        <v>406</v>
      </c>
      <c r="B71" t="s">
        <v>1475</v>
      </c>
      <c r="C71" s="3" t="s">
        <v>2725</v>
      </c>
      <c r="D71" t="s">
        <v>907</v>
      </c>
      <c r="E71" s="3" t="s">
        <v>1488</v>
      </c>
      <c r="F71" s="3" t="s">
        <v>7210</v>
      </c>
      <c r="G71" s="3" t="s">
        <v>7209</v>
      </c>
      <c r="H71" s="3" t="s">
        <v>1274</v>
      </c>
      <c r="I71" s="3" t="s">
        <v>919</v>
      </c>
      <c r="K71" s="3" t="s">
        <v>0</v>
      </c>
      <c r="L71" s="3" t="s">
        <v>12</v>
      </c>
      <c r="M71" s="4"/>
      <c r="O71"/>
      <c r="P71" s="3" t="str">
        <f t="shared" si="9"/>
        <v>Activity.Activity Cost Unit</v>
      </c>
      <c r="R71" s="4" t="s">
        <v>2059</v>
      </c>
      <c r="T71" s="3" t="s">
        <v>98</v>
      </c>
      <c r="U71" t="s">
        <v>958</v>
      </c>
      <c r="V71"/>
      <c r="W71"/>
      <c r="X71" s="4"/>
      <c r="Y71" t="str">
        <f t="shared" si="7"/>
        <v>Y</v>
      </c>
      <c r="Z71" t="str">
        <f t="shared" si="10"/>
        <v>Y</v>
      </c>
      <c r="AA71" t="str">
        <f t="shared" si="10"/>
        <v>Y</v>
      </c>
      <c r="AF71"/>
      <c r="AG71" s="3"/>
      <c r="AI71" t="str">
        <f t="shared" si="13"/>
        <v>WHEN p_sysDictionaryTableID = 406 THEN (SELECT Description FROM actCostUnit x WHERE x.ID = p_RowID )</v>
      </c>
      <c r="AK71" t="str">
        <f t="shared" si="12"/>
        <v>SELECT setval('actCostUnit_id_seq', COALESCE((SELECT MAX(id)+1 FROM actCostUnit), 1), false);</v>
      </c>
    </row>
    <row r="72" spans="1:39" ht="14.25" customHeight="1">
      <c r="A72">
        <v>407</v>
      </c>
      <c r="B72" t="s">
        <v>1475</v>
      </c>
      <c r="C72" s="3" t="s">
        <v>2723</v>
      </c>
      <c r="D72" t="s">
        <v>906</v>
      </c>
      <c r="E72" s="3" t="s">
        <v>1486</v>
      </c>
      <c r="F72" s="3" t="s">
        <v>389</v>
      </c>
      <c r="G72" s="3" t="s">
        <v>906</v>
      </c>
      <c r="H72" s="3" t="s">
        <v>1274</v>
      </c>
      <c r="I72" s="3" t="s">
        <v>919</v>
      </c>
      <c r="K72" s="3" t="s">
        <v>0</v>
      </c>
      <c r="L72" s="3" t="s">
        <v>12</v>
      </c>
      <c r="M72" s="4"/>
      <c r="O72"/>
      <c r="P72" s="3" t="str">
        <f t="shared" si="9"/>
        <v>Activity.Billing Method</v>
      </c>
      <c r="R72" s="4" t="s">
        <v>2059</v>
      </c>
      <c r="T72" s="3" t="s">
        <v>98</v>
      </c>
      <c r="U72" t="s">
        <v>956</v>
      </c>
      <c r="V72"/>
      <c r="W72"/>
      <c r="X72" s="4"/>
      <c r="Y72" t="str">
        <f t="shared" si="7"/>
        <v>Y</v>
      </c>
      <c r="Z72" t="str">
        <f t="shared" si="10"/>
        <v>Y</v>
      </c>
      <c r="AA72" t="str">
        <f t="shared" si="10"/>
        <v>Y</v>
      </c>
      <c r="AF72"/>
      <c r="AG72" s="3"/>
      <c r="AI72" t="str">
        <f t="shared" si="13"/>
        <v>WHEN p_sysDictionaryTableID = 407 THEN (SELECT Description FROM actBillingMethod x WHERE x.ID = p_RowID )</v>
      </c>
      <c r="AK72" t="str">
        <f t="shared" si="12"/>
        <v>SELECT setval('actBillingMethod_id_seq', COALESCE((SELECT MAX(id)+1 FROM actBillingMethod), 1), false);</v>
      </c>
    </row>
    <row r="73" spans="1:39" ht="14.25" customHeight="1">
      <c r="A73">
        <v>408</v>
      </c>
      <c r="B73" t="s">
        <v>1475</v>
      </c>
      <c r="C73" s="3" t="s">
        <v>2726</v>
      </c>
      <c r="D73" t="s">
        <v>905</v>
      </c>
      <c r="E73" s="3" t="s">
        <v>1489</v>
      </c>
      <c r="F73" s="3" t="s">
        <v>453</v>
      </c>
      <c r="G73" s="3" t="s">
        <v>7092</v>
      </c>
      <c r="H73" s="3" t="s">
        <v>1274</v>
      </c>
      <c r="I73" s="3" t="s">
        <v>919</v>
      </c>
      <c r="K73" s="3" t="s">
        <v>0</v>
      </c>
      <c r="L73" s="3" t="s">
        <v>12</v>
      </c>
      <c r="M73" s="4"/>
      <c r="O73"/>
      <c r="P73" s="3" t="str">
        <f t="shared" si="9"/>
        <v>Activity.Priority</v>
      </c>
      <c r="R73" s="4" t="s">
        <v>2059</v>
      </c>
      <c r="T73" s="3" t="s">
        <v>98</v>
      </c>
      <c r="U73" t="s">
        <v>955</v>
      </c>
      <c r="V73"/>
      <c r="W73"/>
      <c r="X73" s="4"/>
      <c r="Y73" t="str">
        <f t="shared" si="7"/>
        <v>Y</v>
      </c>
      <c r="Z73" t="str">
        <f t="shared" si="10"/>
        <v>Y</v>
      </c>
      <c r="AA73" t="str">
        <f t="shared" si="10"/>
        <v>Y</v>
      </c>
      <c r="AF73"/>
      <c r="AG73" s="3"/>
      <c r="AI73" t="str">
        <f t="shared" si="13"/>
        <v>WHEN p_sysDictionaryTableID = 408 THEN (SELECT Description FROM actPriority x WHERE x.ID = p_RowID )</v>
      </c>
      <c r="AK73" t="str">
        <f t="shared" si="12"/>
        <v>SELECT setval('actPriority_id_seq', COALESCE((SELECT MAX(id)+1 FROM actPriority), 1), false);</v>
      </c>
    </row>
    <row r="74" spans="1:39" ht="14.25" customHeight="1">
      <c r="A74">
        <v>410</v>
      </c>
      <c r="B74" t="s">
        <v>1475</v>
      </c>
      <c r="C74" s="3" t="s">
        <v>2868</v>
      </c>
      <c r="D74" s="3" t="s">
        <v>945</v>
      </c>
      <c r="E74" s="3" t="s">
        <v>1543</v>
      </c>
      <c r="F74" s="3" t="s">
        <v>7170</v>
      </c>
      <c r="G74" s="3" t="s">
        <v>7172</v>
      </c>
      <c r="H74" s="3" t="s">
        <v>93</v>
      </c>
      <c r="I74" s="3" t="s">
        <v>92</v>
      </c>
      <c r="K74" s="3" t="s">
        <v>6145</v>
      </c>
      <c r="M74" s="4"/>
      <c r="P74" s="3" t="str">
        <f t="shared" si="9"/>
        <v>Activity.Billing Rate</v>
      </c>
      <c r="R74" s="4" t="s">
        <v>2059</v>
      </c>
      <c r="T74" s="3" t="s">
        <v>98</v>
      </c>
      <c r="U74" s="3" t="s">
        <v>2426</v>
      </c>
      <c r="Y74" t="str">
        <f t="shared" si="7"/>
        <v>Y</v>
      </c>
      <c r="Z74" t="str">
        <f t="shared" si="10"/>
        <v>Y</v>
      </c>
      <c r="AA74" t="str">
        <f t="shared" si="10"/>
        <v>Y</v>
      </c>
      <c r="AB74"/>
      <c r="AD74" t="str">
        <f>IF(ISERROR(VLOOKUP($C74&amp;"."&amp;#REF!,DictionaryColumns,1,FALSE)),"N","Y")</f>
        <v>N</v>
      </c>
      <c r="AE74" t="str">
        <f>IF(ISERROR(VLOOKUP($C74&amp;"."&amp;#REF!,DictionaryColumns,1,FALSE)),"N","Y")</f>
        <v>N</v>
      </c>
      <c r="AF74"/>
      <c r="AG74" s="3"/>
      <c r="AK74" t="str">
        <f t="shared" si="12"/>
        <v>SELECT setval('actRateBilling_id_seq', COALESCE((SELECT MAX(id)+1 FROM actRateBilling), 1), false);</v>
      </c>
      <c r="AL74" t="s">
        <v>3937</v>
      </c>
      <c r="AM74" t="str">
        <f>"truncate table "&amp;C74&amp;";"</f>
        <v>truncate table actRateBilling;</v>
      </c>
    </row>
    <row r="75" spans="1:39" ht="14.25" customHeight="1">
      <c r="A75">
        <v>411</v>
      </c>
      <c r="B75" t="s">
        <v>1475</v>
      </c>
      <c r="C75" s="3" t="s">
        <v>2869</v>
      </c>
      <c r="D75" s="3" t="s">
        <v>946</v>
      </c>
      <c r="E75" s="3" t="s">
        <v>1544</v>
      </c>
      <c r="F75" s="3" t="s">
        <v>7171</v>
      </c>
      <c r="G75" s="3" t="s">
        <v>7173</v>
      </c>
      <c r="H75" s="3" t="s">
        <v>93</v>
      </c>
      <c r="I75" s="3" t="s">
        <v>92</v>
      </c>
      <c r="K75" s="3" t="s">
        <v>6145</v>
      </c>
      <c r="M75" s="4"/>
      <c r="P75" s="3" t="str">
        <f t="shared" si="9"/>
        <v>Activity.Expense Rate</v>
      </c>
      <c r="R75" s="4" t="s">
        <v>2059</v>
      </c>
      <c r="T75" s="3" t="s">
        <v>98</v>
      </c>
      <c r="U75" s="3" t="s">
        <v>2427</v>
      </c>
      <c r="Y75" t="str">
        <f t="shared" si="7"/>
        <v>Y</v>
      </c>
      <c r="Z75" t="str">
        <f t="shared" si="10"/>
        <v>Y</v>
      </c>
      <c r="AA75" t="str">
        <f t="shared" si="10"/>
        <v>Y</v>
      </c>
      <c r="AB75"/>
      <c r="AD75" t="str">
        <f>IF(ISERROR(VLOOKUP($C75&amp;"."&amp;#REF!,DictionaryColumns,1,FALSE)),"N","Y")</f>
        <v>N</v>
      </c>
      <c r="AE75" t="str">
        <f>IF(ISERROR(VLOOKUP($C75&amp;"."&amp;#REF!,DictionaryColumns,1,FALSE)),"N","Y")</f>
        <v>N</v>
      </c>
      <c r="AF75"/>
      <c r="AG75" s="3"/>
      <c r="AK75" t="str">
        <f t="shared" si="12"/>
        <v>SELECT setval('actRateExpense_id_seq', COALESCE((SELECT MAX(id)+1 FROM actRateExpense), 1), false);</v>
      </c>
      <c r="AL75" t="s">
        <v>3937</v>
      </c>
      <c r="AM75" t="str">
        <f>"truncate table "&amp;C75&amp;";"</f>
        <v>truncate table actRateExpense;</v>
      </c>
    </row>
    <row r="76" spans="1:39" ht="14.25" customHeight="1">
      <c r="A76">
        <v>412</v>
      </c>
      <c r="B76" t="s">
        <v>1475</v>
      </c>
      <c r="C76" s="3" t="s">
        <v>2870</v>
      </c>
      <c r="D76" s="3" t="s">
        <v>938</v>
      </c>
      <c r="E76" s="3" t="s">
        <v>1545</v>
      </c>
      <c r="F76" s="3" t="s">
        <v>7175</v>
      </c>
      <c r="G76" s="3" t="s">
        <v>7174</v>
      </c>
      <c r="H76" s="3" t="s">
        <v>93</v>
      </c>
      <c r="I76" s="3" t="s">
        <v>92</v>
      </c>
      <c r="K76" s="3" t="s">
        <v>6145</v>
      </c>
      <c r="M76" s="4"/>
      <c r="P76" s="3" t="str">
        <f t="shared" si="9"/>
        <v>Activity.Rate Factor</v>
      </c>
      <c r="R76" s="4" t="s">
        <v>2059</v>
      </c>
      <c r="T76" s="3" t="s">
        <v>98</v>
      </c>
      <c r="U76" s="3" t="s">
        <v>2428</v>
      </c>
      <c r="Y76" t="str">
        <f t="shared" si="7"/>
        <v>Y</v>
      </c>
      <c r="Z76" t="str">
        <f t="shared" si="10"/>
        <v>Y</v>
      </c>
      <c r="AA76" t="str">
        <f t="shared" si="10"/>
        <v>Y</v>
      </c>
      <c r="AB76"/>
      <c r="AD76" t="str">
        <f>IF(ISERROR(VLOOKUP($C76&amp;"."&amp;#REF!,DictionaryColumns,1,FALSE)),"N","Y")</f>
        <v>N</v>
      </c>
      <c r="AE76" t="str">
        <f>IF(ISERROR(VLOOKUP($C76&amp;"."&amp;#REF!,DictionaryColumns,1,FALSE)),"N","Y")</f>
        <v>N</v>
      </c>
      <c r="AF76"/>
      <c r="AG76" s="3"/>
      <c r="AK76" t="str">
        <f t="shared" si="12"/>
        <v>SELECT setval('actRateFactor_id_seq', COALESCE((SELECT MAX(id)+1 FROM actRateFactor), 1), false);</v>
      </c>
      <c r="AL76" t="s">
        <v>3937</v>
      </c>
      <c r="AM76" t="str">
        <f>"truncate table "&amp;C76&amp;";"</f>
        <v>truncate table actRateFactor;</v>
      </c>
    </row>
    <row r="77" spans="1:39" ht="14.25" customHeight="1">
      <c r="A77">
        <v>420</v>
      </c>
      <c r="B77" t="s">
        <v>1475</v>
      </c>
      <c r="C77" s="3" t="s">
        <v>2721</v>
      </c>
      <c r="D77" t="s">
        <v>1027</v>
      </c>
      <c r="E77" s="3" t="s">
        <v>98</v>
      </c>
      <c r="F77" s="3" t="s">
        <v>98</v>
      </c>
      <c r="G77" t="s">
        <v>69</v>
      </c>
      <c r="H77" t="s">
        <v>93</v>
      </c>
      <c r="I77" s="3" t="s">
        <v>919</v>
      </c>
      <c r="K77" s="3" t="s">
        <v>0</v>
      </c>
      <c r="L77" s="4" t="s">
        <v>12</v>
      </c>
      <c r="M77" s="4"/>
      <c r="N77" s="4"/>
      <c r="O77" s="4"/>
      <c r="P77" s="3" t="str">
        <f t="shared" si="9"/>
        <v>Activity.Activity</v>
      </c>
      <c r="R77" s="4" t="s">
        <v>6325</v>
      </c>
      <c r="T77" s="3" t="s">
        <v>98</v>
      </c>
      <c r="U77" s="3" t="s">
        <v>2431</v>
      </c>
      <c r="X77" s="4"/>
      <c r="Y77" t="str">
        <f t="shared" si="7"/>
        <v>Y</v>
      </c>
      <c r="Z77" t="str">
        <f t="shared" si="10"/>
        <v>Y</v>
      </c>
      <c r="AA77" t="str">
        <f t="shared" si="10"/>
        <v>Y</v>
      </c>
      <c r="AB77"/>
      <c r="AC77"/>
      <c r="AD77"/>
      <c r="AE77"/>
      <c r="AF77"/>
      <c r="AG77" s="3"/>
      <c r="AI77" t="str">
        <f>"WHEN p_sysDictionaryTableID = "&amp;A77&amp;" THEN (SELECT "&amp;L77&amp;" FROM "&amp;C77&amp;" x WHERE x.ID = p_RowID "&amp;IF(I77="Y", " and x.TemporalEndDate = '9999-12-31'","")&amp;")"</f>
        <v>WHEN p_sysDictionaryTableID = 420 THEN (SELECT Description FROM actActivity x WHERE x.ID = p_RowID )</v>
      </c>
      <c r="AK77" t="str">
        <f t="shared" si="12"/>
        <v>SELECT setval('actActivity_id_seq', COALESCE((SELECT MAX(id)+1 FROM actActivity), 1), false);</v>
      </c>
      <c r="AL77" t="s">
        <v>3937</v>
      </c>
      <c r="AM77" t="str">
        <f>"truncate table "&amp;C77&amp;";"</f>
        <v>truncate table actActivity;</v>
      </c>
    </row>
    <row r="78" spans="1:39" ht="14.25" customHeight="1">
      <c r="A78">
        <v>421</v>
      </c>
      <c r="B78" t="s">
        <v>1475</v>
      </c>
      <c r="C78" s="3" t="s">
        <v>2722</v>
      </c>
      <c r="D78" t="s">
        <v>1236</v>
      </c>
      <c r="E78" s="3" t="s">
        <v>1479</v>
      </c>
      <c r="F78" s="3" t="s">
        <v>7158</v>
      </c>
      <c r="G78" t="s">
        <v>7126</v>
      </c>
      <c r="H78" t="s">
        <v>252</v>
      </c>
      <c r="I78" s="3" t="s">
        <v>919</v>
      </c>
      <c r="K78" s="3" t="s">
        <v>0</v>
      </c>
      <c r="L78" s="4"/>
      <c r="M78" s="4"/>
      <c r="N78" s="4"/>
      <c r="O78" s="4"/>
      <c r="P78" s="3" t="str">
        <f t="shared" si="9"/>
        <v>Activity.Billing Detail</v>
      </c>
      <c r="R78" s="4" t="s">
        <v>6325</v>
      </c>
      <c r="T78" s="3" t="s">
        <v>98</v>
      </c>
      <c r="U78" s="3" t="s">
        <v>2431</v>
      </c>
      <c r="X78" s="4"/>
      <c r="Y78" t="str">
        <f t="shared" si="7"/>
        <v>Y</v>
      </c>
      <c r="Z78" t="str">
        <f t="shared" si="10"/>
        <v>Y</v>
      </c>
      <c r="AA78" t="str">
        <f t="shared" si="10"/>
        <v>Y</v>
      </c>
      <c r="AB78"/>
      <c r="AC78"/>
      <c r="AD78"/>
      <c r="AE78"/>
      <c r="AF78"/>
      <c r="AG78" s="3"/>
      <c r="AI78"/>
      <c r="AK78" t="str">
        <f t="shared" si="12"/>
        <v>SELECT setval('actActivitySubTypeBilling_id_seq', COALESCE((SELECT MAX(id)+1 FROM actActivitySubTypeBilling), 1), false);</v>
      </c>
      <c r="AL78" t="s">
        <v>3937</v>
      </c>
      <c r="AM78" t="str">
        <f>"truncate table "&amp;C78&amp;";"</f>
        <v>truncate table actActivitySubTypeBilling;</v>
      </c>
    </row>
    <row r="79" spans="1:39" ht="14.25" customHeight="1">
      <c r="A79">
        <v>500</v>
      </c>
      <c r="B79" t="s">
        <v>1475</v>
      </c>
      <c r="C79" s="3" t="s">
        <v>2735</v>
      </c>
      <c r="D79" t="s">
        <v>1032</v>
      </c>
      <c r="E79" s="3" t="s">
        <v>24</v>
      </c>
      <c r="F79" s="3" t="s">
        <v>24</v>
      </c>
      <c r="G79" t="s">
        <v>1227</v>
      </c>
      <c r="H79" t="s">
        <v>93</v>
      </c>
      <c r="I79" s="3" t="s">
        <v>919</v>
      </c>
      <c r="K79" s="3" t="s">
        <v>0</v>
      </c>
      <c r="L79" s="4" t="s">
        <v>22</v>
      </c>
      <c r="M79" s="4"/>
      <c r="N79" s="4"/>
      <c r="O79" s="4"/>
      <c r="P79" s="3" t="str">
        <f t="shared" si="9"/>
        <v>Common.City</v>
      </c>
      <c r="R79" s="4" t="s">
        <v>2059</v>
      </c>
      <c r="T79" s="3" t="s">
        <v>4203</v>
      </c>
      <c r="X79" s="4"/>
      <c r="Y79" t="str">
        <f t="shared" si="7"/>
        <v>Y</v>
      </c>
      <c r="Z79" t="str">
        <f t="shared" si="10"/>
        <v>Y</v>
      </c>
      <c r="AA79" t="str">
        <f t="shared" si="10"/>
        <v>Y</v>
      </c>
      <c r="AB79"/>
      <c r="AC79"/>
      <c r="AD79"/>
      <c r="AE79"/>
      <c r="AF79"/>
      <c r="AG79" s="3"/>
      <c r="AI79" t="str">
        <f>"WHEN p_sysDictionaryTableID = "&amp;A79&amp;" THEN (SELECT "&amp;L79&amp;" FROM "&amp;C79&amp;" x WHERE x.ID = p_RowID "&amp;IF(I79="Y", " and x.TemporalEndDate = '9999-12-31'","")&amp;")"</f>
        <v>WHEN p_sysDictionaryTableID = 500 THEN (SELECT Name FROM comCity x WHERE x.ID = p_RowID )</v>
      </c>
      <c r="AK79" t="str">
        <f t="shared" si="12"/>
        <v>SELECT setval('comCity_id_seq', COALESCE((SELECT MAX(id)+1 FROM comCity), 1), false);</v>
      </c>
    </row>
    <row r="80" spans="1:39" ht="14.25" customHeight="1">
      <c r="A80">
        <v>501</v>
      </c>
      <c r="B80" t="s">
        <v>1475</v>
      </c>
      <c r="C80" s="3" t="s">
        <v>2741</v>
      </c>
      <c r="D80" t="s">
        <v>1041</v>
      </c>
      <c r="E80" s="3" t="s">
        <v>1333</v>
      </c>
      <c r="F80" s="3" t="s">
        <v>7159</v>
      </c>
      <c r="G80" t="s">
        <v>7127</v>
      </c>
      <c r="H80" t="s">
        <v>93</v>
      </c>
      <c r="I80" s="3" t="s">
        <v>919</v>
      </c>
      <c r="K80" s="3" t="s">
        <v>0</v>
      </c>
      <c r="L80" s="4" t="s">
        <v>22</v>
      </c>
      <c r="M80" s="4"/>
      <c r="N80" s="4"/>
      <c r="O80" s="4"/>
      <c r="P80" s="3" t="str">
        <f t="shared" si="9"/>
        <v>Common.Province State</v>
      </c>
      <c r="R80" s="4" t="s">
        <v>2059</v>
      </c>
      <c r="T80" s="3" t="s">
        <v>4203</v>
      </c>
      <c r="U80"/>
      <c r="V80"/>
      <c r="W80"/>
      <c r="X80" s="4"/>
      <c r="Y80" t="str">
        <f t="shared" si="7"/>
        <v>Y</v>
      </c>
      <c r="Z80" t="str">
        <f t="shared" si="10"/>
        <v>Y</v>
      </c>
      <c r="AA80" t="str">
        <f t="shared" si="10"/>
        <v>Y</v>
      </c>
      <c r="AB80"/>
      <c r="AC80"/>
      <c r="AD80"/>
      <c r="AE80"/>
      <c r="AF80"/>
      <c r="AG80" s="3"/>
      <c r="AI80" t="str">
        <f>"WHEN p_sysDictionaryTableID = "&amp;A80&amp;" THEN (SELECT "&amp;L80&amp;" FROM "&amp;C80&amp;" x WHERE x.ID = p_RowID "&amp;IF(I80="Y", " and x.TemporalEndDate = '9999-12-31'","")&amp;")"</f>
        <v>WHEN p_sysDictionaryTableID = 501 THEN (SELECT Name FROM comProvinceState x WHERE x.ID = p_RowID )</v>
      </c>
      <c r="AK80" t="str">
        <f t="shared" si="12"/>
        <v>SELECT setval('comProvinceState_id_seq', COALESCE((SELECT MAX(id)+1 FROM comProvinceState), 1), false);</v>
      </c>
    </row>
    <row r="81" spans="1:42" ht="14.25" customHeight="1">
      <c r="A81">
        <v>502</v>
      </c>
      <c r="B81" t="s">
        <v>1475</v>
      </c>
      <c r="C81" s="3" t="s">
        <v>2736</v>
      </c>
      <c r="D81"/>
      <c r="E81" s="3" t="s">
        <v>1082</v>
      </c>
      <c r="F81" s="3" t="s">
        <v>1082</v>
      </c>
      <c r="G81" s="3" t="s">
        <v>1206</v>
      </c>
      <c r="H81" s="3" t="s">
        <v>1274</v>
      </c>
      <c r="I81" s="3" t="s">
        <v>919</v>
      </c>
      <c r="K81" s="3" t="s">
        <v>0</v>
      </c>
      <c r="L81" s="3" t="s">
        <v>6228</v>
      </c>
      <c r="M81" s="4"/>
      <c r="O81"/>
      <c r="P81" s="3" t="str">
        <f t="shared" si="9"/>
        <v>Common.Country</v>
      </c>
      <c r="R81" s="4" t="s">
        <v>2059</v>
      </c>
      <c r="T81" s="3" t="s">
        <v>4203</v>
      </c>
      <c r="U81"/>
      <c r="V81"/>
      <c r="W81"/>
      <c r="X81" s="4"/>
      <c r="Y81" t="str">
        <f t="shared" si="7"/>
        <v>Y</v>
      </c>
      <c r="Z81" t="str">
        <f t="shared" ref="Z81:AA100" si="14">IF(ISERROR(VLOOKUP($C81&amp;"."&amp;Z$1,DictionaryColumns,1,FALSE)),"N","Y")</f>
        <v>Y</v>
      </c>
      <c r="AA81" t="str">
        <f t="shared" si="14"/>
        <v>Y</v>
      </c>
      <c r="AF81"/>
      <c r="AG81" s="3"/>
      <c r="AI81" t="str">
        <f>"WHEN p_sysDictionaryTableID = "&amp;A81&amp;" THEN (SELECT "&amp;L81&amp;" FROM "&amp;C81&amp;" x WHERE x.ID = p_RowID "&amp;IF(I81="Y", " and x.TemporalEndDate = '9999-12-31'","")&amp;")"</f>
        <v>WHEN p_sysDictionaryTableID = 502 THEN (SELECT name FROM comCountry x WHERE x.ID = p_RowID )</v>
      </c>
      <c r="AK81" t="str">
        <f t="shared" si="12"/>
        <v>SELECT setval('comCountry_id_seq', COALESCE((SELECT MAX(id)+1 FROM comCountry), 1), false);</v>
      </c>
    </row>
    <row r="82" spans="1:42" ht="14.25" customHeight="1">
      <c r="A82">
        <v>503</v>
      </c>
      <c r="B82" t="s">
        <v>1475</v>
      </c>
      <c r="C82" s="3" t="s">
        <v>2739</v>
      </c>
      <c r="D82" s="3" t="s">
        <v>951</v>
      </c>
      <c r="E82" s="3" t="s">
        <v>53</v>
      </c>
      <c r="F82" s="3" t="s">
        <v>53</v>
      </c>
      <c r="G82" s="3" t="s">
        <v>7083</v>
      </c>
      <c r="H82" s="3" t="s">
        <v>1274</v>
      </c>
      <c r="I82" s="3" t="s">
        <v>919</v>
      </c>
      <c r="K82" s="3" t="s">
        <v>0</v>
      </c>
      <c r="L82" s="3" t="s">
        <v>12</v>
      </c>
      <c r="M82" s="4"/>
      <c r="P82" s="3" t="str">
        <f t="shared" si="9"/>
        <v>Common.Location</v>
      </c>
      <c r="R82" s="4" t="s">
        <v>2059</v>
      </c>
      <c r="T82" s="3" t="s">
        <v>4203</v>
      </c>
      <c r="U82" s="3" t="s">
        <v>2446</v>
      </c>
      <c r="X82" s="4"/>
      <c r="Y82" t="str">
        <f t="shared" ref="Y82:Y113" si="15">IF(ISERROR(VLOOKUP($C82&amp;"."&amp;Y$1,DictionaryColumns,1,FALSE)),"N","Y")</f>
        <v>Y</v>
      </c>
      <c r="Z82" t="str">
        <f t="shared" si="14"/>
        <v>Y</v>
      </c>
      <c r="AA82" t="str">
        <f t="shared" si="14"/>
        <v>Y</v>
      </c>
      <c r="AB82" t="str">
        <f>IF(ISERROR(VLOOKUP($C82&amp;"."&amp;#REF!,DictionaryColumns,1,FALSE)),"N","Y")</f>
        <v>N</v>
      </c>
      <c r="AD82" t="str">
        <f>IF(ISERROR(VLOOKUP($C82&amp;"."&amp;#REF!,DictionaryColumns,1,FALSE)),"N","Y")</f>
        <v>N</v>
      </c>
      <c r="AE82" t="str">
        <f>IF(ISERROR(VLOOKUP($C82&amp;"."&amp;#REF!,DictionaryColumns,1,FALSE)),"N","Y")</f>
        <v>N</v>
      </c>
      <c r="AF82"/>
      <c r="AG82" s="3"/>
      <c r="AI82" t="str">
        <f>"WHEN p_sysDictionaryTableID = "&amp;A82&amp;" THEN (SELECT "&amp;L82&amp;" FROM "&amp;C82&amp;" x WHERE x.ID = p_RowID "&amp;IF(I82="Y", " and x.TemporalEndDate = '9999-12-31'","")&amp;")"</f>
        <v>WHEN p_sysDictionaryTableID = 503 THEN (SELECT Description FROM comLocation x WHERE x.ID = p_RowID )</v>
      </c>
      <c r="AK82" t="str">
        <f t="shared" si="12"/>
        <v>SELECT setval('comLocation_id_seq', COALESCE((SELECT MAX(id)+1 FROM comLocation), 1), false);</v>
      </c>
    </row>
    <row r="83" spans="1:42" ht="14.25" customHeight="1">
      <c r="A83">
        <v>510</v>
      </c>
      <c r="B83" t="s">
        <v>1475</v>
      </c>
      <c r="C83" s="3" t="s">
        <v>2732</v>
      </c>
      <c r="D83" s="3" t="s">
        <v>162</v>
      </c>
      <c r="E83" s="3" t="s">
        <v>211</v>
      </c>
      <c r="F83" s="3" t="s">
        <v>7176</v>
      </c>
      <c r="G83" s="3" t="s">
        <v>7177</v>
      </c>
      <c r="H83" s="3" t="s">
        <v>93</v>
      </c>
      <c r="I83" s="3" t="s">
        <v>919</v>
      </c>
      <c r="K83" s="3" t="s">
        <v>0</v>
      </c>
      <c r="L83" s="3" t="s">
        <v>12</v>
      </c>
      <c r="M83" s="4"/>
      <c r="P83" s="3" t="str">
        <f t="shared" si="9"/>
        <v>Common.Attribute Type</v>
      </c>
      <c r="R83" s="4" t="s">
        <v>2059</v>
      </c>
      <c r="T83" s="3" t="s">
        <v>4203</v>
      </c>
      <c r="U83" s="3" t="s">
        <v>2445</v>
      </c>
      <c r="X83" s="4"/>
      <c r="Y83" t="str">
        <f t="shared" si="15"/>
        <v>Y</v>
      </c>
      <c r="Z83" t="str">
        <f t="shared" si="14"/>
        <v>Y</v>
      </c>
      <c r="AA83" t="str">
        <f t="shared" si="14"/>
        <v>Y</v>
      </c>
      <c r="AB83"/>
      <c r="AD83" t="str">
        <f>IF(ISERROR(VLOOKUP($C83&amp;"."&amp;#REF!,DictionaryColumns,1,FALSE)),"N","Y")</f>
        <v>N</v>
      </c>
      <c r="AE83" t="str">
        <f>IF(ISERROR(VLOOKUP($C83&amp;"."&amp;#REF!,DictionaryColumns,1,FALSE)),"N","Y")</f>
        <v>N</v>
      </c>
      <c r="AF83"/>
      <c r="AG83" s="3"/>
      <c r="AI83" t="str">
        <f>"WHEN p_sysDictionaryTableID = "&amp;A83&amp;" THEN (SELECT "&amp;L83&amp;" FROM "&amp;C83&amp;" x WHERE x.ID = p_RowID "&amp;IF(I83="Y", " and x.TemporalEndDate = '9999-12-31'","")&amp;")"</f>
        <v>WHEN p_sysDictionaryTableID = 510 THEN (SELECT Description FROM comAttribute x WHERE x.ID = p_RowID )</v>
      </c>
      <c r="AK83" t="str">
        <f t="shared" si="12"/>
        <v>SELECT setval('comAttribute_id_seq', COALESCE((SELECT MAX(id)+1 FROM comAttribute), 1), false);</v>
      </c>
      <c r="AL83" t="s">
        <v>3937</v>
      </c>
      <c r="AM83" t="str">
        <f t="shared" ref="AM83:AM88" si="16">"truncate table "&amp;C83&amp;";"</f>
        <v>truncate table comAttribute;</v>
      </c>
    </row>
    <row r="84" spans="1:42" ht="14.25" customHeight="1">
      <c r="A84">
        <v>511</v>
      </c>
      <c r="B84" t="s">
        <v>1475</v>
      </c>
      <c r="C84" s="3" t="s">
        <v>2733</v>
      </c>
      <c r="D84" s="3" t="s">
        <v>933</v>
      </c>
      <c r="E84" s="3" t="s">
        <v>1309</v>
      </c>
      <c r="F84" s="3" t="s">
        <v>211</v>
      </c>
      <c r="G84" s="3" t="s">
        <v>162</v>
      </c>
      <c r="H84" s="3" t="s">
        <v>93</v>
      </c>
      <c r="I84" s="3" t="s">
        <v>919</v>
      </c>
      <c r="K84" s="3" t="s">
        <v>0</v>
      </c>
      <c r="M84" s="4"/>
      <c r="P84" s="3" t="str">
        <f t="shared" si="9"/>
        <v>Common.Attribute</v>
      </c>
      <c r="R84" s="4" t="s">
        <v>2059</v>
      </c>
      <c r="T84" s="3" t="s">
        <v>4203</v>
      </c>
      <c r="U84" s="3" t="s">
        <v>2432</v>
      </c>
      <c r="Y84" t="str">
        <f t="shared" si="15"/>
        <v>Y</v>
      </c>
      <c r="Z84" t="str">
        <f t="shared" si="14"/>
        <v>Y</v>
      </c>
      <c r="AA84" t="str">
        <f t="shared" si="14"/>
        <v>Y</v>
      </c>
      <c r="AB84"/>
      <c r="AD84" t="str">
        <f>IF(ISERROR(VLOOKUP($C84&amp;"."&amp;#REF!,DictionaryColumns,1,FALSE)),"N","Y")</f>
        <v>N</v>
      </c>
      <c r="AE84" t="str">
        <f>IF(ISERROR(VLOOKUP($C84&amp;"."&amp;#REF!,DictionaryColumns,1,FALSE)),"N","Y")</f>
        <v>N</v>
      </c>
      <c r="AF84"/>
      <c r="AG84" s="3"/>
      <c r="AI84"/>
      <c r="AK84" t="str">
        <f t="shared" si="12"/>
        <v>SELECT setval('comAttributeDetail_id_seq', COALESCE((SELECT MAX(id)+1 FROM comAttributeDetail), 1), false);</v>
      </c>
      <c r="AL84" t="s">
        <v>3937</v>
      </c>
      <c r="AM84" t="str">
        <f t="shared" si="16"/>
        <v>truncate table comAttributeDetail;</v>
      </c>
    </row>
    <row r="85" spans="1:42" ht="14.25" customHeight="1">
      <c r="A85">
        <v>520</v>
      </c>
      <c r="B85" t="s">
        <v>1475</v>
      </c>
      <c r="C85" s="3" t="s">
        <v>2737</v>
      </c>
      <c r="D85" s="3" t="s">
        <v>932</v>
      </c>
      <c r="E85" s="3" t="s">
        <v>39</v>
      </c>
      <c r="F85" s="3" t="s">
        <v>932</v>
      </c>
      <c r="G85" s="3" t="s">
        <v>932</v>
      </c>
      <c r="H85" s="3" t="s">
        <v>93</v>
      </c>
      <c r="I85" s="3" t="s">
        <v>919</v>
      </c>
      <c r="K85" s="3" t="s">
        <v>0</v>
      </c>
      <c r="L85" s="3" t="s">
        <v>279</v>
      </c>
      <c r="M85" s="4"/>
      <c r="P85" s="3" t="str">
        <f t="shared" si="9"/>
        <v>Common.Cross Reference</v>
      </c>
      <c r="R85" s="4" t="s">
        <v>2059</v>
      </c>
      <c r="T85" s="3" t="s">
        <v>4203</v>
      </c>
      <c r="U85" s="3" t="s">
        <v>2433</v>
      </c>
      <c r="Y85" t="str">
        <f t="shared" si="15"/>
        <v>Y</v>
      </c>
      <c r="Z85" t="str">
        <f t="shared" si="14"/>
        <v>Y</v>
      </c>
      <c r="AA85" t="str">
        <f t="shared" si="14"/>
        <v>Y</v>
      </c>
      <c r="AB85"/>
      <c r="AD85" t="str">
        <f>IF(ISERROR(VLOOKUP($C85&amp;"."&amp;#REF!,DictionaryColumns,1,FALSE)),"N","Y")</f>
        <v>N</v>
      </c>
      <c r="AE85" t="str">
        <f>IF(ISERROR(VLOOKUP($C85&amp;"."&amp;#REF!,DictionaryColumns,1,FALSE)),"N","Y")</f>
        <v>N</v>
      </c>
      <c r="AF85"/>
      <c r="AG85" s="3"/>
      <c r="AI85" t="str">
        <f>"WHEN p_sysDictionaryTableID = "&amp;A85&amp;" THEN (SELECT "&amp;L85&amp;" FROM "&amp;C85&amp;" x WHERE x.ID = p_RowID "&amp;IF(I85="Y", " and x.TemporalEndDate = '9999-12-31'","")&amp;")"</f>
        <v>WHEN p_sysDictionaryTableID = 520 THEN (SELECT Number FROM comCrossReference x WHERE x.ID = p_RowID )</v>
      </c>
      <c r="AK85" t="str">
        <f t="shared" si="12"/>
        <v>SELECT setval('comCrossReference_id_seq', COALESCE((SELECT MAX(id)+1 FROM comCrossReference), 1), false);</v>
      </c>
      <c r="AL85" t="s">
        <v>3937</v>
      </c>
      <c r="AM85" t="str">
        <f t="shared" si="16"/>
        <v>truncate table comCrossReference;</v>
      </c>
    </row>
    <row r="86" spans="1:42" ht="14.25" customHeight="1">
      <c r="A86">
        <v>521</v>
      </c>
      <c r="B86" t="s">
        <v>1475</v>
      </c>
      <c r="C86" s="3" t="s">
        <v>2738</v>
      </c>
      <c r="D86" t="s">
        <v>917</v>
      </c>
      <c r="E86" s="3" t="s">
        <v>968</v>
      </c>
      <c r="F86" s="3" t="s">
        <v>982</v>
      </c>
      <c r="G86" s="3" t="s">
        <v>7128</v>
      </c>
      <c r="H86" s="3" t="s">
        <v>1274</v>
      </c>
      <c r="I86" s="3" t="s">
        <v>919</v>
      </c>
      <c r="K86" s="3" t="s">
        <v>0</v>
      </c>
      <c r="L86" s="3" t="s">
        <v>12</v>
      </c>
      <c r="M86" s="4"/>
      <c r="O86"/>
      <c r="P86" s="3" t="str">
        <f t="shared" si="9"/>
        <v>Common.Cross Reference Type</v>
      </c>
      <c r="R86" s="4" t="s">
        <v>2059</v>
      </c>
      <c r="T86" s="3" t="s">
        <v>4203</v>
      </c>
      <c r="U86" t="s">
        <v>967</v>
      </c>
      <c r="V86"/>
      <c r="W86"/>
      <c r="X86" s="4"/>
      <c r="Y86" t="str">
        <f t="shared" si="15"/>
        <v>Y</v>
      </c>
      <c r="Z86" t="str">
        <f t="shared" si="14"/>
        <v>Y</v>
      </c>
      <c r="AA86" t="str">
        <f t="shared" si="14"/>
        <v>Y</v>
      </c>
      <c r="AF86"/>
      <c r="AG86" s="3"/>
      <c r="AI86" t="str">
        <f>"WHEN p_sysDictionaryTableID = "&amp;A86&amp;" THEN (SELECT "&amp;L86&amp;" FROM "&amp;C86&amp;" x WHERE x.ID = p_RowID "&amp;IF(I86="Y", " and x.TemporalEndDate = '9999-12-31'","")&amp;")"</f>
        <v>WHEN p_sysDictionaryTableID = 521 THEN (SELECT Description FROM comCrossReferenceType x WHERE x.ID = p_RowID )</v>
      </c>
      <c r="AK86" t="str">
        <f t="shared" si="12"/>
        <v>SELECT setval('comCrossReferenceType_id_seq', COALESCE((SELECT MAX(id)+1 FROM comCrossReferenceType), 1), false);</v>
      </c>
      <c r="AL86" t="s">
        <v>3937</v>
      </c>
      <c r="AM86" t="str">
        <f t="shared" si="16"/>
        <v>truncate table comCrossReferenceType;</v>
      </c>
    </row>
    <row r="87" spans="1:42" ht="14.25" customHeight="1">
      <c r="A87">
        <v>530</v>
      </c>
      <c r="B87" t="s">
        <v>1475</v>
      </c>
      <c r="C87" s="3" t="s">
        <v>2740</v>
      </c>
      <c r="D87" s="3" t="s">
        <v>922</v>
      </c>
      <c r="E87" s="3" t="s">
        <v>56</v>
      </c>
      <c r="F87" s="3" t="s">
        <v>7160</v>
      </c>
      <c r="G87" s="3" t="s">
        <v>922</v>
      </c>
      <c r="H87" s="3" t="s">
        <v>93</v>
      </c>
      <c r="I87" s="3" t="s">
        <v>919</v>
      </c>
      <c r="K87" s="3" t="s">
        <v>0</v>
      </c>
      <c r="M87" s="4"/>
      <c r="P87" s="3" t="str">
        <f t="shared" si="9"/>
        <v>Common.Personal Comment</v>
      </c>
      <c r="R87" s="4" t="s">
        <v>2059</v>
      </c>
      <c r="T87" s="3" t="s">
        <v>4203</v>
      </c>
      <c r="U87" s="3" t="s">
        <v>2440</v>
      </c>
      <c r="Y87" t="str">
        <f t="shared" si="15"/>
        <v>Y</v>
      </c>
      <c r="Z87" t="str">
        <f t="shared" si="14"/>
        <v>Y</v>
      </c>
      <c r="AA87" t="str">
        <f t="shared" si="14"/>
        <v>Y</v>
      </c>
      <c r="AB87"/>
      <c r="AD87" t="str">
        <f>IF(ISERROR(VLOOKUP($C87&amp;"."&amp;#REF!,DictionaryColumns,1,FALSE)),"N","Y")</f>
        <v>N</v>
      </c>
      <c r="AE87" t="str">
        <f>IF(ISERROR(VLOOKUP($C87&amp;"."&amp;#REF!,DictionaryColumns,1,FALSE)),"N","Y")</f>
        <v>N</v>
      </c>
      <c r="AF87"/>
      <c r="AG87" s="3"/>
      <c r="AK87" t="str">
        <f t="shared" si="12"/>
        <v>SELECT setval('comPersonalComment_id_seq', COALESCE((SELECT MAX(id)+1 FROM comPersonalComment), 1), false);</v>
      </c>
      <c r="AL87" t="s">
        <v>3937</v>
      </c>
      <c r="AM87" t="str">
        <f t="shared" si="16"/>
        <v>truncate table comPersonalComment;</v>
      </c>
    </row>
    <row r="88" spans="1:42" ht="14.25" customHeight="1">
      <c r="A88">
        <v>600</v>
      </c>
      <c r="B88" t="s">
        <v>1475</v>
      </c>
      <c r="C88" s="3" t="s">
        <v>2786</v>
      </c>
      <c r="D88" s="3" t="s">
        <v>920</v>
      </c>
      <c r="E88" s="3" t="s">
        <v>1532</v>
      </c>
      <c r="F88" s="3" t="s">
        <v>7161</v>
      </c>
      <c r="G88" s="3" t="s">
        <v>7129</v>
      </c>
      <c r="H88" s="3" t="s">
        <v>93</v>
      </c>
      <c r="I88" s="3" t="s">
        <v>92</v>
      </c>
      <c r="K88" s="3" t="s">
        <v>6145</v>
      </c>
      <c r="L88" s="3" t="s">
        <v>1294</v>
      </c>
      <c r="M88" s="4"/>
      <c r="P88" s="3" t="str">
        <f t="shared" si="9"/>
        <v>Human Resource.Employment Position</v>
      </c>
      <c r="R88" s="4" t="s">
        <v>2059</v>
      </c>
      <c r="T88" s="3" t="s">
        <v>7085</v>
      </c>
      <c r="U88" s="3" t="s">
        <v>2425</v>
      </c>
      <c r="Y88" t="str">
        <f t="shared" si="15"/>
        <v>Y</v>
      </c>
      <c r="Z88" t="str">
        <f t="shared" si="14"/>
        <v>Y</v>
      </c>
      <c r="AA88" t="str">
        <f t="shared" si="14"/>
        <v>Y</v>
      </c>
      <c r="AB88"/>
      <c r="AD88" t="str">
        <f>IF(ISERROR(VLOOKUP($C88&amp;"."&amp;#REF!,DictionaryColumns,1,FALSE)),"N","Y")</f>
        <v>N</v>
      </c>
      <c r="AE88" t="str">
        <f>IF(ISERROR(VLOOKUP($C88&amp;"."&amp;#REF!,DictionaryColumns,1,FALSE)),"N","Y")</f>
        <v>N</v>
      </c>
      <c r="AF88"/>
      <c r="AG88" s="3"/>
      <c r="AI88" t="str">
        <f>"WHEN p_sysDictionaryTableID = "&amp;A88&amp;" THEN (SELECT "&amp;L88&amp;" FROM "&amp;C88&amp;" x WHERE x.ID = p_RowID "&amp;IF(I88="Y", " and x.TemporalEndDate = '9999-12-31'","")&amp;")"</f>
        <v>WHEN p_sysDictionaryTableID = 600 THEN (SELECT WorkingTitle FROM hrPosition x WHERE x.ID = p_RowID  and x.TemporalEndDate = '9999-12-31')</v>
      </c>
      <c r="AK88" t="str">
        <f t="shared" si="12"/>
        <v>SELECT setval('hrPosition_id_seq', COALESCE((SELECT MAX(id)+1 FROM hrPosition), 1), false);</v>
      </c>
      <c r="AL88" t="s">
        <v>3937</v>
      </c>
      <c r="AM88" t="str">
        <f t="shared" si="16"/>
        <v>truncate table hrPosition;</v>
      </c>
    </row>
    <row r="89" spans="1:42" ht="14.25" customHeight="1">
      <c r="A89">
        <v>601</v>
      </c>
      <c r="B89" t="s">
        <v>1475</v>
      </c>
      <c r="C89" s="3" t="s">
        <v>2784</v>
      </c>
      <c r="D89" t="s">
        <v>1226</v>
      </c>
      <c r="E89" s="3" t="s">
        <v>1518</v>
      </c>
      <c r="F89" s="3" t="s">
        <v>7162</v>
      </c>
      <c r="G89" s="3" t="s">
        <v>7130</v>
      </c>
      <c r="H89" s="3" t="s">
        <v>1274</v>
      </c>
      <c r="I89" s="3" t="s">
        <v>919</v>
      </c>
      <c r="K89" s="3" t="s">
        <v>0</v>
      </c>
      <c r="L89" s="3" t="s">
        <v>12</v>
      </c>
      <c r="M89" s="4"/>
      <c r="O89"/>
      <c r="P89" s="3" t="str">
        <f t="shared" si="9"/>
        <v>Human Resource.Employment Status</v>
      </c>
      <c r="R89" s="4" t="s">
        <v>2059</v>
      </c>
      <c r="T89" s="3" t="s">
        <v>7085</v>
      </c>
      <c r="U89" t="s">
        <v>965</v>
      </c>
      <c r="V89"/>
      <c r="W89"/>
      <c r="X89" s="4"/>
      <c r="Y89" t="str">
        <f t="shared" si="15"/>
        <v>Y</v>
      </c>
      <c r="Z89" t="str">
        <f t="shared" si="14"/>
        <v>Y</v>
      </c>
      <c r="AA89" t="str">
        <f t="shared" si="14"/>
        <v>Y</v>
      </c>
      <c r="AF89"/>
      <c r="AG89" s="3"/>
      <c r="AI89" t="str">
        <f>"WHEN p_sysDictionaryTableID = "&amp;A89&amp;" THEN (SELECT "&amp;L89&amp;" FROM "&amp;C89&amp;" x WHERE x.ID = p_RowID "&amp;IF(I89="Y", " and x.TemporalEndDate = '9999-12-31'","")&amp;")"</f>
        <v>WHEN p_sysDictionaryTableID = 601 THEN (SELECT Description FROM hrEmploymentStatus x WHERE x.ID = p_RowID )</v>
      </c>
      <c r="AK89" t="str">
        <f t="shared" si="12"/>
        <v>SELECT setval('hrEmploymentStatus_id_seq', COALESCE((SELECT MAX(id)+1 FROM hrEmploymentStatus), 1), false);</v>
      </c>
    </row>
    <row r="90" spans="1:42" ht="14.25" customHeight="1">
      <c r="A90">
        <v>602</v>
      </c>
      <c r="B90" t="s">
        <v>1475</v>
      </c>
      <c r="C90" s="3" t="s">
        <v>2785</v>
      </c>
      <c r="D90"/>
      <c r="E90" s="3" t="s">
        <v>1519</v>
      </c>
      <c r="F90" s="3" t="s">
        <v>263</v>
      </c>
      <c r="G90" s="3" t="s">
        <v>1329</v>
      </c>
      <c r="H90" t="s">
        <v>1274</v>
      </c>
      <c r="I90" s="3" t="s">
        <v>919</v>
      </c>
      <c r="K90" s="3" t="s">
        <v>0</v>
      </c>
      <c r="L90" s="4" t="s">
        <v>12</v>
      </c>
      <c r="M90" s="4"/>
      <c r="N90" s="4"/>
      <c r="O90" s="4"/>
      <c r="P90" s="3" t="str">
        <f t="shared" si="9"/>
        <v>Human Resource.Grade</v>
      </c>
      <c r="R90" s="4" t="s">
        <v>2059</v>
      </c>
      <c r="T90" s="3" t="s">
        <v>7085</v>
      </c>
      <c r="X90" s="4"/>
      <c r="Y90" t="str">
        <f t="shared" si="15"/>
        <v>Y</v>
      </c>
      <c r="Z90" t="str">
        <f t="shared" si="14"/>
        <v>Y</v>
      </c>
      <c r="AA90" t="str">
        <f t="shared" si="14"/>
        <v>Y</v>
      </c>
      <c r="AB90" t="str">
        <f>IF(ISERROR(VLOOKUP($C90&amp;"."&amp;#REF!,DictionaryColumns,1,FALSE)),"N","Y")</f>
        <v>N</v>
      </c>
      <c r="AD90" t="str">
        <f>IF(ISERROR(VLOOKUP($C90&amp;"."&amp;#REF!,DictionaryColumns,1,FALSE)),"N","Y")</f>
        <v>N</v>
      </c>
      <c r="AE90" t="str">
        <f>IF(ISERROR(VLOOKUP($C90&amp;"."&amp;#REF!,DictionaryColumns,1,FALSE)),"N","Y")</f>
        <v>N</v>
      </c>
      <c r="AF90"/>
      <c r="AG90" s="3"/>
      <c r="AI90" t="str">
        <f>"WHEN p_sysDictionaryTableID = "&amp;A90&amp;" THEN (SELECT "&amp;L90&amp;" FROM "&amp;C90&amp;" x WHERE x.ID = p_RowID "&amp;IF(I90="Y", " and x.TemporalEndDate = '9999-12-31'","")&amp;")"</f>
        <v>WHEN p_sysDictionaryTableID = 602 THEN (SELECT Description FROM hrGrade x WHERE x.ID = p_RowID )</v>
      </c>
      <c r="AK90" t="str">
        <f t="shared" si="12"/>
        <v>SELECT setval('hrGrade_id_seq', COALESCE((SELECT MAX(id)+1 FROM hrGrade), 1), false);</v>
      </c>
    </row>
    <row r="91" spans="1:42" ht="14.25" customHeight="1">
      <c r="A91">
        <v>603</v>
      </c>
      <c r="B91" t="s">
        <v>1475</v>
      </c>
      <c r="C91" s="3" t="s">
        <v>2787</v>
      </c>
      <c r="D91" t="s">
        <v>915</v>
      </c>
      <c r="E91" s="3" t="s">
        <v>1533</v>
      </c>
      <c r="F91" s="3" t="s">
        <v>915</v>
      </c>
      <c r="G91" s="3" t="s">
        <v>7131</v>
      </c>
      <c r="H91" s="3" t="s">
        <v>1274</v>
      </c>
      <c r="I91" s="3" t="s">
        <v>919</v>
      </c>
      <c r="K91" s="3" t="s">
        <v>0</v>
      </c>
      <c r="L91" s="3" t="s">
        <v>12</v>
      </c>
      <c r="M91" s="4"/>
      <c r="O91"/>
      <c r="P91" s="3" t="str">
        <f t="shared" si="9"/>
        <v>Human Resource.Position Classification</v>
      </c>
      <c r="R91" s="4" t="s">
        <v>2059</v>
      </c>
      <c r="T91" s="3" t="s">
        <v>7085</v>
      </c>
      <c r="U91" t="s">
        <v>964</v>
      </c>
      <c r="V91"/>
      <c r="W91"/>
      <c r="X91" s="4"/>
      <c r="Y91" t="str">
        <f t="shared" si="15"/>
        <v>Y</v>
      </c>
      <c r="Z91" t="str">
        <f t="shared" si="14"/>
        <v>Y</v>
      </c>
      <c r="AA91" t="str">
        <f t="shared" si="14"/>
        <v>Y</v>
      </c>
      <c r="AF91"/>
      <c r="AG91" s="3"/>
      <c r="AI91" t="str">
        <f>"WHEN p_sysDictionaryTableID = "&amp;A91&amp;" THEN (SELECT "&amp;L91&amp;" FROM "&amp;C91&amp;" x WHERE x.ID = p_RowID "&amp;IF(I91="Y", " and x.TemporalEndDate = '9999-12-31'","")&amp;")"</f>
        <v>WHEN p_sysDictionaryTableID = 603 THEN (SELECT Description FROM hrPositionClassification x WHERE x.ID = p_RowID )</v>
      </c>
      <c r="AK91" t="str">
        <f t="shared" si="12"/>
        <v>SELECT setval('hrPositionClassification_id_seq', COALESCE((SELECT MAX(id)+1 FROM hrPositionClassification), 1), false);</v>
      </c>
    </row>
    <row r="92" spans="1:42" ht="14.25" customHeight="1">
      <c r="A92">
        <v>604</v>
      </c>
      <c r="B92" t="s">
        <v>1475</v>
      </c>
      <c r="C92" s="3" t="s">
        <v>2788</v>
      </c>
      <c r="D92" t="s">
        <v>916</v>
      </c>
      <c r="E92" s="3" t="s">
        <v>1534</v>
      </c>
      <c r="F92" s="3" t="s">
        <v>916</v>
      </c>
      <c r="G92" s="3" t="s">
        <v>7132</v>
      </c>
      <c r="H92" s="3" t="s">
        <v>1274</v>
      </c>
      <c r="I92" s="3" t="s">
        <v>919</v>
      </c>
      <c r="K92" s="3" t="s">
        <v>0</v>
      </c>
      <c r="L92" s="3" t="s">
        <v>12</v>
      </c>
      <c r="M92" s="4"/>
      <c r="O92"/>
      <c r="P92" s="3" t="str">
        <f t="shared" si="9"/>
        <v>Human Resource.Position Type</v>
      </c>
      <c r="R92" s="4" t="s">
        <v>2059</v>
      </c>
      <c r="T92" s="3" t="s">
        <v>7085</v>
      </c>
      <c r="U92" t="s">
        <v>966</v>
      </c>
      <c r="V92"/>
      <c r="W92"/>
      <c r="X92" s="4"/>
      <c r="Y92" t="str">
        <f t="shared" si="15"/>
        <v>Y</v>
      </c>
      <c r="Z92" t="str">
        <f t="shared" si="14"/>
        <v>Y</v>
      </c>
      <c r="AA92" t="str">
        <f t="shared" si="14"/>
        <v>Y</v>
      </c>
      <c r="AF92"/>
      <c r="AG92" s="3"/>
      <c r="AI92" t="str">
        <f>"WHEN p_sysDictionaryTableID = "&amp;A92&amp;" THEN (SELECT "&amp;L92&amp;" FROM "&amp;C92&amp;" x WHERE x.ID = p_RowID "&amp;IF(I92="Y", " and x.TemporalEndDate = '9999-12-31'","")&amp;")"</f>
        <v>WHEN p_sysDictionaryTableID = 604 THEN (SELECT Description FROM hrPositionType x WHERE x.ID = p_RowID )</v>
      </c>
      <c r="AK92" t="str">
        <f t="shared" si="12"/>
        <v>SELECT setval('hrPositionType_id_seq', COALESCE((SELECT MAX(id)+1 FROM hrPositionType), 1), false);</v>
      </c>
    </row>
    <row r="93" spans="1:42" ht="14.25" customHeight="1">
      <c r="A93">
        <v>800</v>
      </c>
      <c r="B93" t="s">
        <v>1475</v>
      </c>
      <c r="C93" s="3" t="s">
        <v>6183</v>
      </c>
      <c r="D93" t="s">
        <v>6197</v>
      </c>
      <c r="E93" s="3" t="s">
        <v>6193</v>
      </c>
      <c r="F93" s="3" t="s">
        <v>6188</v>
      </c>
      <c r="G93" t="s">
        <v>6191</v>
      </c>
      <c r="H93" t="s">
        <v>94</v>
      </c>
      <c r="I93" s="3" t="s">
        <v>919</v>
      </c>
      <c r="K93" s="3" t="s">
        <v>0</v>
      </c>
      <c r="L93" s="4" t="s">
        <v>22</v>
      </c>
      <c r="M93" s="4"/>
      <c r="N93" s="4"/>
      <c r="O93" s="4"/>
      <c r="P93" s="3" t="str">
        <f t="shared" si="9"/>
        <v>DataExchange.Subscriber</v>
      </c>
      <c r="R93" s="4" t="s">
        <v>2059</v>
      </c>
      <c r="T93" s="3" t="s">
        <v>6187</v>
      </c>
      <c r="X93" s="4"/>
      <c r="Y93" t="str">
        <f t="shared" si="15"/>
        <v>Y</v>
      </c>
      <c r="Z93" t="str">
        <f t="shared" si="14"/>
        <v>Y</v>
      </c>
      <c r="AA93" t="str">
        <f t="shared" si="14"/>
        <v>Y</v>
      </c>
      <c r="AB93"/>
      <c r="AC93"/>
      <c r="AD93"/>
      <c r="AE93"/>
      <c r="AF93"/>
      <c r="AG93" s="3"/>
      <c r="AI93"/>
      <c r="AK93" t="str">
        <f t="shared" si="12"/>
        <v>SELECT setval('exSubscriber_id_seq', COALESCE((SELECT MAX(id)+1 FROM exSubscriber), 1), false);</v>
      </c>
      <c r="AL93" s="7"/>
      <c r="AM93" s="7"/>
      <c r="AN93" s="8"/>
      <c r="AO93" s="7"/>
      <c r="AP93" s="7"/>
    </row>
    <row r="94" spans="1:42" ht="14.25" customHeight="1">
      <c r="A94">
        <v>801</v>
      </c>
      <c r="B94" t="s">
        <v>1475</v>
      </c>
      <c r="C94" s="3" t="s">
        <v>6185</v>
      </c>
      <c r="D94" s="3" t="s">
        <v>6199</v>
      </c>
      <c r="E94" s="3" t="s">
        <v>6195</v>
      </c>
      <c r="F94" s="3" t="s">
        <v>6212</v>
      </c>
      <c r="G94" t="s">
        <v>7133</v>
      </c>
      <c r="H94" t="s">
        <v>94</v>
      </c>
      <c r="I94" s="3" t="s">
        <v>919</v>
      </c>
      <c r="K94" s="3" t="s">
        <v>0</v>
      </c>
      <c r="L94" s="4" t="s">
        <v>22</v>
      </c>
      <c r="M94" s="4"/>
      <c r="P94" s="3" t="str">
        <f t="shared" si="9"/>
        <v>DataExchange.Record Group</v>
      </c>
      <c r="R94" s="4" t="s">
        <v>2059</v>
      </c>
      <c r="T94" s="3" t="s">
        <v>6187</v>
      </c>
      <c r="U94"/>
      <c r="V94"/>
      <c r="W94"/>
      <c r="Y94" t="str">
        <f t="shared" si="15"/>
        <v>Y</v>
      </c>
      <c r="Z94" t="str">
        <f t="shared" si="14"/>
        <v>Y</v>
      </c>
      <c r="AA94" t="str">
        <f t="shared" si="14"/>
        <v>Y</v>
      </c>
      <c r="AB94"/>
      <c r="AD94"/>
      <c r="AE94"/>
      <c r="AF94"/>
      <c r="AG94" s="3"/>
      <c r="AI94" t="str">
        <f>"WHEN p_sysDictionaryTableID = "&amp;A94&amp;" THEN (SELECT "&amp;L94&amp;" FROM "&amp;C94&amp;" x WHERE x.ID = p_RowID "&amp;IF(I94="Y", " and x.TemporalEndDate = '9999-12-31'","")&amp;")"</f>
        <v>WHEN p_sysDictionaryTableID = 801 THEN (SELECT Name FROM exRecordGroup x WHERE x.ID = p_RowID )</v>
      </c>
      <c r="AK94" t="str">
        <f t="shared" si="12"/>
        <v>SELECT setval('exRecordGroup_id_seq', COALESCE((SELECT MAX(id)+1 FROM exRecordGroup), 1), false);</v>
      </c>
      <c r="AL94" s="7"/>
      <c r="AM94" s="7"/>
      <c r="AN94" s="7"/>
      <c r="AO94" s="7"/>
      <c r="AP94" s="7"/>
    </row>
    <row r="95" spans="1:42" ht="14.25" customHeight="1">
      <c r="A95">
        <v>802</v>
      </c>
      <c r="B95" t="s">
        <v>1475</v>
      </c>
      <c r="C95" s="3" t="s">
        <v>6184</v>
      </c>
      <c r="D95" t="s">
        <v>6198</v>
      </c>
      <c r="E95" s="3" t="s">
        <v>6194</v>
      </c>
      <c r="F95" s="3" t="s">
        <v>6189</v>
      </c>
      <c r="G95" t="s">
        <v>6192</v>
      </c>
      <c r="H95" t="s">
        <v>94</v>
      </c>
      <c r="I95" s="3" t="s">
        <v>919</v>
      </c>
      <c r="K95" s="3" t="s">
        <v>0</v>
      </c>
      <c r="L95" s="4" t="s">
        <v>1036</v>
      </c>
      <c r="M95" s="4"/>
      <c r="N95" s="4"/>
      <c r="O95" s="4"/>
      <c r="P95" s="3" t="str">
        <f t="shared" si="9"/>
        <v>DataExchange.Subscription</v>
      </c>
      <c r="R95" s="4" t="s">
        <v>2059</v>
      </c>
      <c r="T95" s="3" t="s">
        <v>6187</v>
      </c>
      <c r="X95" s="4"/>
      <c r="Y95" t="str">
        <f t="shared" si="15"/>
        <v>N</v>
      </c>
      <c r="Z95" t="str">
        <f t="shared" si="14"/>
        <v>Y</v>
      </c>
      <c r="AA95" t="str">
        <f t="shared" si="14"/>
        <v>Y</v>
      </c>
      <c r="AB95"/>
      <c r="AC95"/>
      <c r="AD95"/>
      <c r="AE95"/>
      <c r="AF95"/>
      <c r="AG95" s="3"/>
      <c r="AI95"/>
      <c r="AK95" t="str">
        <f t="shared" si="12"/>
        <v>SELECT setval('exSubscription_id_seq', COALESCE((SELECT MAX(id)+1 FROM exSubscription), 1), false);</v>
      </c>
      <c r="AL95" s="7"/>
      <c r="AM95" s="7"/>
      <c r="AN95" s="7"/>
      <c r="AO95" s="7"/>
      <c r="AP95" s="7"/>
    </row>
    <row r="96" spans="1:42" ht="14.25" customHeight="1">
      <c r="A96">
        <v>803</v>
      </c>
      <c r="B96" t="s">
        <v>1475</v>
      </c>
      <c r="C96" s="3" t="s">
        <v>6200</v>
      </c>
      <c r="D96" t="s">
        <v>6202</v>
      </c>
      <c r="E96" s="3" t="s">
        <v>6201</v>
      </c>
      <c r="F96" s="3" t="s">
        <v>7163</v>
      </c>
      <c r="G96" t="s">
        <v>7134</v>
      </c>
      <c r="H96" t="s">
        <v>94</v>
      </c>
      <c r="I96" s="3" t="s">
        <v>919</v>
      </c>
      <c r="K96" s="3" t="s">
        <v>0</v>
      </c>
      <c r="L96" s="4" t="s">
        <v>1036</v>
      </c>
      <c r="M96" s="4"/>
      <c r="N96" s="4"/>
      <c r="O96" s="4"/>
      <c r="P96" s="3" t="str">
        <f t="shared" si="9"/>
        <v>DataExchange.Subscription Detail</v>
      </c>
      <c r="R96" s="4"/>
      <c r="T96" s="3" t="s">
        <v>6187</v>
      </c>
      <c r="X96" s="4"/>
      <c r="Y96" t="str">
        <f t="shared" si="15"/>
        <v>Y</v>
      </c>
      <c r="Z96" t="str">
        <f t="shared" si="14"/>
        <v>Y</v>
      </c>
      <c r="AA96" t="str">
        <f t="shared" si="14"/>
        <v>Y</v>
      </c>
      <c r="AB96"/>
      <c r="AC96"/>
      <c r="AD96"/>
      <c r="AE96"/>
      <c r="AF96"/>
      <c r="AG96" s="3"/>
      <c r="AI96"/>
      <c r="AK96" t="str">
        <f t="shared" si="12"/>
        <v>SELECT setval('exSubscriptionDetail_id_seq', COALESCE((SELECT MAX(id)+1 FROM exSubscriptionDetail), 1), false);</v>
      </c>
      <c r="AL96" s="7"/>
      <c r="AM96" s="7"/>
      <c r="AN96" s="7"/>
      <c r="AO96" s="7"/>
      <c r="AP96" s="7"/>
    </row>
    <row r="97" spans="1:42" ht="14.25" customHeight="1">
      <c r="A97">
        <v>804</v>
      </c>
      <c r="B97" t="s">
        <v>1475</v>
      </c>
      <c r="C97" s="3" t="s">
        <v>6310</v>
      </c>
      <c r="D97" s="3" t="s">
        <v>6311</v>
      </c>
      <c r="E97" s="3" t="s">
        <v>6312</v>
      </c>
      <c r="F97" t="s">
        <v>6313</v>
      </c>
      <c r="G97" t="s">
        <v>6314</v>
      </c>
      <c r="H97" t="s">
        <v>94</v>
      </c>
      <c r="I97" s="3" t="s">
        <v>919</v>
      </c>
      <c r="K97" s="3" t="s">
        <v>0</v>
      </c>
      <c r="M97" s="4"/>
      <c r="P97" s="3" t="str">
        <f t="shared" si="9"/>
        <v>DataExchange.Package</v>
      </c>
      <c r="R97" s="4"/>
      <c r="T97" s="3" t="s">
        <v>6187</v>
      </c>
      <c r="Y97" t="str">
        <f t="shared" si="15"/>
        <v>N</v>
      </c>
      <c r="Z97" t="str">
        <f t="shared" si="14"/>
        <v>Y</v>
      </c>
      <c r="AA97" t="str">
        <f t="shared" si="14"/>
        <v>Y</v>
      </c>
      <c r="AF97"/>
      <c r="AG97" s="3"/>
      <c r="AK97" t="str">
        <f t="shared" si="12"/>
        <v>SELECT setval('exPackage_id_seq', COALESCE((SELECT MAX(id)+1 FROM exPackage), 1), false);</v>
      </c>
      <c r="AL97" s="9"/>
      <c r="AM97" s="7"/>
      <c r="AN97" s="8"/>
      <c r="AO97" s="7"/>
    </row>
    <row r="98" spans="1:42" ht="14.25" customHeight="1">
      <c r="A98">
        <v>805</v>
      </c>
      <c r="B98" t="s">
        <v>1475</v>
      </c>
      <c r="C98" s="3" t="s">
        <v>6355</v>
      </c>
      <c r="D98" s="3" t="s">
        <v>6356</v>
      </c>
      <c r="E98" s="3" t="s">
        <v>6357</v>
      </c>
      <c r="F98" t="s">
        <v>7164</v>
      </c>
      <c r="G98" t="s">
        <v>7135</v>
      </c>
      <c r="H98" t="s">
        <v>94</v>
      </c>
      <c r="I98" s="3" t="s">
        <v>919</v>
      </c>
      <c r="K98" s="3" t="s">
        <v>0</v>
      </c>
      <c r="M98" s="4"/>
      <c r="P98" s="3" t="str">
        <f t="shared" si="9"/>
        <v>DataExchange.History Batch</v>
      </c>
      <c r="R98" s="4"/>
      <c r="T98" s="3" t="s">
        <v>6187</v>
      </c>
      <c r="Y98" t="str">
        <f t="shared" si="15"/>
        <v>N</v>
      </c>
      <c r="Z98" t="str">
        <f t="shared" si="14"/>
        <v>Y</v>
      </c>
      <c r="AA98" t="str">
        <f t="shared" si="14"/>
        <v>Y</v>
      </c>
      <c r="AF98"/>
      <c r="AG98" s="3"/>
      <c r="AK98" t="str">
        <f t="shared" ref="AK98:AK106" si="17">"SELECT setval('"&amp;C98&amp;"_id_seq', COALESCE((SELECT MAX(id)+1 FROM "&amp;C98&amp;"), 1), false);"</f>
        <v>SELECT setval('exHistoryBatch_id_seq', COALESCE((SELECT MAX(id)+1 FROM exHistoryBatch), 1), false);</v>
      </c>
    </row>
    <row r="99" spans="1:42" ht="14.25" customHeight="1">
      <c r="A99">
        <v>806</v>
      </c>
      <c r="B99" t="s">
        <v>1475</v>
      </c>
      <c r="C99" s="3" t="s">
        <v>6186</v>
      </c>
      <c r="D99" s="3" t="s">
        <v>6204</v>
      </c>
      <c r="E99" s="3" t="s">
        <v>6196</v>
      </c>
      <c r="F99" t="s">
        <v>6190</v>
      </c>
      <c r="G99" t="s">
        <v>6190</v>
      </c>
      <c r="H99" t="s">
        <v>94</v>
      </c>
      <c r="I99" s="3" t="s">
        <v>919</v>
      </c>
      <c r="K99" s="3" t="s">
        <v>0</v>
      </c>
      <c r="M99" s="4"/>
      <c r="P99" s="3" t="str">
        <f t="shared" si="9"/>
        <v>DataExchange.History</v>
      </c>
      <c r="R99" s="4"/>
      <c r="T99" s="3" t="s">
        <v>6187</v>
      </c>
      <c r="Y99" t="str">
        <f t="shared" si="15"/>
        <v>N</v>
      </c>
      <c r="Z99" t="str">
        <f t="shared" si="14"/>
        <v>N</v>
      </c>
      <c r="AA99" t="str">
        <f t="shared" si="14"/>
        <v>Y</v>
      </c>
      <c r="AF99"/>
      <c r="AG99" s="3"/>
      <c r="AK99" t="str">
        <f t="shared" si="17"/>
        <v>SELECT setval('exHistory_id_seq', COALESCE((SELECT MAX(id)+1 FROM exHistory), 1), false);</v>
      </c>
    </row>
    <row r="100" spans="1:42" ht="14.25" customHeight="1">
      <c r="A100">
        <v>807</v>
      </c>
      <c r="B100" t="s">
        <v>1475</v>
      </c>
      <c r="C100" s="3" t="s">
        <v>6207</v>
      </c>
      <c r="D100" s="3" t="s">
        <v>6203</v>
      </c>
      <c r="E100" s="3" t="s">
        <v>6208</v>
      </c>
      <c r="F100" t="s">
        <v>94</v>
      </c>
      <c r="G100" t="s">
        <v>6209</v>
      </c>
      <c r="H100" t="s">
        <v>94</v>
      </c>
      <c r="I100" s="3" t="s">
        <v>919</v>
      </c>
      <c r="K100" s="3" t="s">
        <v>0</v>
      </c>
      <c r="L100" s="3" t="s">
        <v>22</v>
      </c>
      <c r="M100" s="4"/>
      <c r="P100" s="3" t="str">
        <f t="shared" si="9"/>
        <v>DataExchange.System</v>
      </c>
      <c r="R100" s="4" t="s">
        <v>2059</v>
      </c>
      <c r="T100" s="3" t="s">
        <v>6187</v>
      </c>
      <c r="U100"/>
      <c r="V100"/>
      <c r="W100"/>
      <c r="Y100" t="str">
        <f t="shared" si="15"/>
        <v>Y</v>
      </c>
      <c r="Z100" t="str">
        <f t="shared" si="14"/>
        <v>Y</v>
      </c>
      <c r="AA100" t="str">
        <f t="shared" si="14"/>
        <v>Y</v>
      </c>
      <c r="AF100"/>
      <c r="AG100" s="3"/>
      <c r="AK100" t="str">
        <f t="shared" si="17"/>
        <v>SELECT setval('exSystem_id_seq', COALESCE((SELECT MAX(id)+1 FROM exSystem), 1), false);</v>
      </c>
    </row>
    <row r="101" spans="1:42" ht="14.25" customHeight="1">
      <c r="A101">
        <v>808</v>
      </c>
      <c r="B101" t="s">
        <v>1475</v>
      </c>
      <c r="C101" s="3" t="s">
        <v>7021</v>
      </c>
      <c r="D101" s="3" t="s">
        <v>6290</v>
      </c>
      <c r="E101" s="3" t="s">
        <v>6291</v>
      </c>
      <c r="F101" t="s">
        <v>7165</v>
      </c>
      <c r="G101" t="s">
        <v>7136</v>
      </c>
      <c r="H101" t="s">
        <v>94</v>
      </c>
      <c r="I101" s="3" t="s">
        <v>919</v>
      </c>
      <c r="K101" s="3" t="s">
        <v>0</v>
      </c>
      <c r="L101" s="3" t="s">
        <v>22</v>
      </c>
      <c r="M101" s="4"/>
      <c r="P101" s="3" t="str">
        <f t="shared" si="9"/>
        <v>DataExchange.Subnet Server</v>
      </c>
      <c r="R101" s="4" t="s">
        <v>2059</v>
      </c>
      <c r="T101" s="3" t="s">
        <v>6187</v>
      </c>
      <c r="U101"/>
      <c r="V101"/>
      <c r="W101"/>
      <c r="Y101" t="str">
        <f t="shared" si="15"/>
        <v>Y</v>
      </c>
      <c r="Z101" t="str">
        <f t="shared" ref="Z101:AA120" si="18">IF(ISERROR(VLOOKUP($C101&amp;"."&amp;Z$1,DictionaryColumns,1,FALSE)),"N","Y")</f>
        <v>Y</v>
      </c>
      <c r="AA101" t="str">
        <f t="shared" si="18"/>
        <v>Y</v>
      </c>
      <c r="AF101"/>
      <c r="AG101" s="3"/>
      <c r="AK101" t="str">
        <f t="shared" si="17"/>
        <v>SELECT setval('exSubnetServer_id_seq', COALESCE((SELECT MAX(id)+1 FROM exSubnetServer), 1), false);</v>
      </c>
    </row>
    <row r="102" spans="1:42" ht="14.25" customHeight="1">
      <c r="A102">
        <v>809</v>
      </c>
      <c r="B102" t="s">
        <v>1475</v>
      </c>
      <c r="C102" s="3" t="s">
        <v>6326</v>
      </c>
      <c r="D102" s="3" t="s">
        <v>6328</v>
      </c>
      <c r="E102" s="3" t="s">
        <v>6329</v>
      </c>
      <c r="F102" t="s">
        <v>2982</v>
      </c>
      <c r="G102" t="s">
        <v>6327</v>
      </c>
      <c r="H102" t="s">
        <v>94</v>
      </c>
      <c r="I102" s="3" t="s">
        <v>919</v>
      </c>
      <c r="K102" s="3" t="s">
        <v>0</v>
      </c>
      <c r="L102" s="3" t="s">
        <v>12</v>
      </c>
      <c r="M102" s="4"/>
      <c r="P102" s="3" t="str">
        <f t="shared" si="9"/>
        <v>DataExchange.Message</v>
      </c>
      <c r="R102" s="4"/>
      <c r="T102" s="3" t="s">
        <v>6187</v>
      </c>
      <c r="U102"/>
      <c r="V102"/>
      <c r="W102"/>
      <c r="Y102" t="str">
        <f t="shared" si="15"/>
        <v>N</v>
      </c>
      <c r="Z102" t="str">
        <f t="shared" si="18"/>
        <v>Y</v>
      </c>
      <c r="AA102" t="str">
        <f t="shared" si="18"/>
        <v>Y</v>
      </c>
      <c r="AF102"/>
      <c r="AG102" s="3"/>
      <c r="AK102" t="str">
        <f t="shared" si="17"/>
        <v>SELECT setval('exMessage_id_seq', COALESCE((SELECT MAX(id)+1 FROM exMessage), 1), false);</v>
      </c>
    </row>
    <row r="103" spans="1:42" ht="14.25" customHeight="1">
      <c r="A103">
        <v>810</v>
      </c>
      <c r="B103" t="s">
        <v>1475</v>
      </c>
      <c r="C103" s="3" t="s">
        <v>6370</v>
      </c>
      <c r="D103" s="3" t="s">
        <v>6372</v>
      </c>
      <c r="E103" s="3" t="s">
        <v>6371</v>
      </c>
      <c r="F103" t="s">
        <v>7166</v>
      </c>
      <c r="G103" t="s">
        <v>7137</v>
      </c>
      <c r="H103" t="s">
        <v>94</v>
      </c>
      <c r="I103" s="3" t="s">
        <v>919</v>
      </c>
      <c r="K103" s="3" t="s">
        <v>0</v>
      </c>
      <c r="L103" s="3" t="s">
        <v>12</v>
      </c>
      <c r="M103" s="4"/>
      <c r="P103" s="3" t="str">
        <f t="shared" si="9"/>
        <v>DataExchange.Message Override</v>
      </c>
      <c r="R103" s="4" t="s">
        <v>2059</v>
      </c>
      <c r="T103" s="3" t="s">
        <v>6187</v>
      </c>
      <c r="U103"/>
      <c r="V103"/>
      <c r="W103"/>
      <c r="Y103" t="str">
        <f t="shared" si="15"/>
        <v>N</v>
      </c>
      <c r="Z103" t="str">
        <f t="shared" si="18"/>
        <v>Y</v>
      </c>
      <c r="AA103" t="str">
        <f t="shared" si="18"/>
        <v>Y</v>
      </c>
      <c r="AF103"/>
      <c r="AG103" s="3"/>
      <c r="AK103" t="str">
        <f t="shared" si="17"/>
        <v>SELECT setval('exMessageOverride_id_seq', COALESCE((SELECT MAX(id)+1 FROM exMessageOverride), 1), false);</v>
      </c>
    </row>
    <row r="104" spans="1:42" ht="14.25" customHeight="1">
      <c r="A104">
        <v>811</v>
      </c>
      <c r="B104" t="s">
        <v>1475</v>
      </c>
      <c r="C104" s="3" t="s">
        <v>6376</v>
      </c>
      <c r="D104" t="s">
        <v>6377</v>
      </c>
      <c r="E104" s="3" t="s">
        <v>6378</v>
      </c>
      <c r="F104" s="3" t="s">
        <v>4096</v>
      </c>
      <c r="G104" t="s">
        <v>4096</v>
      </c>
      <c r="H104" t="s">
        <v>94</v>
      </c>
      <c r="I104" s="3" t="s">
        <v>919</v>
      </c>
      <c r="K104" s="3" t="s">
        <v>0</v>
      </c>
      <c r="L104" s="4" t="s">
        <v>1036</v>
      </c>
      <c r="M104" s="4"/>
      <c r="N104" s="4"/>
      <c r="O104" s="4"/>
      <c r="P104" s="3" t="str">
        <f t="shared" si="9"/>
        <v>DataExchange.Governance</v>
      </c>
      <c r="R104" s="4" t="s">
        <v>2059</v>
      </c>
      <c r="T104" s="3" t="s">
        <v>6187</v>
      </c>
      <c r="X104" s="4"/>
      <c r="Y104" t="str">
        <f t="shared" si="15"/>
        <v>N</v>
      </c>
      <c r="Z104" t="str">
        <f t="shared" si="18"/>
        <v>Y</v>
      </c>
      <c r="AA104" t="str">
        <f t="shared" si="18"/>
        <v>Y</v>
      </c>
      <c r="AB104"/>
      <c r="AC104"/>
      <c r="AD104"/>
      <c r="AE104"/>
      <c r="AF104"/>
      <c r="AG104" s="3"/>
      <c r="AI104"/>
      <c r="AK104" t="str">
        <f t="shared" si="17"/>
        <v>SELECT setval('exGovernance_id_seq', COALESCE((SELECT MAX(id)+1 FROM exGovernance), 1), false);</v>
      </c>
      <c r="AL104" s="7"/>
      <c r="AM104" s="7"/>
      <c r="AN104" s="7"/>
      <c r="AO104" s="7"/>
      <c r="AP104" s="7"/>
    </row>
    <row r="105" spans="1:42" ht="14.25" customHeight="1">
      <c r="A105">
        <v>812</v>
      </c>
      <c r="B105" t="s">
        <v>1475</v>
      </c>
      <c r="C105" s="3" t="s">
        <v>6379</v>
      </c>
      <c r="D105" t="s">
        <v>6380</v>
      </c>
      <c r="E105" s="3" t="s">
        <v>6381</v>
      </c>
      <c r="F105" s="3" t="s">
        <v>7167</v>
      </c>
      <c r="G105" t="s">
        <v>7138</v>
      </c>
      <c r="H105" t="s">
        <v>94</v>
      </c>
      <c r="I105" s="3" t="s">
        <v>919</v>
      </c>
      <c r="K105" s="3" t="s">
        <v>0</v>
      </c>
      <c r="L105" s="4" t="s">
        <v>1036</v>
      </c>
      <c r="M105" s="4"/>
      <c r="N105" s="4"/>
      <c r="O105" s="4"/>
      <c r="P105" s="3" t="str">
        <f t="shared" si="9"/>
        <v>DataExchange.Governance Detail</v>
      </c>
      <c r="R105" s="4"/>
      <c r="T105" s="3" t="s">
        <v>6187</v>
      </c>
      <c r="X105" s="4"/>
      <c r="Y105" t="str">
        <f t="shared" si="15"/>
        <v>N</v>
      </c>
      <c r="Z105" t="str">
        <f t="shared" si="18"/>
        <v>Y</v>
      </c>
      <c r="AA105" t="str">
        <f t="shared" si="18"/>
        <v>Y</v>
      </c>
      <c r="AB105"/>
      <c r="AC105"/>
      <c r="AD105"/>
      <c r="AE105"/>
      <c r="AF105"/>
      <c r="AG105" s="3"/>
      <c r="AI105"/>
      <c r="AK105" t="str">
        <f t="shared" si="17"/>
        <v>SELECT setval('exGovernanceDetail_id_seq', COALESCE((SELECT MAX(id)+1 FROM exGovernanceDetail), 1), false);</v>
      </c>
      <c r="AL105" s="7"/>
      <c r="AM105" s="7"/>
      <c r="AN105" s="7"/>
      <c r="AO105" s="7"/>
      <c r="AP105" s="7"/>
    </row>
    <row r="106" spans="1:42" ht="14.25" customHeight="1">
      <c r="A106">
        <v>813</v>
      </c>
      <c r="B106" t="s">
        <v>1475</v>
      </c>
      <c r="C106" s="3" t="s">
        <v>7029</v>
      </c>
      <c r="D106" t="s">
        <v>7042</v>
      </c>
      <c r="E106" s="3" t="s">
        <v>7043</v>
      </c>
      <c r="F106" s="3" t="s">
        <v>7168</v>
      </c>
      <c r="G106" t="s">
        <v>7139</v>
      </c>
      <c r="H106" t="s">
        <v>94</v>
      </c>
      <c r="I106" s="3" t="s">
        <v>919</v>
      </c>
      <c r="K106" s="3" t="s">
        <v>0</v>
      </c>
      <c r="L106" s="4" t="s">
        <v>1036</v>
      </c>
      <c r="M106" s="4"/>
      <c r="N106" s="4"/>
      <c r="O106" s="4"/>
      <c r="P106" s="3" t="str">
        <f t="shared" si="9"/>
        <v>DataExchange.Subscription Redaction</v>
      </c>
      <c r="R106" s="4" t="s">
        <v>2059</v>
      </c>
      <c r="T106" s="3" t="s">
        <v>6187</v>
      </c>
      <c r="X106" s="4"/>
      <c r="Y106" t="str">
        <f t="shared" si="15"/>
        <v>Y</v>
      </c>
      <c r="Z106" t="str">
        <f t="shared" si="18"/>
        <v>Y</v>
      </c>
      <c r="AA106" t="str">
        <f t="shared" si="18"/>
        <v>Y</v>
      </c>
      <c r="AB106"/>
      <c r="AC106"/>
      <c r="AD106"/>
      <c r="AE106"/>
      <c r="AF106"/>
      <c r="AG106" s="3"/>
      <c r="AI106"/>
      <c r="AK106" t="str">
        <f t="shared" si="17"/>
        <v>SELECT setval('exSubscriptionRedaction_id_seq', COALESCE((SELECT MAX(id)+1 FROM exSubscriptionRedaction), 1), false);</v>
      </c>
      <c r="AL106" s="7"/>
      <c r="AM106" s="7"/>
      <c r="AN106" s="7"/>
      <c r="AO106" s="7"/>
      <c r="AP106" s="7"/>
    </row>
    <row r="107" spans="1:42" ht="14.25" hidden="1" customHeight="1">
      <c r="A107">
        <v>200000</v>
      </c>
      <c r="B107" t="s">
        <v>464</v>
      </c>
      <c r="C107" s="3" t="s">
        <v>182</v>
      </c>
      <c r="D107" s="3" t="s">
        <v>925</v>
      </c>
      <c r="E107" s="3" t="str">
        <f t="shared" ref="E107:E146" si="19">T107&amp;F107</f>
        <v>AccountBalance</v>
      </c>
      <c r="F107" s="3" t="s">
        <v>199</v>
      </c>
      <c r="G107" s="3" t="s">
        <v>182</v>
      </c>
      <c r="I107" s="3" t="s">
        <v>919</v>
      </c>
      <c r="K107" s="3" t="s">
        <v>0</v>
      </c>
      <c r="P107" s="3" t="s">
        <v>1001</v>
      </c>
      <c r="S107" s="10">
        <v>0</v>
      </c>
      <c r="U107" s="3" t="s">
        <v>155</v>
      </c>
      <c r="Y107" t="str">
        <f t="shared" si="15"/>
        <v>N</v>
      </c>
      <c r="Z107" t="str">
        <f t="shared" si="18"/>
        <v>N</v>
      </c>
      <c r="AA107" t="str">
        <f t="shared" si="18"/>
        <v>Y</v>
      </c>
      <c r="AB107" t="str">
        <f>IF(ISERROR(VLOOKUP($C107&amp;"."&amp;#REF!,DictionaryColumns,1,FALSE)),"N","Y")</f>
        <v>N</v>
      </c>
      <c r="AD107" t="str">
        <f>IF(ISERROR(VLOOKUP($C107&amp;"."&amp;#REF!,DictionaryColumns,1,FALSE)),"N","Y")</f>
        <v>N</v>
      </c>
      <c r="AE107" t="str">
        <f>IF(ISERROR(VLOOKUP($C107&amp;"."&amp;#REF!,DictionaryColumns,1,FALSE)),"N","Y")</f>
        <v>N</v>
      </c>
      <c r="AF107"/>
      <c r="AG107" s="3"/>
      <c r="AL107" s="7"/>
      <c r="AM107" s="7"/>
      <c r="AN107" s="8"/>
      <c r="AO107" s="7"/>
      <c r="AP107" s="7"/>
    </row>
    <row r="108" spans="1:42" ht="14.25" hidden="1" customHeight="1">
      <c r="A108">
        <v>200010</v>
      </c>
      <c r="B108" t="s">
        <v>464</v>
      </c>
      <c r="C108" s="3" t="s">
        <v>69</v>
      </c>
      <c r="D108" s="3" t="s">
        <v>69</v>
      </c>
      <c r="E108" s="3" t="str">
        <f t="shared" si="19"/>
        <v>Activity</v>
      </c>
      <c r="F108" s="3" t="s">
        <v>98</v>
      </c>
      <c r="G108" s="3" t="s">
        <v>69</v>
      </c>
      <c r="I108" s="3" t="s">
        <v>919</v>
      </c>
      <c r="K108" s="3" t="s">
        <v>0</v>
      </c>
      <c r="L108" s="3" t="s">
        <v>12</v>
      </c>
      <c r="P108" s="3" t="s">
        <v>985</v>
      </c>
      <c r="S108" s="10">
        <v>0</v>
      </c>
      <c r="U108" s="3" t="s">
        <v>142</v>
      </c>
      <c r="Y108" t="str">
        <f t="shared" si="15"/>
        <v>N</v>
      </c>
      <c r="Z108" t="str">
        <f t="shared" si="18"/>
        <v>N</v>
      </c>
      <c r="AA108" t="str">
        <f t="shared" si="18"/>
        <v>Y</v>
      </c>
      <c r="AB108" t="str">
        <f>IF(ISERROR(VLOOKUP($C108&amp;"."&amp;#REF!,DictionaryColumns,1,FALSE)),"N","Y")</f>
        <v>N</v>
      </c>
      <c r="AD108" t="str">
        <f>IF(ISERROR(VLOOKUP($C108&amp;"."&amp;#REF!,DictionaryColumns,1,FALSE)),"N","Y")</f>
        <v>N</v>
      </c>
      <c r="AE108" t="str">
        <f>IF(ISERROR(VLOOKUP($C108&amp;"."&amp;#REF!,DictionaryColumns,1,FALSE)),"N","Y")</f>
        <v>N</v>
      </c>
      <c r="AF108"/>
      <c r="AG108" s="3"/>
      <c r="AL108" s="7"/>
      <c r="AM108" s="7"/>
      <c r="AN108" s="8"/>
      <c r="AO108" s="7"/>
      <c r="AP108" s="7"/>
    </row>
    <row r="109" spans="1:42" ht="14.25" hidden="1" customHeight="1">
      <c r="A109">
        <v>200020</v>
      </c>
      <c r="B109" t="s">
        <v>464</v>
      </c>
      <c r="C109" s="3" t="s">
        <v>172</v>
      </c>
      <c r="D109" s="3" t="s">
        <v>934</v>
      </c>
      <c r="E109" s="3" t="str">
        <f t="shared" si="19"/>
        <v>ActivityAllocation</v>
      </c>
      <c r="F109" s="3" t="s">
        <v>206</v>
      </c>
      <c r="G109" s="3" t="s">
        <v>172</v>
      </c>
      <c r="I109" s="3" t="s">
        <v>919</v>
      </c>
      <c r="K109" s="3" t="s">
        <v>0</v>
      </c>
      <c r="P109" s="3" t="s">
        <v>986</v>
      </c>
      <c r="S109" s="10">
        <v>0</v>
      </c>
      <c r="U109" s="3" t="s">
        <v>164</v>
      </c>
      <c r="Y109" t="str">
        <f t="shared" si="15"/>
        <v>N</v>
      </c>
      <c r="Z109" t="str">
        <f t="shared" si="18"/>
        <v>N</v>
      </c>
      <c r="AA109" t="str">
        <f t="shared" si="18"/>
        <v>Y</v>
      </c>
      <c r="AB109" t="str">
        <f>IF(ISERROR(VLOOKUP($C109&amp;"."&amp;#REF!,DictionaryColumns,1,FALSE)),"N","Y")</f>
        <v>N</v>
      </c>
      <c r="AD109" t="str">
        <f>IF(ISERROR(VLOOKUP($C109&amp;"."&amp;#REF!,DictionaryColumns,1,FALSE)),"N","Y")</f>
        <v>N</v>
      </c>
      <c r="AE109" t="str">
        <f>IF(ISERROR(VLOOKUP($C109&amp;"."&amp;#REF!,DictionaryColumns,1,FALSE)),"N","Y")</f>
        <v>N</v>
      </c>
      <c r="AF109"/>
      <c r="AG109" s="3"/>
      <c r="AL109" s="7"/>
      <c r="AM109" s="7"/>
      <c r="AN109" s="7"/>
      <c r="AO109" s="7"/>
      <c r="AP109" s="7"/>
    </row>
    <row r="110" spans="1:42" ht="14.25" hidden="1" customHeight="1">
      <c r="A110">
        <v>200030</v>
      </c>
      <c r="B110" t="s">
        <v>464</v>
      </c>
      <c r="C110" s="3" t="s">
        <v>174</v>
      </c>
      <c r="D110" s="3" t="s">
        <v>935</v>
      </c>
      <c r="E110" s="3" t="str">
        <f t="shared" si="19"/>
        <v>ActivityProject</v>
      </c>
      <c r="F110" s="3" t="s">
        <v>208</v>
      </c>
      <c r="G110" s="3" t="s">
        <v>174</v>
      </c>
      <c r="I110" s="3" t="s">
        <v>919</v>
      </c>
      <c r="K110" s="3" t="s">
        <v>0</v>
      </c>
      <c r="L110" s="3" t="s">
        <v>12</v>
      </c>
      <c r="P110" s="3" t="s">
        <v>987</v>
      </c>
      <c r="S110" s="10">
        <v>0</v>
      </c>
      <c r="U110" s="3" t="s">
        <v>165</v>
      </c>
      <c r="Y110" t="str">
        <f t="shared" si="15"/>
        <v>N</v>
      </c>
      <c r="Z110" t="str">
        <f t="shared" si="18"/>
        <v>N</v>
      </c>
      <c r="AA110" t="str">
        <f t="shared" si="18"/>
        <v>Y</v>
      </c>
      <c r="AB110" t="str">
        <f>IF(ISERROR(VLOOKUP($C110&amp;"."&amp;#REF!,DictionaryColumns,1,FALSE)),"N","Y")</f>
        <v>N</v>
      </c>
      <c r="AD110" t="str">
        <f>IF(ISERROR(VLOOKUP($C110&amp;"."&amp;#REF!,DictionaryColumns,1,FALSE)),"N","Y")</f>
        <v>N</v>
      </c>
      <c r="AE110" t="str">
        <f>IF(ISERROR(VLOOKUP($C110&amp;"."&amp;#REF!,DictionaryColumns,1,FALSE)),"N","Y")</f>
        <v>N</v>
      </c>
      <c r="AF110"/>
      <c r="AG110" s="3"/>
      <c r="AL110" s="7"/>
      <c r="AM110" s="7"/>
      <c r="AN110" s="7"/>
      <c r="AO110" s="7"/>
      <c r="AP110" s="7"/>
    </row>
    <row r="111" spans="1:42" ht="14.25" hidden="1" customHeight="1">
      <c r="A111">
        <v>200040</v>
      </c>
      <c r="B111" t="s">
        <v>464</v>
      </c>
      <c r="C111" s="3" t="s">
        <v>71</v>
      </c>
      <c r="D111" s="3" t="s">
        <v>936</v>
      </c>
      <c r="E111" s="3" t="str">
        <f t="shared" si="19"/>
        <v>ActivityType</v>
      </c>
      <c r="F111" s="3" t="s">
        <v>203</v>
      </c>
      <c r="G111" s="3" t="s">
        <v>71</v>
      </c>
      <c r="I111" s="3" t="s">
        <v>919</v>
      </c>
      <c r="K111" s="3" t="s">
        <v>0</v>
      </c>
      <c r="L111" s="3" t="s">
        <v>12</v>
      </c>
      <c r="P111" s="3" t="s">
        <v>988</v>
      </c>
      <c r="S111" s="10">
        <v>0</v>
      </c>
      <c r="U111" s="3" t="s">
        <v>141</v>
      </c>
      <c r="Y111" t="str">
        <f t="shared" si="15"/>
        <v>N</v>
      </c>
      <c r="Z111" t="str">
        <f t="shared" si="18"/>
        <v>N</v>
      </c>
      <c r="AA111" t="str">
        <f t="shared" si="18"/>
        <v>Y</v>
      </c>
      <c r="AB111" t="str">
        <f>IF(ISERROR(VLOOKUP($C111&amp;"."&amp;#REF!,DictionaryColumns,1,FALSE)),"N","Y")</f>
        <v>N</v>
      </c>
      <c r="AD111" t="str">
        <f>IF(ISERROR(VLOOKUP($C111&amp;"."&amp;#REF!,DictionaryColumns,1,FALSE)),"N","Y")</f>
        <v>N</v>
      </c>
      <c r="AE111" t="str">
        <f>IF(ISERROR(VLOOKUP($C111&amp;"."&amp;#REF!,DictionaryColumns,1,FALSE)),"N","Y")</f>
        <v>N</v>
      </c>
      <c r="AF111"/>
      <c r="AG111" s="3"/>
      <c r="AL111" s="7"/>
      <c r="AM111" s="7"/>
      <c r="AN111" s="7"/>
      <c r="AO111" s="7"/>
      <c r="AP111" s="7"/>
    </row>
    <row r="112" spans="1:42" ht="14.25" hidden="1" customHeight="1">
      <c r="A112">
        <v>200050</v>
      </c>
      <c r="B112" t="s">
        <v>464</v>
      </c>
      <c r="C112" s="3" t="s">
        <v>173</v>
      </c>
      <c r="D112" s="3" t="s">
        <v>933</v>
      </c>
      <c r="E112" s="3" t="str">
        <f t="shared" si="19"/>
        <v>Attributelinkstoclient</v>
      </c>
      <c r="F112" s="3" t="s">
        <v>173</v>
      </c>
      <c r="G112" s="3" t="s">
        <v>173</v>
      </c>
      <c r="I112" s="3" t="s">
        <v>919</v>
      </c>
      <c r="K112" s="3" t="s">
        <v>0</v>
      </c>
      <c r="L112" s="3" t="s">
        <v>6229</v>
      </c>
      <c r="P112" s="3" t="s">
        <v>1017</v>
      </c>
      <c r="S112" s="10">
        <v>0</v>
      </c>
      <c r="U112" s="3" t="s">
        <v>163</v>
      </c>
      <c r="Y112" t="str">
        <f t="shared" si="15"/>
        <v>N</v>
      </c>
      <c r="Z112" t="str">
        <f t="shared" si="18"/>
        <v>N</v>
      </c>
      <c r="AA112" t="str">
        <f t="shared" si="18"/>
        <v>Y</v>
      </c>
      <c r="AB112" t="str">
        <f>IF(ISERROR(VLOOKUP($C112&amp;"."&amp;#REF!,DictionaryColumns,1,FALSE)),"N","Y")</f>
        <v>N</v>
      </c>
      <c r="AD112" t="str">
        <f>IF(ISERROR(VLOOKUP($C112&amp;"."&amp;#REF!,DictionaryColumns,1,FALSE)),"N","Y")</f>
        <v>N</v>
      </c>
      <c r="AE112" t="str">
        <f>IF(ISERROR(VLOOKUP($C112&amp;"."&amp;#REF!,DictionaryColumns,1,FALSE)),"N","Y")</f>
        <v>N</v>
      </c>
      <c r="AF112"/>
      <c r="AG112" s="3"/>
      <c r="AL112" s="7"/>
      <c r="AM112" s="7"/>
      <c r="AN112" s="7"/>
      <c r="AO112" s="7"/>
      <c r="AP112" s="7"/>
    </row>
    <row r="113" spans="1:42" ht="14.25" hidden="1" customHeight="1">
      <c r="A113">
        <v>200060</v>
      </c>
      <c r="B113" t="s">
        <v>464</v>
      </c>
      <c r="C113" s="3" t="s">
        <v>162</v>
      </c>
      <c r="D113" s="3" t="s">
        <v>162</v>
      </c>
      <c r="E113" s="3" t="str">
        <f t="shared" si="19"/>
        <v>Attribute</v>
      </c>
      <c r="F113" s="3" t="s">
        <v>211</v>
      </c>
      <c r="G113" s="3" t="s">
        <v>162</v>
      </c>
      <c r="I113" s="3" t="s">
        <v>919</v>
      </c>
      <c r="K113" s="3" t="s">
        <v>0</v>
      </c>
      <c r="L113" s="3" t="s">
        <v>12</v>
      </c>
      <c r="P113" s="3" t="s">
        <v>1016</v>
      </c>
      <c r="S113" s="10">
        <v>0</v>
      </c>
      <c r="U113" s="3" t="s">
        <v>161</v>
      </c>
      <c r="Y113" t="str">
        <f t="shared" si="15"/>
        <v>N</v>
      </c>
      <c r="Z113" t="str">
        <f t="shared" si="18"/>
        <v>N</v>
      </c>
      <c r="AA113" t="str">
        <f t="shared" si="18"/>
        <v>Y</v>
      </c>
      <c r="AB113" t="str">
        <f>IF(ISERROR(VLOOKUP($C113&amp;"."&amp;#REF!,DictionaryColumns,1,FALSE)),"N","Y")</f>
        <v>N</v>
      </c>
      <c r="AD113" t="str">
        <f>IF(ISERROR(VLOOKUP($C113&amp;"."&amp;#REF!,DictionaryColumns,1,FALSE)),"N","Y")</f>
        <v>N</v>
      </c>
      <c r="AE113" t="str">
        <f>IF(ISERROR(VLOOKUP($C113&amp;"."&amp;#REF!,DictionaryColumns,1,FALSE)),"N","Y")</f>
        <v>N</v>
      </c>
      <c r="AF113"/>
      <c r="AG113" s="3"/>
      <c r="AL113" s="7"/>
      <c r="AM113" s="7"/>
      <c r="AN113" s="7"/>
      <c r="AO113" s="7"/>
      <c r="AP113" s="7"/>
    </row>
    <row r="114" spans="1:42" ht="14.25" hidden="1" customHeight="1">
      <c r="A114">
        <v>200070</v>
      </c>
      <c r="B114" t="s">
        <v>464</v>
      </c>
      <c r="C114" s="3" t="s">
        <v>75</v>
      </c>
      <c r="D114" s="3" t="s">
        <v>949</v>
      </c>
      <c r="E114" s="3" t="str">
        <f t="shared" si="19"/>
        <v>AuditLog</v>
      </c>
      <c r="F114" s="3" t="s">
        <v>131</v>
      </c>
      <c r="G114" s="3" t="s">
        <v>75</v>
      </c>
      <c r="I114" s="3" t="s">
        <v>919</v>
      </c>
      <c r="K114" s="3" t="s">
        <v>0</v>
      </c>
      <c r="P114" s="3" t="s">
        <v>1890</v>
      </c>
      <c r="S114" s="10">
        <v>0</v>
      </c>
      <c r="U114" s="3" t="s">
        <v>148</v>
      </c>
      <c r="Y114" t="str">
        <f t="shared" ref="Y114:Y146" si="20">IF(ISERROR(VLOOKUP($C114&amp;"."&amp;Y$1,DictionaryColumns,1,FALSE)),"N","Y")</f>
        <v>N</v>
      </c>
      <c r="Z114" t="str">
        <f t="shared" si="18"/>
        <v>N</v>
      </c>
      <c r="AA114" t="str">
        <f t="shared" si="18"/>
        <v>Y</v>
      </c>
      <c r="AB114" t="str">
        <f>IF(ISERROR(VLOOKUP($C114&amp;"."&amp;#REF!,DictionaryColumns,1,FALSE)),"N","Y")</f>
        <v>N</v>
      </c>
      <c r="AD114" t="str">
        <f>IF(ISERROR(VLOOKUP($C114&amp;"."&amp;#REF!,DictionaryColumns,1,FALSE)),"N","Y")</f>
        <v>N</v>
      </c>
      <c r="AE114" t="str">
        <f>IF(ISERROR(VLOOKUP($C114&amp;"."&amp;#REF!,DictionaryColumns,1,FALSE)),"N","Y")</f>
        <v>N</v>
      </c>
      <c r="AF114"/>
      <c r="AG114" s="3"/>
      <c r="AL114" s="7"/>
      <c r="AM114" s="7"/>
      <c r="AN114" s="7"/>
      <c r="AO114" s="7"/>
      <c r="AP114" s="7"/>
    </row>
    <row r="115" spans="1:42" ht="14.25" hidden="1" customHeight="1">
      <c r="A115">
        <v>200080</v>
      </c>
      <c r="B115" t="s">
        <v>464</v>
      </c>
      <c r="C115" s="3" t="s">
        <v>76</v>
      </c>
      <c r="D115" s="3" t="s">
        <v>939</v>
      </c>
      <c r="E115" s="3" t="str">
        <f t="shared" si="19"/>
        <v>Batch</v>
      </c>
      <c r="F115" s="3" t="s">
        <v>6</v>
      </c>
      <c r="G115" s="3" t="s">
        <v>76</v>
      </c>
      <c r="I115" s="3" t="s">
        <v>919</v>
      </c>
      <c r="K115" s="3" t="s">
        <v>0</v>
      </c>
      <c r="L115" s="3" t="s">
        <v>11</v>
      </c>
      <c r="P115" s="3" t="s">
        <v>1002</v>
      </c>
      <c r="S115" s="10">
        <v>0</v>
      </c>
      <c r="U115" s="3" t="s">
        <v>154</v>
      </c>
      <c r="Y115" t="str">
        <f t="shared" si="20"/>
        <v>N</v>
      </c>
      <c r="Z115" t="str">
        <f t="shared" si="18"/>
        <v>N</v>
      </c>
      <c r="AA115" t="str">
        <f t="shared" si="18"/>
        <v>Y</v>
      </c>
      <c r="AB115" t="str">
        <f>IF(ISERROR(VLOOKUP($C115&amp;"."&amp;#REF!,DictionaryColumns,1,FALSE)),"N","Y")</f>
        <v>N</v>
      </c>
      <c r="AD115" t="str">
        <f>IF(ISERROR(VLOOKUP($C115&amp;"."&amp;#REF!,DictionaryColumns,1,FALSE)),"N","Y")</f>
        <v>N</v>
      </c>
      <c r="AE115" t="str">
        <f>IF(ISERROR(VLOOKUP($C115&amp;"."&amp;#REF!,DictionaryColumns,1,FALSE)),"N","Y")</f>
        <v>N</v>
      </c>
      <c r="AF115"/>
      <c r="AG115" s="3"/>
      <c r="AL115" s="7"/>
      <c r="AM115" s="7"/>
      <c r="AN115" s="7"/>
      <c r="AO115" s="7"/>
      <c r="AP115" s="7"/>
    </row>
    <row r="116" spans="1:42" ht="14.25" hidden="1" customHeight="1">
      <c r="A116">
        <v>200090</v>
      </c>
      <c r="B116" t="s">
        <v>464</v>
      </c>
      <c r="C116" s="3" t="s">
        <v>184</v>
      </c>
      <c r="D116" s="3" t="s">
        <v>103</v>
      </c>
      <c r="E116" s="3" t="str">
        <f t="shared" si="19"/>
        <v>BatchType</v>
      </c>
      <c r="F116" s="3" t="s">
        <v>13</v>
      </c>
      <c r="G116" s="3" t="s">
        <v>184</v>
      </c>
      <c r="H116" s="3" t="s">
        <v>1274</v>
      </c>
      <c r="I116" s="3" t="s">
        <v>919</v>
      </c>
      <c r="K116" s="3" t="s">
        <v>0</v>
      </c>
      <c r="L116" s="3" t="s">
        <v>12</v>
      </c>
      <c r="P116" s="3" t="s">
        <v>1003</v>
      </c>
      <c r="S116" s="10">
        <v>0</v>
      </c>
      <c r="U116" s="3" t="s">
        <v>153</v>
      </c>
      <c r="Y116" t="str">
        <f t="shared" si="20"/>
        <v>N</v>
      </c>
      <c r="Z116" t="str">
        <f t="shared" si="18"/>
        <v>N</v>
      </c>
      <c r="AA116" t="str">
        <f t="shared" si="18"/>
        <v>Y</v>
      </c>
      <c r="AB116" t="str">
        <f>IF(ISERROR(VLOOKUP($C116&amp;"."&amp;#REF!,DictionaryColumns,1,FALSE)),"N","Y")</f>
        <v>N</v>
      </c>
      <c r="AD116" t="str">
        <f>IF(ISERROR(VLOOKUP($C116&amp;"."&amp;#REF!,DictionaryColumns,1,FALSE)),"N","Y")</f>
        <v>N</v>
      </c>
      <c r="AE116" t="str">
        <f>IF(ISERROR(VLOOKUP($C116&amp;"."&amp;#REF!,DictionaryColumns,1,FALSE)),"N","Y")</f>
        <v>N</v>
      </c>
      <c r="AF116"/>
      <c r="AG116" s="3"/>
      <c r="AL116" s="7"/>
      <c r="AM116" s="7"/>
      <c r="AN116" s="7"/>
      <c r="AO116" s="7"/>
      <c r="AP116" s="7"/>
    </row>
    <row r="117" spans="1:42" ht="14.25" hidden="1" customHeight="1">
      <c r="A117">
        <v>200100</v>
      </c>
      <c r="B117" t="s">
        <v>464</v>
      </c>
      <c r="C117" s="3" t="s">
        <v>183</v>
      </c>
      <c r="D117" s="3" t="s">
        <v>929</v>
      </c>
      <c r="E117" s="3" t="str">
        <f t="shared" si="19"/>
        <v>BillingAccountBalance</v>
      </c>
      <c r="F117" s="3" t="s">
        <v>200</v>
      </c>
      <c r="G117" s="3" t="s">
        <v>183</v>
      </c>
      <c r="I117" s="3" t="s">
        <v>919</v>
      </c>
      <c r="K117" s="3" t="s">
        <v>0</v>
      </c>
      <c r="P117" s="3" t="s">
        <v>1005</v>
      </c>
      <c r="S117" s="10">
        <v>0</v>
      </c>
      <c r="U117" s="3" t="s">
        <v>18</v>
      </c>
      <c r="Y117" t="str">
        <f t="shared" si="20"/>
        <v>N</v>
      </c>
      <c r="Z117" t="str">
        <f t="shared" si="18"/>
        <v>N</v>
      </c>
      <c r="AA117" t="str">
        <f t="shared" si="18"/>
        <v>Y</v>
      </c>
      <c r="AB117" t="str">
        <f>IF(ISERROR(VLOOKUP($C117&amp;"."&amp;#REF!,DictionaryColumns,1,FALSE)),"N","Y")</f>
        <v>N</v>
      </c>
      <c r="AD117" t="str">
        <f>IF(ISERROR(VLOOKUP($C117&amp;"."&amp;#REF!,DictionaryColumns,1,FALSE)),"N","Y")</f>
        <v>N</v>
      </c>
      <c r="AE117" t="str">
        <f>IF(ISERROR(VLOOKUP($C117&amp;"."&amp;#REF!,DictionaryColumns,1,FALSE)),"N","Y")</f>
        <v>N</v>
      </c>
      <c r="AF117"/>
      <c r="AG117" s="3"/>
      <c r="AL117" s="7"/>
      <c r="AM117" s="7"/>
      <c r="AN117" s="7"/>
      <c r="AO117" s="7"/>
      <c r="AP117" s="7"/>
    </row>
    <row r="118" spans="1:42" ht="14.25" hidden="1" customHeight="1">
      <c r="A118">
        <v>200110</v>
      </c>
      <c r="B118" t="s">
        <v>464</v>
      </c>
      <c r="C118" s="3" t="s">
        <v>77</v>
      </c>
      <c r="D118" s="3" t="s">
        <v>926</v>
      </c>
      <c r="E118" s="3" t="str">
        <f t="shared" si="19"/>
        <v>BillingAccount</v>
      </c>
      <c r="F118" s="3" t="s">
        <v>19</v>
      </c>
      <c r="G118" s="3" t="s">
        <v>77</v>
      </c>
      <c r="I118" s="3" t="s">
        <v>919</v>
      </c>
      <c r="K118" s="3" t="s">
        <v>0</v>
      </c>
      <c r="L118" s="3" t="s">
        <v>22</v>
      </c>
      <c r="P118" s="3" t="s">
        <v>1004</v>
      </c>
      <c r="S118" s="10">
        <v>0</v>
      </c>
      <c r="U118" s="3" t="s">
        <v>156</v>
      </c>
      <c r="Y118" t="str">
        <f t="shared" si="20"/>
        <v>N</v>
      </c>
      <c r="Z118" t="str">
        <f t="shared" si="18"/>
        <v>N</v>
      </c>
      <c r="AA118" t="str">
        <f t="shared" si="18"/>
        <v>Y</v>
      </c>
      <c r="AB118" t="str">
        <f>IF(ISERROR(VLOOKUP($C118&amp;"."&amp;#REF!,DictionaryColumns,1,FALSE)),"N","Y")</f>
        <v>N</v>
      </c>
      <c r="AD118" t="str">
        <f>IF(ISERROR(VLOOKUP($C118&amp;"."&amp;#REF!,DictionaryColumns,1,FALSE)),"N","Y")</f>
        <v>N</v>
      </c>
      <c r="AE118" t="str">
        <f>IF(ISERROR(VLOOKUP($C118&amp;"."&amp;#REF!,DictionaryColumns,1,FALSE)),"N","Y")</f>
        <v>N</v>
      </c>
      <c r="AF118"/>
      <c r="AG118" s="3"/>
      <c r="AL118" s="7"/>
      <c r="AM118" s="7"/>
      <c r="AN118" s="7"/>
      <c r="AO118" s="7"/>
      <c r="AP118" s="7"/>
    </row>
    <row r="119" spans="1:42" ht="14.25" hidden="1" customHeight="1">
      <c r="A119">
        <v>200120</v>
      </c>
      <c r="B119" t="s">
        <v>464</v>
      </c>
      <c r="C119" s="3" t="s">
        <v>185</v>
      </c>
      <c r="D119" s="3" t="s">
        <v>940</v>
      </c>
      <c r="E119" s="3" t="str">
        <f t="shared" si="19"/>
        <v>Budget</v>
      </c>
      <c r="F119" s="3" t="s">
        <v>209</v>
      </c>
      <c r="G119" s="3" t="s">
        <v>185</v>
      </c>
      <c r="I119" s="3" t="s">
        <v>919</v>
      </c>
      <c r="K119" s="3" t="s">
        <v>0</v>
      </c>
      <c r="P119" s="3" t="s">
        <v>1006</v>
      </c>
      <c r="S119" s="10">
        <v>0</v>
      </c>
      <c r="U119" s="3" t="s">
        <v>160</v>
      </c>
      <c r="Y119" t="str">
        <f t="shared" si="20"/>
        <v>N</v>
      </c>
      <c r="Z119" t="str">
        <f t="shared" si="18"/>
        <v>N</v>
      </c>
      <c r="AA119" t="str">
        <f t="shared" si="18"/>
        <v>Y</v>
      </c>
      <c r="AB119" t="str">
        <f>IF(ISERROR(VLOOKUP($C119&amp;"."&amp;#REF!,DictionaryColumns,1,FALSE)),"N","Y")</f>
        <v>N</v>
      </c>
      <c r="AD119" t="str">
        <f>IF(ISERROR(VLOOKUP($C119&amp;"."&amp;#REF!,DictionaryColumns,1,FALSE)),"N","Y")</f>
        <v>N</v>
      </c>
      <c r="AE119" t="str">
        <f>IF(ISERROR(VLOOKUP($C119&amp;"."&amp;#REF!,DictionaryColumns,1,FALSE)),"N","Y")</f>
        <v>N</v>
      </c>
      <c r="AF119"/>
      <c r="AG119" s="3"/>
      <c r="AL119" s="7"/>
      <c r="AM119" s="7"/>
      <c r="AN119" s="7"/>
      <c r="AO119" s="7"/>
      <c r="AP119" s="7"/>
    </row>
    <row r="120" spans="1:42" ht="14.25" hidden="1" customHeight="1">
      <c r="A120">
        <v>200130</v>
      </c>
      <c r="B120" t="s">
        <v>464</v>
      </c>
      <c r="C120" s="3" t="s">
        <v>342</v>
      </c>
      <c r="D120" s="3" t="s">
        <v>950</v>
      </c>
      <c r="E120" s="3" t="str">
        <f t="shared" si="19"/>
        <v>CommandJoin</v>
      </c>
      <c r="F120" s="3" t="s">
        <v>346</v>
      </c>
      <c r="G120" s="3" t="s">
        <v>342</v>
      </c>
      <c r="I120" s="3" t="s">
        <v>919</v>
      </c>
      <c r="K120" s="3" t="s">
        <v>0</v>
      </c>
      <c r="P120" s="3" t="s">
        <v>1891</v>
      </c>
      <c r="S120" s="10">
        <v>0</v>
      </c>
      <c r="U120" s="3" t="s">
        <v>325</v>
      </c>
      <c r="Y120" t="str">
        <f t="shared" si="20"/>
        <v>N</v>
      </c>
      <c r="Z120" t="str">
        <f t="shared" si="18"/>
        <v>N</v>
      </c>
      <c r="AA120" t="str">
        <f t="shared" si="18"/>
        <v>Y</v>
      </c>
      <c r="AB120" t="str">
        <f>IF(ISERROR(VLOOKUP($C120&amp;"."&amp;#REF!,DictionaryColumns,1,FALSE)),"N","Y")</f>
        <v>N</v>
      </c>
      <c r="AD120" t="str">
        <f>IF(ISERROR(VLOOKUP($C120&amp;"."&amp;#REF!,DictionaryColumns,1,FALSE)),"N","Y")</f>
        <v>N</v>
      </c>
      <c r="AE120" t="str">
        <f>IF(ISERROR(VLOOKUP($C120&amp;"."&amp;#REF!,DictionaryColumns,1,FALSE)),"N","Y")</f>
        <v>N</v>
      </c>
      <c r="AF120"/>
      <c r="AG120" s="3"/>
      <c r="AL120" s="7"/>
      <c r="AM120" s="7"/>
      <c r="AN120" s="7"/>
      <c r="AO120" s="7"/>
      <c r="AP120" s="7"/>
    </row>
    <row r="121" spans="1:42" ht="14.25" hidden="1" customHeight="1">
      <c r="A121">
        <v>200140</v>
      </c>
      <c r="B121" t="s">
        <v>464</v>
      </c>
      <c r="C121" s="3" t="s">
        <v>78</v>
      </c>
      <c r="D121" s="3" t="s">
        <v>941</v>
      </c>
      <c r="E121" s="3" t="str">
        <f t="shared" si="19"/>
        <v>Command</v>
      </c>
      <c r="F121" s="3" t="s">
        <v>35</v>
      </c>
      <c r="G121" s="3" t="s">
        <v>78</v>
      </c>
      <c r="I121" s="3" t="s">
        <v>919</v>
      </c>
      <c r="K121" s="3" t="s">
        <v>0</v>
      </c>
      <c r="L121" s="3" t="s">
        <v>12</v>
      </c>
      <c r="P121" s="3" t="s">
        <v>1892</v>
      </c>
      <c r="S121" s="10">
        <v>0</v>
      </c>
      <c r="U121" s="3" t="s">
        <v>144</v>
      </c>
      <c r="Y121" t="str">
        <f t="shared" si="20"/>
        <v>N</v>
      </c>
      <c r="Z121" t="str">
        <f t="shared" ref="Z121:AA140" si="21">IF(ISERROR(VLOOKUP($C121&amp;"."&amp;Z$1,DictionaryColumns,1,FALSE)),"N","Y")</f>
        <v>N</v>
      </c>
      <c r="AA121" t="str">
        <f t="shared" si="21"/>
        <v>Y</v>
      </c>
      <c r="AB121" t="str">
        <f>IF(ISERROR(VLOOKUP($C121&amp;"."&amp;#REF!,DictionaryColumns,1,FALSE)),"N","Y")</f>
        <v>N</v>
      </c>
      <c r="AD121" t="str">
        <f>IF(ISERROR(VLOOKUP($C121&amp;"."&amp;#REF!,DictionaryColumns,1,FALSE)),"N","Y")</f>
        <v>N</v>
      </c>
      <c r="AE121" t="str">
        <f>IF(ISERROR(VLOOKUP($C121&amp;"."&amp;#REF!,DictionaryColumns,1,FALSE)),"N","Y")</f>
        <v>N</v>
      </c>
      <c r="AF121"/>
      <c r="AG121" s="3"/>
      <c r="AL121" s="7"/>
      <c r="AM121" s="7"/>
      <c r="AN121" s="7"/>
      <c r="AO121" s="7"/>
      <c r="AP121" s="7"/>
    </row>
    <row r="122" spans="1:42" ht="14.25" hidden="1" customHeight="1">
      <c r="A122">
        <v>200150</v>
      </c>
      <c r="B122" t="s">
        <v>464</v>
      </c>
      <c r="C122" s="3" t="s">
        <v>79</v>
      </c>
      <c r="D122" s="3" t="s">
        <v>942</v>
      </c>
      <c r="E122" s="3" t="str">
        <f t="shared" si="19"/>
        <v>Contact</v>
      </c>
      <c r="F122" s="3" t="s">
        <v>29</v>
      </c>
      <c r="G122" s="3" t="s">
        <v>79</v>
      </c>
      <c r="I122" s="3" t="s">
        <v>919</v>
      </c>
      <c r="K122" s="3" t="s">
        <v>0</v>
      </c>
      <c r="L122" s="3" t="s">
        <v>22</v>
      </c>
      <c r="P122" s="3" t="s">
        <v>993</v>
      </c>
      <c r="S122" s="10">
        <v>0</v>
      </c>
      <c r="U122" s="3" t="s">
        <v>138</v>
      </c>
      <c r="Y122" t="str">
        <f t="shared" si="20"/>
        <v>N</v>
      </c>
      <c r="Z122" t="str">
        <f t="shared" si="21"/>
        <v>N</v>
      </c>
      <c r="AA122" t="str">
        <f t="shared" si="21"/>
        <v>Y</v>
      </c>
      <c r="AB122" t="str">
        <f>IF(ISERROR(VLOOKUP($C122&amp;"."&amp;#REF!,DictionaryColumns,1,FALSE)),"N","Y")</f>
        <v>N</v>
      </c>
      <c r="AD122" t="str">
        <f>IF(ISERROR(VLOOKUP($C122&amp;"."&amp;#REF!,DictionaryColumns,1,FALSE)),"N","Y")</f>
        <v>N</v>
      </c>
      <c r="AE122" t="str">
        <f>IF(ISERROR(VLOOKUP($C122&amp;"."&amp;#REF!,DictionaryColumns,1,FALSE)),"N","Y")</f>
        <v>N</v>
      </c>
      <c r="AF122"/>
      <c r="AG122" s="3"/>
      <c r="AL122" s="7"/>
      <c r="AM122" s="7"/>
      <c r="AN122" s="8"/>
      <c r="AO122" s="7"/>
      <c r="AP122" s="7"/>
    </row>
    <row r="123" spans="1:42" ht="14.25" hidden="1" customHeight="1">
      <c r="A123">
        <v>200160</v>
      </c>
      <c r="B123" t="s">
        <v>464</v>
      </c>
      <c r="C123" s="3" t="s">
        <v>188</v>
      </c>
      <c r="D123" s="3" t="s">
        <v>943</v>
      </c>
      <c r="E123" s="3" t="str">
        <f t="shared" si="19"/>
        <v>ContactSetup</v>
      </c>
      <c r="F123" s="3" t="s">
        <v>188</v>
      </c>
      <c r="G123" s="3" t="s">
        <v>188</v>
      </c>
      <c r="I123" s="3" t="s">
        <v>919</v>
      </c>
      <c r="K123" s="3" t="s">
        <v>0</v>
      </c>
      <c r="P123" s="3" t="s">
        <v>1007</v>
      </c>
      <c r="S123" s="10">
        <v>0</v>
      </c>
      <c r="U123" s="3" t="s">
        <v>159</v>
      </c>
      <c r="Y123" t="str">
        <f t="shared" si="20"/>
        <v>N</v>
      </c>
      <c r="Z123" t="str">
        <f t="shared" si="21"/>
        <v>N</v>
      </c>
      <c r="AA123" t="str">
        <f t="shared" si="21"/>
        <v>Y</v>
      </c>
      <c r="AB123" t="str">
        <f>IF(ISERROR(VLOOKUP($C123&amp;"."&amp;#REF!,DictionaryColumns,1,FALSE)),"N","Y")</f>
        <v>N</v>
      </c>
      <c r="AD123" t="str">
        <f>IF(ISERROR(VLOOKUP($C123&amp;"."&amp;#REF!,DictionaryColumns,1,FALSE)),"N","Y")</f>
        <v>N</v>
      </c>
      <c r="AE123" t="str">
        <f>IF(ISERROR(VLOOKUP($C123&amp;"."&amp;#REF!,DictionaryColumns,1,FALSE)),"N","Y")</f>
        <v>N</v>
      </c>
      <c r="AF123"/>
      <c r="AG123" s="3"/>
      <c r="AL123" s="7"/>
      <c r="AM123" s="7"/>
      <c r="AN123" s="7"/>
      <c r="AO123" s="7"/>
      <c r="AP123" s="7"/>
    </row>
    <row r="124" spans="1:42" ht="14.25" hidden="1" customHeight="1">
      <c r="A124">
        <v>200170</v>
      </c>
      <c r="B124" t="s">
        <v>464</v>
      </c>
      <c r="C124" s="3" t="s">
        <v>187</v>
      </c>
      <c r="D124" s="3" t="s">
        <v>328</v>
      </c>
      <c r="E124" s="3" t="str">
        <f t="shared" si="19"/>
        <v>CostCentre</v>
      </c>
      <c r="F124" s="3" t="s">
        <v>202</v>
      </c>
      <c r="G124" s="3" t="s">
        <v>187</v>
      </c>
      <c r="I124" s="3" t="s">
        <v>919</v>
      </c>
      <c r="K124" s="3" t="s">
        <v>0</v>
      </c>
      <c r="L124" s="3" t="s">
        <v>12</v>
      </c>
      <c r="P124" s="3" t="s">
        <v>1008</v>
      </c>
      <c r="S124" s="10">
        <v>0</v>
      </c>
      <c r="U124" s="3" t="s">
        <v>170</v>
      </c>
      <c r="Y124" t="str">
        <f t="shared" si="20"/>
        <v>N</v>
      </c>
      <c r="Z124" t="str">
        <f t="shared" si="21"/>
        <v>N</v>
      </c>
      <c r="AA124" t="str">
        <f t="shared" si="21"/>
        <v>Y</v>
      </c>
      <c r="AB124" t="str">
        <f>IF(ISERROR(VLOOKUP($C124&amp;"."&amp;#REF!,DictionaryColumns,1,FALSE)),"N","Y")</f>
        <v>N</v>
      </c>
      <c r="AD124" t="str">
        <f>IF(ISERROR(VLOOKUP($C124&amp;"."&amp;#REF!,DictionaryColumns,1,FALSE)),"N","Y")</f>
        <v>N</v>
      </c>
      <c r="AE124" t="str">
        <f>IF(ISERROR(VLOOKUP($C124&amp;"."&amp;#REF!,DictionaryColumns,1,FALSE)),"N","Y")</f>
        <v>N</v>
      </c>
      <c r="AF124"/>
      <c r="AG124" s="3"/>
      <c r="AL124" s="7"/>
      <c r="AM124" s="7"/>
      <c r="AN124" s="7"/>
      <c r="AO124" s="7"/>
      <c r="AP124" s="7"/>
    </row>
    <row r="125" spans="1:42" ht="14.25" hidden="1" customHeight="1">
      <c r="A125">
        <v>200180</v>
      </c>
      <c r="B125" t="s">
        <v>464</v>
      </c>
      <c r="C125" s="3" t="s">
        <v>39</v>
      </c>
      <c r="D125" s="3" t="s">
        <v>932</v>
      </c>
      <c r="E125" s="3" t="str">
        <f t="shared" si="19"/>
        <v>CrossReference</v>
      </c>
      <c r="F125" s="3" t="s">
        <v>39</v>
      </c>
      <c r="G125" s="3" t="s">
        <v>39</v>
      </c>
      <c r="I125" s="3" t="s">
        <v>919</v>
      </c>
      <c r="K125" s="3" t="s">
        <v>0</v>
      </c>
      <c r="L125" s="3" t="s">
        <v>279</v>
      </c>
      <c r="P125" s="3" t="s">
        <v>1018</v>
      </c>
      <c r="S125" s="10">
        <v>0</v>
      </c>
      <c r="U125" s="3" t="s">
        <v>86</v>
      </c>
      <c r="Y125" t="str">
        <f t="shared" si="20"/>
        <v>N</v>
      </c>
      <c r="Z125" t="str">
        <f t="shared" si="21"/>
        <v>N</v>
      </c>
      <c r="AA125" t="str">
        <f t="shared" si="21"/>
        <v>Y</v>
      </c>
      <c r="AB125" t="str">
        <f>IF(ISERROR(VLOOKUP($C125&amp;"."&amp;#REF!,DictionaryColumns,1,FALSE)),"N","Y")</f>
        <v>N</v>
      </c>
      <c r="AD125" t="str">
        <f>IF(ISERROR(VLOOKUP($C125&amp;"."&amp;#REF!,DictionaryColumns,1,FALSE)),"N","Y")</f>
        <v>N</v>
      </c>
      <c r="AE125" t="str">
        <f>IF(ISERROR(VLOOKUP($C125&amp;"."&amp;#REF!,DictionaryColumns,1,FALSE)),"N","Y")</f>
        <v>N</v>
      </c>
      <c r="AF125"/>
      <c r="AG125" s="3"/>
      <c r="AL125" s="7"/>
      <c r="AM125" s="7"/>
      <c r="AN125" s="7"/>
      <c r="AO125" s="7"/>
      <c r="AP125" s="7"/>
    </row>
    <row r="126" spans="1:42" ht="14.25" hidden="1" customHeight="1">
      <c r="A126">
        <v>200210</v>
      </c>
      <c r="B126" t="s">
        <v>464</v>
      </c>
      <c r="C126" s="3" t="s">
        <v>82</v>
      </c>
      <c r="D126" s="3" t="s">
        <v>918</v>
      </c>
      <c r="E126" s="3" t="str">
        <f t="shared" si="19"/>
        <v>Employee</v>
      </c>
      <c r="F126" s="3" t="s">
        <v>41</v>
      </c>
      <c r="G126" s="3" t="s">
        <v>82</v>
      </c>
      <c r="I126" s="3" t="s">
        <v>919</v>
      </c>
      <c r="K126" s="3" t="s">
        <v>0</v>
      </c>
      <c r="P126" s="3" t="s">
        <v>994</v>
      </c>
      <c r="S126" s="10">
        <v>0</v>
      </c>
      <c r="U126" s="3" t="s">
        <v>143</v>
      </c>
      <c r="Y126" t="str">
        <f t="shared" si="20"/>
        <v>N</v>
      </c>
      <c r="Z126" t="str">
        <f t="shared" si="21"/>
        <v>N</v>
      </c>
      <c r="AA126" t="str">
        <f t="shared" si="21"/>
        <v>Y</v>
      </c>
      <c r="AB126" t="str">
        <f>IF(ISERROR(VLOOKUP($C126&amp;"."&amp;#REF!,DictionaryColumns,1,FALSE)),"N","Y")</f>
        <v>N</v>
      </c>
      <c r="AD126" t="str">
        <f>IF(ISERROR(VLOOKUP($C126&amp;"."&amp;#REF!,DictionaryColumns,1,FALSE)),"N","Y")</f>
        <v>N</v>
      </c>
      <c r="AE126" t="str">
        <f>IF(ISERROR(VLOOKUP($C126&amp;"."&amp;#REF!,DictionaryColumns,1,FALSE)),"N","Y")</f>
        <v>N</v>
      </c>
      <c r="AF126"/>
      <c r="AG126" s="3"/>
      <c r="AL126" s="7"/>
      <c r="AM126" s="7"/>
      <c r="AN126" s="7"/>
      <c r="AO126" s="7"/>
      <c r="AP126" s="7"/>
    </row>
    <row r="127" spans="1:42" ht="14.25" hidden="1" customHeight="1">
      <c r="A127">
        <v>200220</v>
      </c>
      <c r="B127" t="s">
        <v>464</v>
      </c>
      <c r="C127" s="3" t="s">
        <v>462</v>
      </c>
      <c r="D127" s="3" t="s">
        <v>951</v>
      </c>
      <c r="E127" s="3" t="str">
        <f t="shared" si="19"/>
        <v>FixedAssetLocation</v>
      </c>
      <c r="F127" s="3" t="s">
        <v>462</v>
      </c>
      <c r="G127" s="3" t="s">
        <v>462</v>
      </c>
      <c r="I127" s="3" t="s">
        <v>919</v>
      </c>
      <c r="K127" s="3" t="s">
        <v>0</v>
      </c>
      <c r="L127" s="3" t="s">
        <v>12</v>
      </c>
      <c r="P127" s="3" t="s">
        <v>997</v>
      </c>
      <c r="S127" s="10">
        <v>0</v>
      </c>
      <c r="U127" s="3" t="s">
        <v>135</v>
      </c>
      <c r="Y127" t="str">
        <f t="shared" si="20"/>
        <v>N</v>
      </c>
      <c r="Z127" t="str">
        <f t="shared" si="21"/>
        <v>N</v>
      </c>
      <c r="AA127" t="str">
        <f t="shared" si="21"/>
        <v>Y</v>
      </c>
      <c r="AB127" t="str">
        <f>IF(ISERROR(VLOOKUP($C127&amp;"."&amp;#REF!,DictionaryColumns,1,FALSE)),"N","Y")</f>
        <v>N</v>
      </c>
      <c r="AD127" t="str">
        <f>IF(ISERROR(VLOOKUP($C127&amp;"."&amp;#REF!,DictionaryColumns,1,FALSE)),"N","Y")</f>
        <v>N</v>
      </c>
      <c r="AE127" t="str">
        <f>IF(ISERROR(VLOOKUP($C127&amp;"."&amp;#REF!,DictionaryColumns,1,FALSE)),"N","Y")</f>
        <v>N</v>
      </c>
      <c r="AF127"/>
      <c r="AG127" s="3"/>
      <c r="AL127" s="7"/>
      <c r="AM127" s="7"/>
      <c r="AN127" s="7"/>
      <c r="AO127" s="7"/>
      <c r="AP127" s="7"/>
    </row>
    <row r="128" spans="1:42" ht="14.25" hidden="1" customHeight="1">
      <c r="A128">
        <v>200230</v>
      </c>
      <c r="B128" t="s">
        <v>464</v>
      </c>
      <c r="C128" s="3" t="s">
        <v>176</v>
      </c>
      <c r="D128" s="3" t="s">
        <v>924</v>
      </c>
      <c r="E128" s="3" t="str">
        <f t="shared" si="19"/>
        <v>FixedAssetLocationHistory</v>
      </c>
      <c r="F128" s="3" t="s">
        <v>176</v>
      </c>
      <c r="G128" s="3" t="s">
        <v>176</v>
      </c>
      <c r="I128" s="3" t="s">
        <v>919</v>
      </c>
      <c r="K128" s="3" t="s">
        <v>0</v>
      </c>
      <c r="P128" s="3" t="s">
        <v>999</v>
      </c>
      <c r="S128" s="10">
        <v>0</v>
      </c>
      <c r="U128" s="3" t="s">
        <v>135</v>
      </c>
      <c r="Y128" t="str">
        <f t="shared" si="20"/>
        <v>N</v>
      </c>
      <c r="Z128" t="str">
        <f t="shared" si="21"/>
        <v>N</v>
      </c>
      <c r="AA128" t="str">
        <f t="shared" si="21"/>
        <v>Y</v>
      </c>
      <c r="AB128" t="str">
        <f>IF(ISERROR(VLOOKUP($C128&amp;"."&amp;#REF!,DictionaryColumns,1,FALSE)),"N","Y")</f>
        <v>N</v>
      </c>
      <c r="AD128" t="str">
        <f>IF(ISERROR(VLOOKUP($C128&amp;"."&amp;#REF!,DictionaryColumns,1,FALSE)),"N","Y")</f>
        <v>N</v>
      </c>
      <c r="AE128" t="str">
        <f>IF(ISERROR(VLOOKUP($C128&amp;"."&amp;#REF!,DictionaryColumns,1,FALSE)),"N","Y")</f>
        <v>N</v>
      </c>
      <c r="AF128"/>
      <c r="AG128" s="3"/>
      <c r="AL128" s="7"/>
      <c r="AM128" s="7"/>
      <c r="AN128" s="7"/>
      <c r="AO128" s="7"/>
      <c r="AP128" s="7"/>
    </row>
    <row r="129" spans="1:42" hidden="1">
      <c r="A129">
        <v>200240</v>
      </c>
      <c r="B129" t="s">
        <v>464</v>
      </c>
      <c r="C129" s="3" t="s">
        <v>175</v>
      </c>
      <c r="D129" s="3" t="s">
        <v>923</v>
      </c>
      <c r="E129" s="3" t="str">
        <f t="shared" si="19"/>
        <v>FixedAsset</v>
      </c>
      <c r="F129" s="3" t="s">
        <v>210</v>
      </c>
      <c r="G129" s="3" t="s">
        <v>175</v>
      </c>
      <c r="I129" s="3" t="s">
        <v>919</v>
      </c>
      <c r="K129" s="3" t="s">
        <v>0</v>
      </c>
      <c r="L129" s="3" t="s">
        <v>12</v>
      </c>
      <c r="P129" s="3" t="s">
        <v>998</v>
      </c>
      <c r="S129" s="10">
        <v>0</v>
      </c>
      <c r="U129" s="3" t="s">
        <v>146</v>
      </c>
      <c r="Y129" t="str">
        <f t="shared" si="20"/>
        <v>N</v>
      </c>
      <c r="Z129" t="str">
        <f t="shared" si="21"/>
        <v>N</v>
      </c>
      <c r="AA129" t="str">
        <f t="shared" si="21"/>
        <v>Y</v>
      </c>
      <c r="AB129" t="str">
        <f>IF(ISERROR(VLOOKUP($C129&amp;"."&amp;#REF!,DictionaryColumns,1,FALSE)),"N","Y")</f>
        <v>N</v>
      </c>
      <c r="AD129" t="str">
        <f>IF(ISERROR(VLOOKUP($C129&amp;"."&amp;#REF!,DictionaryColumns,1,FALSE)),"N","Y")</f>
        <v>N</v>
      </c>
      <c r="AE129" t="str">
        <f>IF(ISERROR(VLOOKUP($C129&amp;"."&amp;#REF!,DictionaryColumns,1,FALSE)),"N","Y")</f>
        <v>N</v>
      </c>
      <c r="AF129"/>
      <c r="AG129" s="3"/>
      <c r="AL129" s="7"/>
      <c r="AM129" s="7"/>
      <c r="AN129" s="7"/>
      <c r="AO129" s="7"/>
      <c r="AP129" s="7"/>
    </row>
    <row r="130" spans="1:42" hidden="1">
      <c r="A130">
        <v>200250</v>
      </c>
      <c r="B130" t="s">
        <v>464</v>
      </c>
      <c r="C130" s="3" t="s">
        <v>181</v>
      </c>
      <c r="D130" s="3" t="s">
        <v>326</v>
      </c>
      <c r="E130" s="3" t="str">
        <f t="shared" si="19"/>
        <v>FixedAssetType</v>
      </c>
      <c r="F130" s="3" t="s">
        <v>181</v>
      </c>
      <c r="G130" s="3" t="s">
        <v>181</v>
      </c>
      <c r="I130" s="3" t="s">
        <v>919</v>
      </c>
      <c r="K130" s="3" t="s">
        <v>0</v>
      </c>
      <c r="L130" s="3" t="s">
        <v>12</v>
      </c>
      <c r="P130" s="3" t="s">
        <v>1000</v>
      </c>
      <c r="S130" s="10">
        <v>0</v>
      </c>
      <c r="U130" s="3" t="s">
        <v>145</v>
      </c>
      <c r="Y130" t="str">
        <f t="shared" si="20"/>
        <v>N</v>
      </c>
      <c r="Z130" t="str">
        <f t="shared" si="21"/>
        <v>N</v>
      </c>
      <c r="AA130" t="str">
        <f t="shared" si="21"/>
        <v>Y</v>
      </c>
      <c r="AB130" t="str">
        <f>IF(ISERROR(VLOOKUP($C130&amp;"."&amp;#REF!,DictionaryColumns,1,FALSE)),"N","Y")</f>
        <v>N</v>
      </c>
      <c r="AD130" t="str">
        <f>IF(ISERROR(VLOOKUP($C130&amp;"."&amp;#REF!,DictionaryColumns,1,FALSE)),"N","Y")</f>
        <v>N</v>
      </c>
      <c r="AE130" t="str">
        <f>IF(ISERROR(VLOOKUP($C130&amp;"."&amp;#REF!,DictionaryColumns,1,FALSE)),"N","Y")</f>
        <v>N</v>
      </c>
      <c r="AF130"/>
      <c r="AG130" s="3"/>
      <c r="AL130" s="7"/>
      <c r="AM130" s="7"/>
      <c r="AN130" s="7"/>
      <c r="AO130" s="7"/>
      <c r="AP130" s="7"/>
    </row>
    <row r="131" spans="1:42" ht="14.25" hidden="1" customHeight="1">
      <c r="A131">
        <v>200260</v>
      </c>
      <c r="B131" t="s">
        <v>464</v>
      </c>
      <c r="C131" s="3" t="s">
        <v>84</v>
      </c>
      <c r="D131" s="3" t="s">
        <v>928</v>
      </c>
      <c r="E131" s="3" t="str">
        <f t="shared" si="19"/>
        <v>GLAccount</v>
      </c>
      <c r="F131" s="3" t="s">
        <v>129</v>
      </c>
      <c r="G131" s="3" t="s">
        <v>84</v>
      </c>
      <c r="I131" s="3" t="s">
        <v>919</v>
      </c>
      <c r="K131" s="3" t="s">
        <v>0</v>
      </c>
      <c r="L131" s="3" t="s">
        <v>12</v>
      </c>
      <c r="P131" s="3" t="s">
        <v>1009</v>
      </c>
      <c r="S131" s="10">
        <v>0</v>
      </c>
      <c r="U131" s="3" t="s">
        <v>152</v>
      </c>
      <c r="Y131" t="str">
        <f t="shared" si="20"/>
        <v>N</v>
      </c>
      <c r="Z131" t="str">
        <f t="shared" si="21"/>
        <v>N</v>
      </c>
      <c r="AA131" t="str">
        <f t="shared" si="21"/>
        <v>Y</v>
      </c>
      <c r="AB131" t="str">
        <f>IF(ISERROR(VLOOKUP($C131&amp;"."&amp;#REF!,DictionaryColumns,1,FALSE)),"N","Y")</f>
        <v>N</v>
      </c>
      <c r="AD131" t="str">
        <f>IF(ISERROR(VLOOKUP($C131&amp;"."&amp;#REF!,DictionaryColumns,1,FALSE)),"N","Y")</f>
        <v>N</v>
      </c>
      <c r="AE131" t="str">
        <f>IF(ISERROR(VLOOKUP($C131&amp;"."&amp;#REF!,DictionaryColumns,1,FALSE)),"N","Y")</f>
        <v>N</v>
      </c>
      <c r="AF131"/>
      <c r="AG131" s="3"/>
      <c r="AL131" s="7"/>
      <c r="AM131" s="7"/>
      <c r="AN131" s="7"/>
      <c r="AO131" s="7"/>
      <c r="AP131" s="7"/>
    </row>
    <row r="132" spans="1:42" ht="14.25" hidden="1" customHeight="1">
      <c r="A132">
        <v>200270</v>
      </c>
      <c r="B132" t="s">
        <v>464</v>
      </c>
      <c r="C132" s="3" t="s">
        <v>186</v>
      </c>
      <c r="D132" s="3" t="s">
        <v>931</v>
      </c>
      <c r="E132" s="3" t="str">
        <f t="shared" si="19"/>
        <v>GLAccountsCostCentre</v>
      </c>
      <c r="F132" s="3" t="s">
        <v>201</v>
      </c>
      <c r="G132" s="3" t="s">
        <v>186</v>
      </c>
      <c r="I132" s="3" t="s">
        <v>919</v>
      </c>
      <c r="K132" s="3" t="s">
        <v>0</v>
      </c>
      <c r="P132" s="3" t="s">
        <v>1010</v>
      </c>
      <c r="S132" s="10">
        <v>0</v>
      </c>
      <c r="U132" s="3" t="s">
        <v>171</v>
      </c>
      <c r="Y132" t="str">
        <f t="shared" si="20"/>
        <v>N</v>
      </c>
      <c r="Z132" t="str">
        <f t="shared" si="21"/>
        <v>N</v>
      </c>
      <c r="AA132" t="str">
        <f t="shared" si="21"/>
        <v>N</v>
      </c>
      <c r="AB132" t="str">
        <f>IF(ISERROR(VLOOKUP($C132&amp;"."&amp;#REF!,DictionaryColumns,1,FALSE)),"N","Y")</f>
        <v>N</v>
      </c>
      <c r="AD132" t="str">
        <f>IF(ISERROR(VLOOKUP($C132&amp;"."&amp;#REF!,DictionaryColumns,1,FALSE)),"N","Y")</f>
        <v>N</v>
      </c>
      <c r="AE132" t="str">
        <f>IF(ISERROR(VLOOKUP($C132&amp;"."&amp;#REF!,DictionaryColumns,1,FALSE)),"N","Y")</f>
        <v>N</v>
      </c>
      <c r="AF132"/>
      <c r="AG132" s="3"/>
      <c r="AL132" s="7"/>
      <c r="AM132" s="7"/>
      <c r="AN132" s="7"/>
      <c r="AO132" s="7"/>
      <c r="AP132" s="7"/>
    </row>
    <row r="133" spans="1:42" ht="14.25" hidden="1" customHeight="1">
      <c r="A133">
        <v>200280</v>
      </c>
      <c r="B133" t="s">
        <v>464</v>
      </c>
      <c r="C133" s="3" t="s">
        <v>85</v>
      </c>
      <c r="D133" s="3" t="s">
        <v>927</v>
      </c>
      <c r="E133" s="3" t="str">
        <f t="shared" si="19"/>
        <v>GLEntry</v>
      </c>
      <c r="F133" s="3" t="s">
        <v>128</v>
      </c>
      <c r="G133" s="3" t="s">
        <v>85</v>
      </c>
      <c r="I133" s="3" t="s">
        <v>919</v>
      </c>
      <c r="K133" s="3" t="s">
        <v>0</v>
      </c>
      <c r="L133" s="3" t="s">
        <v>12</v>
      </c>
      <c r="P133" s="3" t="s">
        <v>1011</v>
      </c>
      <c r="S133" s="10">
        <v>0</v>
      </c>
      <c r="U133" s="3" t="s">
        <v>151</v>
      </c>
      <c r="Y133" t="str">
        <f t="shared" si="20"/>
        <v>N</v>
      </c>
      <c r="Z133" t="str">
        <f t="shared" si="21"/>
        <v>N</v>
      </c>
      <c r="AA133" t="str">
        <f t="shared" si="21"/>
        <v>Y</v>
      </c>
      <c r="AB133" t="str">
        <f>IF(ISERROR(VLOOKUP($C133&amp;"."&amp;#REF!,DictionaryColumns,1,FALSE)),"N","Y")</f>
        <v>N</v>
      </c>
      <c r="AD133" t="str">
        <f>IF(ISERROR(VLOOKUP($C133&amp;"."&amp;#REF!,DictionaryColumns,1,FALSE)),"N","Y")</f>
        <v>N</v>
      </c>
      <c r="AE133" t="str">
        <f>IF(ISERROR(VLOOKUP($C133&amp;"."&amp;#REF!,DictionaryColumns,1,FALSE)),"N","Y")</f>
        <v>N</v>
      </c>
      <c r="AF133"/>
      <c r="AG133" s="3"/>
      <c r="AL133" s="7"/>
      <c r="AM133" s="7"/>
      <c r="AN133" s="7"/>
      <c r="AO133" s="7"/>
      <c r="AP133" s="7"/>
    </row>
    <row r="134" spans="1:42" ht="14.25" hidden="1" customHeight="1">
      <c r="A134">
        <v>200290</v>
      </c>
      <c r="B134" t="s">
        <v>464</v>
      </c>
      <c r="C134" s="3" t="s">
        <v>177</v>
      </c>
      <c r="D134" s="3" t="s">
        <v>920</v>
      </c>
      <c r="E134" s="3" t="str">
        <f t="shared" si="19"/>
        <v>OrganizationalPosition</v>
      </c>
      <c r="F134" s="3" t="s">
        <v>207</v>
      </c>
      <c r="G134" s="3" t="s">
        <v>177</v>
      </c>
      <c r="I134" s="3" t="s">
        <v>919</v>
      </c>
      <c r="K134" s="3" t="s">
        <v>0</v>
      </c>
      <c r="L134" s="3" t="s">
        <v>6230</v>
      </c>
      <c r="P134" s="3" t="s">
        <v>1014</v>
      </c>
      <c r="S134" s="10">
        <v>0</v>
      </c>
      <c r="U134" s="3" t="s">
        <v>147</v>
      </c>
      <c r="Y134" t="str">
        <f t="shared" si="20"/>
        <v>N</v>
      </c>
      <c r="Z134" t="str">
        <f t="shared" si="21"/>
        <v>N</v>
      </c>
      <c r="AA134" t="str">
        <f t="shared" si="21"/>
        <v>Y</v>
      </c>
      <c r="AB134" t="str">
        <f>IF(ISERROR(VLOOKUP($C134&amp;"."&amp;#REF!,DictionaryColumns,1,FALSE)),"N","Y")</f>
        <v>N</v>
      </c>
      <c r="AD134" t="str">
        <f>IF(ISERROR(VLOOKUP($C134&amp;"."&amp;#REF!,DictionaryColumns,1,FALSE)),"N","Y")</f>
        <v>N</v>
      </c>
      <c r="AE134" t="str">
        <f>IF(ISERROR(VLOOKUP($C134&amp;"."&amp;#REF!,DictionaryColumns,1,FALSE)),"N","Y")</f>
        <v>N</v>
      </c>
      <c r="AF134"/>
      <c r="AG134" s="3"/>
      <c r="AL134" s="7"/>
      <c r="AM134" s="7"/>
      <c r="AN134" s="7"/>
      <c r="AO134" s="7"/>
      <c r="AP134" s="7"/>
    </row>
    <row r="135" spans="1:42" ht="14.25" hidden="1" customHeight="1">
      <c r="A135">
        <v>200300</v>
      </c>
      <c r="B135" t="s">
        <v>464</v>
      </c>
      <c r="C135" s="3" t="s">
        <v>179</v>
      </c>
      <c r="D135" s="3" t="s">
        <v>944</v>
      </c>
      <c r="E135" s="3" t="str">
        <f t="shared" si="19"/>
        <v>PeopleDatabase</v>
      </c>
      <c r="F135" s="3" t="s">
        <v>179</v>
      </c>
      <c r="G135" s="3" t="s">
        <v>179</v>
      </c>
      <c r="I135" s="3" t="s">
        <v>919</v>
      </c>
      <c r="K135" s="3" t="s">
        <v>0</v>
      </c>
      <c r="P135" s="3" t="s">
        <v>995</v>
      </c>
      <c r="S135" s="10">
        <v>0</v>
      </c>
      <c r="U135" s="3" t="s">
        <v>139</v>
      </c>
      <c r="Y135" t="str">
        <f t="shared" si="20"/>
        <v>N</v>
      </c>
      <c r="Z135" t="str">
        <f t="shared" si="21"/>
        <v>N</v>
      </c>
      <c r="AA135" t="str">
        <f t="shared" si="21"/>
        <v>Y</v>
      </c>
      <c r="AB135" t="str">
        <f>IF(ISERROR(VLOOKUP($C135&amp;"."&amp;#REF!,DictionaryColumns,1,FALSE)),"N","Y")</f>
        <v>N</v>
      </c>
      <c r="AD135" t="str">
        <f>IF(ISERROR(VLOOKUP($C135&amp;"."&amp;#REF!,DictionaryColumns,1,FALSE)),"N","Y")</f>
        <v>N</v>
      </c>
      <c r="AE135" t="str">
        <f>IF(ISERROR(VLOOKUP($C135&amp;"."&amp;#REF!,DictionaryColumns,1,FALSE)),"N","Y")</f>
        <v>N</v>
      </c>
      <c r="AF135"/>
      <c r="AG135" s="3"/>
      <c r="AL135" s="7"/>
      <c r="AM135" s="7"/>
      <c r="AN135" s="7"/>
      <c r="AO135" s="7"/>
      <c r="AP135" s="7"/>
    </row>
    <row r="136" spans="1:42" ht="14.25" hidden="1" customHeight="1">
      <c r="A136">
        <v>200310</v>
      </c>
      <c r="B136" t="s">
        <v>464</v>
      </c>
      <c r="C136" s="3" t="s">
        <v>178</v>
      </c>
      <c r="D136" s="3" t="s">
        <v>922</v>
      </c>
      <c r="E136" s="3" t="str">
        <f t="shared" si="19"/>
        <v>PersonalComment</v>
      </c>
      <c r="F136" s="3" t="s">
        <v>56</v>
      </c>
      <c r="G136" s="3" t="s">
        <v>178</v>
      </c>
      <c r="I136" s="3" t="s">
        <v>919</v>
      </c>
      <c r="K136" s="3" t="s">
        <v>0</v>
      </c>
      <c r="P136" s="3" t="s">
        <v>1019</v>
      </c>
      <c r="S136" s="10">
        <v>0</v>
      </c>
      <c r="U136" s="3" t="s">
        <v>150</v>
      </c>
      <c r="Y136" t="str">
        <f t="shared" si="20"/>
        <v>N</v>
      </c>
      <c r="Z136" t="str">
        <f t="shared" si="21"/>
        <v>N</v>
      </c>
      <c r="AA136" t="str">
        <f t="shared" si="21"/>
        <v>Y</v>
      </c>
      <c r="AB136" t="str">
        <f>IF(ISERROR(VLOOKUP($C136&amp;"."&amp;#REF!,DictionaryColumns,1,FALSE)),"N","Y")</f>
        <v>N</v>
      </c>
      <c r="AD136" t="str">
        <f>IF(ISERROR(VLOOKUP($C136&amp;"."&amp;#REF!,DictionaryColumns,1,FALSE)),"N","Y")</f>
        <v>N</v>
      </c>
      <c r="AE136" t="str">
        <f>IF(ISERROR(VLOOKUP($C136&amp;"."&amp;#REF!,DictionaryColumns,1,FALSE)),"N","Y")</f>
        <v>N</v>
      </c>
      <c r="AF136"/>
      <c r="AG136" s="3"/>
      <c r="AL136" s="7"/>
      <c r="AM136" s="7"/>
      <c r="AN136" s="7"/>
      <c r="AO136" s="7"/>
      <c r="AP136" s="7"/>
    </row>
    <row r="137" spans="1:42" s="7" customFormat="1" ht="15" hidden="1" customHeight="1">
      <c r="A137">
        <v>200320</v>
      </c>
      <c r="B137" t="s">
        <v>464</v>
      </c>
      <c r="C137" s="3" t="s">
        <v>180</v>
      </c>
      <c r="D137" s="3" t="s">
        <v>921</v>
      </c>
      <c r="E137" s="3" t="str">
        <f t="shared" si="19"/>
        <v>PositionHistory</v>
      </c>
      <c r="F137" s="3" t="s">
        <v>180</v>
      </c>
      <c r="G137" s="3" t="s">
        <v>180</v>
      </c>
      <c r="H137" s="3"/>
      <c r="I137" s="3" t="s">
        <v>919</v>
      </c>
      <c r="J137" s="3"/>
      <c r="K137" s="3" t="s">
        <v>0</v>
      </c>
      <c r="L137" s="3"/>
      <c r="M137" s="3"/>
      <c r="N137" s="3"/>
      <c r="O137" s="3"/>
      <c r="P137" s="3" t="s">
        <v>1015</v>
      </c>
      <c r="Q137" s="3"/>
      <c r="R137" s="13"/>
      <c r="S137" s="10">
        <v>0</v>
      </c>
      <c r="T137" s="3"/>
      <c r="U137" s="3" t="s">
        <v>149</v>
      </c>
      <c r="V137" s="3"/>
      <c r="W137" s="3"/>
      <c r="X137" s="3"/>
      <c r="Y137" t="str">
        <f t="shared" si="20"/>
        <v>N</v>
      </c>
      <c r="Z137" t="str">
        <f t="shared" si="21"/>
        <v>N</v>
      </c>
      <c r="AA137" t="str">
        <f t="shared" si="21"/>
        <v>Y</v>
      </c>
      <c r="AB137" t="str">
        <f>IF(ISERROR(VLOOKUP($C137&amp;"."&amp;#REF!,DictionaryColumns,1,FALSE)),"N","Y")</f>
        <v>N</v>
      </c>
      <c r="AC137" s="3"/>
      <c r="AD137" t="str">
        <f>IF(ISERROR(VLOOKUP($C137&amp;"."&amp;#REF!,DictionaryColumns,1,FALSE)),"N","Y")</f>
        <v>N</v>
      </c>
      <c r="AE137" t="str">
        <f>IF(ISERROR(VLOOKUP($C137&amp;"."&amp;#REF!,DictionaryColumns,1,FALSE)),"N","Y")</f>
        <v>N</v>
      </c>
      <c r="AF137"/>
      <c r="AG137" s="3"/>
      <c r="AH137"/>
      <c r="AI137" s="3"/>
      <c r="AJ137"/>
      <c r="AK137"/>
    </row>
    <row r="138" spans="1:42" s="7" customFormat="1" ht="15" hidden="1" customHeight="1">
      <c r="A138">
        <v>200330</v>
      </c>
      <c r="B138" t="s">
        <v>464</v>
      </c>
      <c r="C138" s="3" t="s">
        <v>190</v>
      </c>
      <c r="D138" s="3" t="s">
        <v>945</v>
      </c>
      <c r="E138" s="3" t="str">
        <f t="shared" si="19"/>
        <v>RatesBilling</v>
      </c>
      <c r="F138" s="3" t="s">
        <v>190</v>
      </c>
      <c r="G138" s="3" t="s">
        <v>190</v>
      </c>
      <c r="H138" s="3"/>
      <c r="I138" s="3" t="s">
        <v>919</v>
      </c>
      <c r="J138" s="3"/>
      <c r="K138" s="3" t="s">
        <v>0</v>
      </c>
      <c r="L138" s="3"/>
      <c r="M138" s="3"/>
      <c r="N138" s="3"/>
      <c r="O138" s="3"/>
      <c r="P138" s="3" t="s">
        <v>989</v>
      </c>
      <c r="Q138" s="3"/>
      <c r="R138" s="13"/>
      <c r="S138" s="10">
        <v>0</v>
      </c>
      <c r="T138" s="3"/>
      <c r="U138" s="3" t="s">
        <v>157</v>
      </c>
      <c r="V138" s="3"/>
      <c r="W138" s="3"/>
      <c r="X138" s="3"/>
      <c r="Y138" t="str">
        <f t="shared" si="20"/>
        <v>N</v>
      </c>
      <c r="Z138" t="str">
        <f t="shared" si="21"/>
        <v>N</v>
      </c>
      <c r="AA138" t="str">
        <f t="shared" si="21"/>
        <v>Y</v>
      </c>
      <c r="AB138" t="str">
        <f>IF(ISERROR(VLOOKUP($C138&amp;"."&amp;#REF!,DictionaryColumns,1,FALSE)),"N","Y")</f>
        <v>N</v>
      </c>
      <c r="AC138" s="3"/>
      <c r="AD138" t="str">
        <f>IF(ISERROR(VLOOKUP($C138&amp;"."&amp;#REF!,DictionaryColumns,1,FALSE)),"N","Y")</f>
        <v>N</v>
      </c>
      <c r="AE138" t="str">
        <f>IF(ISERROR(VLOOKUP($C138&amp;"."&amp;#REF!,DictionaryColumns,1,FALSE)),"N","Y")</f>
        <v>N</v>
      </c>
      <c r="AF138"/>
      <c r="AG138" s="3"/>
      <c r="AH138"/>
      <c r="AI138" s="3"/>
      <c r="AJ138"/>
      <c r="AK138"/>
    </row>
    <row r="139" spans="1:42" s="7" customFormat="1" ht="15" hidden="1" customHeight="1">
      <c r="A139">
        <v>200340</v>
      </c>
      <c r="B139" t="s">
        <v>464</v>
      </c>
      <c r="C139" s="3" t="s">
        <v>191</v>
      </c>
      <c r="D139" s="3" t="s">
        <v>946</v>
      </c>
      <c r="E139" s="3" t="str">
        <f t="shared" si="19"/>
        <v>RatesExpense</v>
      </c>
      <c r="F139" s="3" t="s">
        <v>191</v>
      </c>
      <c r="G139" s="3" t="s">
        <v>191</v>
      </c>
      <c r="H139" s="3"/>
      <c r="I139" s="3" t="s">
        <v>919</v>
      </c>
      <c r="J139" s="3"/>
      <c r="K139" s="3" t="s">
        <v>0</v>
      </c>
      <c r="L139" s="3"/>
      <c r="M139" s="3"/>
      <c r="N139" s="3"/>
      <c r="O139" s="3"/>
      <c r="P139" s="3" t="s">
        <v>990</v>
      </c>
      <c r="Q139" s="3"/>
      <c r="R139" s="13"/>
      <c r="S139" s="10">
        <v>0</v>
      </c>
      <c r="T139" s="3"/>
      <c r="U139" s="3" t="s">
        <v>167</v>
      </c>
      <c r="V139" s="3"/>
      <c r="W139" s="3"/>
      <c r="X139" s="3"/>
      <c r="Y139" t="str">
        <f t="shared" si="20"/>
        <v>N</v>
      </c>
      <c r="Z139" t="str">
        <f t="shared" si="21"/>
        <v>N</v>
      </c>
      <c r="AA139" t="str">
        <f t="shared" si="21"/>
        <v>Y</v>
      </c>
      <c r="AB139" t="str">
        <f>IF(ISERROR(VLOOKUP($C139&amp;"."&amp;#REF!,DictionaryColumns,1,FALSE)),"N","Y")</f>
        <v>N</v>
      </c>
      <c r="AC139" s="3"/>
      <c r="AD139" t="str">
        <f>IF(ISERROR(VLOOKUP($C139&amp;"."&amp;#REF!,DictionaryColumns,1,FALSE)),"N","Y")</f>
        <v>N</v>
      </c>
      <c r="AE139" t="str">
        <f>IF(ISERROR(VLOOKUP($C139&amp;"."&amp;#REF!,DictionaryColumns,1,FALSE)),"N","Y")</f>
        <v>N</v>
      </c>
      <c r="AF139"/>
      <c r="AG139" s="3"/>
      <c r="AH139"/>
      <c r="AI139" s="3"/>
      <c r="AJ139"/>
      <c r="AK139"/>
    </row>
    <row r="140" spans="1:42" s="7" customFormat="1" ht="15" hidden="1" customHeight="1">
      <c r="A140">
        <v>200350</v>
      </c>
      <c r="B140" t="s">
        <v>464</v>
      </c>
      <c r="C140" s="3" t="s">
        <v>192</v>
      </c>
      <c r="D140" s="3" t="s">
        <v>938</v>
      </c>
      <c r="E140" s="3" t="str">
        <f t="shared" si="19"/>
        <v>RatesFactor</v>
      </c>
      <c r="F140" s="3" t="s">
        <v>192</v>
      </c>
      <c r="G140" s="3" t="s">
        <v>192</v>
      </c>
      <c r="H140" s="3"/>
      <c r="I140" s="3" t="s">
        <v>919</v>
      </c>
      <c r="J140" s="3"/>
      <c r="K140" s="3" t="s">
        <v>0</v>
      </c>
      <c r="L140" s="3"/>
      <c r="M140" s="3"/>
      <c r="N140" s="3"/>
      <c r="O140" s="3"/>
      <c r="P140" s="3" t="s">
        <v>991</v>
      </c>
      <c r="Q140" s="3"/>
      <c r="R140" s="13"/>
      <c r="S140" s="10">
        <v>0</v>
      </c>
      <c r="T140" s="3"/>
      <c r="U140" s="3" t="s">
        <v>166</v>
      </c>
      <c r="V140" s="3"/>
      <c r="W140" s="3"/>
      <c r="X140" s="3"/>
      <c r="Y140" t="str">
        <f t="shared" si="20"/>
        <v>N</v>
      </c>
      <c r="Z140" t="str">
        <f t="shared" si="21"/>
        <v>N</v>
      </c>
      <c r="AA140" t="str">
        <f t="shared" si="21"/>
        <v>Y</v>
      </c>
      <c r="AB140" t="str">
        <f>IF(ISERROR(VLOOKUP($C140&amp;"."&amp;#REF!,DictionaryColumns,1,FALSE)),"N","Y")</f>
        <v>N</v>
      </c>
      <c r="AC140" s="3"/>
      <c r="AD140" t="str">
        <f>IF(ISERROR(VLOOKUP($C140&amp;"."&amp;#REF!,DictionaryColumns,1,FALSE)),"N","Y")</f>
        <v>N</v>
      </c>
      <c r="AE140" t="str">
        <f>IF(ISERROR(VLOOKUP($C140&amp;"."&amp;#REF!,DictionaryColumns,1,FALSE)),"N","Y")</f>
        <v>N</v>
      </c>
      <c r="AF140"/>
      <c r="AG140" s="3"/>
      <c r="AH140"/>
      <c r="AI140" s="3"/>
      <c r="AJ140"/>
      <c r="AK140"/>
    </row>
    <row r="141" spans="1:42" s="7" customFormat="1" ht="15" hidden="1" customHeight="1">
      <c r="A141">
        <v>200360</v>
      </c>
      <c r="B141" t="s">
        <v>464</v>
      </c>
      <c r="C141" s="3" t="s">
        <v>88</v>
      </c>
      <c r="D141" s="3" t="s">
        <v>947</v>
      </c>
      <c r="E141" s="3" t="str">
        <f t="shared" si="19"/>
        <v>ReferenceField</v>
      </c>
      <c r="F141" s="3" t="s">
        <v>130</v>
      </c>
      <c r="G141" s="3" t="s">
        <v>88</v>
      </c>
      <c r="H141" s="3"/>
      <c r="I141" s="3" t="s">
        <v>919</v>
      </c>
      <c r="J141" s="3"/>
      <c r="K141" s="3" t="s">
        <v>0</v>
      </c>
      <c r="L141" s="3" t="s">
        <v>12</v>
      </c>
      <c r="M141" s="3"/>
      <c r="N141" s="3"/>
      <c r="O141" s="3"/>
      <c r="P141" s="3" t="s">
        <v>1893</v>
      </c>
      <c r="Q141" s="3"/>
      <c r="R141" s="13"/>
      <c r="S141" s="10">
        <v>0</v>
      </c>
      <c r="T141" s="3"/>
      <c r="U141" s="3" t="s">
        <v>136</v>
      </c>
      <c r="V141" s="3"/>
      <c r="W141" s="3"/>
      <c r="X141" s="3"/>
      <c r="Y141" t="str">
        <f t="shared" si="20"/>
        <v>N</v>
      </c>
      <c r="Z141" t="str">
        <f t="shared" ref="Z141:AA146" si="22">IF(ISERROR(VLOOKUP($C141&amp;"."&amp;Z$1,DictionaryColumns,1,FALSE)),"N","Y")</f>
        <v>N</v>
      </c>
      <c r="AA141" t="str">
        <f t="shared" si="22"/>
        <v>Y</v>
      </c>
      <c r="AB141" t="str">
        <f>IF(ISERROR(VLOOKUP($C141&amp;"."&amp;#REF!,DictionaryColumns,1,FALSE)),"N","Y")</f>
        <v>N</v>
      </c>
      <c r="AC141" s="3"/>
      <c r="AD141" t="str">
        <f>IF(ISERROR(VLOOKUP($C141&amp;"."&amp;#REF!,DictionaryColumns,1,FALSE)),"N","Y")</f>
        <v>N</v>
      </c>
      <c r="AE141" t="str">
        <f>IF(ISERROR(VLOOKUP($C141&amp;"."&amp;#REF!,DictionaryColumns,1,FALSE)),"N","Y")</f>
        <v>N</v>
      </c>
      <c r="AF141"/>
      <c r="AG141" s="3"/>
      <c r="AH141"/>
      <c r="AI141" s="3"/>
      <c r="AJ141"/>
      <c r="AK141"/>
    </row>
    <row r="142" spans="1:42" s="7" customFormat="1" ht="15" hidden="1" customHeight="1">
      <c r="A142">
        <v>200370</v>
      </c>
      <c r="B142" t="s">
        <v>464</v>
      </c>
      <c r="C142" s="3" t="s">
        <v>198</v>
      </c>
      <c r="D142" s="3" t="s">
        <v>952</v>
      </c>
      <c r="E142" s="3" t="str">
        <f t="shared" si="19"/>
        <v>ReferenceTable</v>
      </c>
      <c r="F142" s="3" t="s">
        <v>127</v>
      </c>
      <c r="G142" s="3" t="s">
        <v>198</v>
      </c>
      <c r="H142" s="3"/>
      <c r="I142" s="3" t="s">
        <v>919</v>
      </c>
      <c r="J142" s="3"/>
      <c r="K142" s="3" t="s">
        <v>0</v>
      </c>
      <c r="L142" s="3" t="s">
        <v>12</v>
      </c>
      <c r="M142" s="3"/>
      <c r="N142" s="3"/>
      <c r="O142" s="3"/>
      <c r="P142" s="3" t="s">
        <v>1894</v>
      </c>
      <c r="Q142" s="3"/>
      <c r="R142" s="13"/>
      <c r="S142" s="10">
        <v>0</v>
      </c>
      <c r="T142" s="3"/>
      <c r="U142" s="3" t="s">
        <v>137</v>
      </c>
      <c r="V142" s="3"/>
      <c r="W142" s="3"/>
      <c r="X142" s="3"/>
      <c r="Y142" t="str">
        <f t="shared" si="20"/>
        <v>N</v>
      </c>
      <c r="Z142" t="str">
        <f t="shared" si="22"/>
        <v>N</v>
      </c>
      <c r="AA142" t="str">
        <f t="shared" si="22"/>
        <v>Y</v>
      </c>
      <c r="AB142" t="str">
        <f>IF(ISERROR(VLOOKUP($C142&amp;"."&amp;#REF!,DictionaryColumns,1,FALSE)),"N","Y")</f>
        <v>N</v>
      </c>
      <c r="AC142" s="3"/>
      <c r="AD142" t="str">
        <f>IF(ISERROR(VLOOKUP($C142&amp;"."&amp;#REF!,DictionaryColumns,1,FALSE)),"N","Y")</f>
        <v>N</v>
      </c>
      <c r="AE142" t="str">
        <f>IF(ISERROR(VLOOKUP($C142&amp;"."&amp;#REF!,DictionaryColumns,1,FALSE)),"N","Y")</f>
        <v>N</v>
      </c>
      <c r="AF142"/>
      <c r="AG142" s="3"/>
      <c r="AH142"/>
      <c r="AI142" s="3"/>
      <c r="AJ142"/>
      <c r="AK142"/>
    </row>
    <row r="143" spans="1:42" s="7" customFormat="1" ht="15" hidden="1" customHeight="1">
      <c r="A143">
        <v>200380</v>
      </c>
      <c r="B143" t="s">
        <v>464</v>
      </c>
      <c r="C143" s="3" t="s">
        <v>189</v>
      </c>
      <c r="D143" s="3" t="s">
        <v>948</v>
      </c>
      <c r="E143" s="3" t="str">
        <f t="shared" si="19"/>
        <v>Relationship</v>
      </c>
      <c r="F143" s="3" t="s">
        <v>60</v>
      </c>
      <c r="G143" s="3" t="s">
        <v>189</v>
      </c>
      <c r="H143" s="3"/>
      <c r="I143" s="3" t="s">
        <v>919</v>
      </c>
      <c r="J143" s="3"/>
      <c r="K143" s="3" t="s">
        <v>0</v>
      </c>
      <c r="L143" s="3"/>
      <c r="M143" s="3"/>
      <c r="N143" s="3"/>
      <c r="O143" s="3"/>
      <c r="P143" s="3" t="s">
        <v>996</v>
      </c>
      <c r="Q143" s="3"/>
      <c r="R143" s="13"/>
      <c r="S143" s="10">
        <v>0</v>
      </c>
      <c r="T143" s="3"/>
      <c r="U143" s="3" t="s">
        <v>140</v>
      </c>
      <c r="V143" s="3"/>
      <c r="W143" s="3"/>
      <c r="X143" s="3"/>
      <c r="Y143" t="str">
        <f t="shared" si="20"/>
        <v>N</v>
      </c>
      <c r="Z143" t="str">
        <f t="shared" si="22"/>
        <v>N</v>
      </c>
      <c r="AA143" t="str">
        <f t="shared" si="22"/>
        <v>Y</v>
      </c>
      <c r="AB143" t="str">
        <f>IF(ISERROR(VLOOKUP($C143&amp;"."&amp;#REF!,DictionaryColumns,1,FALSE)),"N","Y")</f>
        <v>N</v>
      </c>
      <c r="AC143" s="3"/>
      <c r="AD143" t="str">
        <f>IF(ISERROR(VLOOKUP($C143&amp;"."&amp;#REF!,DictionaryColumns,1,FALSE)),"N","Y")</f>
        <v>N</v>
      </c>
      <c r="AE143" t="str">
        <f>IF(ISERROR(VLOOKUP($C143&amp;"."&amp;#REF!,DictionaryColumns,1,FALSE)),"N","Y")</f>
        <v>N</v>
      </c>
      <c r="AF143"/>
      <c r="AG143" s="3"/>
      <c r="AH143"/>
      <c r="AI143"/>
      <c r="AJ143"/>
      <c r="AK143"/>
    </row>
    <row r="144" spans="1:42" s="7" customFormat="1" ht="15" hidden="1" customHeight="1">
      <c r="A144">
        <v>200390</v>
      </c>
      <c r="B144" t="s">
        <v>464</v>
      </c>
      <c r="C144" s="3" t="s">
        <v>65</v>
      </c>
      <c r="D144" s="3" t="s">
        <v>65</v>
      </c>
      <c r="E144" s="3" t="str">
        <f t="shared" si="19"/>
        <v>Transaction</v>
      </c>
      <c r="F144" s="3" t="s">
        <v>120</v>
      </c>
      <c r="G144" s="3" t="s">
        <v>65</v>
      </c>
      <c r="H144" s="3"/>
      <c r="I144" s="3" t="s">
        <v>919</v>
      </c>
      <c r="J144" s="3"/>
      <c r="K144" s="3" t="s">
        <v>0</v>
      </c>
      <c r="L144" s="3" t="s">
        <v>28</v>
      </c>
      <c r="M144" s="3"/>
      <c r="N144" s="3"/>
      <c r="O144" s="3"/>
      <c r="P144" s="3" t="s">
        <v>1012</v>
      </c>
      <c r="Q144" s="3"/>
      <c r="R144" s="13"/>
      <c r="S144" s="10">
        <v>0</v>
      </c>
      <c r="T144" s="3"/>
      <c r="U144" s="3" t="s">
        <v>169</v>
      </c>
      <c r="V144" s="3"/>
      <c r="W144" s="3"/>
      <c r="X144" s="3"/>
      <c r="Y144" t="str">
        <f t="shared" si="20"/>
        <v>N</v>
      </c>
      <c r="Z144" t="str">
        <f t="shared" si="22"/>
        <v>N</v>
      </c>
      <c r="AA144" t="str">
        <f t="shared" si="22"/>
        <v>Y</v>
      </c>
      <c r="AB144" t="str">
        <f>IF(ISERROR(VLOOKUP($C144&amp;"."&amp;#REF!,DictionaryColumns,1,FALSE)),"N","Y")</f>
        <v>N</v>
      </c>
      <c r="AC144" s="3"/>
      <c r="AD144" t="str">
        <f>IF(ISERROR(VLOOKUP($C144&amp;"."&amp;#REF!,DictionaryColumns,1,FALSE)),"N","Y")</f>
        <v>N</v>
      </c>
      <c r="AE144" t="str">
        <f>IF(ISERROR(VLOOKUP($C144&amp;"."&amp;#REF!,DictionaryColumns,1,FALSE)),"N","Y")</f>
        <v>N</v>
      </c>
      <c r="AF144"/>
      <c r="AG144" s="3"/>
      <c r="AH144"/>
      <c r="AI144" s="3"/>
      <c r="AJ144"/>
      <c r="AK144"/>
    </row>
    <row r="145" spans="1:42" hidden="1">
      <c r="A145">
        <v>200400</v>
      </c>
      <c r="B145" t="s">
        <v>464</v>
      </c>
      <c r="C145" s="3" t="s">
        <v>194</v>
      </c>
      <c r="D145" s="3" t="s">
        <v>930</v>
      </c>
      <c r="E145" s="3" t="str">
        <f t="shared" si="19"/>
        <v>TransactionsCheque</v>
      </c>
      <c r="F145" s="3" t="s">
        <v>204</v>
      </c>
      <c r="G145" s="3" t="s">
        <v>194</v>
      </c>
      <c r="I145" s="3" t="s">
        <v>919</v>
      </c>
      <c r="K145" s="3" t="s">
        <v>0</v>
      </c>
      <c r="P145" s="3" t="s">
        <v>1013</v>
      </c>
      <c r="S145" s="10">
        <v>0</v>
      </c>
      <c r="U145" s="3" t="s">
        <v>168</v>
      </c>
      <c r="Y145" t="str">
        <f t="shared" si="20"/>
        <v>N</v>
      </c>
      <c r="Z145" t="str">
        <f t="shared" si="22"/>
        <v>N</v>
      </c>
      <c r="AA145" t="str">
        <f t="shared" si="22"/>
        <v>N</v>
      </c>
      <c r="AB145" t="str">
        <f>IF(ISERROR(VLOOKUP($C145&amp;"."&amp;#REF!,DictionaryColumns,1,FALSE)),"N","Y")</f>
        <v>N</v>
      </c>
      <c r="AD145" t="str">
        <f>IF(ISERROR(VLOOKUP($C145&amp;"."&amp;#REF!,DictionaryColumns,1,FALSE)),"N","Y")</f>
        <v>N</v>
      </c>
      <c r="AE145" t="str">
        <f>IF(ISERROR(VLOOKUP($C145&amp;"."&amp;#REF!,DictionaryColumns,1,FALSE)),"N","Y")</f>
        <v>N</v>
      </c>
      <c r="AF145"/>
      <c r="AG145" s="3"/>
    </row>
    <row r="146" spans="1:42" hidden="1">
      <c r="A146">
        <v>200410</v>
      </c>
      <c r="B146" t="s">
        <v>464</v>
      </c>
      <c r="C146" s="3" t="s">
        <v>193</v>
      </c>
      <c r="D146" s="3" t="s">
        <v>937</v>
      </c>
      <c r="E146" s="3" t="str">
        <f t="shared" si="19"/>
        <v>TransactionsInvoice</v>
      </c>
      <c r="F146" s="3" t="s">
        <v>205</v>
      </c>
      <c r="G146" s="3" t="s">
        <v>193</v>
      </c>
      <c r="I146" s="3" t="s">
        <v>919</v>
      </c>
      <c r="K146" s="3" t="s">
        <v>0</v>
      </c>
      <c r="P146" s="3" t="s">
        <v>992</v>
      </c>
      <c r="S146" s="10">
        <v>0</v>
      </c>
      <c r="U146" s="3" t="s">
        <v>158</v>
      </c>
      <c r="Y146" t="str">
        <f t="shared" si="20"/>
        <v>N</v>
      </c>
      <c r="Z146" t="str">
        <f t="shared" si="22"/>
        <v>N</v>
      </c>
      <c r="AA146" t="str">
        <f t="shared" si="22"/>
        <v>Y</v>
      </c>
      <c r="AB146" t="str">
        <f>IF(ISERROR(VLOOKUP($C146&amp;"."&amp;#REF!,DictionaryColumns,1,FALSE)),"N","Y")</f>
        <v>N</v>
      </c>
      <c r="AD146" t="str">
        <f>IF(ISERROR(VLOOKUP($C146&amp;"."&amp;#REF!,DictionaryColumns,1,FALSE)),"N","Y")</f>
        <v>N</v>
      </c>
      <c r="AE146" t="str">
        <f>IF(ISERROR(VLOOKUP($C146&amp;"."&amp;#REF!,DictionaryColumns,1,FALSE)),"N","Y")</f>
        <v>N</v>
      </c>
      <c r="AF146"/>
      <c r="AG146" s="3"/>
    </row>
    <row r="147" spans="1:42" s="7" customFormat="1" ht="15" hidden="1" customHeight="1">
      <c r="A147"/>
      <c r="B147"/>
      <c r="H147"/>
      <c r="J147" s="3"/>
      <c r="M147" s="4"/>
      <c r="P147" s="8"/>
      <c r="Q147" s="3"/>
      <c r="R147" s="4"/>
      <c r="S147" s="10"/>
      <c r="Y147"/>
      <c r="AB147"/>
      <c r="AF147"/>
      <c r="AG147" s="3"/>
      <c r="AI147"/>
      <c r="AK147"/>
      <c r="AL147"/>
      <c r="AM147"/>
      <c r="AN147"/>
      <c r="AO147"/>
      <c r="AP147"/>
    </row>
    <row r="148" spans="1:42" s="7" customFormat="1" ht="15" hidden="1" customHeight="1">
      <c r="A148"/>
      <c r="B148"/>
      <c r="H148"/>
      <c r="J148" s="3"/>
      <c r="M148" s="4"/>
      <c r="P148" s="8"/>
      <c r="Q148" s="3"/>
      <c r="R148" s="4"/>
      <c r="S148" s="10"/>
      <c r="Y148"/>
      <c r="AB148"/>
      <c r="AF148"/>
      <c r="AG148" s="3"/>
      <c r="AI148"/>
      <c r="AK148"/>
      <c r="AL148"/>
      <c r="AM148"/>
      <c r="AN148"/>
      <c r="AO148"/>
      <c r="AP148"/>
    </row>
    <row r="149" spans="1:42" s="7" customFormat="1" ht="15" hidden="1" customHeight="1">
      <c r="A149"/>
      <c r="B149"/>
      <c r="H149"/>
      <c r="J149" s="3"/>
      <c r="M149" s="4"/>
      <c r="P149" s="8"/>
      <c r="Q149" s="3"/>
      <c r="R149" s="4"/>
      <c r="S149" s="10"/>
      <c r="Y149"/>
      <c r="AB149"/>
      <c r="AF149"/>
      <c r="AG149" s="3"/>
      <c r="AI149"/>
      <c r="AK149"/>
      <c r="AL149"/>
      <c r="AM149"/>
      <c r="AN149"/>
      <c r="AO149"/>
      <c r="AP149"/>
    </row>
    <row r="150" spans="1:42" ht="14.25" hidden="1" customHeight="1">
      <c r="D150"/>
      <c r="G150"/>
      <c r="H150"/>
      <c r="L150" s="4"/>
      <c r="M150" s="4"/>
      <c r="N150" s="4"/>
      <c r="O150" s="4"/>
      <c r="R150" s="4"/>
      <c r="T150" s="7"/>
      <c r="X150" s="4"/>
      <c r="Y150"/>
      <c r="Z150"/>
      <c r="AA150"/>
      <c r="AB150"/>
      <c r="AC150"/>
      <c r="AD150"/>
      <c r="AE150"/>
      <c r="AF150"/>
      <c r="AG150" s="3"/>
      <c r="AI150"/>
    </row>
    <row r="151" spans="1:42" ht="14.25" hidden="1" customHeight="1">
      <c r="H151"/>
      <c r="M151" s="4"/>
      <c r="T151" s="7"/>
      <c r="Y151"/>
      <c r="Z151"/>
      <c r="AA151"/>
      <c r="AB151"/>
      <c r="AD151"/>
      <c r="AE151"/>
      <c r="AF151"/>
      <c r="AG151" s="3"/>
    </row>
    <row r="152" spans="1:42" s="7" customFormat="1" ht="15" hidden="1" customHeight="1">
      <c r="A152"/>
      <c r="B152"/>
      <c r="H152"/>
      <c r="J152" s="3"/>
      <c r="M152" s="4"/>
      <c r="P152" s="8"/>
      <c r="Q152" s="3"/>
      <c r="R152" s="4"/>
      <c r="S152" s="10"/>
      <c r="Y152"/>
      <c r="AB152"/>
      <c r="AF152"/>
      <c r="AG152" s="3"/>
      <c r="AI152"/>
      <c r="AK152"/>
      <c r="AL152"/>
      <c r="AM152"/>
      <c r="AN152"/>
      <c r="AO152"/>
      <c r="AP152"/>
    </row>
    <row r="153" spans="1:42" s="7" customFormat="1" ht="15" hidden="1" customHeight="1">
      <c r="A153"/>
      <c r="B153"/>
      <c r="H153"/>
      <c r="J153" s="3"/>
      <c r="M153" s="4"/>
      <c r="P153" s="8"/>
      <c r="Q153" s="3"/>
      <c r="R153" s="4"/>
      <c r="S153" s="10"/>
      <c r="Y153"/>
      <c r="AB153"/>
      <c r="AF153"/>
      <c r="AG153" s="3"/>
      <c r="AK153"/>
      <c r="AL153"/>
      <c r="AM153"/>
      <c r="AN153"/>
      <c r="AO153"/>
      <c r="AP153"/>
    </row>
    <row r="154" spans="1:42" s="7" customFormat="1" ht="15" hidden="1" customHeight="1">
      <c r="A154"/>
      <c r="B154"/>
      <c r="H154"/>
      <c r="J154" s="3"/>
      <c r="M154" s="4"/>
      <c r="P154" s="8"/>
      <c r="Q154" s="3"/>
      <c r="R154" s="4"/>
      <c r="S154" s="10"/>
      <c r="Y154"/>
      <c r="AB154"/>
      <c r="AF154"/>
      <c r="AG154" s="3"/>
      <c r="AI154"/>
      <c r="AK154"/>
      <c r="AL154"/>
      <c r="AM154"/>
      <c r="AN154"/>
      <c r="AO154"/>
      <c r="AP154"/>
    </row>
    <row r="155" spans="1:42" s="7" customFormat="1" ht="15" hidden="1" customHeight="1">
      <c r="A155"/>
      <c r="B155"/>
      <c r="E155" s="8"/>
      <c r="H155"/>
      <c r="J155" s="3"/>
      <c r="M155" s="4"/>
      <c r="P155" s="8"/>
      <c r="Q155" s="3"/>
      <c r="R155" s="4"/>
      <c r="S155" s="10"/>
      <c r="Y155"/>
      <c r="AB155"/>
      <c r="AF155"/>
      <c r="AG155" s="3"/>
      <c r="AK155"/>
      <c r="AL155"/>
      <c r="AM155"/>
      <c r="AN155"/>
      <c r="AO155"/>
      <c r="AP155"/>
    </row>
    <row r="156" spans="1:42" s="7" customFormat="1" ht="15" hidden="1" customHeight="1">
      <c r="A156"/>
      <c r="B156"/>
      <c r="H156"/>
      <c r="J156" s="3"/>
      <c r="M156" s="4"/>
      <c r="P156" s="8"/>
      <c r="Q156" s="3"/>
      <c r="R156" s="4"/>
      <c r="S156" s="10"/>
      <c r="Y156"/>
      <c r="AB156"/>
      <c r="AF156"/>
      <c r="AG156" s="3"/>
      <c r="AK156"/>
      <c r="AL156"/>
      <c r="AM156"/>
      <c r="AN156"/>
      <c r="AO156"/>
      <c r="AP156"/>
    </row>
    <row r="157" spans="1:42" s="7" customFormat="1" ht="15" hidden="1" customHeight="1">
      <c r="A157"/>
      <c r="B157"/>
      <c r="H157"/>
      <c r="J157" s="3"/>
      <c r="M157" s="4"/>
      <c r="P157" s="8"/>
      <c r="Q157" s="3"/>
      <c r="R157" s="4"/>
      <c r="S157" s="10"/>
      <c r="Y157"/>
      <c r="AF157"/>
      <c r="AG157" s="3"/>
      <c r="AI157"/>
      <c r="AK157"/>
      <c r="AL157"/>
      <c r="AM157"/>
      <c r="AN157"/>
      <c r="AO157"/>
      <c r="AP157"/>
    </row>
    <row r="158" spans="1:42" s="7" customFormat="1" ht="15" hidden="1" customHeight="1">
      <c r="A158"/>
      <c r="B158"/>
      <c r="H158"/>
      <c r="J158" s="3"/>
      <c r="M158" s="4"/>
      <c r="P158" s="8"/>
      <c r="Q158" s="3"/>
      <c r="R158" s="4"/>
      <c r="S158" s="10"/>
      <c r="Y158"/>
      <c r="AF158"/>
      <c r="AG158" s="3"/>
      <c r="AI158"/>
      <c r="AK158"/>
      <c r="AL158"/>
      <c r="AM158"/>
      <c r="AN158"/>
      <c r="AO158"/>
      <c r="AP158"/>
    </row>
    <row r="159" spans="1:42" s="7" customFormat="1" ht="15" hidden="1" customHeight="1">
      <c r="A159"/>
      <c r="B159"/>
      <c r="H159"/>
      <c r="J159" s="3"/>
      <c r="M159" s="4"/>
      <c r="P159" s="8"/>
      <c r="Q159" s="3"/>
      <c r="R159" s="4"/>
      <c r="S159" s="10"/>
      <c r="Y159"/>
      <c r="AB159"/>
      <c r="AF159"/>
      <c r="AG159" s="3"/>
      <c r="AI159"/>
      <c r="AK159"/>
      <c r="AL159"/>
      <c r="AM159"/>
      <c r="AN159"/>
      <c r="AO159"/>
      <c r="AP159"/>
    </row>
    <row r="160" spans="1:42" s="7" customFormat="1" ht="15" hidden="1" customHeight="1">
      <c r="A160"/>
      <c r="B160"/>
      <c r="H160"/>
      <c r="J160" s="3"/>
      <c r="M160" s="4"/>
      <c r="P160" s="8"/>
      <c r="Q160" s="3"/>
      <c r="R160" s="4"/>
      <c r="S160" s="10"/>
      <c r="Y160"/>
      <c r="AB160"/>
      <c r="AF160"/>
      <c r="AG160" s="3"/>
      <c r="AI160"/>
      <c r="AK160"/>
      <c r="AL160"/>
      <c r="AM160"/>
      <c r="AN160"/>
      <c r="AO160"/>
      <c r="AP160"/>
    </row>
    <row r="161" spans="1:42" s="7" customFormat="1" ht="15" hidden="1" customHeight="1">
      <c r="A161"/>
      <c r="B161"/>
      <c r="H161"/>
      <c r="J161" s="3"/>
      <c r="M161" s="4"/>
      <c r="P161" s="8"/>
      <c r="Q161" s="3"/>
      <c r="R161" s="4"/>
      <c r="S161" s="10"/>
      <c r="Y161"/>
      <c r="AB161"/>
      <c r="AF161"/>
      <c r="AG161" s="3"/>
      <c r="AI161"/>
      <c r="AK161"/>
      <c r="AL161"/>
      <c r="AM161"/>
      <c r="AN161"/>
      <c r="AO161"/>
      <c r="AP161"/>
    </row>
    <row r="162" spans="1:42" s="7" customFormat="1" ht="15" hidden="1" customHeight="1">
      <c r="A162"/>
      <c r="B162"/>
      <c r="H162"/>
      <c r="J162" s="3"/>
      <c r="M162" s="4"/>
      <c r="P162" s="8"/>
      <c r="Q162" s="3"/>
      <c r="R162" s="4"/>
      <c r="S162" s="10"/>
      <c r="Y162"/>
      <c r="AB162"/>
      <c r="AF162"/>
      <c r="AG162" s="3"/>
      <c r="AK162"/>
      <c r="AL162"/>
      <c r="AM162"/>
      <c r="AN162"/>
      <c r="AO162"/>
      <c r="AP162"/>
    </row>
    <row r="163" spans="1:42" s="7" customFormat="1" ht="15" hidden="1" customHeight="1">
      <c r="A163"/>
      <c r="B163"/>
      <c r="H163"/>
      <c r="J163" s="3"/>
      <c r="M163" s="4"/>
      <c r="P163" s="8"/>
      <c r="Q163" s="3"/>
      <c r="R163" s="4"/>
      <c r="S163" s="10"/>
      <c r="Y163"/>
      <c r="AB163"/>
      <c r="AF163"/>
      <c r="AG163" s="3"/>
      <c r="AK163"/>
      <c r="AL163"/>
      <c r="AM163"/>
      <c r="AN163"/>
      <c r="AO163"/>
      <c r="AP163"/>
    </row>
    <row r="164" spans="1:42" s="7" customFormat="1" ht="15" hidden="1" customHeight="1">
      <c r="A164"/>
      <c r="B164"/>
      <c r="H164"/>
      <c r="J164" s="3"/>
      <c r="M164" s="4"/>
      <c r="P164" s="8"/>
      <c r="Q164" s="3"/>
      <c r="R164" s="4"/>
      <c r="S164" s="10"/>
      <c r="Y164"/>
      <c r="AB164"/>
      <c r="AF164"/>
      <c r="AG164" s="3"/>
      <c r="AK164"/>
      <c r="AL164"/>
      <c r="AM164"/>
      <c r="AN164"/>
      <c r="AO164"/>
      <c r="AP164"/>
    </row>
    <row r="165" spans="1:42" s="7" customFormat="1" ht="15" hidden="1" customHeight="1">
      <c r="A165"/>
      <c r="B165"/>
      <c r="H165"/>
      <c r="J165" s="3"/>
      <c r="M165" s="4"/>
      <c r="P165" s="8"/>
      <c r="Q165" s="3"/>
      <c r="R165" s="4"/>
      <c r="S165" s="10"/>
      <c r="Y165"/>
      <c r="AB165"/>
      <c r="AF165"/>
      <c r="AG165" s="3"/>
      <c r="AK165"/>
      <c r="AL165"/>
      <c r="AM165"/>
      <c r="AN165"/>
      <c r="AO165"/>
      <c r="AP165"/>
    </row>
    <row r="166" spans="1:42" s="7" customFormat="1" ht="15" hidden="1" customHeight="1">
      <c r="A166"/>
      <c r="B166"/>
      <c r="H166"/>
      <c r="J166" s="3"/>
      <c r="M166" s="4"/>
      <c r="P166" s="8"/>
      <c r="Q166" s="3"/>
      <c r="R166" s="4"/>
      <c r="S166" s="10"/>
      <c r="Y166"/>
      <c r="AB166"/>
      <c r="AF166"/>
      <c r="AG166" s="3"/>
      <c r="AK166"/>
      <c r="AL166"/>
      <c r="AM166"/>
      <c r="AN166"/>
      <c r="AO166"/>
      <c r="AP166"/>
    </row>
    <row r="167" spans="1:42" s="7" customFormat="1" ht="15" hidden="1" customHeight="1">
      <c r="A167"/>
      <c r="B167"/>
      <c r="H167"/>
      <c r="J167" s="3"/>
      <c r="M167" s="4"/>
      <c r="P167" s="8"/>
      <c r="Q167" s="3"/>
      <c r="R167" s="4"/>
      <c r="S167" s="10"/>
      <c r="Y167"/>
      <c r="AB167"/>
      <c r="AF167"/>
      <c r="AG167" s="3"/>
      <c r="AK167"/>
      <c r="AL167"/>
      <c r="AM167"/>
      <c r="AN167"/>
      <c r="AO167"/>
      <c r="AP167"/>
    </row>
    <row r="168" spans="1:42" s="7" customFormat="1" ht="15" hidden="1" customHeight="1">
      <c r="A168"/>
      <c r="B168"/>
      <c r="H168"/>
      <c r="J168" s="3"/>
      <c r="M168" s="4"/>
      <c r="P168" s="8"/>
      <c r="Q168" s="3"/>
      <c r="R168" s="4"/>
      <c r="S168" s="10"/>
      <c r="Y168"/>
      <c r="AB168"/>
      <c r="AF168"/>
      <c r="AG168" s="3"/>
      <c r="AK168"/>
      <c r="AL168"/>
      <c r="AM168"/>
      <c r="AN168"/>
      <c r="AO168"/>
      <c r="AP168"/>
    </row>
    <row r="169" spans="1:42" s="7" customFormat="1" ht="15" hidden="1" customHeight="1">
      <c r="A169"/>
      <c r="B169"/>
      <c r="H169"/>
      <c r="J169" s="3"/>
      <c r="M169" s="4"/>
      <c r="P169" s="8"/>
      <c r="Q169" s="3"/>
      <c r="R169" s="4"/>
      <c r="S169" s="10"/>
      <c r="Y169"/>
      <c r="AB169"/>
      <c r="AF169"/>
      <c r="AG169" s="3"/>
      <c r="AK169"/>
      <c r="AL169"/>
      <c r="AM169"/>
      <c r="AN169"/>
      <c r="AO169"/>
      <c r="AP169"/>
    </row>
    <row r="170" spans="1:42" s="7" customFormat="1" ht="15" hidden="1" customHeight="1">
      <c r="A170"/>
      <c r="B170"/>
      <c r="H170"/>
      <c r="J170" s="3"/>
      <c r="M170" s="4"/>
      <c r="P170" s="8"/>
      <c r="Q170" s="3"/>
      <c r="R170" s="4"/>
      <c r="S170" s="10"/>
      <c r="Y170"/>
      <c r="AB170"/>
      <c r="AF170"/>
      <c r="AG170" s="3"/>
      <c r="AK170"/>
      <c r="AL170"/>
      <c r="AM170"/>
      <c r="AN170"/>
      <c r="AO170"/>
      <c r="AP170"/>
    </row>
    <row r="171" spans="1:42" s="7" customFormat="1" ht="15" hidden="1" customHeight="1">
      <c r="A171"/>
      <c r="B171"/>
      <c r="H171"/>
      <c r="J171" s="3"/>
      <c r="M171" s="4"/>
      <c r="P171" s="8"/>
      <c r="Q171" s="3"/>
      <c r="R171" s="4"/>
      <c r="S171" s="10"/>
      <c r="Y171"/>
      <c r="AB171"/>
      <c r="AF171"/>
      <c r="AG171" s="3"/>
      <c r="AI171"/>
      <c r="AK171"/>
      <c r="AL171"/>
      <c r="AM171"/>
      <c r="AN171"/>
      <c r="AO171"/>
      <c r="AP171"/>
    </row>
    <row r="172" spans="1:42" s="7" customFormat="1" ht="15" hidden="1" customHeight="1">
      <c r="A172"/>
      <c r="B172"/>
      <c r="H172"/>
      <c r="J172" s="3"/>
      <c r="M172" s="4"/>
      <c r="P172" s="8"/>
      <c r="Q172" s="3"/>
      <c r="R172" s="4"/>
      <c r="S172" s="10"/>
      <c r="Y172"/>
      <c r="AB172"/>
      <c r="AF172"/>
      <c r="AG172" s="3"/>
      <c r="AI172"/>
      <c r="AK172"/>
      <c r="AL172"/>
      <c r="AM172"/>
      <c r="AN172"/>
      <c r="AO172"/>
      <c r="AP172"/>
    </row>
    <row r="173" spans="1:42" s="7" customFormat="1" ht="15" hidden="1" customHeight="1">
      <c r="A173"/>
      <c r="B173"/>
      <c r="E173" s="3"/>
      <c r="F173" s="3"/>
      <c r="G173" s="3"/>
      <c r="H173"/>
      <c r="I173" s="3"/>
      <c r="J173" s="3"/>
      <c r="K173" s="3"/>
      <c r="L173" s="4"/>
      <c r="M173" s="4"/>
      <c r="N173" s="4"/>
      <c r="O173" s="4"/>
      <c r="P173" s="3"/>
      <c r="Q173" s="3"/>
      <c r="R173" s="13"/>
      <c r="S173" s="10"/>
      <c r="U173" s="3"/>
      <c r="V173" s="3"/>
      <c r="W173" s="3"/>
      <c r="X173" s="3"/>
      <c r="Y173"/>
      <c r="Z173"/>
      <c r="AA173"/>
      <c r="AB173"/>
      <c r="AC173" s="3"/>
      <c r="AD173"/>
      <c r="AE173"/>
      <c r="AF173"/>
      <c r="AG173" s="3"/>
      <c r="AH173"/>
      <c r="AI173"/>
      <c r="AJ173"/>
      <c r="AK173"/>
      <c r="AL173"/>
      <c r="AM173"/>
      <c r="AN173"/>
      <c r="AO173"/>
      <c r="AP173"/>
    </row>
    <row r="174" spans="1:42" s="7" customFormat="1" ht="15" hidden="1" customHeight="1">
      <c r="A174"/>
      <c r="B174"/>
      <c r="E174" s="3"/>
      <c r="F174" s="3"/>
      <c r="G174" s="3"/>
      <c r="H174"/>
      <c r="I174" s="3"/>
      <c r="J174" s="3"/>
      <c r="K174" s="3"/>
      <c r="L174" s="4"/>
      <c r="M174" s="4"/>
      <c r="N174" s="4"/>
      <c r="O174" s="4"/>
      <c r="P174" s="3"/>
      <c r="Q174" s="3"/>
      <c r="R174" s="13"/>
      <c r="S174" s="10"/>
      <c r="U174" s="3"/>
      <c r="V174" s="3"/>
      <c r="W174" s="3"/>
      <c r="X174" s="3"/>
      <c r="Y174"/>
      <c r="Z174"/>
      <c r="AA174"/>
      <c r="AB174"/>
      <c r="AC174" s="3"/>
      <c r="AD174"/>
      <c r="AE174"/>
      <c r="AF174"/>
      <c r="AG174" s="3"/>
      <c r="AH174"/>
      <c r="AI174"/>
      <c r="AJ174"/>
      <c r="AK174"/>
      <c r="AL174"/>
      <c r="AM174"/>
      <c r="AN174"/>
      <c r="AO174"/>
      <c r="AP174"/>
    </row>
    <row r="175" spans="1:42" s="7" customFormat="1" ht="15" hidden="1" customHeight="1">
      <c r="A175"/>
      <c r="B175"/>
      <c r="H175"/>
      <c r="J175" s="3"/>
      <c r="M175" s="4"/>
      <c r="P175" s="8"/>
      <c r="Q175" s="3"/>
      <c r="R175" s="4"/>
      <c r="S175" s="10"/>
      <c r="Y175"/>
      <c r="AB175"/>
      <c r="AF175"/>
      <c r="AG175" s="3"/>
      <c r="AI175"/>
      <c r="AK175"/>
      <c r="AL175"/>
      <c r="AM175"/>
      <c r="AN175"/>
      <c r="AO175"/>
      <c r="AP175"/>
    </row>
    <row r="176" spans="1:42" s="7" customFormat="1" ht="15" hidden="1" customHeight="1">
      <c r="A176"/>
      <c r="B176"/>
      <c r="H176"/>
      <c r="J176" s="3"/>
      <c r="M176" s="4"/>
      <c r="P176" s="8"/>
      <c r="Q176" s="3"/>
      <c r="R176" s="4"/>
      <c r="S176" s="10"/>
      <c r="Y176"/>
      <c r="AB176"/>
      <c r="AF176"/>
      <c r="AG176" s="3"/>
      <c r="AK176"/>
      <c r="AL176"/>
      <c r="AM176"/>
      <c r="AN176"/>
      <c r="AO176"/>
      <c r="AP176"/>
    </row>
    <row r="177" spans="1:42" s="7" customFormat="1" ht="15" hidden="1" customHeight="1">
      <c r="A177"/>
      <c r="B177"/>
      <c r="H177"/>
      <c r="J177" s="3"/>
      <c r="M177" s="4"/>
      <c r="P177" s="8"/>
      <c r="Q177" s="3"/>
      <c r="R177" s="4"/>
      <c r="S177" s="10"/>
      <c r="Y177"/>
      <c r="AB177"/>
      <c r="AF177"/>
      <c r="AG177" s="3"/>
      <c r="AI177"/>
      <c r="AK177"/>
      <c r="AL177"/>
      <c r="AM177"/>
      <c r="AN177"/>
      <c r="AO177"/>
      <c r="AP177"/>
    </row>
    <row r="178" spans="1:42" s="7" customFormat="1" ht="15" hidden="1" customHeight="1">
      <c r="A178"/>
      <c r="B178"/>
      <c r="H178"/>
      <c r="J178" s="3"/>
      <c r="M178" s="4"/>
      <c r="P178" s="8"/>
      <c r="Q178" s="3"/>
      <c r="R178" s="4"/>
      <c r="S178" s="10"/>
      <c r="Y178"/>
      <c r="AB178"/>
      <c r="AF178"/>
      <c r="AG178" s="3"/>
      <c r="AI178"/>
      <c r="AK178"/>
      <c r="AL178"/>
      <c r="AM178"/>
      <c r="AN178"/>
      <c r="AO178"/>
      <c r="AP178"/>
    </row>
    <row r="179" spans="1:42" s="7" customFormat="1" ht="15" hidden="1" customHeight="1">
      <c r="A179"/>
      <c r="B179"/>
      <c r="H179"/>
      <c r="J179" s="3"/>
      <c r="M179" s="4"/>
      <c r="P179" s="8"/>
      <c r="Q179" s="3"/>
      <c r="R179" s="4"/>
      <c r="S179" s="10"/>
      <c r="Y179"/>
      <c r="AB179"/>
      <c r="AF179"/>
      <c r="AG179" s="3"/>
      <c r="AI179"/>
      <c r="AK179"/>
      <c r="AL179"/>
      <c r="AM179"/>
      <c r="AN179"/>
      <c r="AO179"/>
      <c r="AP179"/>
    </row>
    <row r="180" spans="1:42" s="7" customFormat="1" ht="15" hidden="1" customHeight="1">
      <c r="A180"/>
      <c r="B180"/>
      <c r="H180"/>
      <c r="J180" s="3"/>
      <c r="M180" s="4"/>
      <c r="P180" s="8"/>
      <c r="Q180" s="3"/>
      <c r="R180" s="4"/>
      <c r="S180" s="10"/>
      <c r="Y180"/>
      <c r="AB180"/>
      <c r="AF180"/>
      <c r="AG180" s="3"/>
      <c r="AI180"/>
      <c r="AK180"/>
      <c r="AL180"/>
      <c r="AM180"/>
      <c r="AN180"/>
      <c r="AO180"/>
      <c r="AP180"/>
    </row>
    <row r="181" spans="1:42" s="7" customFormat="1" ht="15" hidden="1" customHeight="1">
      <c r="A181"/>
      <c r="B181"/>
      <c r="H181"/>
      <c r="J181" s="3"/>
      <c r="M181" s="4"/>
      <c r="P181" s="8"/>
      <c r="Q181" s="3"/>
      <c r="R181" s="4"/>
      <c r="S181" s="10"/>
      <c r="Y181"/>
      <c r="AB181"/>
      <c r="AF181"/>
      <c r="AG181" s="3"/>
      <c r="AI181"/>
      <c r="AK181"/>
      <c r="AL181"/>
      <c r="AM181"/>
      <c r="AN181"/>
      <c r="AO181"/>
      <c r="AP181"/>
    </row>
    <row r="182" spans="1:42" s="7" customFormat="1" ht="15" hidden="1" customHeight="1">
      <c r="A182"/>
      <c r="B182"/>
      <c r="C182" s="3"/>
      <c r="D182"/>
      <c r="E182" s="3"/>
      <c r="F182" s="3"/>
      <c r="G182"/>
      <c r="H182"/>
      <c r="I182" s="3"/>
      <c r="J182" s="3"/>
      <c r="K182" s="3"/>
      <c r="L182" s="4"/>
      <c r="M182" s="4"/>
      <c r="N182" s="4"/>
      <c r="O182" s="4"/>
      <c r="P182" s="3"/>
      <c r="Q182" s="3"/>
      <c r="R182" s="4"/>
      <c r="S182" s="10"/>
      <c r="T182" s="3"/>
      <c r="U182"/>
      <c r="V182"/>
      <c r="W182"/>
      <c r="X182" s="4"/>
      <c r="Y182"/>
      <c r="Z182"/>
      <c r="AA182"/>
      <c r="AB182"/>
      <c r="AC182"/>
      <c r="AD182"/>
      <c r="AE182"/>
      <c r="AF182"/>
      <c r="AG182" s="3"/>
      <c r="AH182"/>
      <c r="AI182"/>
      <c r="AJ182"/>
      <c r="AK182"/>
      <c r="AL182"/>
      <c r="AM182"/>
      <c r="AN182"/>
      <c r="AO182"/>
      <c r="AP182"/>
    </row>
    <row r="183" spans="1:42" s="7" customFormat="1" ht="15" hidden="1" customHeight="1">
      <c r="A183"/>
      <c r="B183"/>
      <c r="C183" s="3"/>
      <c r="D183"/>
      <c r="E183" s="3"/>
      <c r="F183" s="3"/>
      <c r="G183"/>
      <c r="H183"/>
      <c r="I183" s="3"/>
      <c r="J183" s="3"/>
      <c r="K183" s="3"/>
      <c r="L183" s="4"/>
      <c r="M183" s="4"/>
      <c r="N183" s="4"/>
      <c r="O183" s="4"/>
      <c r="P183" s="3"/>
      <c r="Q183" s="3"/>
      <c r="R183" s="4"/>
      <c r="S183" s="10"/>
      <c r="T183" s="3"/>
      <c r="U183"/>
      <c r="V183"/>
      <c r="W183"/>
      <c r="X183" s="4"/>
      <c r="Y183"/>
      <c r="Z183"/>
      <c r="AA183"/>
      <c r="AB183"/>
      <c r="AC183"/>
      <c r="AD183"/>
      <c r="AE183"/>
      <c r="AF183"/>
      <c r="AG183" s="3"/>
      <c r="AH183"/>
      <c r="AI183"/>
      <c r="AJ183"/>
      <c r="AK183"/>
      <c r="AL183"/>
      <c r="AM183"/>
      <c r="AN183"/>
      <c r="AO183"/>
      <c r="AP183"/>
    </row>
    <row r="184" spans="1:42" s="7" customFormat="1" ht="15" hidden="1" customHeight="1">
      <c r="A184"/>
      <c r="B184"/>
      <c r="C184" s="3"/>
      <c r="D184"/>
      <c r="E184" s="3"/>
      <c r="F184" s="3"/>
      <c r="G184"/>
      <c r="H184"/>
      <c r="I184" s="3"/>
      <c r="J184" s="3"/>
      <c r="K184" s="3"/>
      <c r="L184" s="4"/>
      <c r="M184" s="4"/>
      <c r="N184" s="4"/>
      <c r="O184" s="4"/>
      <c r="P184" s="3"/>
      <c r="Q184" s="3"/>
      <c r="R184" s="4"/>
      <c r="S184" s="10"/>
      <c r="T184" s="3"/>
      <c r="U184"/>
      <c r="V184"/>
      <c r="W184"/>
      <c r="X184" s="4"/>
      <c r="Y184"/>
      <c r="Z184"/>
      <c r="AA184"/>
      <c r="AB184"/>
      <c r="AC184"/>
      <c r="AD184"/>
      <c r="AE184"/>
      <c r="AF184"/>
      <c r="AG184" s="3"/>
      <c r="AH184"/>
      <c r="AI184"/>
      <c r="AJ184"/>
      <c r="AK184"/>
      <c r="AL184"/>
      <c r="AM184"/>
      <c r="AN184"/>
      <c r="AO184"/>
      <c r="AP184"/>
    </row>
    <row r="185" spans="1:42" s="7" customFormat="1" ht="15" hidden="1" customHeight="1">
      <c r="A185"/>
      <c r="B185"/>
      <c r="H185"/>
      <c r="J185" s="3"/>
      <c r="M185" s="4"/>
      <c r="P185" s="8"/>
      <c r="Q185" s="3"/>
      <c r="R185" s="4"/>
      <c r="S185" s="10"/>
      <c r="Y185"/>
      <c r="AB185"/>
      <c r="AF185"/>
      <c r="AG185" s="3"/>
      <c r="AI185"/>
      <c r="AK185"/>
      <c r="AL185"/>
      <c r="AM185"/>
      <c r="AN185"/>
      <c r="AO185"/>
      <c r="AP185"/>
    </row>
    <row r="186" spans="1:42" s="7" customFormat="1" ht="15" hidden="1" customHeight="1">
      <c r="A186"/>
      <c r="B186"/>
      <c r="E186"/>
      <c r="H186"/>
      <c r="J186" s="3"/>
      <c r="M186" s="4"/>
      <c r="P186" s="8"/>
      <c r="Q186" s="3"/>
      <c r="R186" s="4"/>
      <c r="S186" s="10"/>
      <c r="Y186"/>
      <c r="AB186"/>
      <c r="AF186"/>
      <c r="AG186" s="3"/>
      <c r="AK186"/>
      <c r="AL186"/>
      <c r="AM186"/>
      <c r="AN186"/>
      <c r="AO186"/>
      <c r="AP186"/>
    </row>
    <row r="187" spans="1:42" s="7" customFormat="1" ht="15" hidden="1" customHeight="1">
      <c r="A187"/>
      <c r="B187"/>
      <c r="C187" s="3"/>
      <c r="D187"/>
      <c r="E187" s="3"/>
      <c r="F187" s="3"/>
      <c r="G187"/>
      <c r="H187"/>
      <c r="I187" s="3"/>
      <c r="J187" s="3"/>
      <c r="K187" s="3"/>
      <c r="L187" s="4"/>
      <c r="M187" s="4"/>
      <c r="N187" s="4"/>
      <c r="O187" s="4"/>
      <c r="P187" s="3"/>
      <c r="Q187" s="3"/>
      <c r="R187" s="4"/>
      <c r="S187" s="10"/>
      <c r="T187" s="3"/>
      <c r="U187" s="3"/>
      <c r="V187" s="3"/>
      <c r="W187" s="3"/>
      <c r="X187" s="4"/>
      <c r="Y187"/>
      <c r="Z187"/>
      <c r="AA187"/>
      <c r="AB187"/>
      <c r="AC187"/>
      <c r="AD187"/>
      <c r="AE187"/>
      <c r="AF187"/>
      <c r="AG187" s="3"/>
      <c r="AH187"/>
      <c r="AI187"/>
      <c r="AJ187"/>
      <c r="AK187"/>
      <c r="AL187"/>
      <c r="AM187"/>
      <c r="AN187"/>
      <c r="AO187"/>
      <c r="AP187"/>
    </row>
    <row r="188" spans="1:42" s="7" customFormat="1" ht="15" hidden="1" customHeight="1">
      <c r="A188"/>
      <c r="B188"/>
      <c r="C188" s="3"/>
      <c r="D188"/>
      <c r="E188" s="3"/>
      <c r="F188" s="3"/>
      <c r="G188"/>
      <c r="H188"/>
      <c r="I188" s="3"/>
      <c r="J188" s="3"/>
      <c r="K188" s="3"/>
      <c r="L188" s="4"/>
      <c r="M188" s="4"/>
      <c r="N188" s="4"/>
      <c r="O188" s="4"/>
      <c r="P188" s="3"/>
      <c r="Q188" s="3"/>
      <c r="R188" s="4"/>
      <c r="S188" s="10"/>
      <c r="T188" s="3"/>
      <c r="U188" s="3"/>
      <c r="V188" s="3"/>
      <c r="W188" s="3"/>
      <c r="X188" s="4"/>
      <c r="Y188"/>
      <c r="Z188"/>
      <c r="AA188"/>
      <c r="AB188"/>
      <c r="AC188"/>
      <c r="AD188"/>
      <c r="AE188"/>
      <c r="AF188"/>
      <c r="AG188" s="3"/>
      <c r="AH188"/>
      <c r="AI188"/>
      <c r="AJ188"/>
      <c r="AK188"/>
      <c r="AL188"/>
      <c r="AM188"/>
      <c r="AN188"/>
      <c r="AO188"/>
      <c r="AP188"/>
    </row>
    <row r="189" spans="1:42" s="7" customFormat="1" ht="15" hidden="1" customHeight="1">
      <c r="A189"/>
      <c r="B189"/>
      <c r="C189" s="3"/>
      <c r="D189" s="3"/>
      <c r="E189" s="3"/>
      <c r="F189" s="3"/>
      <c r="G189"/>
      <c r="H189" s="3"/>
      <c r="I189" s="3"/>
      <c r="J189" s="3"/>
      <c r="K189" s="3"/>
      <c r="L189" s="4"/>
      <c r="M189" s="4"/>
      <c r="N189" s="3"/>
      <c r="O189" s="3"/>
      <c r="P189" s="3"/>
      <c r="Q189" s="3"/>
      <c r="R189" s="4"/>
      <c r="S189" s="10"/>
      <c r="T189" s="3"/>
      <c r="U189"/>
      <c r="V189"/>
      <c r="W189"/>
      <c r="X189" s="4"/>
      <c r="Y189"/>
      <c r="Z189"/>
      <c r="AA189"/>
      <c r="AB189"/>
      <c r="AC189" s="3"/>
      <c r="AD189"/>
      <c r="AE189"/>
      <c r="AF189"/>
      <c r="AG189" s="3"/>
      <c r="AH189"/>
      <c r="AI189"/>
      <c r="AJ189"/>
      <c r="AK189"/>
      <c r="AL189"/>
      <c r="AM189"/>
      <c r="AN189"/>
      <c r="AO189"/>
      <c r="AP189"/>
    </row>
    <row r="190" spans="1:42" s="7" customFormat="1" ht="15" hidden="1" customHeight="1">
      <c r="A190"/>
      <c r="B190"/>
      <c r="C190" s="3"/>
      <c r="D190" s="3"/>
      <c r="E190" s="3"/>
      <c r="F190"/>
      <c r="G190" s="3"/>
      <c r="H190" s="3"/>
      <c r="I190" s="3"/>
      <c r="J190" s="3"/>
      <c r="K190" s="3"/>
      <c r="L190" s="3"/>
      <c r="M190" s="4"/>
      <c r="N190" s="3"/>
      <c r="O190" s="3"/>
      <c r="P190" s="3"/>
      <c r="Q190" s="3"/>
      <c r="R190" s="13"/>
      <c r="S190" s="10"/>
      <c r="T190" s="3"/>
      <c r="U190" s="3"/>
      <c r="V190" s="3"/>
      <c r="W190" s="3"/>
      <c r="X190" s="3"/>
      <c r="Y190"/>
      <c r="Z190"/>
      <c r="AA190"/>
      <c r="AB190" s="3"/>
      <c r="AC190" s="3"/>
      <c r="AD190" s="3"/>
      <c r="AE190" s="3"/>
      <c r="AF190"/>
      <c r="AG190" s="3"/>
      <c r="AH190"/>
      <c r="AI190" s="3"/>
      <c r="AJ190"/>
      <c r="AK190"/>
      <c r="AL190"/>
      <c r="AM190"/>
      <c r="AN190"/>
      <c r="AO190"/>
      <c r="AP190"/>
    </row>
    <row r="191" spans="1:42" s="7" customFormat="1" ht="15" hidden="1" customHeight="1">
      <c r="A191"/>
      <c r="B191"/>
      <c r="C191" s="3"/>
      <c r="D191" s="3"/>
      <c r="E191" s="3"/>
      <c r="F191"/>
      <c r="G191" s="3"/>
      <c r="H191" s="3"/>
      <c r="I191" s="3"/>
      <c r="J191" s="3"/>
      <c r="K191" s="3"/>
      <c r="L191" s="3"/>
      <c r="M191" s="4"/>
      <c r="N191" s="3"/>
      <c r="O191" s="3"/>
      <c r="P191" s="3"/>
      <c r="Q191" s="3"/>
      <c r="R191" s="4"/>
      <c r="S191" s="10"/>
      <c r="T191" s="3"/>
      <c r="U191"/>
      <c r="V191"/>
      <c r="W191"/>
      <c r="X191" s="4"/>
      <c r="Y191"/>
      <c r="Z191"/>
      <c r="AA191"/>
      <c r="AB191" s="3"/>
      <c r="AC191" s="3"/>
      <c r="AD191" s="3"/>
      <c r="AE191" s="3"/>
      <c r="AF191"/>
      <c r="AG191" s="3"/>
      <c r="AH191"/>
      <c r="AI191" s="3"/>
      <c r="AJ191"/>
      <c r="AK191"/>
      <c r="AL191"/>
      <c r="AM191"/>
      <c r="AN191"/>
      <c r="AO191"/>
      <c r="AP191"/>
    </row>
    <row r="192" spans="1:42" s="7" customFormat="1" ht="15" hidden="1" customHeight="1">
      <c r="A192"/>
      <c r="B192"/>
      <c r="C192" s="3"/>
      <c r="D192"/>
      <c r="E192" s="3"/>
      <c r="F192" s="3"/>
      <c r="G192" s="3"/>
      <c r="H192" s="3"/>
      <c r="I192" s="3"/>
      <c r="J192" s="3"/>
      <c r="K192" s="3"/>
      <c r="L192" s="3"/>
      <c r="M192" s="4"/>
      <c r="N192" s="3"/>
      <c r="O192"/>
      <c r="P192" s="3"/>
      <c r="Q192" s="3"/>
      <c r="R192" s="4"/>
      <c r="S192" s="10"/>
      <c r="T192" s="3"/>
      <c r="U192"/>
      <c r="V192"/>
      <c r="W192"/>
      <c r="X192" s="4"/>
      <c r="Y192"/>
      <c r="Z192"/>
      <c r="AA192"/>
      <c r="AB192" s="3"/>
      <c r="AC192" s="3"/>
      <c r="AD192" s="3"/>
      <c r="AE192" s="3"/>
      <c r="AF192"/>
      <c r="AG192" s="3"/>
      <c r="AH192"/>
      <c r="AI192"/>
      <c r="AJ192"/>
      <c r="AK192"/>
      <c r="AL192"/>
      <c r="AM192"/>
      <c r="AN192"/>
      <c r="AO192"/>
      <c r="AP192"/>
    </row>
    <row r="193" spans="1:42" s="7" customFormat="1" ht="15" hidden="1" customHeight="1">
      <c r="A193"/>
      <c r="B19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4"/>
      <c r="N193" s="3"/>
      <c r="O193" s="3"/>
      <c r="P193" s="3"/>
      <c r="Q193" s="3"/>
      <c r="R193" s="4"/>
      <c r="S193" s="10"/>
      <c r="T193" s="3"/>
      <c r="U193" s="3"/>
      <c r="V193" s="3"/>
      <c r="W193" s="3"/>
      <c r="X193" s="3"/>
      <c r="Y193"/>
      <c r="Z193"/>
      <c r="AA193"/>
      <c r="AB193" s="3"/>
      <c r="AC193" s="3"/>
      <c r="AD193" s="3"/>
      <c r="AE193" s="3"/>
      <c r="AF193"/>
      <c r="AG193" s="3"/>
      <c r="AH193"/>
      <c r="AI193" s="3"/>
      <c r="AJ193"/>
      <c r="AK193"/>
      <c r="AL193"/>
      <c r="AM193"/>
      <c r="AN193"/>
      <c r="AO193"/>
      <c r="AP193"/>
    </row>
    <row r="194" spans="1:42" ht="14.25" hidden="1" customHeight="1">
      <c r="F194"/>
      <c r="M194" s="4"/>
      <c r="R194" s="4"/>
      <c r="Y194"/>
      <c r="Z194"/>
      <c r="AA194"/>
      <c r="AF194"/>
      <c r="AG194" s="3"/>
    </row>
    <row r="195" spans="1:42" ht="14.25" hidden="1" customHeight="1">
      <c r="F195"/>
      <c r="M195" s="4"/>
      <c r="Y195"/>
      <c r="Z195"/>
      <c r="AA195"/>
      <c r="AF195"/>
      <c r="AG195" s="3"/>
    </row>
    <row r="196" spans="1:42" s="7" customFormat="1" ht="15" hidden="1" customHeight="1">
      <c r="A196"/>
      <c r="B196"/>
      <c r="C196" s="3"/>
      <c r="D196"/>
      <c r="E196" s="3"/>
      <c r="F196" s="3"/>
      <c r="G196" s="3"/>
      <c r="H196" s="3"/>
      <c r="I196" s="3"/>
      <c r="J196" s="3"/>
      <c r="K196" s="3"/>
      <c r="L196" s="3"/>
      <c r="M196" s="4"/>
      <c r="N196" s="3"/>
      <c r="O196"/>
      <c r="P196" s="3"/>
      <c r="Q196" s="3"/>
      <c r="R196" s="4"/>
      <c r="S196" s="10"/>
      <c r="T196" s="3"/>
      <c r="U196"/>
      <c r="V196"/>
      <c r="W196"/>
      <c r="X196" s="4"/>
      <c r="Y196"/>
      <c r="Z196"/>
      <c r="AA196"/>
      <c r="AB196" s="3"/>
      <c r="AC196" s="3"/>
      <c r="AD196" s="3"/>
      <c r="AE196" s="3"/>
      <c r="AF196"/>
      <c r="AG196" s="3"/>
      <c r="AH196"/>
      <c r="AI196"/>
      <c r="AJ196"/>
      <c r="AK196"/>
      <c r="AN196" s="8"/>
    </row>
    <row r="197" spans="1:42" s="7" customFormat="1" ht="15" hidden="1" customHeight="1">
      <c r="A197"/>
      <c r="B197"/>
      <c r="C197" s="3"/>
      <c r="D197" s="3"/>
      <c r="E197" s="3"/>
      <c r="F197" s="3"/>
      <c r="G197"/>
      <c r="H197" s="3"/>
      <c r="I197" s="3"/>
      <c r="J197" s="3"/>
      <c r="K197" s="3"/>
      <c r="L197" s="4"/>
      <c r="M197" s="4"/>
      <c r="N197" s="3"/>
      <c r="O197" s="3"/>
      <c r="P197" s="3"/>
      <c r="Q197" s="3"/>
      <c r="R197" s="4"/>
      <c r="S197" s="10"/>
      <c r="T197" s="3"/>
      <c r="U197"/>
      <c r="V197"/>
      <c r="W197"/>
      <c r="X197" s="4"/>
      <c r="Y197"/>
      <c r="Z197"/>
      <c r="AA197"/>
      <c r="AB197"/>
      <c r="AC197" s="3"/>
      <c r="AD197"/>
      <c r="AE197"/>
      <c r="AF197"/>
      <c r="AG197" s="3"/>
      <c r="AH197"/>
      <c r="AI197"/>
      <c r="AJ197"/>
      <c r="AK197"/>
      <c r="AN197" s="8"/>
    </row>
    <row r="198" spans="1:42" s="7" customFormat="1" ht="15" hidden="1" customHeight="1">
      <c r="A198"/>
      <c r="B198"/>
      <c r="C198" s="3"/>
      <c r="D198" s="3"/>
      <c r="E198" s="3"/>
      <c r="F198"/>
      <c r="G198" s="3"/>
      <c r="H198" s="3"/>
      <c r="I198" s="3"/>
      <c r="J198" s="3"/>
      <c r="K198" s="3"/>
      <c r="L198" s="4"/>
      <c r="M198" s="4"/>
      <c r="N198" s="3"/>
      <c r="O198" s="3"/>
      <c r="P198" s="3"/>
      <c r="Q198" s="3"/>
      <c r="R198" s="13"/>
      <c r="S198" s="10"/>
      <c r="T198" s="3"/>
      <c r="U198" s="3"/>
      <c r="V198" s="3"/>
      <c r="W198" s="3"/>
      <c r="X198" s="3"/>
      <c r="Y198"/>
      <c r="Z198"/>
      <c r="AA198"/>
      <c r="AB198" s="3"/>
      <c r="AC198" s="3"/>
      <c r="AD198" s="3"/>
      <c r="AE198" s="3"/>
      <c r="AF198"/>
      <c r="AG198" s="3"/>
      <c r="AH198"/>
      <c r="AI198"/>
      <c r="AJ198"/>
      <c r="AK198"/>
      <c r="AN198" s="8"/>
    </row>
    <row r="199" spans="1:42" s="7" customFormat="1" ht="15" hidden="1" customHeight="1">
      <c r="A199"/>
      <c r="B199"/>
      <c r="H199"/>
      <c r="P199" s="8"/>
      <c r="Q199" s="3"/>
      <c r="R199" s="4"/>
      <c r="S199" s="10"/>
      <c r="Y199"/>
      <c r="AF199"/>
      <c r="AG199" s="3"/>
      <c r="AI199"/>
      <c r="AK199"/>
      <c r="AN199" s="8"/>
    </row>
    <row r="200" spans="1:42" s="7" customFormat="1" ht="15" hidden="1" customHeight="1">
      <c r="A200"/>
      <c r="B200"/>
      <c r="H200"/>
      <c r="P200" s="8"/>
      <c r="Q200" s="3"/>
      <c r="R200" s="4"/>
      <c r="S200" s="10"/>
      <c r="Y200"/>
      <c r="AF200"/>
      <c r="AG200" s="3"/>
      <c r="AI200"/>
      <c r="AK200"/>
      <c r="AN200" s="8"/>
    </row>
    <row r="201" spans="1:42" hidden="1">
      <c r="C201" s="7"/>
      <c r="D201" s="7"/>
      <c r="E201" s="7"/>
      <c r="F201" s="7"/>
      <c r="G201" s="7"/>
      <c r="H201"/>
      <c r="I201" s="7"/>
      <c r="J201" s="7"/>
      <c r="K201" s="7"/>
      <c r="L201" s="7"/>
      <c r="M201" s="7"/>
      <c r="N201" s="7"/>
      <c r="O201" s="7"/>
      <c r="P201" s="8"/>
      <c r="R201" s="4"/>
      <c r="T201" s="7"/>
      <c r="U201" s="7"/>
      <c r="V201" s="7"/>
      <c r="W201" s="7"/>
      <c r="X201" s="7"/>
      <c r="Y201"/>
      <c r="Z201" s="7"/>
      <c r="AA201" s="7"/>
      <c r="AB201" s="7"/>
      <c r="AC201" s="7"/>
      <c r="AD201" s="7"/>
      <c r="AE201" s="7"/>
      <c r="AF201"/>
      <c r="AG201" s="3"/>
      <c r="AH201" s="7"/>
      <c r="AI201"/>
      <c r="AJ201" s="7"/>
      <c r="AL201" s="7"/>
      <c r="AM201" s="7"/>
      <c r="AN201" s="8"/>
      <c r="AO201" s="7"/>
      <c r="AP201" s="7"/>
    </row>
    <row r="202" spans="1:42" hidden="1">
      <c r="D202" s="7"/>
      <c r="E202" s="7"/>
      <c r="F202" s="7"/>
      <c r="G202" s="7"/>
      <c r="H202"/>
      <c r="I202" s="7"/>
      <c r="J202" s="7"/>
      <c r="K202" s="7"/>
      <c r="L202" s="7"/>
      <c r="M202" s="7"/>
      <c r="N202" s="7"/>
      <c r="O202" s="7"/>
      <c r="P202" s="7"/>
      <c r="R202" s="4"/>
      <c r="T202" s="7"/>
      <c r="U202" s="7"/>
      <c r="V202" s="7"/>
      <c r="W202" s="7"/>
      <c r="X202" s="7"/>
      <c r="Y202"/>
      <c r="Z202" s="7"/>
      <c r="AA202" s="7"/>
      <c r="AB202" s="7"/>
      <c r="AC202" s="7"/>
      <c r="AD202" s="7"/>
      <c r="AE202" s="7"/>
      <c r="AF202"/>
      <c r="AG202" s="3"/>
      <c r="AH202" s="7"/>
      <c r="AI202" s="7"/>
      <c r="AJ202" s="7"/>
      <c r="AL202" s="7"/>
      <c r="AM202" s="7"/>
      <c r="AN202" s="8"/>
      <c r="AO202" s="7"/>
      <c r="AP202" s="7"/>
    </row>
    <row r="203" spans="1:42" hidden="1">
      <c r="C203" s="7"/>
      <c r="D203" s="7"/>
      <c r="E203" s="7"/>
      <c r="F203" s="7"/>
      <c r="G203" s="7"/>
      <c r="H203"/>
      <c r="I203" s="7"/>
      <c r="J203" s="7"/>
      <c r="K203" s="7"/>
      <c r="L203" s="7"/>
      <c r="M203" s="7"/>
      <c r="N203" s="7"/>
      <c r="O203" s="7"/>
      <c r="P203" s="8"/>
      <c r="R203" s="4"/>
      <c r="T203" s="7"/>
      <c r="U203" s="7"/>
      <c r="V203" s="7"/>
      <c r="W203" s="7"/>
      <c r="X203" s="7"/>
      <c r="Y203"/>
      <c r="Z203" s="7"/>
      <c r="AA203" s="7"/>
      <c r="AB203" s="7"/>
      <c r="AC203" s="7"/>
      <c r="AD203" s="7"/>
      <c r="AE203" s="7"/>
      <c r="AF203"/>
      <c r="AG203" s="3"/>
      <c r="AH203" s="7"/>
      <c r="AI203"/>
      <c r="AJ203" s="7"/>
      <c r="AL203" s="7"/>
      <c r="AM203" s="7"/>
      <c r="AN203" s="8"/>
      <c r="AO203" s="7"/>
      <c r="AP203" s="7"/>
    </row>
    <row r="204" spans="1:42" ht="14.25" hidden="1" customHeight="1">
      <c r="C204" s="7"/>
      <c r="D204" s="7"/>
      <c r="E204" s="7"/>
      <c r="F204" s="7"/>
      <c r="G204" s="7"/>
      <c r="H204"/>
      <c r="I204" s="7"/>
      <c r="J204" s="7"/>
      <c r="K204" s="7"/>
      <c r="L204" s="7"/>
      <c r="M204" s="7"/>
      <c r="N204" s="7"/>
      <c r="O204" s="7"/>
      <c r="P204" s="8"/>
      <c r="R204" s="4"/>
      <c r="T204" s="7"/>
      <c r="U204" s="7"/>
      <c r="V204" s="7"/>
      <c r="W204" s="7"/>
      <c r="X204" s="7"/>
      <c r="Y204"/>
      <c r="Z204" s="7"/>
      <c r="AA204" s="7"/>
      <c r="AB204" s="7"/>
      <c r="AC204" s="7"/>
      <c r="AD204" s="7"/>
      <c r="AE204" s="7"/>
      <c r="AF204"/>
      <c r="AG204" s="3"/>
      <c r="AH204" s="7"/>
      <c r="AI204" s="7"/>
      <c r="AJ204" s="7"/>
    </row>
    <row r="205" spans="1:42" ht="14.25" hidden="1" customHeight="1">
      <c r="C205" s="7"/>
      <c r="D205" s="7"/>
      <c r="E205" s="7"/>
      <c r="F205" s="7"/>
      <c r="G205" s="7"/>
      <c r="H205"/>
      <c r="I205" s="7"/>
      <c r="J205" s="7"/>
      <c r="K205" s="7"/>
      <c r="L205" s="7"/>
      <c r="M205" s="7"/>
      <c r="N205" s="7"/>
      <c r="O205" s="7"/>
      <c r="P205" s="8"/>
      <c r="R205" s="4"/>
      <c r="T205" s="7"/>
      <c r="U205" s="7"/>
      <c r="V205" s="7"/>
      <c r="W205" s="7"/>
      <c r="X205" s="7"/>
      <c r="Y205"/>
      <c r="Z205" s="7"/>
      <c r="AA205" s="7"/>
      <c r="AB205" s="7"/>
      <c r="AC205" s="7"/>
      <c r="AD205" s="7"/>
      <c r="AE205" s="7"/>
      <c r="AF205"/>
      <c r="AG205" s="3"/>
      <c r="AH205" s="7"/>
      <c r="AI205"/>
      <c r="AJ205" s="7"/>
    </row>
    <row r="206" spans="1:42" ht="14.25" hidden="1" customHeight="1">
      <c r="C206" s="7"/>
      <c r="D206" s="7"/>
      <c r="E206" s="8"/>
      <c r="F206" s="7"/>
      <c r="G206" s="7"/>
      <c r="H206"/>
      <c r="I206" s="7"/>
      <c r="J206" s="7"/>
      <c r="K206" s="7"/>
      <c r="L206" s="7"/>
      <c r="M206" s="7"/>
      <c r="N206" s="7"/>
      <c r="O206" s="7"/>
      <c r="P206" s="8"/>
      <c r="R206" s="4"/>
      <c r="T206" s="7"/>
      <c r="U206" s="7"/>
      <c r="V206" s="7"/>
      <c r="W206" s="7"/>
      <c r="X206" s="7"/>
      <c r="Y206"/>
      <c r="Z206" s="7"/>
      <c r="AA206" s="7"/>
      <c r="AB206" s="7"/>
      <c r="AC206" s="7"/>
      <c r="AD206" s="7"/>
      <c r="AE206" s="7"/>
      <c r="AF206"/>
      <c r="AG206" s="3"/>
      <c r="AH206" s="7"/>
      <c r="AI206" s="7"/>
      <c r="AJ206" s="7"/>
    </row>
    <row r="207" spans="1:42" ht="14.25" hidden="1" customHeight="1">
      <c r="C207" s="7"/>
      <c r="D207" s="7"/>
      <c r="E207" s="7"/>
      <c r="F207" s="7"/>
      <c r="G207" s="7"/>
      <c r="H207"/>
      <c r="I207" s="7"/>
      <c r="J207" s="7"/>
      <c r="K207" s="7"/>
      <c r="L207" s="7"/>
      <c r="M207" s="7"/>
      <c r="N207" s="7"/>
      <c r="O207" s="7"/>
      <c r="P207" s="8"/>
      <c r="R207" s="4"/>
      <c r="T207" s="7"/>
      <c r="U207" s="7"/>
      <c r="V207" s="7"/>
      <c r="W207" s="7"/>
      <c r="X207" s="7"/>
      <c r="Y207"/>
      <c r="Z207" s="7"/>
      <c r="AA207" s="7"/>
      <c r="AB207" s="7"/>
      <c r="AC207" s="7"/>
      <c r="AD207" s="7"/>
      <c r="AE207" s="7"/>
      <c r="AF207"/>
      <c r="AG207" s="3"/>
      <c r="AH207" s="7"/>
      <c r="AI207" s="7"/>
      <c r="AJ207" s="7"/>
    </row>
    <row r="208" spans="1:42" ht="14.25" hidden="1" customHeight="1">
      <c r="C208" s="7"/>
      <c r="D208" s="7"/>
      <c r="E208" s="7"/>
      <c r="F208" s="7"/>
      <c r="G208" s="7"/>
      <c r="H208"/>
      <c r="I208" s="7"/>
      <c r="J208" s="7"/>
      <c r="K208" s="7"/>
      <c r="L208" s="7"/>
      <c r="M208" s="7"/>
      <c r="N208" s="7"/>
      <c r="O208" s="7"/>
      <c r="P208" s="8"/>
      <c r="R208" s="4"/>
      <c r="T208" s="7"/>
      <c r="U208" s="7"/>
      <c r="V208" s="7"/>
      <c r="W208" s="7"/>
      <c r="X208" s="7"/>
      <c r="Y208"/>
      <c r="Z208" s="7"/>
      <c r="AA208" s="7"/>
      <c r="AB208" s="7"/>
      <c r="AC208" s="7"/>
      <c r="AD208" s="7"/>
      <c r="AE208" s="7"/>
      <c r="AF208"/>
      <c r="AG208" s="3"/>
      <c r="AH208" s="7"/>
      <c r="AI208"/>
      <c r="AJ208" s="7"/>
    </row>
    <row r="209" spans="3:36" ht="14.25" hidden="1" customHeight="1">
      <c r="C209" s="7"/>
      <c r="D209" s="7"/>
      <c r="E209" s="7"/>
      <c r="F209" s="7"/>
      <c r="G209" s="7"/>
      <c r="H209"/>
      <c r="I209" s="7"/>
      <c r="J209" s="7"/>
      <c r="K209" s="7"/>
      <c r="L209" s="7"/>
      <c r="M209" s="7"/>
      <c r="N209" s="7"/>
      <c r="O209" s="7"/>
      <c r="P209" s="8"/>
      <c r="R209" s="4"/>
      <c r="T209" s="7"/>
      <c r="U209" s="7"/>
      <c r="V209" s="7"/>
      <c r="W209" s="7"/>
      <c r="X209" s="7"/>
      <c r="Y209"/>
      <c r="Z209" s="7"/>
      <c r="AA209" s="7"/>
      <c r="AB209" s="7"/>
      <c r="AC209" s="7"/>
      <c r="AD209" s="7"/>
      <c r="AE209" s="7"/>
      <c r="AF209"/>
      <c r="AG209" s="3"/>
      <c r="AH209" s="7"/>
      <c r="AI209"/>
      <c r="AJ209" s="7"/>
    </row>
    <row r="210" spans="3:36" ht="14.25" hidden="1" customHeight="1">
      <c r="C210" s="7"/>
      <c r="D210" s="7"/>
      <c r="E210" s="7"/>
      <c r="F210" s="7"/>
      <c r="G210" s="7"/>
      <c r="H210"/>
      <c r="I210" s="7"/>
      <c r="J210" s="7"/>
      <c r="K210" s="7"/>
      <c r="L210" s="7"/>
      <c r="M210" s="7"/>
      <c r="N210" s="7"/>
      <c r="O210" s="7"/>
      <c r="P210" s="8"/>
      <c r="R210" s="4"/>
      <c r="T210" s="7"/>
      <c r="U210" s="7"/>
      <c r="V210" s="7"/>
      <c r="W210" s="7"/>
      <c r="X210" s="7"/>
      <c r="Y210"/>
      <c r="Z210" s="7"/>
      <c r="AA210" s="7"/>
      <c r="AB210" s="7"/>
      <c r="AC210" s="7"/>
      <c r="AD210" s="7"/>
      <c r="AE210" s="7"/>
      <c r="AF210"/>
      <c r="AG210" s="3"/>
      <c r="AH210" s="7"/>
      <c r="AI210"/>
      <c r="AJ210" s="7"/>
    </row>
    <row r="211" spans="3:36" hidden="1">
      <c r="C211" s="7"/>
      <c r="D211" s="7"/>
      <c r="E211" s="7"/>
      <c r="F211" s="7"/>
      <c r="G211" s="7"/>
      <c r="H211"/>
      <c r="I211" s="7"/>
      <c r="J211" s="7"/>
      <c r="K211" s="7"/>
      <c r="L211" s="7"/>
      <c r="M211" s="7"/>
      <c r="N211" s="7"/>
      <c r="O211" s="7"/>
      <c r="P211" s="8"/>
      <c r="R211" s="4"/>
      <c r="T211" s="7"/>
      <c r="U211" s="7"/>
      <c r="V211" s="7"/>
      <c r="W211" s="7"/>
      <c r="X211" s="7"/>
      <c r="Y211"/>
      <c r="Z211" s="7"/>
      <c r="AA211" s="7"/>
      <c r="AB211" s="7"/>
      <c r="AC211" s="7"/>
      <c r="AD211" s="7"/>
      <c r="AE211" s="7"/>
      <c r="AF211"/>
      <c r="AG211" s="3"/>
      <c r="AH211" s="7"/>
      <c r="AI211" s="7"/>
      <c r="AJ211" s="7"/>
    </row>
    <row r="212" spans="3:36" ht="14.25" hidden="1" customHeight="1">
      <c r="C212" s="7"/>
      <c r="D212" s="7"/>
      <c r="E212" s="7"/>
      <c r="F212" s="7"/>
      <c r="G212" s="7"/>
      <c r="H212"/>
      <c r="I212" s="7"/>
      <c r="J212" s="7"/>
      <c r="K212" s="7"/>
      <c r="L212" s="7"/>
      <c r="M212" s="7"/>
      <c r="N212" s="7"/>
      <c r="O212" s="7"/>
      <c r="P212" s="8"/>
      <c r="R212" s="4"/>
      <c r="T212" s="7"/>
      <c r="U212" s="7"/>
      <c r="V212" s="7"/>
      <c r="W212" s="7"/>
      <c r="X212" s="7"/>
      <c r="Y212"/>
      <c r="Z212" s="7"/>
      <c r="AA212" s="7"/>
      <c r="AB212" s="7"/>
      <c r="AC212" s="7"/>
      <c r="AD212" s="7"/>
      <c r="AE212" s="7"/>
      <c r="AF212"/>
      <c r="AG212" s="3"/>
      <c r="AH212" s="7"/>
      <c r="AI212" s="7"/>
      <c r="AJ212" s="7"/>
    </row>
    <row r="213" spans="3:36" ht="14.25" hidden="1" customHeight="1">
      <c r="C213" s="7"/>
      <c r="D213" s="7"/>
      <c r="E213" s="7"/>
      <c r="F213" s="7"/>
      <c r="G213" s="7"/>
      <c r="H213"/>
      <c r="I213" s="7"/>
      <c r="J213" s="7"/>
      <c r="K213" s="7"/>
      <c r="L213" s="7"/>
      <c r="M213" s="7"/>
      <c r="N213" s="7"/>
      <c r="O213" s="7"/>
      <c r="P213" s="8"/>
      <c r="R213" s="4"/>
      <c r="T213" s="7"/>
      <c r="U213" s="7"/>
      <c r="V213" s="7"/>
      <c r="W213" s="7"/>
      <c r="X213" s="7"/>
      <c r="Y213"/>
      <c r="Z213" s="7"/>
      <c r="AA213" s="7"/>
      <c r="AB213" s="7"/>
      <c r="AC213" s="7"/>
      <c r="AD213" s="7"/>
      <c r="AE213" s="7"/>
      <c r="AF213"/>
      <c r="AG213" s="3"/>
      <c r="AH213" s="7"/>
      <c r="AI213" s="7"/>
      <c r="AJ213" s="7"/>
    </row>
    <row r="214" spans="3:36" ht="14.25" hidden="1" customHeight="1">
      <c r="C214" s="7"/>
      <c r="D214" s="7"/>
      <c r="E214" s="7"/>
      <c r="F214" s="7"/>
      <c r="G214" s="7"/>
      <c r="H214"/>
      <c r="I214" s="7"/>
      <c r="J214" s="7"/>
      <c r="K214" s="7"/>
      <c r="L214" s="7"/>
      <c r="M214" s="7"/>
      <c r="N214" s="7"/>
      <c r="O214" s="7"/>
      <c r="P214" s="8"/>
      <c r="R214" s="4"/>
      <c r="T214" s="7"/>
      <c r="U214" s="7"/>
      <c r="V214" s="7"/>
      <c r="W214" s="7"/>
      <c r="X214" s="7"/>
      <c r="Y214"/>
      <c r="Z214" s="7"/>
      <c r="AA214" s="7"/>
      <c r="AB214" s="7"/>
      <c r="AC214" s="7"/>
      <c r="AD214" s="7"/>
      <c r="AE214" s="7"/>
      <c r="AF214"/>
      <c r="AG214" s="3"/>
      <c r="AH214" s="7"/>
      <c r="AI214" s="7"/>
      <c r="AJ214" s="7"/>
    </row>
    <row r="215" spans="3:36" ht="14.25" hidden="1" customHeight="1">
      <c r="C215" s="7"/>
      <c r="D215" s="7"/>
      <c r="E215" s="7"/>
      <c r="F215" s="7"/>
      <c r="G215" s="7"/>
      <c r="H215"/>
      <c r="I215" s="7"/>
      <c r="J215" s="7"/>
      <c r="K215" s="7"/>
      <c r="L215" s="7"/>
      <c r="M215" s="7"/>
      <c r="N215" s="7"/>
      <c r="O215" s="7"/>
      <c r="P215" s="8"/>
      <c r="R215" s="4"/>
      <c r="T215" s="7"/>
      <c r="U215" s="7"/>
      <c r="V215" s="7"/>
      <c r="W215" s="7"/>
      <c r="X215" s="7"/>
      <c r="Y215"/>
      <c r="Z215" s="7"/>
      <c r="AA215" s="7"/>
      <c r="AB215" s="7"/>
      <c r="AC215" s="7"/>
      <c r="AD215" s="7"/>
      <c r="AE215" s="7"/>
      <c r="AF215"/>
      <c r="AG215" s="3"/>
      <c r="AH215" s="7"/>
      <c r="AI215" s="7"/>
      <c r="AJ215" s="7"/>
    </row>
    <row r="216" spans="3:36" ht="14.25" hidden="1" customHeight="1">
      <c r="C216" s="7"/>
      <c r="D216" s="7"/>
      <c r="E216" s="7"/>
      <c r="F216" s="7"/>
      <c r="G216" s="7"/>
      <c r="H216"/>
      <c r="I216" s="7"/>
      <c r="J216" s="7"/>
      <c r="K216" s="7"/>
      <c r="L216" s="7"/>
      <c r="M216" s="7"/>
      <c r="N216" s="7"/>
      <c r="O216" s="7"/>
      <c r="P216" s="8"/>
      <c r="R216" s="4"/>
      <c r="T216" s="7"/>
      <c r="U216" s="7"/>
      <c r="V216" s="7"/>
      <c r="W216" s="7"/>
      <c r="X216" s="7"/>
      <c r="Y216"/>
      <c r="Z216" s="7"/>
      <c r="AA216" s="7"/>
      <c r="AB216" s="7"/>
      <c r="AC216" s="7"/>
      <c r="AD216" s="7"/>
      <c r="AE216" s="7"/>
      <c r="AF216"/>
      <c r="AG216" s="3"/>
      <c r="AH216" s="7"/>
      <c r="AI216" s="7"/>
      <c r="AJ216" s="7"/>
    </row>
    <row r="217" spans="3:36" ht="14.25" hidden="1" customHeight="1">
      <c r="C217" s="7"/>
      <c r="D217" s="7"/>
      <c r="E217" s="7"/>
      <c r="F217" s="7"/>
      <c r="G217" s="7"/>
      <c r="H217"/>
      <c r="I217" s="7"/>
      <c r="J217" s="7"/>
      <c r="K217" s="7"/>
      <c r="L217" s="7"/>
      <c r="M217" s="7"/>
      <c r="N217" s="7"/>
      <c r="O217" s="7"/>
      <c r="P217" s="8"/>
      <c r="R217" s="4"/>
      <c r="T217" s="7"/>
      <c r="U217" s="7"/>
      <c r="V217" s="7"/>
      <c r="W217" s="7"/>
      <c r="X217" s="7"/>
      <c r="Y217"/>
      <c r="Z217" s="7"/>
      <c r="AA217" s="7"/>
      <c r="AB217" s="7"/>
      <c r="AC217" s="7"/>
      <c r="AD217" s="7"/>
      <c r="AE217" s="7"/>
      <c r="AF217"/>
      <c r="AG217" s="3"/>
      <c r="AH217" s="7"/>
      <c r="AI217" s="7"/>
      <c r="AJ217" s="7"/>
    </row>
    <row r="218" spans="3:36" ht="14.25" hidden="1" customHeight="1">
      <c r="C218" s="7"/>
      <c r="D218" s="7"/>
      <c r="E218" s="7"/>
      <c r="F218" s="7"/>
      <c r="G218" s="7"/>
      <c r="H218"/>
      <c r="I218" s="7"/>
      <c r="J218" s="7"/>
      <c r="K218" s="7"/>
      <c r="L218" s="7"/>
      <c r="M218" s="7"/>
      <c r="N218" s="7"/>
      <c r="O218" s="7"/>
      <c r="P218" s="8"/>
      <c r="R218" s="4"/>
      <c r="T218" s="7"/>
      <c r="U218" s="7"/>
      <c r="V218" s="7"/>
      <c r="W218" s="7"/>
      <c r="X218" s="7"/>
      <c r="Y218"/>
      <c r="Z218" s="7"/>
      <c r="AA218" s="7"/>
      <c r="AB218" s="7"/>
      <c r="AC218" s="7"/>
      <c r="AD218" s="7"/>
      <c r="AE218" s="7"/>
      <c r="AF218"/>
      <c r="AG218" s="3"/>
      <c r="AH218" s="7"/>
      <c r="AI218" s="7"/>
      <c r="AJ218" s="7"/>
    </row>
    <row r="219" spans="3:36" ht="14.25" hidden="1" customHeight="1">
      <c r="C219" s="7"/>
      <c r="D219" s="7"/>
      <c r="E219" s="7"/>
      <c r="F219" s="7"/>
      <c r="G219" s="7"/>
      <c r="H219"/>
      <c r="I219" s="7"/>
      <c r="J219" s="7"/>
      <c r="K219" s="7"/>
      <c r="L219" s="7"/>
      <c r="M219" s="7"/>
      <c r="N219" s="7"/>
      <c r="O219" s="7"/>
      <c r="P219" s="8"/>
      <c r="R219" s="4"/>
      <c r="T219" s="7"/>
      <c r="U219" s="7"/>
      <c r="V219" s="7"/>
      <c r="W219" s="7"/>
      <c r="X219" s="7"/>
      <c r="Y219"/>
      <c r="Z219" s="7"/>
      <c r="AA219" s="7"/>
      <c r="AB219" s="7"/>
      <c r="AC219" s="7"/>
      <c r="AD219" s="7"/>
      <c r="AE219" s="7"/>
      <c r="AF219"/>
      <c r="AG219" s="3"/>
      <c r="AH219" s="7"/>
      <c r="AI219" s="7"/>
      <c r="AJ219" s="7"/>
    </row>
    <row r="220" spans="3:36" ht="14.25" hidden="1" customHeight="1">
      <c r="C220" s="7"/>
      <c r="D220" s="7"/>
      <c r="E220" s="7"/>
      <c r="F220" s="7"/>
      <c r="G220" s="7"/>
      <c r="H220"/>
      <c r="I220" s="7"/>
      <c r="J220" s="7"/>
      <c r="K220" s="7"/>
      <c r="L220" s="7"/>
      <c r="M220" s="7"/>
      <c r="N220" s="7"/>
      <c r="O220" s="7"/>
      <c r="P220" s="8"/>
      <c r="R220" s="4"/>
      <c r="T220" s="7"/>
      <c r="U220" s="7"/>
      <c r="V220" s="7"/>
      <c r="W220" s="7"/>
      <c r="X220" s="7"/>
      <c r="Y220"/>
      <c r="Z220" s="7"/>
      <c r="AA220" s="7"/>
      <c r="AB220" s="7"/>
      <c r="AC220" s="7"/>
      <c r="AD220" s="7"/>
      <c r="AE220" s="7"/>
      <c r="AF220"/>
      <c r="AG220" s="3"/>
      <c r="AH220" s="7"/>
      <c r="AI220"/>
      <c r="AJ220" s="7"/>
    </row>
    <row r="221" spans="3:36" ht="14.25" hidden="1" customHeight="1">
      <c r="C221" s="7"/>
      <c r="D221" s="7"/>
      <c r="E221" s="7"/>
      <c r="F221" s="7"/>
      <c r="G221" s="7"/>
      <c r="H221"/>
      <c r="I221" s="7"/>
      <c r="J221" s="7"/>
      <c r="K221" s="7"/>
      <c r="L221" s="7"/>
      <c r="M221" s="7"/>
      <c r="N221" s="7"/>
      <c r="O221" s="7"/>
      <c r="P221" s="8"/>
      <c r="R221" s="4"/>
      <c r="T221" s="7"/>
      <c r="U221" s="7"/>
      <c r="V221" s="7"/>
      <c r="W221" s="7"/>
      <c r="X221" s="7"/>
      <c r="Y221"/>
      <c r="Z221" s="7"/>
      <c r="AA221" s="7"/>
      <c r="AB221" s="7"/>
      <c r="AC221" s="7"/>
      <c r="AD221" s="7"/>
      <c r="AE221" s="7"/>
      <c r="AF221"/>
      <c r="AG221" s="3"/>
      <c r="AH221" s="7"/>
      <c r="AI221" s="7"/>
      <c r="AJ221" s="7"/>
    </row>
    <row r="222" spans="3:36" ht="14.25" hidden="1" customHeight="1">
      <c r="C222" s="7"/>
      <c r="D222" s="7"/>
      <c r="E222" s="7"/>
      <c r="F222" s="7"/>
      <c r="G222" s="7"/>
      <c r="H222"/>
      <c r="I222" s="7"/>
      <c r="J222" s="7"/>
      <c r="K222" s="7"/>
      <c r="L222" s="7"/>
      <c r="M222" s="7"/>
      <c r="N222" s="7"/>
      <c r="O222" s="7"/>
      <c r="P222" s="8"/>
      <c r="R222" s="4"/>
      <c r="T222" s="7"/>
      <c r="U222" s="7"/>
      <c r="V222" s="7"/>
      <c r="W222" s="7"/>
      <c r="X222" s="7"/>
      <c r="Y222"/>
      <c r="Z222" s="7"/>
      <c r="AA222" s="7"/>
      <c r="AB222" s="7"/>
      <c r="AC222" s="7"/>
      <c r="AD222" s="7"/>
      <c r="AE222" s="7"/>
      <c r="AF222"/>
      <c r="AG222" s="3"/>
      <c r="AH222" s="7"/>
      <c r="AI222" s="7"/>
      <c r="AJ222" s="7"/>
    </row>
    <row r="223" spans="3:36" ht="14.25" hidden="1" customHeight="1">
      <c r="C223" s="7"/>
      <c r="D223" s="7"/>
      <c r="E223" s="7"/>
      <c r="F223" s="7"/>
      <c r="G223" s="7"/>
      <c r="H223"/>
      <c r="I223" s="7"/>
      <c r="J223" s="7"/>
      <c r="K223" s="7"/>
      <c r="L223" s="7"/>
      <c r="M223" s="7"/>
      <c r="N223" s="7"/>
      <c r="O223" s="7"/>
      <c r="P223" s="8"/>
      <c r="R223" s="4"/>
      <c r="T223" s="7"/>
      <c r="U223" s="7"/>
      <c r="V223" s="7"/>
      <c r="W223" s="7"/>
      <c r="X223" s="7"/>
      <c r="Y223"/>
      <c r="Z223" s="7"/>
      <c r="AA223" s="7"/>
      <c r="AB223" s="7"/>
      <c r="AC223" s="7"/>
      <c r="AD223" s="7"/>
      <c r="AE223" s="7"/>
      <c r="AF223"/>
      <c r="AG223" s="3"/>
      <c r="AH223" s="7"/>
      <c r="AI223"/>
      <c r="AJ223" s="7"/>
    </row>
    <row r="224" spans="3:36" ht="14.25" hidden="1" customHeight="1">
      <c r="C224" s="7"/>
      <c r="D224" s="7"/>
      <c r="H224"/>
      <c r="L224" s="4"/>
      <c r="M224" s="4"/>
      <c r="N224" s="4"/>
      <c r="O224" s="4"/>
      <c r="T224" s="7"/>
      <c r="Y224"/>
      <c r="Z224"/>
      <c r="AA224"/>
      <c r="AB224"/>
      <c r="AD224"/>
      <c r="AE224"/>
      <c r="AF224"/>
      <c r="AG224" s="3"/>
      <c r="AI224"/>
    </row>
    <row r="225" spans="3:36" ht="14.25" hidden="1" customHeight="1">
      <c r="C225" s="7"/>
      <c r="D225" s="7"/>
      <c r="H225"/>
      <c r="L225" s="4"/>
      <c r="M225" s="4"/>
      <c r="N225" s="4"/>
      <c r="O225" s="4"/>
      <c r="T225" s="7"/>
      <c r="Y225"/>
      <c r="Z225"/>
      <c r="AA225"/>
      <c r="AB225"/>
      <c r="AD225"/>
      <c r="AE225"/>
      <c r="AF225"/>
      <c r="AG225" s="3"/>
      <c r="AI225"/>
    </row>
    <row r="226" spans="3:36" ht="14.25" hidden="1" customHeight="1">
      <c r="C226" s="7"/>
      <c r="D226" s="7"/>
      <c r="E226" s="7"/>
      <c r="F226" s="7"/>
      <c r="G226" s="7"/>
      <c r="H226"/>
      <c r="I226" s="7"/>
      <c r="J226" s="7"/>
      <c r="K226" s="7"/>
      <c r="L226" s="7"/>
      <c r="M226" s="7"/>
      <c r="N226" s="7"/>
      <c r="O226" s="7"/>
      <c r="P226" s="8"/>
      <c r="R226" s="4"/>
      <c r="T226" s="7"/>
      <c r="U226" s="7"/>
      <c r="V226" s="7"/>
      <c r="W226" s="7"/>
      <c r="X226" s="7"/>
      <c r="Y226"/>
      <c r="Z226" s="7"/>
      <c r="AA226" s="7"/>
      <c r="AB226" s="7"/>
      <c r="AC226" s="7"/>
      <c r="AD226" s="7"/>
      <c r="AE226" s="7"/>
      <c r="AF226"/>
      <c r="AG226" s="3"/>
      <c r="AH226" s="7"/>
      <c r="AI226"/>
      <c r="AJ226" s="7"/>
    </row>
    <row r="227" spans="3:36" ht="14.25" hidden="1" customHeight="1">
      <c r="C227" s="7"/>
      <c r="D227" s="7"/>
      <c r="E227" s="7"/>
      <c r="F227" s="7"/>
      <c r="G227" s="7"/>
      <c r="H227"/>
      <c r="I227" s="7"/>
      <c r="J227" s="7"/>
      <c r="K227" s="7"/>
      <c r="L227" s="7"/>
      <c r="M227" s="7"/>
      <c r="N227" s="7"/>
      <c r="O227" s="7"/>
      <c r="P227" s="8"/>
      <c r="R227" s="4"/>
      <c r="T227" s="7"/>
      <c r="U227" s="7"/>
      <c r="V227" s="7"/>
      <c r="W227" s="7"/>
      <c r="X227" s="7"/>
      <c r="Y227"/>
      <c r="Z227" s="7"/>
      <c r="AA227" s="7"/>
      <c r="AB227" s="7"/>
      <c r="AC227" s="7"/>
      <c r="AD227" s="7"/>
      <c r="AE227" s="7"/>
      <c r="AF227"/>
      <c r="AG227" s="3"/>
      <c r="AH227" s="7"/>
      <c r="AI227" s="7"/>
      <c r="AJ227" s="7"/>
    </row>
    <row r="228" spans="3:36" ht="14.25" hidden="1" customHeight="1">
      <c r="C228" s="7"/>
      <c r="D228" s="7"/>
      <c r="E228" s="7"/>
      <c r="F228" s="7"/>
      <c r="G228" s="7"/>
      <c r="H228"/>
      <c r="I228" s="7"/>
      <c r="J228" s="7"/>
      <c r="K228" s="7"/>
      <c r="L228" s="7"/>
      <c r="M228" s="7"/>
      <c r="N228" s="7"/>
      <c r="O228" s="7"/>
      <c r="P228" s="8"/>
      <c r="R228" s="4"/>
      <c r="T228" s="7"/>
      <c r="U228" s="7"/>
      <c r="V228" s="7"/>
      <c r="W228" s="7"/>
      <c r="X228" s="7"/>
      <c r="Y228"/>
      <c r="Z228" s="7"/>
      <c r="AA228" s="7"/>
      <c r="AB228" s="7"/>
      <c r="AC228" s="7"/>
      <c r="AD228" s="7"/>
      <c r="AE228" s="7"/>
      <c r="AF228"/>
      <c r="AG228" s="3"/>
      <c r="AH228" s="7"/>
      <c r="AI228"/>
      <c r="AJ228" s="7"/>
    </row>
    <row r="229" spans="3:36" ht="14.25" hidden="1" customHeight="1">
      <c r="C229" s="7"/>
      <c r="D229" s="7"/>
      <c r="E229" s="7"/>
      <c r="F229" s="7"/>
      <c r="G229" s="7"/>
      <c r="H229"/>
      <c r="I229" s="7"/>
      <c r="J229" s="7"/>
      <c r="K229" s="7"/>
      <c r="L229" s="7"/>
      <c r="M229" s="7"/>
      <c r="N229" s="7"/>
      <c r="O229" s="7"/>
      <c r="P229" s="8"/>
      <c r="R229" s="4"/>
      <c r="T229" s="7"/>
      <c r="U229" s="7"/>
      <c r="V229" s="7"/>
      <c r="W229" s="7"/>
      <c r="X229" s="7"/>
      <c r="Y229"/>
      <c r="Z229" s="7"/>
      <c r="AA229" s="7"/>
      <c r="AB229" s="7"/>
      <c r="AC229" s="7"/>
      <c r="AD229" s="7"/>
      <c r="AE229" s="7"/>
      <c r="AF229"/>
      <c r="AG229" s="3"/>
      <c r="AH229" s="7"/>
      <c r="AI229"/>
      <c r="AJ229" s="7"/>
    </row>
    <row r="230" spans="3:36" ht="14.25" hidden="1" customHeight="1">
      <c r="D230" s="7"/>
      <c r="E230" s="7"/>
      <c r="F230" s="7"/>
      <c r="G230" s="7"/>
      <c r="H230"/>
      <c r="I230" s="7"/>
      <c r="J230" s="7"/>
      <c r="K230" s="7"/>
      <c r="L230" s="7"/>
      <c r="M230" s="7"/>
      <c r="N230" s="7"/>
      <c r="O230" s="7"/>
      <c r="P230" s="8"/>
      <c r="R230" s="4"/>
      <c r="T230" s="7"/>
      <c r="U230" s="7"/>
      <c r="V230" s="7"/>
      <c r="W230" s="7"/>
      <c r="X230" s="7"/>
      <c r="Y230"/>
      <c r="Z230" s="7"/>
      <c r="AA230" s="7"/>
      <c r="AB230" s="7"/>
      <c r="AC230" s="7"/>
      <c r="AD230" s="7"/>
      <c r="AE230" s="7"/>
      <c r="AF230"/>
      <c r="AG230" s="3"/>
      <c r="AH230" s="7"/>
      <c r="AI230" s="7"/>
      <c r="AJ230" s="7"/>
    </row>
    <row r="231" spans="3:36" ht="14.25" hidden="1" customHeight="1">
      <c r="C231" s="7"/>
      <c r="D231" s="7"/>
      <c r="E231" s="7"/>
      <c r="F231" s="7"/>
      <c r="G231" s="7"/>
      <c r="H231"/>
      <c r="I231" s="7"/>
      <c r="J231" s="7"/>
      <c r="K231" s="7"/>
      <c r="L231" s="7"/>
      <c r="M231" s="7"/>
      <c r="N231" s="7"/>
      <c r="O231" s="7"/>
      <c r="P231" s="8"/>
      <c r="R231" s="4"/>
      <c r="T231" s="7"/>
      <c r="U231" s="7"/>
      <c r="V231" s="7"/>
      <c r="W231" s="7"/>
      <c r="X231" s="7"/>
      <c r="Y231"/>
      <c r="Z231" s="7"/>
      <c r="AA231" s="7"/>
      <c r="AB231" s="7"/>
      <c r="AC231" s="7"/>
      <c r="AD231" s="7"/>
      <c r="AE231" s="7"/>
      <c r="AF231"/>
      <c r="AG231" s="3"/>
      <c r="AH231" s="7"/>
      <c r="AI231"/>
      <c r="AJ231" s="7"/>
    </row>
    <row r="232" spans="3:36" ht="14.25" hidden="1" customHeight="1">
      <c r="C232" s="7"/>
      <c r="D232" s="7"/>
      <c r="E232" s="7"/>
      <c r="F232" s="7"/>
      <c r="G232" s="7"/>
      <c r="H232"/>
      <c r="I232" s="7"/>
      <c r="J232" s="7"/>
      <c r="K232" s="7"/>
      <c r="L232" s="7"/>
      <c r="M232" s="7"/>
      <c r="N232" s="7"/>
      <c r="O232" s="7"/>
      <c r="P232" s="8"/>
      <c r="R232" s="4"/>
      <c r="T232" s="7"/>
      <c r="U232" s="7"/>
      <c r="V232" s="7"/>
      <c r="W232" s="7"/>
      <c r="X232" s="7"/>
      <c r="Y232"/>
      <c r="Z232" s="7"/>
      <c r="AA232" s="7"/>
      <c r="AB232" s="7"/>
      <c r="AC232" s="7"/>
      <c r="AD232" s="7"/>
      <c r="AE232" s="7"/>
      <c r="AF232"/>
      <c r="AG232" s="3"/>
      <c r="AH232" s="7"/>
      <c r="AI232"/>
      <c r="AJ232" s="7"/>
    </row>
    <row r="233" spans="3:36" ht="14.25" hidden="1" customHeight="1">
      <c r="C233" s="7"/>
      <c r="D233" s="7"/>
      <c r="E233" s="7"/>
      <c r="F233" s="7"/>
      <c r="G233" s="7"/>
      <c r="H233"/>
      <c r="I233" s="7"/>
      <c r="J233" s="7"/>
      <c r="K233" s="7"/>
      <c r="L233" s="7"/>
      <c r="M233" s="7"/>
      <c r="N233" s="7"/>
      <c r="O233" s="7"/>
      <c r="P233" s="8"/>
      <c r="R233" s="4"/>
      <c r="T233" s="7"/>
      <c r="U233" s="7"/>
      <c r="V233" s="7"/>
      <c r="W233" s="7"/>
      <c r="X233" s="7"/>
      <c r="Y233"/>
      <c r="Z233" s="7"/>
      <c r="AA233" s="7"/>
      <c r="AB233" s="7"/>
      <c r="AC233" s="7"/>
      <c r="AD233" s="7"/>
      <c r="AE233" s="7"/>
      <c r="AF233"/>
      <c r="AG233" s="3"/>
      <c r="AH233" s="7"/>
      <c r="AI233"/>
      <c r="AJ233" s="7"/>
    </row>
    <row r="234" spans="3:36" ht="14.25" hidden="1" customHeight="1">
      <c r="C234" s="7"/>
      <c r="D234" s="7"/>
      <c r="E234" s="7"/>
      <c r="F234" s="7"/>
      <c r="G234" s="7"/>
      <c r="H234"/>
      <c r="I234" s="7"/>
      <c r="J234" s="7"/>
      <c r="K234" s="7"/>
      <c r="L234" s="7"/>
      <c r="M234" s="7"/>
      <c r="N234" s="7"/>
      <c r="O234" s="7"/>
      <c r="P234" s="8"/>
      <c r="R234" s="4"/>
      <c r="T234" s="7"/>
      <c r="U234" s="7"/>
      <c r="V234" s="7"/>
      <c r="W234" s="7"/>
      <c r="X234" s="7"/>
      <c r="Y234"/>
      <c r="Z234" s="7"/>
      <c r="AA234" s="7"/>
      <c r="AB234" s="7"/>
      <c r="AC234" s="7"/>
      <c r="AD234" s="7"/>
      <c r="AE234" s="7"/>
      <c r="AF234"/>
      <c r="AG234" s="3"/>
      <c r="AH234" s="7"/>
      <c r="AI234"/>
      <c r="AJ234" s="7"/>
    </row>
    <row r="235" spans="3:36" ht="14.25" hidden="1" customHeight="1">
      <c r="C235" s="7"/>
      <c r="D235" s="7"/>
      <c r="E235"/>
      <c r="F235" s="7"/>
      <c r="G235" s="7"/>
      <c r="H235"/>
      <c r="I235" s="7"/>
      <c r="J235" s="7"/>
      <c r="K235" s="7"/>
      <c r="L235" s="7"/>
      <c r="M235" s="7"/>
      <c r="N235" s="7"/>
      <c r="O235" s="7"/>
      <c r="P235" s="8"/>
      <c r="R235" s="4"/>
      <c r="T235" s="7"/>
      <c r="U235" s="7"/>
      <c r="V235" s="7"/>
      <c r="W235" s="7"/>
      <c r="X235" s="7"/>
      <c r="Y235"/>
      <c r="Z235" s="7"/>
      <c r="AA235" s="7"/>
      <c r="AB235" s="7"/>
      <c r="AC235" s="7"/>
      <c r="AD235" s="7"/>
      <c r="AE235" s="7"/>
      <c r="AF235"/>
      <c r="AG235" s="3"/>
      <c r="AH235" s="7"/>
      <c r="AI235" s="7"/>
      <c r="AJ235" s="7"/>
    </row>
    <row r="236" spans="3:36" ht="14.25" hidden="1" customHeight="1">
      <c r="C236" s="7"/>
      <c r="D236" s="7"/>
      <c r="E236"/>
      <c r="F236" s="7"/>
      <c r="G236" s="7"/>
      <c r="H236"/>
      <c r="I236" s="7"/>
      <c r="J236" s="7"/>
      <c r="K236" s="7"/>
      <c r="L236" s="7"/>
      <c r="M236" s="7"/>
      <c r="N236" s="7"/>
      <c r="O236" s="7"/>
      <c r="P236" s="8"/>
      <c r="R236" s="4"/>
      <c r="T236" s="7"/>
      <c r="U236" s="7"/>
      <c r="V236" s="7"/>
      <c r="W236" s="7"/>
      <c r="X236" s="7"/>
      <c r="Y236"/>
      <c r="Z236" s="7"/>
      <c r="AA236" s="7"/>
      <c r="AB236" s="7"/>
      <c r="AC236" s="7"/>
      <c r="AD236" s="7"/>
      <c r="AE236" s="7"/>
      <c r="AF236"/>
      <c r="AG236" s="3"/>
      <c r="AH236" s="7"/>
      <c r="AI236" s="7"/>
      <c r="AJ236" s="7"/>
    </row>
  </sheetData>
  <autoFilter ref="A1:AP236" xr:uid="{00000000-0001-0000-0100-000000000000}">
    <filterColumn colId="1">
      <filters>
        <filter val="NEWBMS"/>
      </filters>
    </filterColumn>
    <sortState xmlns:xlrd2="http://schemas.microsoft.com/office/spreadsheetml/2017/richdata2" ref="A2:AP236">
      <sortCondition ref="A1:A236"/>
    </sortState>
  </autoFilter>
  <sortState xmlns:xlrd2="http://schemas.microsoft.com/office/spreadsheetml/2017/richdata2" ref="A2:AP204">
    <sortCondition ref="B2:B204"/>
    <sortCondition ref="C2:C204"/>
  </sortState>
  <phoneticPr fontId="2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FEC8-E09B-43D4-B775-2E6339CE2158}">
  <sheetPr codeName="Sheet1"/>
  <dimension ref="A1:M92"/>
  <sheetViews>
    <sheetView workbookViewId="0">
      <pane ySplit="1" topLeftCell="A56" activePane="bottomLeft" state="frozen"/>
      <selection pane="bottomLeft" activeCell="G89" sqref="G89"/>
    </sheetView>
  </sheetViews>
  <sheetFormatPr defaultRowHeight="14.25"/>
  <cols>
    <col min="2" max="2" width="93" bestFit="1" customWidth="1"/>
    <col min="3" max="3" width="6.265625" bestFit="1" customWidth="1"/>
    <col min="4" max="4" width="4.73046875" bestFit="1" customWidth="1"/>
    <col min="5" max="5" width="16.59765625" bestFit="1" customWidth="1"/>
    <col min="6" max="6" width="16.59765625" customWidth="1"/>
    <col min="7" max="7" width="6" bestFit="1" customWidth="1"/>
    <col min="8" max="8" width="26.265625" customWidth="1"/>
    <col min="9" max="9" width="18.73046875" bestFit="1" customWidth="1"/>
  </cols>
  <sheetData>
    <row r="1" spans="1:9">
      <c r="A1" t="s">
        <v>0</v>
      </c>
      <c r="B1" s="3" t="s">
        <v>12</v>
      </c>
      <c r="C1" t="s">
        <v>2987</v>
      </c>
      <c r="D1" s="3" t="s">
        <v>2988</v>
      </c>
      <c r="E1" s="3" t="s">
        <v>2993</v>
      </c>
      <c r="F1" s="3" t="s">
        <v>6043</v>
      </c>
      <c r="G1" s="3" t="s">
        <v>2002</v>
      </c>
      <c r="H1" s="3" t="s">
        <v>6096</v>
      </c>
      <c r="I1" t="s">
        <v>2497</v>
      </c>
    </row>
    <row r="2" spans="1:9">
      <c r="A2">
        <v>1</v>
      </c>
      <c r="B2" t="s">
        <v>2996</v>
      </c>
      <c r="E2" t="b">
        <v>0</v>
      </c>
      <c r="F2" t="b">
        <v>0</v>
      </c>
      <c r="G2">
        <v>50147</v>
      </c>
      <c r="I2">
        <v>0</v>
      </c>
    </row>
    <row r="3" spans="1:9">
      <c r="A3">
        <v>2</v>
      </c>
      <c r="B3" t="s">
        <v>2997</v>
      </c>
      <c r="E3" t="b">
        <v>0</v>
      </c>
      <c r="F3" t="b">
        <v>0</v>
      </c>
      <c r="G3">
        <v>50151</v>
      </c>
      <c r="I3">
        <v>0</v>
      </c>
    </row>
    <row r="4" spans="1:9">
      <c r="A4">
        <v>3</v>
      </c>
      <c r="B4" t="s">
        <v>2998</v>
      </c>
      <c r="E4" t="b">
        <v>0</v>
      </c>
      <c r="F4" t="b">
        <v>1</v>
      </c>
      <c r="G4">
        <v>50153</v>
      </c>
      <c r="I4">
        <v>0</v>
      </c>
    </row>
    <row r="5" spans="1:9">
      <c r="A5">
        <v>4</v>
      </c>
      <c r="B5" t="s">
        <v>2999</v>
      </c>
      <c r="E5" t="b">
        <v>0</v>
      </c>
      <c r="F5" t="b">
        <v>1</v>
      </c>
      <c r="G5">
        <v>50155</v>
      </c>
      <c r="I5">
        <v>0</v>
      </c>
    </row>
    <row r="6" spans="1:9">
      <c r="A6">
        <v>5</v>
      </c>
      <c r="B6" t="s">
        <v>3000</v>
      </c>
      <c r="E6" t="b">
        <v>0</v>
      </c>
      <c r="F6" t="b">
        <v>0</v>
      </c>
      <c r="G6">
        <v>50157</v>
      </c>
      <c r="I6">
        <v>0</v>
      </c>
    </row>
    <row r="7" spans="1:9">
      <c r="A7">
        <v>6</v>
      </c>
      <c r="B7" t="s">
        <v>3001</v>
      </c>
      <c r="E7" t="b">
        <v>0</v>
      </c>
      <c r="F7" t="b">
        <v>0</v>
      </c>
      <c r="G7">
        <v>50158</v>
      </c>
      <c r="I7">
        <v>0</v>
      </c>
    </row>
    <row r="8" spans="1:9">
      <c r="A8">
        <v>7</v>
      </c>
      <c r="B8" t="s">
        <v>3002</v>
      </c>
      <c r="E8" t="b">
        <v>0</v>
      </c>
      <c r="F8" t="b">
        <v>0</v>
      </c>
      <c r="G8">
        <v>51001</v>
      </c>
      <c r="I8">
        <v>0</v>
      </c>
    </row>
    <row r="9" spans="1:9">
      <c r="A9">
        <v>8</v>
      </c>
      <c r="B9" t="s">
        <v>3003</v>
      </c>
      <c r="E9" t="b">
        <v>1</v>
      </c>
      <c r="F9" t="b">
        <v>1</v>
      </c>
      <c r="G9">
        <v>51002</v>
      </c>
      <c r="I9">
        <v>0</v>
      </c>
    </row>
    <row r="10" spans="1:9">
      <c r="A10">
        <v>9</v>
      </c>
      <c r="B10" t="s">
        <v>3004</v>
      </c>
      <c r="E10" t="b">
        <v>0</v>
      </c>
      <c r="F10" t="b">
        <v>0</v>
      </c>
      <c r="G10">
        <v>51003</v>
      </c>
      <c r="I10">
        <v>0</v>
      </c>
    </row>
    <row r="11" spans="1:9">
      <c r="A11">
        <v>10</v>
      </c>
      <c r="B11" t="s">
        <v>3005</v>
      </c>
      <c r="E11" t="b">
        <v>0</v>
      </c>
      <c r="F11" t="b">
        <v>0</v>
      </c>
      <c r="G11">
        <v>51004</v>
      </c>
      <c r="I11">
        <v>0</v>
      </c>
    </row>
    <row r="12" spans="1:9">
      <c r="A12">
        <v>11</v>
      </c>
      <c r="B12" t="s">
        <v>3006</v>
      </c>
      <c r="E12" t="b">
        <v>0</v>
      </c>
      <c r="F12" t="b">
        <v>0</v>
      </c>
      <c r="G12">
        <v>51005</v>
      </c>
      <c r="I12">
        <v>0</v>
      </c>
    </row>
    <row r="13" spans="1:9">
      <c r="A13">
        <v>12</v>
      </c>
      <c r="B13" t="s">
        <v>3007</v>
      </c>
      <c r="E13" t="b">
        <v>1</v>
      </c>
      <c r="F13" t="b">
        <v>1</v>
      </c>
      <c r="G13">
        <v>51008</v>
      </c>
      <c r="H13" t="s">
        <v>6097</v>
      </c>
      <c r="I13">
        <v>0</v>
      </c>
    </row>
    <row r="14" spans="1:9">
      <c r="A14">
        <v>13</v>
      </c>
      <c r="B14" t="s">
        <v>3008</v>
      </c>
      <c r="E14" t="b">
        <v>0</v>
      </c>
      <c r="F14" t="b">
        <v>0</v>
      </c>
      <c r="G14">
        <v>51009</v>
      </c>
      <c r="H14" t="s">
        <v>6097</v>
      </c>
      <c r="I14">
        <v>0</v>
      </c>
    </row>
    <row r="15" spans="1:9">
      <c r="A15">
        <v>14</v>
      </c>
      <c r="B15" t="s">
        <v>3009</v>
      </c>
      <c r="E15" t="b">
        <v>0</v>
      </c>
      <c r="F15" t="b">
        <v>0</v>
      </c>
      <c r="G15">
        <v>51010</v>
      </c>
      <c r="H15" t="s">
        <v>6097</v>
      </c>
      <c r="I15">
        <v>0</v>
      </c>
    </row>
    <row r="16" spans="1:9">
      <c r="A16">
        <v>15</v>
      </c>
      <c r="B16" t="s">
        <v>3010</v>
      </c>
      <c r="E16" t="b">
        <v>0</v>
      </c>
      <c r="F16" t="b">
        <v>0</v>
      </c>
      <c r="G16">
        <v>51011</v>
      </c>
      <c r="H16" t="s">
        <v>6097</v>
      </c>
      <c r="I16">
        <v>0</v>
      </c>
    </row>
    <row r="17" spans="1:9">
      <c r="A17">
        <v>16</v>
      </c>
      <c r="B17" t="s">
        <v>3011</v>
      </c>
      <c r="E17" t="b">
        <v>0</v>
      </c>
      <c r="F17" t="b">
        <v>0</v>
      </c>
      <c r="G17">
        <v>51012</v>
      </c>
      <c r="H17" t="s">
        <v>6097</v>
      </c>
      <c r="I17">
        <v>0</v>
      </c>
    </row>
    <row r="18" spans="1:9">
      <c r="A18">
        <v>17</v>
      </c>
      <c r="B18" t="s">
        <v>3012</v>
      </c>
      <c r="E18" t="b">
        <v>0</v>
      </c>
      <c r="F18" t="b">
        <v>0</v>
      </c>
      <c r="G18">
        <v>51013</v>
      </c>
      <c r="H18" t="s">
        <v>6097</v>
      </c>
      <c r="I18">
        <v>0</v>
      </c>
    </row>
    <row r="19" spans="1:9">
      <c r="A19">
        <v>18</v>
      </c>
      <c r="B19" t="s">
        <v>3013</v>
      </c>
      <c r="E19" t="b">
        <v>1</v>
      </c>
      <c r="F19" t="b">
        <v>0</v>
      </c>
      <c r="G19">
        <v>51014</v>
      </c>
      <c r="H19" t="s">
        <v>6097</v>
      </c>
      <c r="I19">
        <v>0</v>
      </c>
    </row>
    <row r="20" spans="1:9">
      <c r="A20">
        <v>19</v>
      </c>
      <c r="B20" t="s">
        <v>3014</v>
      </c>
      <c r="E20" t="b">
        <v>1</v>
      </c>
      <c r="F20" t="b">
        <v>0</v>
      </c>
      <c r="G20">
        <v>51015</v>
      </c>
      <c r="H20" t="s">
        <v>6097</v>
      </c>
      <c r="I20">
        <v>0</v>
      </c>
    </row>
    <row r="21" spans="1:9">
      <c r="A21">
        <v>20</v>
      </c>
      <c r="B21" t="s">
        <v>3015</v>
      </c>
      <c r="E21" t="b">
        <v>1</v>
      </c>
      <c r="F21" t="b">
        <v>0</v>
      </c>
      <c r="G21">
        <v>51016</v>
      </c>
      <c r="H21" t="s">
        <v>6097</v>
      </c>
      <c r="I21">
        <v>0</v>
      </c>
    </row>
    <row r="22" spans="1:9">
      <c r="A22">
        <v>21</v>
      </c>
      <c r="B22" t="s">
        <v>3016</v>
      </c>
      <c r="E22" t="b">
        <v>1</v>
      </c>
      <c r="F22" t="b">
        <v>0</v>
      </c>
      <c r="G22">
        <v>51017</v>
      </c>
      <c r="H22" t="s">
        <v>6097</v>
      </c>
      <c r="I22">
        <v>0</v>
      </c>
    </row>
    <row r="23" spans="1:9">
      <c r="A23">
        <v>22</v>
      </c>
      <c r="B23" t="s">
        <v>3017</v>
      </c>
      <c r="E23" t="b">
        <v>1</v>
      </c>
      <c r="F23" t="b">
        <v>1</v>
      </c>
      <c r="G23">
        <v>51018</v>
      </c>
      <c r="H23" t="s">
        <v>6097</v>
      </c>
      <c r="I23">
        <v>0</v>
      </c>
    </row>
    <row r="24" spans="1:9">
      <c r="A24">
        <v>23</v>
      </c>
      <c r="B24" t="s">
        <v>3018</v>
      </c>
      <c r="E24" t="b">
        <v>1</v>
      </c>
      <c r="F24" t="b">
        <v>1</v>
      </c>
      <c r="G24">
        <v>51019</v>
      </c>
      <c r="H24" t="s">
        <v>6097</v>
      </c>
      <c r="I24">
        <v>0</v>
      </c>
    </row>
    <row r="25" spans="1:9">
      <c r="A25">
        <v>24</v>
      </c>
      <c r="B25" t="s">
        <v>3019</v>
      </c>
      <c r="E25" t="b">
        <v>1</v>
      </c>
      <c r="F25" t="b">
        <v>1</v>
      </c>
      <c r="G25">
        <v>51020</v>
      </c>
      <c r="H25" t="s">
        <v>6097</v>
      </c>
      <c r="I25">
        <v>0</v>
      </c>
    </row>
    <row r="26" spans="1:9">
      <c r="A26">
        <v>25</v>
      </c>
      <c r="B26" t="s">
        <v>5984</v>
      </c>
      <c r="E26" t="b">
        <v>0</v>
      </c>
      <c r="F26" t="b">
        <v>0</v>
      </c>
      <c r="G26">
        <v>51021</v>
      </c>
      <c r="H26" t="s">
        <v>6093</v>
      </c>
      <c r="I26">
        <v>0</v>
      </c>
    </row>
    <row r="27" spans="1:9">
      <c r="A27">
        <v>26</v>
      </c>
      <c r="B27" t="s">
        <v>5985</v>
      </c>
      <c r="E27" t="b">
        <v>0</v>
      </c>
      <c r="F27" t="b">
        <v>0</v>
      </c>
      <c r="G27">
        <v>51022</v>
      </c>
      <c r="H27" t="s">
        <v>6093</v>
      </c>
      <c r="I27">
        <v>0</v>
      </c>
    </row>
    <row r="28" spans="1:9">
      <c r="A28">
        <v>27</v>
      </c>
      <c r="B28" t="s">
        <v>6052</v>
      </c>
      <c r="E28" t="b">
        <v>0</v>
      </c>
      <c r="F28" t="b">
        <v>0</v>
      </c>
      <c r="G28">
        <v>51023</v>
      </c>
      <c r="H28" t="s">
        <v>6093</v>
      </c>
      <c r="I28">
        <v>0</v>
      </c>
    </row>
    <row r="29" spans="1:9">
      <c r="A29">
        <v>28</v>
      </c>
      <c r="B29" t="s">
        <v>6051</v>
      </c>
      <c r="E29" t="b">
        <v>0</v>
      </c>
      <c r="F29" t="b">
        <v>0</v>
      </c>
      <c r="G29">
        <v>51024</v>
      </c>
      <c r="H29" t="s">
        <v>6093</v>
      </c>
      <c r="I29">
        <v>0</v>
      </c>
    </row>
    <row r="30" spans="1:9">
      <c r="A30">
        <v>29</v>
      </c>
      <c r="B30" t="s">
        <v>6050</v>
      </c>
      <c r="E30" t="b">
        <v>0</v>
      </c>
      <c r="F30" t="b">
        <v>1</v>
      </c>
      <c r="G30">
        <v>51025</v>
      </c>
      <c r="H30" t="s">
        <v>6094</v>
      </c>
      <c r="I30">
        <v>0</v>
      </c>
    </row>
    <row r="31" spans="1:9">
      <c r="A31">
        <v>30</v>
      </c>
      <c r="B31" t="s">
        <v>6049</v>
      </c>
      <c r="E31" t="b">
        <v>0</v>
      </c>
      <c r="F31" t="b">
        <v>1</v>
      </c>
      <c r="G31">
        <v>51026</v>
      </c>
      <c r="H31" t="s">
        <v>6094</v>
      </c>
      <c r="I31">
        <v>0</v>
      </c>
    </row>
    <row r="32" spans="1:9">
      <c r="A32">
        <v>31</v>
      </c>
      <c r="B32" t="s">
        <v>6048</v>
      </c>
      <c r="E32" t="b">
        <v>0</v>
      </c>
      <c r="F32" t="b">
        <v>1</v>
      </c>
      <c r="G32">
        <v>51027</v>
      </c>
      <c r="H32" t="s">
        <v>6094</v>
      </c>
      <c r="I32">
        <v>0</v>
      </c>
    </row>
    <row r="33" spans="1:9">
      <c r="A33">
        <v>32</v>
      </c>
      <c r="B33" t="s">
        <v>6047</v>
      </c>
      <c r="E33" t="b">
        <v>1</v>
      </c>
      <c r="F33" t="b">
        <v>1</v>
      </c>
      <c r="G33">
        <v>51028</v>
      </c>
      <c r="H33" t="s">
        <v>6095</v>
      </c>
      <c r="I33">
        <v>0</v>
      </c>
    </row>
    <row r="34" spans="1:9">
      <c r="A34">
        <v>33</v>
      </c>
      <c r="B34" t="s">
        <v>6046</v>
      </c>
      <c r="E34" t="b">
        <v>1</v>
      </c>
      <c r="F34" t="b">
        <v>1</v>
      </c>
      <c r="G34">
        <v>51029</v>
      </c>
      <c r="H34" t="s">
        <v>6095</v>
      </c>
      <c r="I34">
        <v>0</v>
      </c>
    </row>
    <row r="35" spans="1:9">
      <c r="A35">
        <v>34</v>
      </c>
      <c r="B35" t="s">
        <v>6045</v>
      </c>
      <c r="E35" t="b">
        <v>1</v>
      </c>
      <c r="F35" t="b">
        <v>1</v>
      </c>
      <c r="G35">
        <v>51030</v>
      </c>
      <c r="H35" t="s">
        <v>6095</v>
      </c>
      <c r="I35">
        <v>0</v>
      </c>
    </row>
    <row r="36" spans="1:9">
      <c r="A36">
        <v>35</v>
      </c>
      <c r="B36" t="s">
        <v>6044</v>
      </c>
      <c r="E36" t="b">
        <v>1</v>
      </c>
      <c r="F36" t="b">
        <v>1</v>
      </c>
      <c r="G36">
        <v>51031</v>
      </c>
      <c r="H36" t="s">
        <v>6095</v>
      </c>
      <c r="I36">
        <v>0</v>
      </c>
    </row>
    <row r="37" spans="1:9">
      <c r="A37">
        <v>36</v>
      </c>
      <c r="B37" t="s">
        <v>6053</v>
      </c>
      <c r="E37" t="b">
        <v>0</v>
      </c>
      <c r="F37" t="b">
        <v>1</v>
      </c>
      <c r="G37">
        <v>51032</v>
      </c>
      <c r="H37" t="s">
        <v>6095</v>
      </c>
      <c r="I37">
        <v>0</v>
      </c>
    </row>
    <row r="38" spans="1:9">
      <c r="A38">
        <v>37</v>
      </c>
      <c r="B38" t="s">
        <v>6054</v>
      </c>
      <c r="E38" t="b">
        <v>0</v>
      </c>
      <c r="F38" t="b">
        <v>1</v>
      </c>
      <c r="G38">
        <v>51033</v>
      </c>
      <c r="H38" t="s">
        <v>6095</v>
      </c>
      <c r="I38">
        <v>0</v>
      </c>
    </row>
    <row r="39" spans="1:9">
      <c r="A39">
        <v>38</v>
      </c>
      <c r="B39" t="s">
        <v>6084</v>
      </c>
      <c r="E39" t="b">
        <v>0</v>
      </c>
      <c r="F39" t="b">
        <v>1</v>
      </c>
      <c r="G39">
        <v>51034</v>
      </c>
      <c r="H39" t="s">
        <v>6170</v>
      </c>
      <c r="I39">
        <v>0</v>
      </c>
    </row>
    <row r="40" spans="1:9">
      <c r="A40">
        <v>39</v>
      </c>
      <c r="B40" t="s">
        <v>6114</v>
      </c>
      <c r="E40" t="b">
        <v>0</v>
      </c>
      <c r="F40" t="b">
        <v>1</v>
      </c>
      <c r="G40">
        <v>51035</v>
      </c>
      <c r="H40" t="s">
        <v>6170</v>
      </c>
      <c r="I40">
        <v>0</v>
      </c>
    </row>
    <row r="41" spans="1:9">
      <c r="A41">
        <v>40</v>
      </c>
      <c r="B41" t="s">
        <v>6117</v>
      </c>
      <c r="E41" t="b">
        <v>0</v>
      </c>
      <c r="F41" t="b">
        <v>1</v>
      </c>
      <c r="G41">
        <v>51036</v>
      </c>
      <c r="H41" t="s">
        <v>6170</v>
      </c>
      <c r="I41">
        <v>0</v>
      </c>
    </row>
    <row r="42" spans="1:9">
      <c r="A42">
        <v>41</v>
      </c>
      <c r="B42" t="s">
        <v>6115</v>
      </c>
      <c r="E42" t="b">
        <v>0</v>
      </c>
      <c r="F42" t="b">
        <v>1</v>
      </c>
      <c r="G42">
        <v>51037</v>
      </c>
      <c r="H42" t="s">
        <v>6170</v>
      </c>
      <c r="I42">
        <v>0</v>
      </c>
    </row>
    <row r="43" spans="1:9">
      <c r="A43">
        <v>42</v>
      </c>
      <c r="B43" t="s">
        <v>6116</v>
      </c>
      <c r="E43" t="b">
        <v>0</v>
      </c>
      <c r="F43" t="b">
        <v>1</v>
      </c>
      <c r="G43">
        <v>51038</v>
      </c>
      <c r="H43" t="s">
        <v>6170</v>
      </c>
      <c r="I43">
        <v>0</v>
      </c>
    </row>
    <row r="44" spans="1:9">
      <c r="A44">
        <v>43</v>
      </c>
      <c r="B44" t="s">
        <v>6085</v>
      </c>
      <c r="E44" t="b">
        <v>0</v>
      </c>
      <c r="F44" t="b">
        <v>1</v>
      </c>
      <c r="G44">
        <v>51039</v>
      </c>
      <c r="H44" t="s">
        <v>6170</v>
      </c>
      <c r="I44">
        <v>0</v>
      </c>
    </row>
    <row r="45" spans="1:9">
      <c r="A45">
        <v>44</v>
      </c>
      <c r="B45" t="s">
        <v>6100</v>
      </c>
      <c r="E45" t="b">
        <v>0</v>
      </c>
      <c r="F45" t="b">
        <v>1</v>
      </c>
      <c r="G45">
        <v>51040</v>
      </c>
      <c r="H45" t="s">
        <v>6170</v>
      </c>
      <c r="I45">
        <v>0</v>
      </c>
    </row>
    <row r="46" spans="1:9">
      <c r="A46">
        <v>45</v>
      </c>
      <c r="B46" t="s">
        <v>6120</v>
      </c>
      <c r="E46" t="b">
        <v>0</v>
      </c>
      <c r="F46" t="b">
        <v>1</v>
      </c>
      <c r="G46">
        <v>51041</v>
      </c>
      <c r="H46" t="s">
        <v>6170</v>
      </c>
      <c r="I46">
        <v>0</v>
      </c>
    </row>
    <row r="47" spans="1:9">
      <c r="A47">
        <v>46</v>
      </c>
      <c r="B47" t="s">
        <v>6113</v>
      </c>
      <c r="E47" t="b">
        <v>0</v>
      </c>
      <c r="F47" t="b">
        <v>1</v>
      </c>
      <c r="G47">
        <v>51042</v>
      </c>
      <c r="H47" t="s">
        <v>6170</v>
      </c>
      <c r="I47">
        <v>0</v>
      </c>
    </row>
    <row r="48" spans="1:9">
      <c r="A48">
        <v>47</v>
      </c>
      <c r="B48" t="s">
        <v>6086</v>
      </c>
      <c r="E48" t="b">
        <v>0</v>
      </c>
      <c r="F48" t="b">
        <v>1</v>
      </c>
      <c r="G48">
        <v>51043</v>
      </c>
      <c r="H48" t="s">
        <v>6170</v>
      </c>
      <c r="I48">
        <v>0</v>
      </c>
    </row>
    <row r="49" spans="1:9">
      <c r="A49">
        <v>48</v>
      </c>
      <c r="B49" t="s">
        <v>6087</v>
      </c>
      <c r="E49" t="b">
        <v>0</v>
      </c>
      <c r="F49" t="b">
        <v>1</v>
      </c>
      <c r="G49">
        <v>51044</v>
      </c>
      <c r="H49" t="s">
        <v>6170</v>
      </c>
      <c r="I49">
        <v>0</v>
      </c>
    </row>
    <row r="50" spans="1:9">
      <c r="A50">
        <v>49</v>
      </c>
      <c r="B50" t="s">
        <v>6088</v>
      </c>
      <c r="E50" t="b">
        <v>0</v>
      </c>
      <c r="F50" t="b">
        <v>1</v>
      </c>
      <c r="G50">
        <v>51045</v>
      </c>
      <c r="H50" t="s">
        <v>6170</v>
      </c>
      <c r="I50">
        <v>0</v>
      </c>
    </row>
    <row r="51" spans="1:9">
      <c r="A51">
        <v>50</v>
      </c>
      <c r="B51" t="s">
        <v>6089</v>
      </c>
      <c r="E51" t="b">
        <v>0</v>
      </c>
      <c r="F51" t="b">
        <v>1</v>
      </c>
      <c r="G51">
        <v>51046</v>
      </c>
      <c r="H51" t="s">
        <v>6170</v>
      </c>
      <c r="I51">
        <v>0</v>
      </c>
    </row>
    <row r="52" spans="1:9">
      <c r="A52">
        <v>51</v>
      </c>
      <c r="B52" t="s">
        <v>6090</v>
      </c>
      <c r="E52" t="b">
        <v>0</v>
      </c>
      <c r="F52" t="b">
        <v>1</v>
      </c>
      <c r="G52">
        <v>51047</v>
      </c>
      <c r="H52" t="s">
        <v>6170</v>
      </c>
      <c r="I52">
        <v>0</v>
      </c>
    </row>
    <row r="53" spans="1:9">
      <c r="A53">
        <v>52</v>
      </c>
      <c r="B53" t="s">
        <v>6091</v>
      </c>
      <c r="E53" t="b">
        <v>0</v>
      </c>
      <c r="F53" t="b">
        <v>1</v>
      </c>
      <c r="G53">
        <v>51048</v>
      </c>
      <c r="H53" t="s">
        <v>6170</v>
      </c>
      <c r="I53">
        <v>0</v>
      </c>
    </row>
    <row r="54" spans="1:9">
      <c r="A54">
        <v>53</v>
      </c>
      <c r="B54" t="s">
        <v>6092</v>
      </c>
      <c r="E54" t="b">
        <v>0</v>
      </c>
      <c r="F54" t="b">
        <v>1</v>
      </c>
      <c r="G54">
        <v>51049</v>
      </c>
      <c r="H54" t="s">
        <v>6170</v>
      </c>
      <c r="I54">
        <v>0</v>
      </c>
    </row>
    <row r="55" spans="1:9">
      <c r="A55">
        <v>54</v>
      </c>
      <c r="B55" t="s">
        <v>6098</v>
      </c>
      <c r="E55" t="b">
        <v>0</v>
      </c>
      <c r="F55" t="b">
        <v>1</v>
      </c>
      <c r="G55">
        <v>51050</v>
      </c>
      <c r="H55" t="s">
        <v>6170</v>
      </c>
      <c r="I55">
        <v>0</v>
      </c>
    </row>
    <row r="56" spans="1:9">
      <c r="A56">
        <v>55</v>
      </c>
      <c r="B56" t="s">
        <v>6166</v>
      </c>
      <c r="E56" t="b">
        <v>0</v>
      </c>
      <c r="F56" t="b">
        <v>1</v>
      </c>
      <c r="G56">
        <v>51051</v>
      </c>
      <c r="H56" t="s">
        <v>6165</v>
      </c>
      <c r="I56">
        <v>0</v>
      </c>
    </row>
    <row r="57" spans="1:9">
      <c r="A57">
        <v>56</v>
      </c>
      <c r="B57" t="s">
        <v>6167</v>
      </c>
      <c r="E57" t="b">
        <v>0</v>
      </c>
      <c r="F57" t="b">
        <v>1</v>
      </c>
      <c r="G57">
        <v>51052</v>
      </c>
      <c r="H57" t="s">
        <v>6165</v>
      </c>
      <c r="I57">
        <v>0</v>
      </c>
    </row>
    <row r="58" spans="1:9">
      <c r="A58">
        <v>57</v>
      </c>
      <c r="B58" t="s">
        <v>6168</v>
      </c>
      <c r="E58" t="b">
        <v>0</v>
      </c>
      <c r="F58" t="b">
        <v>0</v>
      </c>
      <c r="G58">
        <v>51053</v>
      </c>
      <c r="H58" t="s">
        <v>6165</v>
      </c>
      <c r="I58">
        <v>0</v>
      </c>
    </row>
    <row r="59" spans="1:9">
      <c r="A59">
        <v>58</v>
      </c>
      <c r="B59" t="s">
        <v>6175</v>
      </c>
      <c r="E59" t="b">
        <v>0</v>
      </c>
      <c r="F59" t="b">
        <v>1</v>
      </c>
      <c r="G59">
        <v>51054</v>
      </c>
      <c r="H59" t="s">
        <v>6165</v>
      </c>
      <c r="I59">
        <v>0</v>
      </c>
    </row>
    <row r="60" spans="1:9">
      <c r="A60">
        <v>59</v>
      </c>
      <c r="B60" t="s">
        <v>6176</v>
      </c>
      <c r="E60" t="b">
        <v>0</v>
      </c>
      <c r="F60" t="b">
        <v>1</v>
      </c>
      <c r="G60">
        <v>51055</v>
      </c>
      <c r="H60" t="s">
        <v>6165</v>
      </c>
      <c r="I60">
        <v>0</v>
      </c>
    </row>
    <row r="61" spans="1:9">
      <c r="A61">
        <v>60</v>
      </c>
      <c r="B61" t="s">
        <v>6169</v>
      </c>
      <c r="E61" t="b">
        <v>0</v>
      </c>
      <c r="F61" t="b">
        <v>1</v>
      </c>
      <c r="G61">
        <v>51056</v>
      </c>
      <c r="H61" t="s">
        <v>6165</v>
      </c>
      <c r="I61">
        <v>0</v>
      </c>
    </row>
    <row r="62" spans="1:9">
      <c r="A62">
        <v>61</v>
      </c>
      <c r="B62" t="s">
        <v>6171</v>
      </c>
      <c r="E62" t="b">
        <v>0</v>
      </c>
      <c r="F62" t="b">
        <v>1</v>
      </c>
      <c r="G62">
        <v>51057</v>
      </c>
      <c r="H62" t="s">
        <v>6165</v>
      </c>
      <c r="I62">
        <v>0</v>
      </c>
    </row>
    <row r="63" spans="1:9">
      <c r="A63">
        <v>62</v>
      </c>
      <c r="B63" t="s">
        <v>6179</v>
      </c>
      <c r="E63" t="b">
        <v>0</v>
      </c>
      <c r="F63" t="b">
        <v>1</v>
      </c>
      <c r="G63">
        <v>51058</v>
      </c>
      <c r="H63" t="s">
        <v>6177</v>
      </c>
      <c r="I63">
        <v>0</v>
      </c>
    </row>
    <row r="64" spans="1:9">
      <c r="A64">
        <v>63</v>
      </c>
      <c r="B64" t="s">
        <v>6178</v>
      </c>
      <c r="E64" t="b">
        <v>0</v>
      </c>
      <c r="F64" t="b">
        <v>1</v>
      </c>
      <c r="G64">
        <v>51059</v>
      </c>
      <c r="H64" t="s">
        <v>6177</v>
      </c>
      <c r="I64">
        <v>0</v>
      </c>
    </row>
    <row r="65" spans="1:13">
      <c r="A65">
        <v>64</v>
      </c>
      <c r="B65" t="s">
        <v>6180</v>
      </c>
      <c r="E65" t="b">
        <v>0</v>
      </c>
      <c r="F65" t="b">
        <v>1</v>
      </c>
      <c r="G65">
        <v>51060</v>
      </c>
      <c r="H65" t="s">
        <v>6177</v>
      </c>
      <c r="I65">
        <v>0</v>
      </c>
      <c r="M65">
        <f>238-21</f>
        <v>217</v>
      </c>
    </row>
    <row r="66" spans="1:13">
      <c r="A66">
        <v>65</v>
      </c>
      <c r="B66" t="s">
        <v>6182</v>
      </c>
      <c r="E66" t="b">
        <v>0</v>
      </c>
      <c r="F66" t="b">
        <v>1</v>
      </c>
      <c r="G66">
        <v>51061</v>
      </c>
      <c r="H66" t="s">
        <v>6177</v>
      </c>
      <c r="I66">
        <v>0</v>
      </c>
      <c r="M66">
        <f>76+M65</f>
        <v>293</v>
      </c>
    </row>
    <row r="67" spans="1:13">
      <c r="A67">
        <v>66</v>
      </c>
      <c r="B67" t="s">
        <v>6181</v>
      </c>
      <c r="E67" t="b">
        <v>0</v>
      </c>
      <c r="F67" t="b">
        <v>1</v>
      </c>
      <c r="G67">
        <v>51062</v>
      </c>
      <c r="H67" t="s">
        <v>6177</v>
      </c>
      <c r="I67">
        <v>0</v>
      </c>
    </row>
    <row r="68" spans="1:13">
      <c r="A68">
        <v>67</v>
      </c>
      <c r="B68" t="s">
        <v>6215</v>
      </c>
      <c r="E68" t="b">
        <v>0</v>
      </c>
      <c r="F68" t="b">
        <v>1</v>
      </c>
      <c r="G68">
        <v>51063</v>
      </c>
      <c r="H68" t="s">
        <v>6165</v>
      </c>
      <c r="I68">
        <v>0</v>
      </c>
    </row>
    <row r="69" spans="1:13">
      <c r="A69">
        <v>68</v>
      </c>
      <c r="B69" t="s">
        <v>6298</v>
      </c>
      <c r="E69" t="b">
        <v>0</v>
      </c>
      <c r="F69" t="b">
        <v>1</v>
      </c>
      <c r="G69">
        <v>51064</v>
      </c>
      <c r="H69" t="s">
        <v>6296</v>
      </c>
      <c r="I69">
        <v>0</v>
      </c>
    </row>
    <row r="70" spans="1:13">
      <c r="A70">
        <v>69</v>
      </c>
      <c r="B70" t="s">
        <v>6307</v>
      </c>
      <c r="E70" t="b">
        <v>0</v>
      </c>
      <c r="F70" t="b">
        <v>1</v>
      </c>
      <c r="G70">
        <v>51065</v>
      </c>
      <c r="H70" t="s">
        <v>6306</v>
      </c>
      <c r="I70">
        <v>0</v>
      </c>
    </row>
    <row r="71" spans="1:13">
      <c r="A71">
        <v>70</v>
      </c>
      <c r="B71" t="s">
        <v>6308</v>
      </c>
      <c r="E71" t="b">
        <v>0</v>
      </c>
      <c r="F71" t="b">
        <v>1</v>
      </c>
      <c r="G71">
        <v>51066</v>
      </c>
      <c r="H71" t="s">
        <v>6306</v>
      </c>
      <c r="I71">
        <v>0</v>
      </c>
    </row>
    <row r="72" spans="1:13">
      <c r="A72">
        <v>71</v>
      </c>
      <c r="B72" t="s">
        <v>6309</v>
      </c>
      <c r="E72" t="b">
        <v>0</v>
      </c>
      <c r="F72" t="b">
        <v>1</v>
      </c>
      <c r="G72">
        <v>51067</v>
      </c>
      <c r="H72" t="s">
        <v>6306</v>
      </c>
      <c r="I72">
        <v>0</v>
      </c>
    </row>
    <row r="73" spans="1:13">
      <c r="A73">
        <v>72</v>
      </c>
      <c r="B73" t="s">
        <v>6315</v>
      </c>
      <c r="E73" t="b">
        <v>0</v>
      </c>
      <c r="F73" t="b">
        <v>1</v>
      </c>
      <c r="G73">
        <v>51068</v>
      </c>
      <c r="H73" t="s">
        <v>6316</v>
      </c>
      <c r="I73">
        <v>0</v>
      </c>
    </row>
    <row r="74" spans="1:13">
      <c r="A74">
        <v>73</v>
      </c>
      <c r="B74" t="s">
        <v>6323</v>
      </c>
      <c r="E74" t="b">
        <v>1</v>
      </c>
      <c r="F74" t="b">
        <v>1</v>
      </c>
      <c r="G74">
        <v>51069</v>
      </c>
      <c r="H74" t="s">
        <v>6322</v>
      </c>
      <c r="I74">
        <v>0</v>
      </c>
    </row>
    <row r="75" spans="1:13">
      <c r="A75">
        <v>74</v>
      </c>
      <c r="B75" t="s">
        <v>6324</v>
      </c>
      <c r="E75" t="b">
        <v>1</v>
      </c>
      <c r="F75" t="b">
        <v>1</v>
      </c>
      <c r="G75">
        <v>51070</v>
      </c>
      <c r="H75" t="s">
        <v>6322</v>
      </c>
      <c r="I75">
        <v>0</v>
      </c>
    </row>
    <row r="76" spans="1:13">
      <c r="A76">
        <v>75</v>
      </c>
      <c r="B76" t="s">
        <v>6340</v>
      </c>
      <c r="E76" t="b">
        <v>0</v>
      </c>
      <c r="F76" t="b">
        <v>0</v>
      </c>
      <c r="G76">
        <v>51071</v>
      </c>
      <c r="H76" t="s">
        <v>6341</v>
      </c>
      <c r="I76">
        <v>0</v>
      </c>
    </row>
    <row r="77" spans="1:13">
      <c r="A77">
        <v>76</v>
      </c>
      <c r="B77" t="s">
        <v>6339</v>
      </c>
      <c r="E77" t="b">
        <v>0</v>
      </c>
      <c r="F77" t="b">
        <v>0</v>
      </c>
      <c r="G77">
        <v>51072</v>
      </c>
      <c r="H77" t="s">
        <v>6341</v>
      </c>
      <c r="I77">
        <v>0</v>
      </c>
    </row>
    <row r="78" spans="1:13">
      <c r="A78">
        <v>77</v>
      </c>
      <c r="B78" t="s">
        <v>6338</v>
      </c>
      <c r="E78" t="b">
        <v>0</v>
      </c>
      <c r="F78" t="b">
        <v>0</v>
      </c>
      <c r="G78">
        <v>51073</v>
      </c>
      <c r="H78" t="s">
        <v>6341</v>
      </c>
      <c r="I78">
        <v>0</v>
      </c>
    </row>
    <row r="79" spans="1:13">
      <c r="A79">
        <v>78</v>
      </c>
      <c r="B79" t="s">
        <v>6342</v>
      </c>
      <c r="E79" t="b">
        <v>0</v>
      </c>
      <c r="F79" t="b">
        <v>0</v>
      </c>
      <c r="G79">
        <v>51074</v>
      </c>
      <c r="H79" t="s">
        <v>6341</v>
      </c>
      <c r="I79">
        <v>0</v>
      </c>
    </row>
    <row r="80" spans="1:13">
      <c r="A80">
        <v>79</v>
      </c>
      <c r="B80" t="s">
        <v>6359</v>
      </c>
      <c r="E80" t="b">
        <v>0</v>
      </c>
      <c r="F80" t="b">
        <v>1</v>
      </c>
      <c r="G80">
        <v>51075</v>
      </c>
      <c r="H80" t="s">
        <v>6360</v>
      </c>
      <c r="I80">
        <v>0</v>
      </c>
    </row>
    <row r="81" spans="1:9">
      <c r="A81">
        <v>80</v>
      </c>
      <c r="B81" t="s">
        <v>6366</v>
      </c>
      <c r="E81" t="b">
        <v>0</v>
      </c>
      <c r="F81" t="b">
        <v>1</v>
      </c>
      <c r="G81">
        <v>51076</v>
      </c>
      <c r="H81" t="s">
        <v>6341</v>
      </c>
      <c r="I81">
        <v>0</v>
      </c>
    </row>
    <row r="82" spans="1:9">
      <c r="A82">
        <v>81</v>
      </c>
      <c r="B82" t="s">
        <v>7044</v>
      </c>
      <c r="E82" t="b">
        <v>0</v>
      </c>
      <c r="F82" t="b">
        <v>1</v>
      </c>
      <c r="G82">
        <v>51077</v>
      </c>
      <c r="H82" t="s">
        <v>6177</v>
      </c>
      <c r="I82">
        <v>0</v>
      </c>
    </row>
    <row r="83" spans="1:9">
      <c r="A83">
        <v>82</v>
      </c>
      <c r="B83" t="s">
        <v>7048</v>
      </c>
      <c r="E83" t="b">
        <v>0</v>
      </c>
      <c r="F83" t="b">
        <v>1</v>
      </c>
      <c r="G83">
        <v>51078</v>
      </c>
      <c r="H83" t="s">
        <v>6306</v>
      </c>
      <c r="I83">
        <v>0</v>
      </c>
    </row>
    <row r="84" spans="1:9">
      <c r="A84">
        <v>83</v>
      </c>
      <c r="B84" t="s">
        <v>7229</v>
      </c>
      <c r="E84" t="b">
        <v>0</v>
      </c>
      <c r="F84" t="b">
        <v>1</v>
      </c>
      <c r="G84">
        <v>51079</v>
      </c>
      <c r="H84" t="s">
        <v>7228</v>
      </c>
      <c r="I84">
        <v>0</v>
      </c>
    </row>
    <row r="85" spans="1:9">
      <c r="A85">
        <v>84</v>
      </c>
      <c r="B85" t="s">
        <v>7230</v>
      </c>
      <c r="E85" t="b">
        <v>0</v>
      </c>
      <c r="F85" t="b">
        <v>1</v>
      </c>
      <c r="G85">
        <v>51080</v>
      </c>
      <c r="H85" t="s">
        <v>7228</v>
      </c>
      <c r="I85">
        <v>0</v>
      </c>
    </row>
    <row r="86" spans="1:9">
      <c r="A86">
        <v>85</v>
      </c>
      <c r="B86" t="s">
        <v>7231</v>
      </c>
      <c r="E86" t="b">
        <v>0</v>
      </c>
      <c r="F86" t="b">
        <v>1</v>
      </c>
      <c r="G86">
        <v>51081</v>
      </c>
      <c r="H86" t="s">
        <v>7228</v>
      </c>
      <c r="I86">
        <v>0</v>
      </c>
    </row>
    <row r="87" spans="1:9">
      <c r="A87">
        <v>86</v>
      </c>
      <c r="B87" t="s">
        <v>7232</v>
      </c>
      <c r="E87" t="b">
        <v>0</v>
      </c>
      <c r="F87" t="b">
        <v>1</v>
      </c>
      <c r="G87">
        <v>51082</v>
      </c>
      <c r="H87" t="s">
        <v>7228</v>
      </c>
      <c r="I87">
        <v>0</v>
      </c>
    </row>
    <row r="88" spans="1:9">
      <c r="A88">
        <v>87</v>
      </c>
      <c r="B88" t="s">
        <v>7233</v>
      </c>
      <c r="E88" t="b">
        <v>0</v>
      </c>
      <c r="F88" t="b">
        <v>1</v>
      </c>
      <c r="G88">
        <v>51083</v>
      </c>
      <c r="H88" t="s">
        <v>7228</v>
      </c>
      <c r="I88">
        <v>0</v>
      </c>
    </row>
    <row r="89" spans="1:9">
      <c r="A89">
        <v>88</v>
      </c>
      <c r="B89" t="s">
        <v>7234</v>
      </c>
      <c r="E89" t="b">
        <v>0</v>
      </c>
      <c r="F89" t="b">
        <v>1</v>
      </c>
      <c r="G89">
        <v>51084</v>
      </c>
      <c r="H89" t="s">
        <v>7228</v>
      </c>
      <c r="I89">
        <v>0</v>
      </c>
    </row>
    <row r="91" spans="1:9">
      <c r="B91" s="16"/>
    </row>
    <row r="92" spans="1:9">
      <c r="B92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9CDE-F68A-41B5-B842-8DAA438116F9}">
  <sheetPr codeName="Sheet10"/>
  <dimension ref="A1:K16"/>
  <sheetViews>
    <sheetView tabSelected="1" workbookViewId="0">
      <selection activeCell="D6" sqref="D6"/>
    </sheetView>
  </sheetViews>
  <sheetFormatPr defaultRowHeight="14.25"/>
  <cols>
    <col min="1" max="1" width="5" bestFit="1" customWidth="1"/>
    <col min="2" max="2" width="19.1328125" bestFit="1" customWidth="1"/>
    <col min="3" max="3" width="28" bestFit="1" customWidth="1"/>
    <col min="4" max="4" width="26" bestFit="1" customWidth="1"/>
    <col min="5" max="5" width="6.86328125" bestFit="1" customWidth="1"/>
    <col min="6" max="6" width="19.265625" bestFit="1" customWidth="1"/>
    <col min="7" max="7" width="16.86328125" bestFit="1" customWidth="1"/>
    <col min="8" max="8" width="18" bestFit="1" customWidth="1"/>
    <col min="9" max="9" width="16.1328125" hidden="1" customWidth="1"/>
    <col min="10" max="10" width="19.265625" bestFit="1" customWidth="1"/>
    <col min="11" max="11" width="5.86328125" bestFit="1" customWidth="1"/>
  </cols>
  <sheetData>
    <row r="1" spans="1:11">
      <c r="A1" t="s">
        <v>0</v>
      </c>
      <c r="B1" t="s">
        <v>3028</v>
      </c>
      <c r="C1" t="s">
        <v>3044</v>
      </c>
      <c r="D1" t="s">
        <v>3045</v>
      </c>
      <c r="E1" t="s">
        <v>1360</v>
      </c>
      <c r="F1" t="s">
        <v>12</v>
      </c>
      <c r="G1" t="s">
        <v>3046</v>
      </c>
      <c r="H1" t="s">
        <v>879</v>
      </c>
      <c r="I1" t="s">
        <v>3025</v>
      </c>
      <c r="J1" t="s">
        <v>3026</v>
      </c>
      <c r="K1" t="s">
        <v>3027</v>
      </c>
    </row>
    <row r="2" spans="1:11">
      <c r="A2">
        <v>1000</v>
      </c>
      <c r="B2" t="s">
        <v>3040</v>
      </c>
      <c r="C2">
        <v>13550</v>
      </c>
      <c r="D2">
        <v>14950</v>
      </c>
      <c r="E2">
        <v>4</v>
      </c>
      <c r="F2" t="s">
        <v>2459</v>
      </c>
      <c r="G2">
        <v>401</v>
      </c>
      <c r="I2" t="s">
        <v>1646</v>
      </c>
      <c r="J2" t="s">
        <v>2459</v>
      </c>
      <c r="K2">
        <v>0</v>
      </c>
    </row>
    <row r="3" spans="1:11">
      <c r="A3">
        <v>1010</v>
      </c>
      <c r="B3" t="s">
        <v>3041</v>
      </c>
      <c r="C3">
        <v>13550</v>
      </c>
      <c r="D3">
        <v>14950</v>
      </c>
      <c r="E3">
        <v>1</v>
      </c>
      <c r="F3" t="s">
        <v>2460</v>
      </c>
      <c r="G3">
        <v>100</v>
      </c>
      <c r="I3" t="s">
        <v>1646</v>
      </c>
      <c r="J3" t="s">
        <v>2460</v>
      </c>
      <c r="K3">
        <v>0</v>
      </c>
    </row>
    <row r="4" spans="1:11">
      <c r="A4">
        <v>1020</v>
      </c>
      <c r="B4" t="s">
        <v>3042</v>
      </c>
      <c r="C4">
        <v>13550</v>
      </c>
      <c r="D4">
        <v>14950</v>
      </c>
      <c r="E4">
        <v>2</v>
      </c>
      <c r="F4" t="s">
        <v>923</v>
      </c>
      <c r="G4">
        <v>200</v>
      </c>
      <c r="I4" t="s">
        <v>1646</v>
      </c>
      <c r="J4" t="s">
        <v>923</v>
      </c>
      <c r="K4">
        <v>0</v>
      </c>
    </row>
    <row r="5" spans="1:11">
      <c r="A5">
        <v>1030</v>
      </c>
      <c r="B5" t="s">
        <v>3043</v>
      </c>
      <c r="C5">
        <v>13550</v>
      </c>
      <c r="D5">
        <v>14950</v>
      </c>
      <c r="E5">
        <v>3</v>
      </c>
      <c r="F5" t="s">
        <v>101</v>
      </c>
      <c r="G5">
        <v>321</v>
      </c>
      <c r="I5" t="s">
        <v>1646</v>
      </c>
      <c r="J5" t="s">
        <v>101</v>
      </c>
      <c r="K5">
        <v>0</v>
      </c>
    </row>
    <row r="6" spans="1:11">
      <c r="A6">
        <v>1040</v>
      </c>
      <c r="B6" t="s">
        <v>3029</v>
      </c>
      <c r="C6">
        <v>13210</v>
      </c>
      <c r="D6">
        <v>13210</v>
      </c>
      <c r="E6">
        <v>2</v>
      </c>
      <c r="F6" t="s">
        <v>2461</v>
      </c>
      <c r="G6">
        <v>200</v>
      </c>
      <c r="I6" t="s">
        <v>1700</v>
      </c>
      <c r="J6" t="s">
        <v>2461</v>
      </c>
      <c r="K6">
        <v>0</v>
      </c>
    </row>
    <row r="7" spans="1:11">
      <c r="A7">
        <v>1050</v>
      </c>
      <c r="B7" t="s">
        <v>3030</v>
      </c>
      <c r="C7">
        <v>13210</v>
      </c>
      <c r="D7">
        <v>13210</v>
      </c>
      <c r="E7">
        <v>1</v>
      </c>
      <c r="F7" t="s">
        <v>2462</v>
      </c>
      <c r="G7">
        <v>503</v>
      </c>
      <c r="I7" t="s">
        <v>1700</v>
      </c>
      <c r="J7" t="s">
        <v>2462</v>
      </c>
      <c r="K7">
        <v>0</v>
      </c>
    </row>
    <row r="8" spans="1:11">
      <c r="A8">
        <v>1060</v>
      </c>
      <c r="B8" t="s">
        <v>3031</v>
      </c>
      <c r="C8">
        <v>13210</v>
      </c>
      <c r="D8">
        <v>13210</v>
      </c>
      <c r="E8">
        <v>3</v>
      </c>
      <c r="F8" t="s">
        <v>2463</v>
      </c>
      <c r="G8">
        <v>207</v>
      </c>
      <c r="I8" t="s">
        <v>1700</v>
      </c>
      <c r="J8" t="s">
        <v>2463</v>
      </c>
      <c r="K8">
        <v>0</v>
      </c>
    </row>
    <row r="9" spans="1:11">
      <c r="A9">
        <v>1070</v>
      </c>
      <c r="B9" t="s">
        <v>3032</v>
      </c>
      <c r="C9">
        <v>11350</v>
      </c>
      <c r="D9">
        <v>11350</v>
      </c>
      <c r="E9">
        <v>1</v>
      </c>
      <c r="F9" t="s">
        <v>2464</v>
      </c>
      <c r="I9" t="s">
        <v>3024</v>
      </c>
      <c r="J9" t="s">
        <v>2464</v>
      </c>
      <c r="K9">
        <v>0</v>
      </c>
    </row>
    <row r="10" spans="1:11">
      <c r="A10">
        <v>1080</v>
      </c>
      <c r="B10" t="s">
        <v>3033</v>
      </c>
      <c r="C10">
        <v>11350</v>
      </c>
      <c r="D10">
        <v>11350</v>
      </c>
      <c r="E10">
        <v>3</v>
      </c>
      <c r="F10" t="s">
        <v>923</v>
      </c>
      <c r="G10">
        <v>200</v>
      </c>
      <c r="I10" t="s">
        <v>3024</v>
      </c>
      <c r="J10" t="s">
        <v>923</v>
      </c>
      <c r="K10">
        <v>0</v>
      </c>
    </row>
    <row r="11" spans="1:11">
      <c r="A11">
        <v>1090</v>
      </c>
      <c r="B11" t="s">
        <v>3034</v>
      </c>
      <c r="C11">
        <v>11350</v>
      </c>
      <c r="D11">
        <v>11350</v>
      </c>
      <c r="E11">
        <v>5</v>
      </c>
      <c r="F11" t="s">
        <v>2465</v>
      </c>
      <c r="G11">
        <v>100</v>
      </c>
      <c r="H11" t="s">
        <v>2466</v>
      </c>
      <c r="I11" t="s">
        <v>3024</v>
      </c>
      <c r="J11" t="s">
        <v>2465</v>
      </c>
      <c r="K11">
        <v>0</v>
      </c>
    </row>
    <row r="12" spans="1:11">
      <c r="A12">
        <v>1100</v>
      </c>
      <c r="B12" t="s">
        <v>3035</v>
      </c>
      <c r="C12">
        <v>11350</v>
      </c>
      <c r="D12">
        <v>11350</v>
      </c>
      <c r="E12">
        <v>4</v>
      </c>
      <c r="F12" t="s">
        <v>2467</v>
      </c>
      <c r="G12">
        <v>100</v>
      </c>
      <c r="H12" t="s">
        <v>2468</v>
      </c>
      <c r="I12" t="s">
        <v>3024</v>
      </c>
      <c r="J12" t="s">
        <v>2467</v>
      </c>
      <c r="K12">
        <v>0</v>
      </c>
    </row>
    <row r="13" spans="1:11">
      <c r="A13">
        <v>1110</v>
      </c>
      <c r="B13" t="s">
        <v>3036</v>
      </c>
      <c r="C13">
        <v>11190</v>
      </c>
      <c r="D13">
        <v>10060</v>
      </c>
      <c r="E13">
        <v>1</v>
      </c>
      <c r="F13" t="s">
        <v>2460</v>
      </c>
      <c r="G13">
        <v>100</v>
      </c>
      <c r="I13" t="s">
        <v>1715</v>
      </c>
      <c r="J13" t="s">
        <v>138</v>
      </c>
      <c r="K13">
        <v>0</v>
      </c>
    </row>
    <row r="14" spans="1:11">
      <c r="A14">
        <v>1120</v>
      </c>
      <c r="B14" t="s">
        <v>3037</v>
      </c>
      <c r="C14">
        <v>11190</v>
      </c>
      <c r="D14">
        <v>10060</v>
      </c>
      <c r="E14">
        <v>2</v>
      </c>
      <c r="F14" t="s">
        <v>923</v>
      </c>
      <c r="G14">
        <v>200</v>
      </c>
      <c r="I14" t="s">
        <v>1715</v>
      </c>
      <c r="J14" t="s">
        <v>146</v>
      </c>
      <c r="K14">
        <v>0</v>
      </c>
    </row>
    <row r="15" spans="1:11">
      <c r="A15">
        <v>1130</v>
      </c>
      <c r="B15" t="s">
        <v>3038</v>
      </c>
      <c r="C15">
        <v>11180</v>
      </c>
      <c r="D15">
        <v>10050</v>
      </c>
      <c r="E15">
        <v>1</v>
      </c>
      <c r="F15" t="s">
        <v>2460</v>
      </c>
      <c r="G15">
        <v>100</v>
      </c>
      <c r="K15">
        <v>0</v>
      </c>
    </row>
    <row r="16" spans="1:11">
      <c r="A16">
        <v>1140</v>
      </c>
      <c r="B16" t="s">
        <v>3039</v>
      </c>
      <c r="C16">
        <v>11180</v>
      </c>
      <c r="D16">
        <v>10050</v>
      </c>
      <c r="E16">
        <v>2</v>
      </c>
      <c r="F16" t="s">
        <v>923</v>
      </c>
      <c r="G16">
        <v>200</v>
      </c>
      <c r="K16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4AA08-A983-44AF-A2AA-A07ECF9CA780}">
  <sheetPr codeName="Sheet3"/>
  <dimension ref="A1:AB280"/>
  <sheetViews>
    <sheetView workbookViewId="0">
      <selection activeCell="E26" sqref="E26"/>
    </sheetView>
  </sheetViews>
  <sheetFormatPr defaultRowHeight="14.25"/>
  <cols>
    <col min="1" max="1" width="4" bestFit="1" customWidth="1"/>
    <col min="2" max="2" width="10.3984375" bestFit="1" customWidth="1"/>
    <col min="3" max="3" width="26.3984375" bestFit="1" customWidth="1"/>
    <col min="4" max="4" width="26.3984375" customWidth="1"/>
    <col min="5" max="7" width="50.73046875" customWidth="1"/>
    <col min="8" max="8" width="7.3984375" bestFit="1" customWidth="1"/>
    <col min="9" max="9" width="7.73046875" bestFit="1" customWidth="1"/>
    <col min="10" max="10" width="6.73046875" bestFit="1" customWidth="1"/>
    <col min="11" max="11" width="32.59765625" bestFit="1" customWidth="1"/>
    <col min="12" max="12" width="10" bestFit="1" customWidth="1"/>
    <col min="13" max="13" width="9.59765625" bestFit="1" customWidth="1"/>
    <col min="14" max="14" width="7.1328125" bestFit="1" customWidth="1"/>
    <col min="15" max="15" width="8.59765625" bestFit="1" customWidth="1"/>
    <col min="16" max="16" width="16.73046875" bestFit="1" customWidth="1"/>
    <col min="17" max="17" width="13" bestFit="1" customWidth="1"/>
    <col min="18" max="18" width="45.1328125" bestFit="1" customWidth="1"/>
    <col min="19" max="19" width="12.86328125" bestFit="1" customWidth="1"/>
    <col min="20" max="20" width="10.86328125" bestFit="1" customWidth="1"/>
    <col min="21" max="21" width="9" bestFit="1" customWidth="1"/>
    <col min="22" max="22" width="66.59765625" bestFit="1" customWidth="1"/>
    <col min="23" max="23" width="7.3984375" bestFit="1" customWidth="1"/>
    <col min="24" max="24" width="9.265625" bestFit="1" customWidth="1"/>
    <col min="25" max="25" width="10.59765625" bestFit="1" customWidth="1"/>
    <col min="26" max="26" width="8" bestFit="1" customWidth="1"/>
    <col min="27" max="27" width="13.86328125" bestFit="1" customWidth="1"/>
    <col min="28" max="28" width="17.1328125" bestFit="1" customWidth="1"/>
  </cols>
  <sheetData>
    <row r="1" spans="1:28">
      <c r="B1" t="s">
        <v>1547</v>
      </c>
      <c r="C1" t="s">
        <v>1548</v>
      </c>
      <c r="F1" t="s">
        <v>14</v>
      </c>
      <c r="G1" t="s">
        <v>2388</v>
      </c>
      <c r="H1" t="s">
        <v>1549</v>
      </c>
      <c r="I1" t="s">
        <v>1550</v>
      </c>
      <c r="J1" t="s">
        <v>1551</v>
      </c>
      <c r="K1" t="s">
        <v>1552</v>
      </c>
      <c r="L1" t="s">
        <v>1553</v>
      </c>
      <c r="M1" t="s">
        <v>1554</v>
      </c>
      <c r="N1" t="s">
        <v>1555</v>
      </c>
      <c r="O1" t="s">
        <v>1556</v>
      </c>
      <c r="P1" t="s">
        <v>1557</v>
      </c>
      <c r="Q1" t="s">
        <v>1558</v>
      </c>
      <c r="R1" t="s">
        <v>1559</v>
      </c>
      <c r="S1" t="s">
        <v>1560</v>
      </c>
      <c r="T1" t="s">
        <v>1561</v>
      </c>
      <c r="U1" t="s">
        <v>1562</v>
      </c>
      <c r="V1" t="s">
        <v>1563</v>
      </c>
      <c r="W1" t="s">
        <v>1564</v>
      </c>
      <c r="X1" t="s">
        <v>1565</v>
      </c>
      <c r="Y1" t="s">
        <v>1566</v>
      </c>
      <c r="Z1" t="s">
        <v>1567</v>
      </c>
      <c r="AA1" t="s">
        <v>1568</v>
      </c>
      <c r="AB1" t="s">
        <v>1569</v>
      </c>
    </row>
    <row r="2" spans="1:28">
      <c r="A2">
        <v>2</v>
      </c>
      <c r="B2">
        <v>3650</v>
      </c>
      <c r="C2" t="s">
        <v>98</v>
      </c>
      <c r="D2">
        <v>10070</v>
      </c>
      <c r="E2" t="s">
        <v>2185</v>
      </c>
      <c r="F2" t="s">
        <v>2383</v>
      </c>
      <c r="H2" t="s">
        <v>1570</v>
      </c>
      <c r="I2">
        <v>4</v>
      </c>
      <c r="J2">
        <v>1</v>
      </c>
      <c r="K2" t="s">
        <v>1571</v>
      </c>
      <c r="L2">
        <v>1</v>
      </c>
      <c r="N2" t="s">
        <v>919</v>
      </c>
      <c r="O2" t="s">
        <v>1572</v>
      </c>
      <c r="P2" t="s">
        <v>1573</v>
      </c>
      <c r="R2" t="s">
        <v>1574</v>
      </c>
      <c r="S2">
        <v>15</v>
      </c>
      <c r="X2">
        <v>0</v>
      </c>
    </row>
    <row r="3" spans="1:28">
      <c r="A3">
        <v>3</v>
      </c>
      <c r="B3">
        <v>8109</v>
      </c>
      <c r="C3" t="s">
        <v>98</v>
      </c>
      <c r="D3">
        <v>10170</v>
      </c>
      <c r="E3" t="s">
        <v>2186</v>
      </c>
      <c r="F3" t="s">
        <v>2386</v>
      </c>
      <c r="H3" t="s">
        <v>1570</v>
      </c>
      <c r="I3">
        <v>5</v>
      </c>
      <c r="J3">
        <v>1</v>
      </c>
      <c r="K3" t="s">
        <v>1575</v>
      </c>
      <c r="L3">
        <v>2</v>
      </c>
      <c r="N3" t="s">
        <v>919</v>
      </c>
      <c r="O3" t="s">
        <v>1576</v>
      </c>
      <c r="P3" t="s">
        <v>1577</v>
      </c>
      <c r="R3" t="s">
        <v>1578</v>
      </c>
      <c r="S3">
        <v>15</v>
      </c>
      <c r="X3">
        <v>0</v>
      </c>
    </row>
    <row r="4" spans="1:28">
      <c r="A4">
        <v>4</v>
      </c>
      <c r="B4">
        <v>14999</v>
      </c>
      <c r="C4" t="s">
        <v>98</v>
      </c>
      <c r="D4">
        <v>10080</v>
      </c>
      <c r="E4" t="s">
        <v>2385</v>
      </c>
      <c r="F4" t="s">
        <v>2384</v>
      </c>
      <c r="H4" t="s">
        <v>1570</v>
      </c>
      <c r="I4">
        <v>6</v>
      </c>
      <c r="J4">
        <v>1</v>
      </c>
      <c r="K4" t="s">
        <v>1579</v>
      </c>
      <c r="L4">
        <v>4</v>
      </c>
      <c r="N4" t="s">
        <v>919</v>
      </c>
      <c r="O4" t="s">
        <v>1572</v>
      </c>
      <c r="P4" t="s">
        <v>1573</v>
      </c>
      <c r="R4" t="s">
        <v>1580</v>
      </c>
      <c r="S4">
        <v>15</v>
      </c>
      <c r="X4">
        <v>0</v>
      </c>
    </row>
    <row r="5" spans="1:28">
      <c r="A5">
        <v>5</v>
      </c>
      <c r="B5">
        <v>3652</v>
      </c>
      <c r="C5" t="s">
        <v>98</v>
      </c>
      <c r="D5">
        <v>10040</v>
      </c>
      <c r="E5" t="s">
        <v>2187</v>
      </c>
      <c r="F5" t="s">
        <v>2387</v>
      </c>
      <c r="H5" t="s">
        <v>1570</v>
      </c>
      <c r="I5">
        <v>7</v>
      </c>
      <c r="J5">
        <v>1</v>
      </c>
      <c r="K5" t="s">
        <v>1581</v>
      </c>
      <c r="L5">
        <v>5</v>
      </c>
      <c r="N5" t="s">
        <v>919</v>
      </c>
      <c r="O5" t="s">
        <v>1582</v>
      </c>
      <c r="P5" t="s">
        <v>1583</v>
      </c>
      <c r="R5" t="s">
        <v>1584</v>
      </c>
      <c r="S5">
        <v>15</v>
      </c>
      <c r="X5">
        <v>0</v>
      </c>
    </row>
    <row r="6" spans="1:28">
      <c r="A6">
        <v>6</v>
      </c>
      <c r="B6">
        <v>3658</v>
      </c>
      <c r="C6" t="s">
        <v>98</v>
      </c>
      <c r="H6" t="s">
        <v>1570</v>
      </c>
      <c r="I6">
        <v>7</v>
      </c>
      <c r="J6">
        <v>32</v>
      </c>
      <c r="L6">
        <v>6</v>
      </c>
      <c r="N6" t="s">
        <v>92</v>
      </c>
      <c r="O6" t="s">
        <v>1585</v>
      </c>
      <c r="P6" t="s">
        <v>1586</v>
      </c>
      <c r="R6" t="s">
        <v>1587</v>
      </c>
      <c r="S6">
        <v>10</v>
      </c>
      <c r="X6">
        <v>0</v>
      </c>
    </row>
    <row r="7" spans="1:28">
      <c r="A7">
        <v>7</v>
      </c>
      <c r="B7">
        <v>3651</v>
      </c>
      <c r="C7" t="s">
        <v>98</v>
      </c>
      <c r="D7">
        <v>10110</v>
      </c>
      <c r="E7" t="s">
        <v>2188</v>
      </c>
      <c r="H7" t="s">
        <v>1588</v>
      </c>
      <c r="I7">
        <v>8</v>
      </c>
      <c r="J7">
        <v>1</v>
      </c>
      <c r="K7" t="s">
        <v>1589</v>
      </c>
      <c r="L7">
        <v>7</v>
      </c>
      <c r="N7" t="s">
        <v>919</v>
      </c>
      <c r="S7">
        <v>0</v>
      </c>
      <c r="X7">
        <v>0</v>
      </c>
    </row>
    <row r="8" spans="1:28">
      <c r="A8">
        <v>8</v>
      </c>
      <c r="B8">
        <v>3653</v>
      </c>
      <c r="C8" t="s">
        <v>98</v>
      </c>
      <c r="D8">
        <v>10030</v>
      </c>
      <c r="E8" t="s">
        <v>2189</v>
      </c>
      <c r="H8" t="s">
        <v>1590</v>
      </c>
      <c r="I8">
        <v>10</v>
      </c>
      <c r="J8">
        <v>1</v>
      </c>
      <c r="K8" t="s">
        <v>1591</v>
      </c>
      <c r="L8">
        <v>8</v>
      </c>
      <c r="N8" t="s">
        <v>919</v>
      </c>
      <c r="O8" t="s">
        <v>136</v>
      </c>
      <c r="P8" t="s">
        <v>1592</v>
      </c>
      <c r="R8" t="s">
        <v>1593</v>
      </c>
      <c r="S8">
        <v>0</v>
      </c>
      <c r="X8">
        <v>0</v>
      </c>
    </row>
    <row r="9" spans="1:28">
      <c r="A9">
        <v>9</v>
      </c>
      <c r="B9">
        <v>5251</v>
      </c>
      <c r="C9" t="s">
        <v>98</v>
      </c>
      <c r="D9">
        <v>10020</v>
      </c>
      <c r="E9" t="s">
        <v>2190</v>
      </c>
      <c r="H9" t="s">
        <v>1590</v>
      </c>
      <c r="I9">
        <v>11</v>
      </c>
      <c r="J9">
        <v>1</v>
      </c>
      <c r="L9">
        <v>9</v>
      </c>
      <c r="N9" t="s">
        <v>92</v>
      </c>
      <c r="O9" t="s">
        <v>136</v>
      </c>
      <c r="P9" t="s">
        <v>1594</v>
      </c>
      <c r="R9" t="s">
        <v>1593</v>
      </c>
      <c r="S9">
        <v>0</v>
      </c>
      <c r="X9">
        <v>0</v>
      </c>
    </row>
    <row r="10" spans="1:28">
      <c r="A10">
        <v>10</v>
      </c>
      <c r="B10">
        <v>3660</v>
      </c>
      <c r="C10" t="s">
        <v>98</v>
      </c>
      <c r="D10">
        <v>10100</v>
      </c>
      <c r="E10" t="s">
        <v>2191</v>
      </c>
      <c r="H10" t="s">
        <v>1588</v>
      </c>
      <c r="I10">
        <v>11</v>
      </c>
      <c r="J10">
        <v>1</v>
      </c>
      <c r="L10">
        <v>10</v>
      </c>
      <c r="N10" t="s">
        <v>919</v>
      </c>
      <c r="S10">
        <v>0</v>
      </c>
      <c r="X10">
        <v>0</v>
      </c>
    </row>
    <row r="11" spans="1:28">
      <c r="A11">
        <v>11</v>
      </c>
      <c r="B11">
        <v>3656</v>
      </c>
      <c r="C11" t="s">
        <v>98</v>
      </c>
      <c r="D11">
        <v>10130</v>
      </c>
      <c r="E11" t="s">
        <v>2192</v>
      </c>
      <c r="H11" t="s">
        <v>1588</v>
      </c>
      <c r="I11">
        <v>10</v>
      </c>
      <c r="J11">
        <v>44</v>
      </c>
      <c r="L11">
        <v>11</v>
      </c>
      <c r="N11" t="s">
        <v>919</v>
      </c>
      <c r="S11">
        <v>0</v>
      </c>
      <c r="X11">
        <v>0</v>
      </c>
    </row>
    <row r="12" spans="1:28">
      <c r="A12">
        <v>12</v>
      </c>
      <c r="B12">
        <v>3659</v>
      </c>
      <c r="C12" t="s">
        <v>98</v>
      </c>
      <c r="D12">
        <v>10010</v>
      </c>
      <c r="E12" t="s">
        <v>2193</v>
      </c>
      <c r="H12" t="s">
        <v>1590</v>
      </c>
      <c r="I12">
        <v>11</v>
      </c>
      <c r="J12">
        <v>44</v>
      </c>
      <c r="K12" t="s">
        <v>1595</v>
      </c>
      <c r="L12">
        <v>12</v>
      </c>
      <c r="N12" t="s">
        <v>92</v>
      </c>
      <c r="O12" t="s">
        <v>136</v>
      </c>
      <c r="P12" t="s">
        <v>1596</v>
      </c>
      <c r="R12" t="s">
        <v>1593</v>
      </c>
      <c r="S12">
        <v>0</v>
      </c>
      <c r="V12" t="s">
        <v>1597</v>
      </c>
      <c r="X12">
        <v>0</v>
      </c>
    </row>
    <row r="13" spans="1:28">
      <c r="A13">
        <v>13</v>
      </c>
      <c r="B13">
        <v>59818</v>
      </c>
      <c r="C13" t="s">
        <v>98</v>
      </c>
      <c r="D13">
        <v>10090</v>
      </c>
      <c r="E13" t="s">
        <v>2194</v>
      </c>
      <c r="H13" t="s">
        <v>1598</v>
      </c>
      <c r="I13">
        <v>12</v>
      </c>
      <c r="J13">
        <v>2</v>
      </c>
      <c r="L13">
        <v>13</v>
      </c>
      <c r="N13" t="s">
        <v>919</v>
      </c>
      <c r="S13">
        <v>4</v>
      </c>
      <c r="X13">
        <v>0</v>
      </c>
    </row>
    <row r="14" spans="1:28">
      <c r="A14">
        <v>17</v>
      </c>
      <c r="B14">
        <v>59821</v>
      </c>
      <c r="C14" t="s">
        <v>101</v>
      </c>
      <c r="D14">
        <v>14150</v>
      </c>
      <c r="E14" t="s">
        <v>2195</v>
      </c>
      <c r="H14" t="s">
        <v>1570</v>
      </c>
      <c r="I14">
        <v>9</v>
      </c>
      <c r="J14">
        <v>4</v>
      </c>
      <c r="K14" t="s">
        <v>1599</v>
      </c>
      <c r="L14">
        <v>1</v>
      </c>
      <c r="N14" t="s">
        <v>919</v>
      </c>
      <c r="O14" t="s">
        <v>1572</v>
      </c>
      <c r="P14" t="s">
        <v>1573</v>
      </c>
      <c r="R14" t="s">
        <v>1580</v>
      </c>
      <c r="S14">
        <v>15</v>
      </c>
      <c r="X14">
        <v>0</v>
      </c>
    </row>
    <row r="15" spans="1:28">
      <c r="A15">
        <v>18</v>
      </c>
      <c r="B15">
        <v>59822</v>
      </c>
      <c r="C15" t="s">
        <v>101</v>
      </c>
      <c r="D15">
        <v>14170</v>
      </c>
      <c r="E15" t="s">
        <v>2196</v>
      </c>
      <c r="H15" t="s">
        <v>1590</v>
      </c>
      <c r="I15">
        <v>9</v>
      </c>
      <c r="J15">
        <v>42</v>
      </c>
      <c r="K15" t="s">
        <v>1600</v>
      </c>
      <c r="L15">
        <v>2</v>
      </c>
      <c r="N15" t="s">
        <v>919</v>
      </c>
      <c r="O15" t="s">
        <v>136</v>
      </c>
      <c r="P15" t="s">
        <v>1601</v>
      </c>
      <c r="S15">
        <v>0</v>
      </c>
      <c r="X15">
        <v>0</v>
      </c>
    </row>
    <row r="16" spans="1:28">
      <c r="A16">
        <v>19</v>
      </c>
      <c r="B16">
        <v>59823</v>
      </c>
      <c r="C16" t="s">
        <v>101</v>
      </c>
      <c r="D16">
        <v>14300</v>
      </c>
      <c r="E16" t="s">
        <v>2197</v>
      </c>
      <c r="H16" t="s">
        <v>1588</v>
      </c>
      <c r="I16">
        <v>13</v>
      </c>
      <c r="J16">
        <v>4</v>
      </c>
      <c r="K16" t="s">
        <v>1602</v>
      </c>
      <c r="L16">
        <v>3</v>
      </c>
      <c r="N16" t="s">
        <v>919</v>
      </c>
      <c r="S16">
        <v>0</v>
      </c>
      <c r="X16">
        <v>0</v>
      </c>
    </row>
    <row r="17" spans="1:24">
      <c r="A17">
        <v>20</v>
      </c>
      <c r="B17">
        <v>14942</v>
      </c>
      <c r="C17" t="s">
        <v>101</v>
      </c>
      <c r="D17">
        <v>14160</v>
      </c>
      <c r="E17" t="s">
        <v>2198</v>
      </c>
      <c r="H17" t="s">
        <v>1570</v>
      </c>
      <c r="I17">
        <v>12</v>
      </c>
      <c r="J17">
        <v>4</v>
      </c>
      <c r="K17" t="s">
        <v>1603</v>
      </c>
      <c r="L17">
        <v>5</v>
      </c>
      <c r="N17" t="s">
        <v>919</v>
      </c>
      <c r="O17" t="s">
        <v>1604</v>
      </c>
      <c r="P17" t="s">
        <v>1605</v>
      </c>
      <c r="R17" t="s">
        <v>1606</v>
      </c>
      <c r="S17">
        <v>15</v>
      </c>
      <c r="X17">
        <v>0</v>
      </c>
    </row>
    <row r="18" spans="1:24">
      <c r="A18">
        <v>21</v>
      </c>
      <c r="B18">
        <v>59824</v>
      </c>
      <c r="C18" t="s">
        <v>101</v>
      </c>
      <c r="H18" t="s">
        <v>1598</v>
      </c>
      <c r="I18">
        <v>15</v>
      </c>
      <c r="J18">
        <v>4</v>
      </c>
      <c r="K18" t="s">
        <v>87</v>
      </c>
      <c r="L18">
        <v>9</v>
      </c>
      <c r="N18" t="s">
        <v>919</v>
      </c>
      <c r="S18">
        <v>7</v>
      </c>
      <c r="X18">
        <v>0</v>
      </c>
    </row>
    <row r="19" spans="1:24">
      <c r="A19">
        <v>22</v>
      </c>
      <c r="B19">
        <v>13300</v>
      </c>
      <c r="C19" t="s">
        <v>101</v>
      </c>
      <c r="D19">
        <v>12370</v>
      </c>
      <c r="E19" t="s">
        <v>2199</v>
      </c>
      <c r="H19" t="s">
        <v>1588</v>
      </c>
      <c r="I19">
        <v>3</v>
      </c>
      <c r="J19">
        <v>4</v>
      </c>
      <c r="K19" t="s">
        <v>1607</v>
      </c>
      <c r="L19">
        <v>1</v>
      </c>
      <c r="N19" t="s">
        <v>919</v>
      </c>
      <c r="S19">
        <v>0</v>
      </c>
      <c r="X19">
        <v>0</v>
      </c>
    </row>
    <row r="20" spans="1:24">
      <c r="A20">
        <v>23</v>
      </c>
      <c r="B20">
        <v>12848</v>
      </c>
      <c r="C20" t="s">
        <v>101</v>
      </c>
      <c r="H20" t="s">
        <v>1590</v>
      </c>
      <c r="I20">
        <v>3</v>
      </c>
      <c r="J20">
        <v>42</v>
      </c>
      <c r="K20" t="s">
        <v>1608</v>
      </c>
      <c r="L20">
        <v>2</v>
      </c>
      <c r="N20" t="s">
        <v>919</v>
      </c>
      <c r="O20" t="s">
        <v>136</v>
      </c>
      <c r="P20" t="s">
        <v>1609</v>
      </c>
      <c r="R20" t="s">
        <v>1610</v>
      </c>
      <c r="S20">
        <v>0</v>
      </c>
      <c r="V20" t="s">
        <v>1611</v>
      </c>
      <c r="X20">
        <v>0</v>
      </c>
    </row>
    <row r="21" spans="1:24">
      <c r="A21">
        <v>24</v>
      </c>
      <c r="B21">
        <v>8043</v>
      </c>
      <c r="C21" t="s">
        <v>101</v>
      </c>
      <c r="D21">
        <v>11920</v>
      </c>
      <c r="E21" t="s">
        <v>2200</v>
      </c>
      <c r="H21" t="s">
        <v>1588</v>
      </c>
      <c r="I21">
        <v>5</v>
      </c>
      <c r="J21">
        <v>4</v>
      </c>
      <c r="K21" t="s">
        <v>1612</v>
      </c>
      <c r="L21">
        <v>3</v>
      </c>
      <c r="N21" t="s">
        <v>919</v>
      </c>
      <c r="S21">
        <v>0</v>
      </c>
      <c r="X21">
        <v>0</v>
      </c>
    </row>
    <row r="22" spans="1:24">
      <c r="A22">
        <v>25</v>
      </c>
      <c r="B22">
        <v>8170</v>
      </c>
      <c r="C22" t="s">
        <v>101</v>
      </c>
      <c r="D22">
        <v>11930</v>
      </c>
      <c r="E22" t="s">
        <v>2201</v>
      </c>
      <c r="H22" t="s">
        <v>1588</v>
      </c>
      <c r="I22">
        <v>6</v>
      </c>
      <c r="J22">
        <v>4</v>
      </c>
      <c r="K22" t="s">
        <v>1613</v>
      </c>
      <c r="L22">
        <v>4</v>
      </c>
      <c r="N22" t="s">
        <v>919</v>
      </c>
      <c r="S22">
        <v>0</v>
      </c>
      <c r="X22">
        <v>0</v>
      </c>
    </row>
    <row r="23" spans="1:24">
      <c r="A23">
        <v>26</v>
      </c>
      <c r="B23">
        <v>5164</v>
      </c>
      <c r="C23" t="s">
        <v>101</v>
      </c>
      <c r="D23">
        <v>11960</v>
      </c>
      <c r="E23" t="s">
        <v>2202</v>
      </c>
      <c r="H23" t="s">
        <v>1588</v>
      </c>
      <c r="I23">
        <v>7</v>
      </c>
      <c r="J23">
        <v>4</v>
      </c>
      <c r="K23" t="s">
        <v>1614</v>
      </c>
      <c r="L23">
        <v>5</v>
      </c>
      <c r="N23" t="s">
        <v>919</v>
      </c>
      <c r="S23">
        <v>0</v>
      </c>
      <c r="X23">
        <v>0</v>
      </c>
    </row>
    <row r="24" spans="1:24">
      <c r="A24">
        <v>27</v>
      </c>
      <c r="B24">
        <v>8014</v>
      </c>
      <c r="C24" t="s">
        <v>101</v>
      </c>
      <c r="D24">
        <v>12000</v>
      </c>
      <c r="E24" t="s">
        <v>2203</v>
      </c>
      <c r="H24" t="s">
        <v>1588</v>
      </c>
      <c r="I24">
        <v>8</v>
      </c>
      <c r="J24">
        <v>4</v>
      </c>
      <c r="K24" t="s">
        <v>1615</v>
      </c>
      <c r="L24">
        <v>6</v>
      </c>
      <c r="N24" t="s">
        <v>919</v>
      </c>
      <c r="S24">
        <v>0</v>
      </c>
      <c r="X24">
        <v>0</v>
      </c>
    </row>
    <row r="25" spans="1:24">
      <c r="A25">
        <v>28</v>
      </c>
      <c r="B25">
        <v>8074</v>
      </c>
      <c r="C25" t="s">
        <v>101</v>
      </c>
      <c r="D25">
        <v>11990</v>
      </c>
      <c r="E25" t="s">
        <v>2204</v>
      </c>
      <c r="H25" t="s">
        <v>1588</v>
      </c>
      <c r="I25">
        <v>9</v>
      </c>
      <c r="J25">
        <v>4</v>
      </c>
      <c r="K25" t="s">
        <v>1616</v>
      </c>
      <c r="L25">
        <v>7</v>
      </c>
      <c r="N25" t="s">
        <v>919</v>
      </c>
      <c r="S25">
        <v>0</v>
      </c>
      <c r="X25">
        <v>0</v>
      </c>
    </row>
    <row r="26" spans="1:24">
      <c r="A26">
        <v>29</v>
      </c>
      <c r="B26">
        <v>5183</v>
      </c>
      <c r="C26" t="s">
        <v>101</v>
      </c>
      <c r="D26">
        <v>12150</v>
      </c>
      <c r="E26" t="s">
        <v>2205</v>
      </c>
      <c r="H26" t="s">
        <v>1588</v>
      </c>
      <c r="I26">
        <v>5</v>
      </c>
      <c r="J26">
        <v>39</v>
      </c>
      <c r="K26" t="s">
        <v>1617</v>
      </c>
      <c r="L26">
        <v>8</v>
      </c>
      <c r="N26" t="s">
        <v>919</v>
      </c>
      <c r="S26">
        <v>0</v>
      </c>
      <c r="X26">
        <v>0</v>
      </c>
    </row>
    <row r="27" spans="1:24">
      <c r="A27">
        <v>30</v>
      </c>
      <c r="B27">
        <v>13302</v>
      </c>
      <c r="C27" t="s">
        <v>101</v>
      </c>
      <c r="H27" t="s">
        <v>1588</v>
      </c>
      <c r="I27">
        <v>6</v>
      </c>
      <c r="J27">
        <v>40</v>
      </c>
      <c r="K27" t="s">
        <v>1618</v>
      </c>
      <c r="L27">
        <v>9</v>
      </c>
      <c r="N27" t="s">
        <v>919</v>
      </c>
      <c r="S27">
        <v>0</v>
      </c>
      <c r="X27">
        <v>0</v>
      </c>
    </row>
    <row r="28" spans="1:24">
      <c r="A28">
        <v>31</v>
      </c>
      <c r="B28">
        <v>8131</v>
      </c>
      <c r="C28" t="s">
        <v>101</v>
      </c>
      <c r="D28">
        <v>14170</v>
      </c>
      <c r="E28" t="s">
        <v>2196</v>
      </c>
      <c r="H28" t="s">
        <v>1590</v>
      </c>
      <c r="I28">
        <v>11</v>
      </c>
      <c r="J28">
        <v>9</v>
      </c>
      <c r="K28" t="s">
        <v>1619</v>
      </c>
      <c r="L28">
        <v>10</v>
      </c>
      <c r="N28" t="s">
        <v>919</v>
      </c>
      <c r="O28" t="s">
        <v>136</v>
      </c>
      <c r="P28" t="s">
        <v>1601</v>
      </c>
      <c r="R28" t="s">
        <v>1610</v>
      </c>
      <c r="S28">
        <v>0</v>
      </c>
      <c r="X28">
        <v>0</v>
      </c>
    </row>
    <row r="29" spans="1:24">
      <c r="A29">
        <v>32</v>
      </c>
      <c r="B29">
        <v>59825</v>
      </c>
      <c r="C29" t="s">
        <v>101</v>
      </c>
      <c r="H29" t="s">
        <v>1588</v>
      </c>
      <c r="I29">
        <v>12</v>
      </c>
      <c r="J29">
        <v>6</v>
      </c>
      <c r="K29" t="s">
        <v>1620</v>
      </c>
      <c r="L29">
        <v>11</v>
      </c>
      <c r="N29" t="s">
        <v>919</v>
      </c>
      <c r="S29">
        <v>0</v>
      </c>
      <c r="X29">
        <v>0</v>
      </c>
    </row>
    <row r="30" spans="1:24">
      <c r="A30">
        <v>33</v>
      </c>
      <c r="B30">
        <v>13304</v>
      </c>
      <c r="C30" t="s">
        <v>101</v>
      </c>
      <c r="D30">
        <v>14160</v>
      </c>
      <c r="E30" t="s">
        <v>2198</v>
      </c>
      <c r="H30" t="s">
        <v>1570</v>
      </c>
      <c r="I30">
        <v>13</v>
      </c>
      <c r="J30">
        <v>9</v>
      </c>
      <c r="K30" t="s">
        <v>1621</v>
      </c>
      <c r="L30">
        <v>12</v>
      </c>
      <c r="N30" t="s">
        <v>919</v>
      </c>
      <c r="O30" t="s">
        <v>1604</v>
      </c>
      <c r="P30" t="s">
        <v>1605</v>
      </c>
      <c r="R30" t="s">
        <v>1622</v>
      </c>
      <c r="S30">
        <v>15</v>
      </c>
      <c r="V30" t="s">
        <v>1623</v>
      </c>
      <c r="X30">
        <v>0</v>
      </c>
    </row>
    <row r="31" spans="1:24">
      <c r="A31">
        <v>34</v>
      </c>
      <c r="B31">
        <v>59826</v>
      </c>
      <c r="C31" t="s">
        <v>101</v>
      </c>
      <c r="D31">
        <v>14310</v>
      </c>
      <c r="E31" t="s">
        <v>2206</v>
      </c>
      <c r="H31" t="s">
        <v>1588</v>
      </c>
      <c r="I31">
        <v>14</v>
      </c>
      <c r="J31">
        <v>9</v>
      </c>
      <c r="K31" t="s">
        <v>1624</v>
      </c>
      <c r="L31">
        <v>13</v>
      </c>
      <c r="N31" t="s">
        <v>919</v>
      </c>
      <c r="S31">
        <v>0</v>
      </c>
      <c r="X31">
        <v>0</v>
      </c>
    </row>
    <row r="32" spans="1:24">
      <c r="A32">
        <v>35</v>
      </c>
      <c r="B32">
        <v>12849</v>
      </c>
      <c r="C32" t="s">
        <v>101</v>
      </c>
      <c r="D32">
        <v>14250</v>
      </c>
      <c r="E32" t="s">
        <v>2207</v>
      </c>
      <c r="H32" t="s">
        <v>1588</v>
      </c>
      <c r="I32">
        <v>14</v>
      </c>
      <c r="J32">
        <v>40</v>
      </c>
      <c r="K32" t="s">
        <v>1625</v>
      </c>
      <c r="L32">
        <v>14</v>
      </c>
      <c r="N32" t="s">
        <v>919</v>
      </c>
      <c r="S32">
        <v>0</v>
      </c>
      <c r="X32">
        <v>0</v>
      </c>
    </row>
    <row r="33" spans="1:24">
      <c r="A33">
        <v>36</v>
      </c>
      <c r="B33">
        <v>5349</v>
      </c>
      <c r="C33" t="s">
        <v>101</v>
      </c>
      <c r="D33">
        <v>12310</v>
      </c>
      <c r="E33" t="s">
        <v>2208</v>
      </c>
      <c r="H33" t="s">
        <v>1598</v>
      </c>
      <c r="I33">
        <v>16</v>
      </c>
      <c r="J33">
        <v>4</v>
      </c>
      <c r="K33" t="s">
        <v>14</v>
      </c>
      <c r="L33">
        <v>15</v>
      </c>
      <c r="N33" t="s">
        <v>919</v>
      </c>
      <c r="S33">
        <v>6</v>
      </c>
      <c r="X33">
        <v>0</v>
      </c>
    </row>
    <row r="34" spans="1:24">
      <c r="A34">
        <v>37</v>
      </c>
      <c r="B34">
        <v>5276</v>
      </c>
      <c r="C34" t="s">
        <v>103</v>
      </c>
      <c r="D34">
        <v>14070</v>
      </c>
      <c r="E34" t="s">
        <v>2209</v>
      </c>
      <c r="H34" t="s">
        <v>1588</v>
      </c>
      <c r="I34">
        <v>11</v>
      </c>
      <c r="J34">
        <v>9</v>
      </c>
      <c r="K34" t="s">
        <v>1626</v>
      </c>
      <c r="L34">
        <v>1</v>
      </c>
      <c r="N34" t="s">
        <v>919</v>
      </c>
      <c r="S34">
        <v>0</v>
      </c>
      <c r="X34">
        <v>0</v>
      </c>
    </row>
    <row r="35" spans="1:24">
      <c r="A35">
        <v>38</v>
      </c>
      <c r="B35">
        <v>5291</v>
      </c>
      <c r="C35" t="s">
        <v>103</v>
      </c>
      <c r="D35">
        <v>14100</v>
      </c>
      <c r="E35" t="s">
        <v>2210</v>
      </c>
      <c r="H35" t="s">
        <v>1588</v>
      </c>
      <c r="I35">
        <v>12</v>
      </c>
      <c r="J35">
        <v>9</v>
      </c>
      <c r="K35" t="s">
        <v>1627</v>
      </c>
      <c r="L35">
        <v>2</v>
      </c>
      <c r="N35" t="s">
        <v>919</v>
      </c>
      <c r="S35">
        <v>0</v>
      </c>
      <c r="X35">
        <v>0</v>
      </c>
    </row>
    <row r="36" spans="1:24">
      <c r="A36">
        <v>41</v>
      </c>
      <c r="B36">
        <v>8228</v>
      </c>
      <c r="C36" t="s">
        <v>103</v>
      </c>
      <c r="D36">
        <v>14110</v>
      </c>
      <c r="E36" t="s">
        <v>2211</v>
      </c>
      <c r="H36" t="s">
        <v>1588</v>
      </c>
      <c r="I36">
        <v>15</v>
      </c>
      <c r="J36">
        <v>9</v>
      </c>
      <c r="K36" t="s">
        <v>1628</v>
      </c>
      <c r="L36">
        <v>5</v>
      </c>
      <c r="N36" t="s">
        <v>919</v>
      </c>
      <c r="S36">
        <v>0</v>
      </c>
      <c r="X36">
        <v>0</v>
      </c>
    </row>
    <row r="37" spans="1:24">
      <c r="A37">
        <v>43</v>
      </c>
      <c r="B37">
        <v>61701</v>
      </c>
      <c r="C37" t="s">
        <v>103</v>
      </c>
      <c r="D37">
        <v>14060</v>
      </c>
      <c r="E37" t="s">
        <v>2212</v>
      </c>
      <c r="H37" t="s">
        <v>1598</v>
      </c>
      <c r="I37">
        <v>17</v>
      </c>
      <c r="J37">
        <v>9</v>
      </c>
      <c r="K37" t="s">
        <v>14</v>
      </c>
      <c r="L37">
        <v>7</v>
      </c>
      <c r="N37" t="s">
        <v>919</v>
      </c>
      <c r="S37">
        <v>5</v>
      </c>
      <c r="X37">
        <v>0</v>
      </c>
    </row>
    <row r="38" spans="1:24">
      <c r="A38">
        <v>44</v>
      </c>
      <c r="B38">
        <v>59827</v>
      </c>
      <c r="C38" t="s">
        <v>209</v>
      </c>
      <c r="D38">
        <v>14550</v>
      </c>
      <c r="E38" t="s">
        <v>2213</v>
      </c>
      <c r="H38" t="s">
        <v>1570</v>
      </c>
      <c r="I38">
        <v>9</v>
      </c>
      <c r="J38">
        <v>7</v>
      </c>
      <c r="K38" t="s">
        <v>1629</v>
      </c>
      <c r="L38">
        <v>1</v>
      </c>
      <c r="N38" t="s">
        <v>92</v>
      </c>
      <c r="O38" t="s">
        <v>1604</v>
      </c>
      <c r="P38" t="s">
        <v>1605</v>
      </c>
      <c r="R38" t="s">
        <v>1606</v>
      </c>
      <c r="S38">
        <v>15</v>
      </c>
      <c r="X38">
        <v>0</v>
      </c>
    </row>
    <row r="39" spans="1:24">
      <c r="A39">
        <v>45</v>
      </c>
      <c r="B39">
        <v>5289</v>
      </c>
      <c r="C39" t="s">
        <v>209</v>
      </c>
      <c r="D39">
        <v>14560</v>
      </c>
      <c r="E39" t="s">
        <v>2214</v>
      </c>
      <c r="H39" t="s">
        <v>1570</v>
      </c>
      <c r="I39">
        <v>10</v>
      </c>
      <c r="J39">
        <v>7</v>
      </c>
      <c r="K39" t="s">
        <v>1630</v>
      </c>
      <c r="L39">
        <v>2</v>
      </c>
      <c r="N39" t="s">
        <v>92</v>
      </c>
      <c r="O39" t="s">
        <v>1631</v>
      </c>
      <c r="P39" t="s">
        <v>1632</v>
      </c>
      <c r="R39" t="s">
        <v>1633</v>
      </c>
      <c r="S39">
        <v>15</v>
      </c>
      <c r="X39">
        <v>0</v>
      </c>
    </row>
    <row r="40" spans="1:24">
      <c r="A40">
        <v>46</v>
      </c>
      <c r="B40">
        <v>12964</v>
      </c>
      <c r="C40" t="s">
        <v>209</v>
      </c>
      <c r="D40">
        <v>14590</v>
      </c>
      <c r="E40" t="s">
        <v>2215</v>
      </c>
      <c r="H40" t="s">
        <v>1588</v>
      </c>
      <c r="I40">
        <v>11</v>
      </c>
      <c r="J40">
        <v>7</v>
      </c>
      <c r="K40" t="s">
        <v>1634</v>
      </c>
      <c r="L40">
        <v>3</v>
      </c>
      <c r="N40" t="s">
        <v>92</v>
      </c>
      <c r="S40">
        <v>0</v>
      </c>
      <c r="X40">
        <v>0</v>
      </c>
    </row>
    <row r="41" spans="1:24">
      <c r="A41">
        <v>47</v>
      </c>
      <c r="B41">
        <v>12949</v>
      </c>
      <c r="C41" t="s">
        <v>209</v>
      </c>
      <c r="D41">
        <v>14570</v>
      </c>
      <c r="E41" t="s">
        <v>2352</v>
      </c>
      <c r="H41" t="s">
        <v>1588</v>
      </c>
      <c r="I41">
        <v>13</v>
      </c>
      <c r="J41">
        <v>7</v>
      </c>
      <c r="K41" t="s">
        <v>1635</v>
      </c>
      <c r="L41">
        <v>4</v>
      </c>
      <c r="N41" t="s">
        <v>919</v>
      </c>
      <c r="S41">
        <v>0</v>
      </c>
      <c r="X41">
        <v>0</v>
      </c>
    </row>
    <row r="42" spans="1:24">
      <c r="A42">
        <v>48</v>
      </c>
      <c r="B42">
        <v>5402</v>
      </c>
      <c r="C42" t="s">
        <v>209</v>
      </c>
      <c r="D42">
        <v>14580</v>
      </c>
      <c r="E42" t="s">
        <v>2216</v>
      </c>
      <c r="H42" t="s">
        <v>1598</v>
      </c>
      <c r="I42">
        <v>14</v>
      </c>
      <c r="J42">
        <v>7</v>
      </c>
      <c r="K42" t="s">
        <v>1636</v>
      </c>
      <c r="L42">
        <v>5</v>
      </c>
      <c r="N42" t="s">
        <v>919</v>
      </c>
      <c r="S42">
        <v>7</v>
      </c>
      <c r="X42">
        <v>0</v>
      </c>
    </row>
    <row r="43" spans="1:24">
      <c r="A43">
        <v>49</v>
      </c>
      <c r="B43">
        <v>8117</v>
      </c>
      <c r="C43" t="s">
        <v>1877</v>
      </c>
      <c r="D43">
        <v>13530</v>
      </c>
      <c r="E43" t="s">
        <v>2217</v>
      </c>
      <c r="H43" t="s">
        <v>1570</v>
      </c>
      <c r="I43">
        <v>8</v>
      </c>
      <c r="J43">
        <v>9</v>
      </c>
      <c r="K43" t="s">
        <v>1637</v>
      </c>
      <c r="L43">
        <v>1</v>
      </c>
      <c r="N43" t="s">
        <v>919</v>
      </c>
      <c r="O43" t="s">
        <v>152</v>
      </c>
      <c r="P43" t="s">
        <v>1638</v>
      </c>
      <c r="R43" t="s">
        <v>1606</v>
      </c>
      <c r="S43">
        <v>15</v>
      </c>
      <c r="X43">
        <v>0</v>
      </c>
    </row>
    <row r="44" spans="1:24">
      <c r="A44">
        <v>50</v>
      </c>
      <c r="B44">
        <v>6744</v>
      </c>
      <c r="C44" t="s">
        <v>1877</v>
      </c>
      <c r="D44">
        <v>13600</v>
      </c>
      <c r="E44" t="s">
        <v>2218</v>
      </c>
      <c r="H44" t="s">
        <v>1588</v>
      </c>
      <c r="I44">
        <v>9</v>
      </c>
      <c r="J44">
        <v>9</v>
      </c>
      <c r="K44" t="s">
        <v>1626</v>
      </c>
      <c r="L44">
        <v>2</v>
      </c>
      <c r="N44" t="s">
        <v>919</v>
      </c>
      <c r="S44">
        <v>0</v>
      </c>
      <c r="X44">
        <v>0</v>
      </c>
    </row>
    <row r="45" spans="1:24">
      <c r="A45">
        <v>51</v>
      </c>
      <c r="B45">
        <v>7429</v>
      </c>
      <c r="C45" t="s">
        <v>1877</v>
      </c>
      <c r="D45">
        <v>13650</v>
      </c>
      <c r="E45" t="s">
        <v>2219</v>
      </c>
      <c r="H45" t="s">
        <v>1588</v>
      </c>
      <c r="I45">
        <v>10</v>
      </c>
      <c r="J45">
        <v>9</v>
      </c>
      <c r="K45" t="s">
        <v>1639</v>
      </c>
      <c r="L45">
        <v>3</v>
      </c>
      <c r="N45" t="s">
        <v>919</v>
      </c>
      <c r="S45">
        <v>0</v>
      </c>
      <c r="X45">
        <v>0</v>
      </c>
    </row>
    <row r="46" spans="1:24">
      <c r="A46">
        <v>52</v>
      </c>
      <c r="B46">
        <v>59828</v>
      </c>
      <c r="C46" t="s">
        <v>1877</v>
      </c>
      <c r="D46">
        <v>13540</v>
      </c>
      <c r="E46" t="s">
        <v>2220</v>
      </c>
      <c r="H46" t="s">
        <v>1590</v>
      </c>
      <c r="I46">
        <v>11</v>
      </c>
      <c r="J46">
        <v>9</v>
      </c>
      <c r="K46" t="s">
        <v>1640</v>
      </c>
      <c r="L46">
        <v>4</v>
      </c>
      <c r="N46" t="s">
        <v>919</v>
      </c>
      <c r="O46" t="s">
        <v>136</v>
      </c>
      <c r="P46" t="s">
        <v>1641</v>
      </c>
      <c r="R46" t="s">
        <v>1642</v>
      </c>
      <c r="S46">
        <v>0</v>
      </c>
      <c r="X46">
        <v>0</v>
      </c>
    </row>
    <row r="47" spans="1:24">
      <c r="A47">
        <v>53</v>
      </c>
      <c r="B47">
        <v>59829</v>
      </c>
      <c r="C47" t="s">
        <v>1877</v>
      </c>
      <c r="D47">
        <v>13640</v>
      </c>
      <c r="E47" t="s">
        <v>2221</v>
      </c>
      <c r="H47" t="s">
        <v>1588</v>
      </c>
      <c r="I47">
        <v>12</v>
      </c>
      <c r="J47">
        <v>9</v>
      </c>
      <c r="K47" t="s">
        <v>1643</v>
      </c>
      <c r="L47">
        <v>5</v>
      </c>
      <c r="N47" t="s">
        <v>919</v>
      </c>
      <c r="S47">
        <v>0</v>
      </c>
      <c r="X47">
        <v>0</v>
      </c>
    </row>
    <row r="48" spans="1:24">
      <c r="A48">
        <v>54</v>
      </c>
      <c r="B48">
        <v>5392</v>
      </c>
      <c r="C48" t="s">
        <v>1877</v>
      </c>
      <c r="D48">
        <v>13620</v>
      </c>
      <c r="E48" t="s">
        <v>2222</v>
      </c>
      <c r="H48" t="s">
        <v>1588</v>
      </c>
      <c r="I48">
        <v>13</v>
      </c>
      <c r="J48">
        <v>9</v>
      </c>
      <c r="K48" t="s">
        <v>1644</v>
      </c>
      <c r="L48">
        <v>6</v>
      </c>
      <c r="N48" t="s">
        <v>919</v>
      </c>
      <c r="S48">
        <v>0</v>
      </c>
      <c r="X48">
        <v>0</v>
      </c>
    </row>
    <row r="49" spans="1:24">
      <c r="A49">
        <v>55</v>
      </c>
      <c r="B49">
        <v>59830</v>
      </c>
      <c r="C49" t="s">
        <v>1877</v>
      </c>
      <c r="D49">
        <v>13550</v>
      </c>
      <c r="E49" t="s">
        <v>2223</v>
      </c>
      <c r="H49" t="s">
        <v>1590</v>
      </c>
      <c r="I49">
        <v>14</v>
      </c>
      <c r="J49">
        <v>9</v>
      </c>
      <c r="K49" t="s">
        <v>1645</v>
      </c>
      <c r="L49">
        <v>7</v>
      </c>
      <c r="N49" t="s">
        <v>919</v>
      </c>
      <c r="O49" t="s">
        <v>136</v>
      </c>
      <c r="P49" t="s">
        <v>1646</v>
      </c>
      <c r="R49" t="s">
        <v>1642</v>
      </c>
      <c r="S49">
        <v>0</v>
      </c>
      <c r="X49">
        <v>0</v>
      </c>
    </row>
    <row r="50" spans="1:24">
      <c r="A50">
        <v>56</v>
      </c>
      <c r="B50">
        <v>59831</v>
      </c>
      <c r="C50" t="s">
        <v>1877</v>
      </c>
      <c r="D50">
        <v>13580</v>
      </c>
      <c r="E50" t="s">
        <v>2224</v>
      </c>
      <c r="H50" t="s">
        <v>1598</v>
      </c>
      <c r="I50">
        <v>15</v>
      </c>
      <c r="J50">
        <v>9</v>
      </c>
      <c r="K50" t="s">
        <v>267</v>
      </c>
      <c r="L50">
        <v>8</v>
      </c>
      <c r="N50" t="s">
        <v>919</v>
      </c>
      <c r="S50">
        <v>7</v>
      </c>
      <c r="X50">
        <v>0</v>
      </c>
    </row>
    <row r="51" spans="1:24">
      <c r="A51">
        <v>57</v>
      </c>
      <c r="B51">
        <v>59832</v>
      </c>
      <c r="C51" t="s">
        <v>328</v>
      </c>
      <c r="D51">
        <v>14640</v>
      </c>
      <c r="E51" t="s">
        <v>2225</v>
      </c>
      <c r="H51" t="s">
        <v>1570</v>
      </c>
      <c r="I51">
        <v>9</v>
      </c>
      <c r="J51">
        <v>9</v>
      </c>
      <c r="K51" t="s">
        <v>1647</v>
      </c>
      <c r="L51">
        <v>1</v>
      </c>
      <c r="N51" t="s">
        <v>919</v>
      </c>
      <c r="O51" t="s">
        <v>170</v>
      </c>
      <c r="P51" t="s">
        <v>1648</v>
      </c>
      <c r="R51" t="s">
        <v>1633</v>
      </c>
      <c r="S51">
        <v>15</v>
      </c>
      <c r="X51">
        <v>0</v>
      </c>
    </row>
    <row r="52" spans="1:24">
      <c r="A52">
        <v>58</v>
      </c>
      <c r="B52">
        <v>61702</v>
      </c>
      <c r="C52" t="s">
        <v>328</v>
      </c>
      <c r="D52">
        <v>14660</v>
      </c>
      <c r="E52" t="s">
        <v>2226</v>
      </c>
      <c r="H52" t="s">
        <v>1588</v>
      </c>
      <c r="I52">
        <v>10</v>
      </c>
      <c r="J52">
        <v>9</v>
      </c>
      <c r="K52" t="s">
        <v>1626</v>
      </c>
      <c r="L52">
        <v>2</v>
      </c>
      <c r="N52" t="s">
        <v>919</v>
      </c>
      <c r="S52">
        <v>0</v>
      </c>
      <c r="X52">
        <v>0</v>
      </c>
    </row>
    <row r="53" spans="1:24">
      <c r="A53">
        <v>59</v>
      </c>
      <c r="B53">
        <v>5419</v>
      </c>
      <c r="C53" t="s">
        <v>328</v>
      </c>
      <c r="D53">
        <v>14690</v>
      </c>
      <c r="E53" t="s">
        <v>2227</v>
      </c>
      <c r="H53" t="s">
        <v>1588</v>
      </c>
      <c r="I53">
        <v>11</v>
      </c>
      <c r="J53">
        <v>9</v>
      </c>
      <c r="K53" t="s">
        <v>1639</v>
      </c>
      <c r="L53">
        <v>3</v>
      </c>
      <c r="N53" t="s">
        <v>919</v>
      </c>
      <c r="S53">
        <v>0</v>
      </c>
      <c r="X53">
        <v>0</v>
      </c>
    </row>
    <row r="54" spans="1:24">
      <c r="A54">
        <v>60</v>
      </c>
      <c r="B54">
        <v>8385</v>
      </c>
      <c r="C54" t="s">
        <v>328</v>
      </c>
      <c r="D54">
        <v>14680</v>
      </c>
      <c r="E54" t="s">
        <v>2228</v>
      </c>
      <c r="H54" t="s">
        <v>1588</v>
      </c>
      <c r="I54">
        <v>12</v>
      </c>
      <c r="J54">
        <v>9</v>
      </c>
      <c r="K54" t="s">
        <v>1643</v>
      </c>
      <c r="L54">
        <v>4</v>
      </c>
      <c r="N54" t="s">
        <v>919</v>
      </c>
      <c r="S54">
        <v>0</v>
      </c>
      <c r="X54">
        <v>0</v>
      </c>
    </row>
    <row r="55" spans="1:24">
      <c r="A55">
        <v>61</v>
      </c>
      <c r="B55">
        <v>59833</v>
      </c>
      <c r="C55" t="s">
        <v>328</v>
      </c>
      <c r="D55">
        <v>14670</v>
      </c>
      <c r="E55" t="s">
        <v>2229</v>
      </c>
      <c r="H55" t="s">
        <v>1588</v>
      </c>
      <c r="I55">
        <v>13</v>
      </c>
      <c r="J55">
        <v>9</v>
      </c>
      <c r="K55" t="s">
        <v>1644</v>
      </c>
      <c r="L55">
        <v>5</v>
      </c>
      <c r="N55" t="s">
        <v>919</v>
      </c>
      <c r="S55">
        <v>0</v>
      </c>
      <c r="X55">
        <v>0</v>
      </c>
    </row>
    <row r="56" spans="1:24">
      <c r="A56">
        <v>62</v>
      </c>
      <c r="B56">
        <v>8419</v>
      </c>
      <c r="C56" t="s">
        <v>328</v>
      </c>
      <c r="H56" t="s">
        <v>1588</v>
      </c>
      <c r="I56">
        <v>14</v>
      </c>
      <c r="J56">
        <v>9</v>
      </c>
      <c r="K56" t="s">
        <v>1649</v>
      </c>
      <c r="L56">
        <v>6</v>
      </c>
      <c r="N56" t="s">
        <v>919</v>
      </c>
      <c r="S56">
        <v>0</v>
      </c>
      <c r="X56">
        <v>0</v>
      </c>
    </row>
    <row r="57" spans="1:24">
      <c r="A57">
        <v>63</v>
      </c>
      <c r="B57">
        <v>8212</v>
      </c>
      <c r="C57" t="s">
        <v>328</v>
      </c>
      <c r="D57">
        <v>14650</v>
      </c>
      <c r="E57" t="s">
        <v>2230</v>
      </c>
      <c r="H57" t="s">
        <v>1598</v>
      </c>
      <c r="I57">
        <v>15</v>
      </c>
      <c r="J57">
        <v>9</v>
      </c>
      <c r="K57" t="s">
        <v>267</v>
      </c>
      <c r="L57">
        <v>7</v>
      </c>
      <c r="N57" t="s">
        <v>919</v>
      </c>
      <c r="S57">
        <v>7</v>
      </c>
      <c r="X57">
        <v>0</v>
      </c>
    </row>
    <row r="58" spans="1:24">
      <c r="A58">
        <v>68</v>
      </c>
      <c r="B58">
        <v>59835</v>
      </c>
      <c r="C58" t="s">
        <v>29</v>
      </c>
      <c r="D58">
        <v>12370</v>
      </c>
      <c r="E58" t="s">
        <v>2199</v>
      </c>
      <c r="H58" t="s">
        <v>1588</v>
      </c>
      <c r="I58">
        <v>4</v>
      </c>
      <c r="J58">
        <v>2</v>
      </c>
      <c r="K58" t="s">
        <v>1650</v>
      </c>
      <c r="L58">
        <v>1</v>
      </c>
      <c r="N58" t="s">
        <v>919</v>
      </c>
      <c r="S58">
        <v>0</v>
      </c>
      <c r="X58">
        <v>0</v>
      </c>
    </row>
    <row r="59" spans="1:24">
      <c r="A59">
        <v>69</v>
      </c>
      <c r="B59">
        <v>3664</v>
      </c>
      <c r="C59" t="s">
        <v>29</v>
      </c>
      <c r="H59" t="s">
        <v>1570</v>
      </c>
      <c r="I59">
        <v>5</v>
      </c>
      <c r="J59">
        <v>2</v>
      </c>
      <c r="K59" t="s">
        <v>1651</v>
      </c>
      <c r="L59">
        <v>2</v>
      </c>
      <c r="N59" t="s">
        <v>919</v>
      </c>
      <c r="O59" t="s">
        <v>1572</v>
      </c>
      <c r="P59" t="s">
        <v>1573</v>
      </c>
      <c r="R59" t="s">
        <v>1580</v>
      </c>
      <c r="S59">
        <v>15</v>
      </c>
      <c r="X59">
        <v>0</v>
      </c>
    </row>
    <row r="60" spans="1:24">
      <c r="A60">
        <v>70</v>
      </c>
      <c r="B60">
        <v>3661</v>
      </c>
      <c r="C60" t="s">
        <v>29</v>
      </c>
      <c r="H60" t="s">
        <v>1590</v>
      </c>
      <c r="I60">
        <v>4</v>
      </c>
      <c r="J60">
        <v>42</v>
      </c>
      <c r="K60" t="s">
        <v>1652</v>
      </c>
      <c r="L60">
        <v>3</v>
      </c>
      <c r="N60" t="s">
        <v>919</v>
      </c>
      <c r="O60" t="s">
        <v>136</v>
      </c>
      <c r="P60" t="s">
        <v>1609</v>
      </c>
      <c r="R60" t="s">
        <v>1653</v>
      </c>
      <c r="S60">
        <v>0</v>
      </c>
      <c r="V60" t="s">
        <v>1654</v>
      </c>
      <c r="X60">
        <v>0</v>
      </c>
    </row>
    <row r="61" spans="1:24">
      <c r="A61">
        <v>72</v>
      </c>
      <c r="B61">
        <v>4007</v>
      </c>
      <c r="C61" t="s">
        <v>29</v>
      </c>
      <c r="D61">
        <v>11920</v>
      </c>
      <c r="E61" t="s">
        <v>2200</v>
      </c>
      <c r="H61" t="s">
        <v>1588</v>
      </c>
      <c r="I61">
        <v>7</v>
      </c>
      <c r="J61">
        <v>2</v>
      </c>
      <c r="K61" t="s">
        <v>1655</v>
      </c>
      <c r="L61">
        <v>5</v>
      </c>
      <c r="N61" t="s">
        <v>919</v>
      </c>
      <c r="S61">
        <v>0</v>
      </c>
      <c r="X61">
        <v>0</v>
      </c>
    </row>
    <row r="62" spans="1:24">
      <c r="A62">
        <v>73</v>
      </c>
      <c r="B62">
        <v>4010</v>
      </c>
      <c r="C62" t="s">
        <v>29</v>
      </c>
      <c r="D62">
        <v>11930</v>
      </c>
      <c r="E62" t="s">
        <v>2201</v>
      </c>
      <c r="H62" t="s">
        <v>1588</v>
      </c>
      <c r="I62">
        <v>8</v>
      </c>
      <c r="J62">
        <v>2</v>
      </c>
      <c r="K62" t="s">
        <v>1656</v>
      </c>
      <c r="L62">
        <v>6</v>
      </c>
      <c r="N62" t="s">
        <v>919</v>
      </c>
      <c r="S62">
        <v>0</v>
      </c>
      <c r="X62">
        <v>0</v>
      </c>
    </row>
    <row r="63" spans="1:24">
      <c r="A63">
        <v>74</v>
      </c>
      <c r="B63">
        <v>4020</v>
      </c>
      <c r="C63" t="s">
        <v>29</v>
      </c>
      <c r="D63">
        <v>11960</v>
      </c>
      <c r="E63" t="s">
        <v>2202</v>
      </c>
      <c r="H63" t="s">
        <v>1588</v>
      </c>
      <c r="I63">
        <v>9</v>
      </c>
      <c r="J63">
        <v>2</v>
      </c>
      <c r="K63" t="s">
        <v>1657</v>
      </c>
      <c r="L63">
        <v>7</v>
      </c>
      <c r="N63" t="s">
        <v>919</v>
      </c>
      <c r="S63">
        <v>0</v>
      </c>
      <c r="X63">
        <v>0</v>
      </c>
    </row>
    <row r="64" spans="1:24">
      <c r="A64">
        <v>75</v>
      </c>
      <c r="B64">
        <v>4005</v>
      </c>
      <c r="C64" t="s">
        <v>29</v>
      </c>
      <c r="D64">
        <v>12000</v>
      </c>
      <c r="E64" t="s">
        <v>2203</v>
      </c>
      <c r="H64" t="s">
        <v>1588</v>
      </c>
      <c r="I64">
        <v>10</v>
      </c>
      <c r="J64">
        <v>2</v>
      </c>
      <c r="K64" t="s">
        <v>1658</v>
      </c>
      <c r="L64">
        <v>8</v>
      </c>
      <c r="N64" t="s">
        <v>919</v>
      </c>
      <c r="S64">
        <v>0</v>
      </c>
      <c r="X64">
        <v>0</v>
      </c>
    </row>
    <row r="65" spans="1:24">
      <c r="A65">
        <v>76</v>
      </c>
      <c r="B65">
        <v>4035</v>
      </c>
      <c r="C65" t="s">
        <v>29</v>
      </c>
      <c r="D65">
        <v>11990</v>
      </c>
      <c r="E65" t="s">
        <v>2204</v>
      </c>
      <c r="H65" t="s">
        <v>1588</v>
      </c>
      <c r="I65">
        <v>11</v>
      </c>
      <c r="J65">
        <v>2</v>
      </c>
      <c r="K65" t="s">
        <v>1659</v>
      </c>
      <c r="L65">
        <v>9</v>
      </c>
      <c r="N65" t="s">
        <v>919</v>
      </c>
      <c r="S65">
        <v>0</v>
      </c>
      <c r="X65">
        <v>0</v>
      </c>
    </row>
    <row r="66" spans="1:24">
      <c r="A66">
        <v>77</v>
      </c>
      <c r="B66">
        <v>4015</v>
      </c>
      <c r="C66" t="s">
        <v>29</v>
      </c>
      <c r="D66">
        <v>12060</v>
      </c>
      <c r="E66" t="s">
        <v>2231</v>
      </c>
      <c r="H66" t="s">
        <v>1588</v>
      </c>
      <c r="I66">
        <v>12</v>
      </c>
      <c r="J66">
        <v>2</v>
      </c>
      <c r="K66" t="s">
        <v>1660</v>
      </c>
      <c r="L66">
        <v>10</v>
      </c>
      <c r="N66" t="s">
        <v>919</v>
      </c>
      <c r="S66">
        <v>0</v>
      </c>
      <c r="X66">
        <v>0</v>
      </c>
    </row>
    <row r="67" spans="1:24">
      <c r="A67">
        <v>78</v>
      </c>
      <c r="B67">
        <v>4018</v>
      </c>
      <c r="C67" t="s">
        <v>29</v>
      </c>
      <c r="D67">
        <v>12150</v>
      </c>
      <c r="H67" t="s">
        <v>1588</v>
      </c>
      <c r="I67">
        <v>7</v>
      </c>
      <c r="J67">
        <v>42</v>
      </c>
      <c r="K67" t="s">
        <v>1617</v>
      </c>
      <c r="L67">
        <v>11</v>
      </c>
      <c r="N67" t="s">
        <v>919</v>
      </c>
      <c r="S67">
        <v>0</v>
      </c>
      <c r="X67">
        <v>0</v>
      </c>
    </row>
    <row r="68" spans="1:24">
      <c r="A68">
        <v>79</v>
      </c>
      <c r="B68">
        <v>8448</v>
      </c>
      <c r="C68" t="s">
        <v>29</v>
      </c>
      <c r="D68">
        <v>12150</v>
      </c>
      <c r="H68" t="s">
        <v>1588</v>
      </c>
      <c r="I68">
        <v>8</v>
      </c>
      <c r="J68">
        <v>42</v>
      </c>
      <c r="K68" t="s">
        <v>1661</v>
      </c>
      <c r="L68">
        <v>12</v>
      </c>
      <c r="N68" t="s">
        <v>919</v>
      </c>
      <c r="S68">
        <v>0</v>
      </c>
      <c r="X68">
        <v>0</v>
      </c>
    </row>
    <row r="69" spans="1:24">
      <c r="A69">
        <v>80</v>
      </c>
      <c r="B69">
        <v>5518</v>
      </c>
      <c r="C69" t="s">
        <v>29</v>
      </c>
      <c r="D69">
        <v>12150</v>
      </c>
      <c r="H69" t="s">
        <v>1588</v>
      </c>
      <c r="I69">
        <v>9</v>
      </c>
      <c r="J69">
        <v>42</v>
      </c>
      <c r="K69" t="s">
        <v>1662</v>
      </c>
      <c r="L69">
        <v>13</v>
      </c>
      <c r="N69" t="s">
        <v>919</v>
      </c>
      <c r="S69">
        <v>0</v>
      </c>
      <c r="X69">
        <v>0</v>
      </c>
    </row>
    <row r="70" spans="1:24">
      <c r="A70">
        <v>81</v>
      </c>
      <c r="B70">
        <v>5566</v>
      </c>
      <c r="C70" t="s">
        <v>29</v>
      </c>
      <c r="D70">
        <v>12330</v>
      </c>
      <c r="E70" t="s">
        <v>2232</v>
      </c>
      <c r="H70" t="s">
        <v>1588</v>
      </c>
      <c r="I70">
        <v>10</v>
      </c>
      <c r="J70">
        <v>42</v>
      </c>
      <c r="K70" t="s">
        <v>1663</v>
      </c>
      <c r="L70">
        <v>14</v>
      </c>
      <c r="N70" t="s">
        <v>919</v>
      </c>
      <c r="S70">
        <v>0</v>
      </c>
      <c r="X70">
        <v>0</v>
      </c>
    </row>
    <row r="71" spans="1:24">
      <c r="A71">
        <v>83</v>
      </c>
      <c r="B71">
        <v>5613</v>
      </c>
      <c r="C71" t="s">
        <v>29</v>
      </c>
      <c r="H71" t="s">
        <v>1590</v>
      </c>
      <c r="I71">
        <v>14</v>
      </c>
      <c r="J71">
        <v>2</v>
      </c>
      <c r="K71" t="s">
        <v>1665</v>
      </c>
      <c r="L71">
        <v>16</v>
      </c>
      <c r="N71" t="s">
        <v>919</v>
      </c>
      <c r="O71" t="s">
        <v>136</v>
      </c>
      <c r="P71" t="s">
        <v>1666</v>
      </c>
      <c r="R71" t="s">
        <v>1653</v>
      </c>
      <c r="S71">
        <v>0</v>
      </c>
      <c r="X71">
        <v>0</v>
      </c>
    </row>
    <row r="72" spans="1:24">
      <c r="A72">
        <v>84</v>
      </c>
      <c r="B72">
        <v>5583</v>
      </c>
      <c r="C72" t="s">
        <v>29</v>
      </c>
      <c r="H72" t="s">
        <v>1590</v>
      </c>
      <c r="I72">
        <v>14</v>
      </c>
      <c r="J72">
        <v>39</v>
      </c>
      <c r="K72" t="s">
        <v>1667</v>
      </c>
      <c r="L72">
        <v>17</v>
      </c>
      <c r="N72" t="s">
        <v>919</v>
      </c>
      <c r="O72" t="s">
        <v>136</v>
      </c>
      <c r="P72" t="s">
        <v>1668</v>
      </c>
      <c r="R72" t="s">
        <v>1653</v>
      </c>
      <c r="S72">
        <v>0</v>
      </c>
      <c r="X72">
        <v>0</v>
      </c>
    </row>
    <row r="73" spans="1:24">
      <c r="A73">
        <v>85</v>
      </c>
      <c r="B73">
        <v>8481</v>
      </c>
      <c r="C73" t="s">
        <v>29</v>
      </c>
      <c r="H73" t="s">
        <v>1588</v>
      </c>
      <c r="I73">
        <v>15</v>
      </c>
      <c r="J73">
        <v>2</v>
      </c>
      <c r="K73" t="s">
        <v>1669</v>
      </c>
      <c r="L73">
        <v>18</v>
      </c>
      <c r="N73" t="s">
        <v>919</v>
      </c>
      <c r="S73">
        <v>0</v>
      </c>
      <c r="X73">
        <v>0</v>
      </c>
    </row>
    <row r="74" spans="1:24">
      <c r="A74">
        <v>86</v>
      </c>
      <c r="B74">
        <v>61703</v>
      </c>
      <c r="C74" t="s">
        <v>29</v>
      </c>
      <c r="H74" t="s">
        <v>1588</v>
      </c>
      <c r="I74">
        <v>15</v>
      </c>
      <c r="J74">
        <v>39</v>
      </c>
      <c r="K74" t="s">
        <v>1670</v>
      </c>
      <c r="L74">
        <v>19</v>
      </c>
      <c r="N74" t="s">
        <v>919</v>
      </c>
      <c r="S74">
        <v>0</v>
      </c>
      <c r="X74">
        <v>0</v>
      </c>
    </row>
    <row r="75" spans="1:24">
      <c r="A75">
        <v>87</v>
      </c>
      <c r="B75">
        <v>61704</v>
      </c>
      <c r="C75" t="s">
        <v>29</v>
      </c>
      <c r="D75">
        <v>12310</v>
      </c>
      <c r="E75" t="s">
        <v>2208</v>
      </c>
      <c r="H75" t="s">
        <v>1598</v>
      </c>
      <c r="I75">
        <v>16</v>
      </c>
      <c r="J75">
        <v>2</v>
      </c>
      <c r="K75" t="s">
        <v>14</v>
      </c>
      <c r="L75">
        <v>20</v>
      </c>
      <c r="N75" t="s">
        <v>919</v>
      </c>
      <c r="S75">
        <v>6</v>
      </c>
      <c r="X75">
        <v>0</v>
      </c>
    </row>
    <row r="76" spans="1:24">
      <c r="A76">
        <v>93</v>
      </c>
      <c r="B76">
        <v>4843</v>
      </c>
      <c r="C76" t="s">
        <v>932</v>
      </c>
      <c r="D76">
        <v>11520</v>
      </c>
      <c r="E76" t="s">
        <v>2233</v>
      </c>
      <c r="H76" t="s">
        <v>1590</v>
      </c>
      <c r="I76">
        <v>6</v>
      </c>
      <c r="J76">
        <v>20</v>
      </c>
      <c r="K76" t="s">
        <v>1671</v>
      </c>
      <c r="L76">
        <v>1</v>
      </c>
      <c r="N76" t="s">
        <v>919</v>
      </c>
      <c r="O76" t="s">
        <v>136</v>
      </c>
      <c r="P76" t="s">
        <v>1672</v>
      </c>
      <c r="R76" t="s">
        <v>1673</v>
      </c>
      <c r="S76">
        <v>0</v>
      </c>
      <c r="X76">
        <v>0</v>
      </c>
    </row>
    <row r="77" spans="1:24">
      <c r="A77">
        <v>94</v>
      </c>
      <c r="B77">
        <v>5286</v>
      </c>
      <c r="C77" t="s">
        <v>932</v>
      </c>
      <c r="D77">
        <v>11550</v>
      </c>
      <c r="E77" t="s">
        <v>1867</v>
      </c>
      <c r="H77" t="s">
        <v>1588</v>
      </c>
      <c r="I77">
        <v>7</v>
      </c>
      <c r="J77">
        <v>20</v>
      </c>
      <c r="K77" t="s">
        <v>1674</v>
      </c>
      <c r="L77">
        <v>2</v>
      </c>
      <c r="N77" t="s">
        <v>919</v>
      </c>
      <c r="S77">
        <v>0</v>
      </c>
      <c r="X77">
        <v>0</v>
      </c>
    </row>
    <row r="78" spans="1:24">
      <c r="A78">
        <v>139</v>
      </c>
      <c r="B78">
        <v>4029</v>
      </c>
      <c r="C78" t="s">
        <v>437</v>
      </c>
      <c r="D78">
        <v>13040</v>
      </c>
      <c r="E78" t="s">
        <v>2234</v>
      </c>
      <c r="H78" t="s">
        <v>1570</v>
      </c>
      <c r="I78">
        <v>4</v>
      </c>
      <c r="J78">
        <v>2</v>
      </c>
      <c r="K78" t="s">
        <v>1677</v>
      </c>
      <c r="L78">
        <v>1</v>
      </c>
      <c r="N78" t="s">
        <v>919</v>
      </c>
      <c r="O78" t="s">
        <v>145</v>
      </c>
      <c r="P78" t="s">
        <v>1678</v>
      </c>
      <c r="R78" t="s">
        <v>1679</v>
      </c>
      <c r="S78">
        <v>15</v>
      </c>
      <c r="X78">
        <v>0</v>
      </c>
    </row>
    <row r="79" spans="1:24">
      <c r="A79">
        <v>140</v>
      </c>
      <c r="B79">
        <v>4058</v>
      </c>
      <c r="C79" t="s">
        <v>437</v>
      </c>
      <c r="D79">
        <v>13100</v>
      </c>
      <c r="E79" t="s">
        <v>2235</v>
      </c>
      <c r="H79" t="s">
        <v>1588</v>
      </c>
      <c r="I79">
        <v>5</v>
      </c>
      <c r="J79">
        <v>10</v>
      </c>
      <c r="K79" t="s">
        <v>1680</v>
      </c>
      <c r="L79">
        <v>2</v>
      </c>
      <c r="N79" t="s">
        <v>919</v>
      </c>
      <c r="S79">
        <v>0</v>
      </c>
      <c r="X79">
        <v>0</v>
      </c>
    </row>
    <row r="80" spans="1:24">
      <c r="A80">
        <v>141</v>
      </c>
      <c r="B80">
        <v>4040</v>
      </c>
      <c r="C80" t="s">
        <v>437</v>
      </c>
      <c r="D80">
        <v>13120</v>
      </c>
      <c r="E80" t="s">
        <v>2236</v>
      </c>
      <c r="H80" t="s">
        <v>1588</v>
      </c>
      <c r="I80">
        <v>6</v>
      </c>
      <c r="J80">
        <v>5</v>
      </c>
      <c r="K80" t="s">
        <v>1681</v>
      </c>
      <c r="L80">
        <v>3</v>
      </c>
      <c r="N80" t="s">
        <v>92</v>
      </c>
      <c r="S80">
        <v>0</v>
      </c>
      <c r="X80">
        <v>0</v>
      </c>
    </row>
    <row r="81" spans="1:24">
      <c r="A81">
        <v>142</v>
      </c>
      <c r="B81">
        <v>4063</v>
      </c>
      <c r="C81" t="s">
        <v>437</v>
      </c>
      <c r="D81">
        <v>13140</v>
      </c>
      <c r="E81" t="s">
        <v>2237</v>
      </c>
      <c r="H81" t="s">
        <v>1588</v>
      </c>
      <c r="I81">
        <v>7</v>
      </c>
      <c r="J81">
        <v>8</v>
      </c>
      <c r="K81" t="s">
        <v>1682</v>
      </c>
      <c r="L81">
        <v>4</v>
      </c>
      <c r="N81" t="s">
        <v>919</v>
      </c>
      <c r="S81">
        <v>0</v>
      </c>
      <c r="X81">
        <v>0</v>
      </c>
    </row>
    <row r="82" spans="1:24">
      <c r="A82">
        <v>143</v>
      </c>
      <c r="B82">
        <v>4027</v>
      </c>
      <c r="C82" t="s">
        <v>437</v>
      </c>
      <c r="D82">
        <v>13110</v>
      </c>
      <c r="E82" t="s">
        <v>2238</v>
      </c>
      <c r="H82" t="s">
        <v>1588</v>
      </c>
      <c r="I82">
        <v>8</v>
      </c>
      <c r="J82">
        <v>9</v>
      </c>
      <c r="K82" t="s">
        <v>1683</v>
      </c>
      <c r="L82">
        <v>5</v>
      </c>
      <c r="N82" t="s">
        <v>919</v>
      </c>
      <c r="S82">
        <v>0</v>
      </c>
      <c r="X82">
        <v>0</v>
      </c>
    </row>
    <row r="83" spans="1:24">
      <c r="A83">
        <v>144</v>
      </c>
      <c r="B83">
        <v>4215</v>
      </c>
      <c r="C83" t="s">
        <v>437</v>
      </c>
      <c r="H83" t="s">
        <v>1590</v>
      </c>
      <c r="I83">
        <v>9</v>
      </c>
      <c r="J83">
        <v>13</v>
      </c>
      <c r="K83" t="s">
        <v>1684</v>
      </c>
      <c r="L83">
        <v>6</v>
      </c>
      <c r="N83" t="s">
        <v>919</v>
      </c>
      <c r="O83" t="s">
        <v>136</v>
      </c>
      <c r="P83" t="s">
        <v>1685</v>
      </c>
      <c r="R83" t="s">
        <v>1686</v>
      </c>
      <c r="S83">
        <v>0</v>
      </c>
      <c r="X83">
        <v>0</v>
      </c>
    </row>
    <row r="84" spans="1:24">
      <c r="A84">
        <v>145</v>
      </c>
      <c r="B84">
        <v>4030</v>
      </c>
      <c r="C84" t="s">
        <v>437</v>
      </c>
      <c r="H84" t="s">
        <v>1588</v>
      </c>
      <c r="I84">
        <v>6</v>
      </c>
      <c r="J84">
        <v>46</v>
      </c>
      <c r="K84" t="s">
        <v>1687</v>
      </c>
      <c r="L84">
        <v>7</v>
      </c>
      <c r="N84" t="s">
        <v>92</v>
      </c>
      <c r="S84">
        <v>0</v>
      </c>
      <c r="X84">
        <v>0</v>
      </c>
    </row>
    <row r="85" spans="1:24">
      <c r="A85">
        <v>146</v>
      </c>
      <c r="B85">
        <v>4028</v>
      </c>
      <c r="C85" t="s">
        <v>437</v>
      </c>
      <c r="H85" t="s">
        <v>1588</v>
      </c>
      <c r="I85">
        <v>7</v>
      </c>
      <c r="J85">
        <v>44</v>
      </c>
      <c r="K85" t="s">
        <v>1688</v>
      </c>
      <c r="L85">
        <v>8</v>
      </c>
      <c r="N85" t="s">
        <v>92</v>
      </c>
      <c r="S85">
        <v>0</v>
      </c>
      <c r="X85">
        <v>0</v>
      </c>
    </row>
    <row r="86" spans="1:24">
      <c r="A86">
        <v>147</v>
      </c>
      <c r="B86">
        <v>4033</v>
      </c>
      <c r="C86" t="s">
        <v>437</v>
      </c>
      <c r="H86" t="s">
        <v>1570</v>
      </c>
      <c r="I86">
        <v>8</v>
      </c>
      <c r="J86">
        <v>53</v>
      </c>
      <c r="K86" t="s">
        <v>1689</v>
      </c>
      <c r="L86">
        <v>9</v>
      </c>
      <c r="N86" t="s">
        <v>92</v>
      </c>
      <c r="O86" t="s">
        <v>138</v>
      </c>
      <c r="P86" t="s">
        <v>1690</v>
      </c>
      <c r="R86" t="s">
        <v>1691</v>
      </c>
      <c r="S86">
        <v>10</v>
      </c>
      <c r="X86">
        <v>0</v>
      </c>
    </row>
    <row r="87" spans="1:24">
      <c r="A87">
        <v>148</v>
      </c>
      <c r="B87">
        <v>8877</v>
      </c>
      <c r="C87" t="s">
        <v>437</v>
      </c>
      <c r="H87" t="s">
        <v>1588</v>
      </c>
      <c r="I87">
        <v>9</v>
      </c>
      <c r="J87">
        <v>47</v>
      </c>
      <c r="K87" t="s">
        <v>1692</v>
      </c>
      <c r="L87">
        <v>10</v>
      </c>
      <c r="N87" t="s">
        <v>92</v>
      </c>
      <c r="S87">
        <v>0</v>
      </c>
      <c r="X87">
        <v>0</v>
      </c>
    </row>
    <row r="88" spans="1:24">
      <c r="A88">
        <v>149</v>
      </c>
      <c r="B88">
        <v>12954</v>
      </c>
      <c r="C88" t="s">
        <v>437</v>
      </c>
      <c r="D88">
        <v>13050</v>
      </c>
      <c r="E88" t="s">
        <v>2239</v>
      </c>
      <c r="H88" t="s">
        <v>1570</v>
      </c>
      <c r="I88">
        <v>11</v>
      </c>
      <c r="J88">
        <v>10</v>
      </c>
      <c r="K88" t="s">
        <v>1693</v>
      </c>
      <c r="L88">
        <v>11</v>
      </c>
      <c r="N88" t="s">
        <v>919</v>
      </c>
      <c r="O88" t="s">
        <v>1631</v>
      </c>
      <c r="P88" t="s">
        <v>1632</v>
      </c>
      <c r="R88" t="s">
        <v>1633</v>
      </c>
      <c r="S88">
        <v>15</v>
      </c>
      <c r="X88">
        <v>0</v>
      </c>
    </row>
    <row r="89" spans="1:24">
      <c r="A89">
        <v>150</v>
      </c>
      <c r="B89">
        <v>4031</v>
      </c>
      <c r="C89" t="s">
        <v>437</v>
      </c>
      <c r="H89" t="s">
        <v>1588</v>
      </c>
      <c r="I89">
        <v>11</v>
      </c>
      <c r="J89">
        <v>49</v>
      </c>
      <c r="K89" t="s">
        <v>1694</v>
      </c>
      <c r="L89">
        <v>12</v>
      </c>
      <c r="N89" t="s">
        <v>919</v>
      </c>
      <c r="S89">
        <v>0</v>
      </c>
      <c r="X89">
        <v>0</v>
      </c>
    </row>
    <row r="90" spans="1:24">
      <c r="A90">
        <v>151</v>
      </c>
      <c r="B90">
        <v>5924</v>
      </c>
      <c r="C90" t="s">
        <v>437</v>
      </c>
      <c r="D90">
        <v>13090</v>
      </c>
      <c r="E90" t="s">
        <v>2240</v>
      </c>
      <c r="H90" t="s">
        <v>1588</v>
      </c>
      <c r="I90">
        <v>12</v>
      </c>
      <c r="J90">
        <v>47</v>
      </c>
      <c r="K90" t="s">
        <v>1695</v>
      </c>
      <c r="L90">
        <v>13</v>
      </c>
      <c r="N90" t="s">
        <v>919</v>
      </c>
      <c r="S90">
        <v>0</v>
      </c>
      <c r="X90">
        <v>0</v>
      </c>
    </row>
    <row r="91" spans="1:24">
      <c r="A91">
        <v>152</v>
      </c>
      <c r="B91">
        <v>12952</v>
      </c>
      <c r="C91" t="s">
        <v>437</v>
      </c>
      <c r="D91">
        <v>13060</v>
      </c>
      <c r="E91" t="s">
        <v>2241</v>
      </c>
      <c r="H91" t="s">
        <v>1598</v>
      </c>
      <c r="I91">
        <v>13</v>
      </c>
      <c r="J91">
        <v>2</v>
      </c>
      <c r="K91" t="s">
        <v>1696</v>
      </c>
      <c r="L91">
        <v>14</v>
      </c>
      <c r="N91" t="s">
        <v>919</v>
      </c>
      <c r="S91">
        <v>2</v>
      </c>
      <c r="X91">
        <v>0</v>
      </c>
    </row>
    <row r="92" spans="1:24">
      <c r="A92">
        <v>153</v>
      </c>
      <c r="B92">
        <v>5941</v>
      </c>
      <c r="C92" t="s">
        <v>437</v>
      </c>
      <c r="D92">
        <v>13030</v>
      </c>
      <c r="E92" t="s">
        <v>2242</v>
      </c>
      <c r="H92" t="s">
        <v>1590</v>
      </c>
      <c r="I92">
        <v>17</v>
      </c>
      <c r="J92">
        <v>15</v>
      </c>
      <c r="K92" t="s">
        <v>1697</v>
      </c>
      <c r="L92">
        <v>15</v>
      </c>
      <c r="N92" t="s">
        <v>92</v>
      </c>
      <c r="O92" t="s">
        <v>136</v>
      </c>
      <c r="P92" t="s">
        <v>1698</v>
      </c>
      <c r="R92" t="s">
        <v>1686</v>
      </c>
      <c r="S92">
        <v>0</v>
      </c>
      <c r="X92">
        <v>0</v>
      </c>
    </row>
    <row r="93" spans="1:24">
      <c r="A93">
        <v>154</v>
      </c>
      <c r="B93">
        <v>12856</v>
      </c>
      <c r="C93" t="s">
        <v>437</v>
      </c>
      <c r="H93" t="s">
        <v>1590</v>
      </c>
      <c r="I93">
        <v>18</v>
      </c>
      <c r="J93">
        <v>2</v>
      </c>
      <c r="K93" t="s">
        <v>1699</v>
      </c>
      <c r="L93">
        <v>16</v>
      </c>
      <c r="N93" t="s">
        <v>919</v>
      </c>
      <c r="O93" t="s">
        <v>136</v>
      </c>
      <c r="P93" t="s">
        <v>1700</v>
      </c>
      <c r="R93" t="s">
        <v>1686</v>
      </c>
      <c r="S93">
        <v>0</v>
      </c>
      <c r="V93" t="s">
        <v>1701</v>
      </c>
      <c r="X93">
        <v>0</v>
      </c>
    </row>
    <row r="94" spans="1:24">
      <c r="A94">
        <v>155</v>
      </c>
      <c r="B94">
        <v>5907</v>
      </c>
      <c r="C94" t="s">
        <v>437</v>
      </c>
      <c r="D94">
        <v>13180</v>
      </c>
      <c r="E94" t="s">
        <v>1871</v>
      </c>
      <c r="H94" t="s">
        <v>1570</v>
      </c>
      <c r="I94">
        <v>20</v>
      </c>
      <c r="J94">
        <v>10</v>
      </c>
      <c r="K94" t="s">
        <v>1702</v>
      </c>
      <c r="L94">
        <v>18</v>
      </c>
      <c r="N94" t="s">
        <v>919</v>
      </c>
      <c r="O94" t="s">
        <v>138</v>
      </c>
      <c r="P94" t="s">
        <v>1690</v>
      </c>
      <c r="R94" t="s">
        <v>1691</v>
      </c>
      <c r="S94">
        <v>15</v>
      </c>
      <c r="V94" t="s">
        <v>1703</v>
      </c>
      <c r="X94">
        <v>0</v>
      </c>
    </row>
    <row r="95" spans="1:24">
      <c r="A95">
        <v>156</v>
      </c>
      <c r="B95">
        <v>3673</v>
      </c>
      <c r="C95" t="s">
        <v>437</v>
      </c>
      <c r="D95">
        <v>13230</v>
      </c>
      <c r="E95" t="s">
        <v>1868</v>
      </c>
      <c r="H95" t="s">
        <v>1588</v>
      </c>
      <c r="I95">
        <v>21</v>
      </c>
      <c r="J95">
        <v>14</v>
      </c>
      <c r="K95" t="s">
        <v>1704</v>
      </c>
      <c r="L95">
        <v>19</v>
      </c>
      <c r="N95" t="s">
        <v>919</v>
      </c>
      <c r="S95">
        <v>0</v>
      </c>
      <c r="X95">
        <v>0</v>
      </c>
    </row>
    <row r="96" spans="1:24">
      <c r="A96">
        <v>157</v>
      </c>
      <c r="B96">
        <v>8955</v>
      </c>
      <c r="C96" t="s">
        <v>437</v>
      </c>
      <c r="D96">
        <v>13280</v>
      </c>
      <c r="E96" t="s">
        <v>2243</v>
      </c>
      <c r="H96" t="s">
        <v>1588</v>
      </c>
      <c r="I96">
        <v>17</v>
      </c>
      <c r="J96">
        <v>46</v>
      </c>
      <c r="K96" t="s">
        <v>1705</v>
      </c>
      <c r="L96">
        <v>20</v>
      </c>
      <c r="N96" t="s">
        <v>92</v>
      </c>
      <c r="S96">
        <v>0</v>
      </c>
      <c r="X96">
        <v>0</v>
      </c>
    </row>
    <row r="97" spans="1:24">
      <c r="A97">
        <v>158</v>
      </c>
      <c r="B97">
        <v>13339</v>
      </c>
      <c r="C97" t="s">
        <v>119</v>
      </c>
      <c r="D97">
        <v>11210</v>
      </c>
      <c r="E97" t="s">
        <v>2244</v>
      </c>
      <c r="H97" t="s">
        <v>1588</v>
      </c>
      <c r="I97">
        <v>3</v>
      </c>
      <c r="J97">
        <v>2</v>
      </c>
      <c r="K97" t="s">
        <v>1680</v>
      </c>
      <c r="L97">
        <v>1</v>
      </c>
      <c r="N97" t="s">
        <v>919</v>
      </c>
      <c r="S97">
        <v>0</v>
      </c>
      <c r="X97">
        <v>0</v>
      </c>
    </row>
    <row r="98" spans="1:24">
      <c r="A98">
        <v>159</v>
      </c>
      <c r="B98">
        <v>8856</v>
      </c>
      <c r="C98" t="s">
        <v>119</v>
      </c>
      <c r="D98">
        <v>11200</v>
      </c>
      <c r="E98" t="s">
        <v>2245</v>
      </c>
      <c r="H98" t="s">
        <v>1598</v>
      </c>
      <c r="I98">
        <v>4</v>
      </c>
      <c r="J98">
        <v>2</v>
      </c>
      <c r="K98" t="s">
        <v>1706</v>
      </c>
      <c r="L98">
        <v>2</v>
      </c>
      <c r="N98" t="s">
        <v>919</v>
      </c>
      <c r="S98">
        <v>5</v>
      </c>
      <c r="X98">
        <v>0</v>
      </c>
    </row>
    <row r="99" spans="1:24">
      <c r="A99">
        <v>160</v>
      </c>
      <c r="B99">
        <v>12955</v>
      </c>
      <c r="C99" t="s">
        <v>119</v>
      </c>
      <c r="D99">
        <v>11160</v>
      </c>
      <c r="E99" t="s">
        <v>2246</v>
      </c>
      <c r="H99" t="s">
        <v>1570</v>
      </c>
      <c r="I99">
        <v>10</v>
      </c>
      <c r="J99">
        <v>2</v>
      </c>
      <c r="K99" t="s">
        <v>1707</v>
      </c>
      <c r="L99">
        <v>3</v>
      </c>
      <c r="N99" t="s">
        <v>919</v>
      </c>
      <c r="O99" t="s">
        <v>1582</v>
      </c>
      <c r="P99" t="s">
        <v>1583</v>
      </c>
      <c r="R99" t="s">
        <v>1584</v>
      </c>
      <c r="S99">
        <v>15</v>
      </c>
      <c r="V99" t="s">
        <v>1708</v>
      </c>
      <c r="X99">
        <v>0</v>
      </c>
    </row>
    <row r="100" spans="1:24">
      <c r="A100">
        <v>161</v>
      </c>
      <c r="B100">
        <v>8815</v>
      </c>
      <c r="C100" t="s">
        <v>119</v>
      </c>
      <c r="D100">
        <v>11220</v>
      </c>
      <c r="E100" t="s">
        <v>2247</v>
      </c>
      <c r="H100" t="s">
        <v>1588</v>
      </c>
      <c r="I100">
        <v>11</v>
      </c>
      <c r="J100">
        <v>2</v>
      </c>
      <c r="K100" t="s">
        <v>1709</v>
      </c>
      <c r="L100">
        <v>4</v>
      </c>
      <c r="N100" t="s">
        <v>919</v>
      </c>
      <c r="S100">
        <v>0</v>
      </c>
      <c r="X100">
        <v>0</v>
      </c>
    </row>
    <row r="101" spans="1:24">
      <c r="A101">
        <v>162</v>
      </c>
      <c r="B101">
        <v>8968</v>
      </c>
      <c r="C101" t="s">
        <v>119</v>
      </c>
      <c r="H101" t="s">
        <v>1570</v>
      </c>
      <c r="I101">
        <v>12</v>
      </c>
      <c r="J101">
        <v>2</v>
      </c>
      <c r="K101" t="s">
        <v>1710</v>
      </c>
      <c r="L101">
        <v>5</v>
      </c>
      <c r="N101" t="s">
        <v>919</v>
      </c>
      <c r="O101" t="s">
        <v>1711</v>
      </c>
      <c r="P101" t="s">
        <v>1712</v>
      </c>
      <c r="R101" t="s">
        <v>1713</v>
      </c>
      <c r="S101">
        <v>15</v>
      </c>
      <c r="X101">
        <v>0</v>
      </c>
    </row>
    <row r="102" spans="1:24">
      <c r="A102">
        <v>163</v>
      </c>
      <c r="B102">
        <v>59843</v>
      </c>
      <c r="C102" t="s">
        <v>119</v>
      </c>
      <c r="D102">
        <v>11190</v>
      </c>
      <c r="E102" t="s">
        <v>2248</v>
      </c>
      <c r="H102" t="s">
        <v>1590</v>
      </c>
      <c r="I102">
        <v>13</v>
      </c>
      <c r="J102">
        <v>2</v>
      </c>
      <c r="K102" t="s">
        <v>1714</v>
      </c>
      <c r="L102">
        <v>6</v>
      </c>
      <c r="N102" t="s">
        <v>919</v>
      </c>
      <c r="O102" t="s">
        <v>136</v>
      </c>
      <c r="P102" t="s">
        <v>1715</v>
      </c>
      <c r="R102" t="s">
        <v>1584</v>
      </c>
      <c r="S102">
        <v>0</v>
      </c>
      <c r="X102">
        <v>0</v>
      </c>
    </row>
    <row r="103" spans="1:24">
      <c r="A103">
        <v>164</v>
      </c>
      <c r="B103">
        <v>12956</v>
      </c>
      <c r="C103" t="s">
        <v>119</v>
      </c>
      <c r="D103">
        <v>11150</v>
      </c>
      <c r="E103" t="s">
        <v>2249</v>
      </c>
      <c r="H103" t="s">
        <v>1590</v>
      </c>
      <c r="I103">
        <v>14</v>
      </c>
      <c r="J103">
        <v>2</v>
      </c>
      <c r="K103" t="s">
        <v>1716</v>
      </c>
      <c r="L103">
        <v>7</v>
      </c>
      <c r="N103" t="s">
        <v>919</v>
      </c>
      <c r="O103" t="s">
        <v>136</v>
      </c>
      <c r="P103" t="s">
        <v>1717</v>
      </c>
      <c r="R103" t="s">
        <v>1584</v>
      </c>
      <c r="S103">
        <v>0</v>
      </c>
      <c r="X103">
        <v>0</v>
      </c>
    </row>
    <row r="104" spans="1:24">
      <c r="A104">
        <v>165</v>
      </c>
      <c r="B104">
        <v>3688</v>
      </c>
      <c r="C104" t="s">
        <v>119</v>
      </c>
      <c r="D104">
        <v>11170</v>
      </c>
      <c r="E104" t="s">
        <v>2250</v>
      </c>
      <c r="H104" t="s">
        <v>1570</v>
      </c>
      <c r="I104">
        <v>15</v>
      </c>
      <c r="J104">
        <v>2</v>
      </c>
      <c r="K104" t="s">
        <v>1718</v>
      </c>
      <c r="L104">
        <v>8</v>
      </c>
      <c r="N104" t="s">
        <v>919</v>
      </c>
      <c r="O104" t="s">
        <v>1604</v>
      </c>
      <c r="P104" t="s">
        <v>1605</v>
      </c>
      <c r="R104" t="s">
        <v>1606</v>
      </c>
      <c r="S104">
        <v>15</v>
      </c>
      <c r="X104">
        <v>0</v>
      </c>
    </row>
    <row r="105" spans="1:24">
      <c r="A105">
        <v>166</v>
      </c>
      <c r="B105">
        <v>5960</v>
      </c>
      <c r="C105" t="s">
        <v>119</v>
      </c>
      <c r="H105" t="s">
        <v>1598</v>
      </c>
      <c r="I105">
        <v>16</v>
      </c>
      <c r="J105">
        <v>1</v>
      </c>
      <c r="K105" t="s">
        <v>1719</v>
      </c>
      <c r="L105">
        <v>9</v>
      </c>
      <c r="N105" t="s">
        <v>919</v>
      </c>
      <c r="S105">
        <v>6</v>
      </c>
      <c r="X105">
        <v>0</v>
      </c>
    </row>
    <row r="106" spans="1:24">
      <c r="A106">
        <v>167</v>
      </c>
      <c r="B106">
        <v>8976</v>
      </c>
      <c r="C106" t="s">
        <v>1878</v>
      </c>
      <c r="D106">
        <v>15680</v>
      </c>
      <c r="E106" t="s">
        <v>2251</v>
      </c>
      <c r="H106" t="s">
        <v>1570</v>
      </c>
      <c r="I106">
        <v>6</v>
      </c>
      <c r="J106">
        <v>12</v>
      </c>
      <c r="K106" t="s">
        <v>1720</v>
      </c>
      <c r="L106">
        <v>1</v>
      </c>
      <c r="N106" t="s">
        <v>919</v>
      </c>
      <c r="O106" t="s">
        <v>1572</v>
      </c>
      <c r="P106" t="s">
        <v>1573</v>
      </c>
      <c r="R106" t="s">
        <v>1580</v>
      </c>
      <c r="S106">
        <v>15</v>
      </c>
      <c r="X106">
        <v>0</v>
      </c>
    </row>
    <row r="107" spans="1:24">
      <c r="A107">
        <v>168</v>
      </c>
      <c r="B107">
        <v>12957</v>
      </c>
      <c r="C107" t="s">
        <v>1878</v>
      </c>
      <c r="D107">
        <v>15700</v>
      </c>
      <c r="E107" t="s">
        <v>2252</v>
      </c>
      <c r="H107" t="s">
        <v>1588</v>
      </c>
      <c r="I107">
        <v>7</v>
      </c>
      <c r="J107">
        <v>12</v>
      </c>
      <c r="K107" t="s">
        <v>1721</v>
      </c>
      <c r="L107">
        <v>2</v>
      </c>
      <c r="N107" t="s">
        <v>919</v>
      </c>
      <c r="S107">
        <v>0</v>
      </c>
      <c r="X107">
        <v>0</v>
      </c>
    </row>
    <row r="108" spans="1:24">
      <c r="A108">
        <v>169</v>
      </c>
      <c r="B108">
        <v>12857</v>
      </c>
      <c r="C108" t="s">
        <v>1878</v>
      </c>
      <c r="D108">
        <v>15750</v>
      </c>
      <c r="E108" t="s">
        <v>2253</v>
      </c>
      <c r="H108" t="s">
        <v>1588</v>
      </c>
      <c r="I108">
        <v>8</v>
      </c>
      <c r="J108">
        <v>12</v>
      </c>
      <c r="K108" t="s">
        <v>1722</v>
      </c>
      <c r="L108">
        <v>3</v>
      </c>
      <c r="N108" t="s">
        <v>919</v>
      </c>
      <c r="S108">
        <v>0</v>
      </c>
      <c r="X108">
        <v>0</v>
      </c>
    </row>
    <row r="109" spans="1:24">
      <c r="A109">
        <v>170</v>
      </c>
      <c r="B109">
        <v>8842</v>
      </c>
      <c r="C109" t="s">
        <v>1878</v>
      </c>
      <c r="D109">
        <v>15880</v>
      </c>
      <c r="E109" t="s">
        <v>2254</v>
      </c>
      <c r="H109" t="s">
        <v>1588</v>
      </c>
      <c r="I109">
        <v>9</v>
      </c>
      <c r="J109">
        <v>12</v>
      </c>
      <c r="K109" t="s">
        <v>1723</v>
      </c>
      <c r="L109">
        <v>4</v>
      </c>
      <c r="N109" t="s">
        <v>919</v>
      </c>
      <c r="S109">
        <v>0</v>
      </c>
      <c r="X109">
        <v>0</v>
      </c>
    </row>
    <row r="110" spans="1:24">
      <c r="A110">
        <v>171</v>
      </c>
      <c r="B110">
        <v>5955</v>
      </c>
      <c r="C110" t="s">
        <v>1878</v>
      </c>
      <c r="H110" t="s">
        <v>1570</v>
      </c>
      <c r="I110">
        <v>10</v>
      </c>
      <c r="J110">
        <v>12</v>
      </c>
      <c r="K110" t="s">
        <v>1724</v>
      </c>
      <c r="L110">
        <v>5</v>
      </c>
      <c r="N110" t="s">
        <v>919</v>
      </c>
      <c r="O110" t="s">
        <v>1725</v>
      </c>
      <c r="P110" t="s">
        <v>1726</v>
      </c>
      <c r="S110">
        <v>15</v>
      </c>
      <c r="X110">
        <v>0</v>
      </c>
    </row>
    <row r="111" spans="1:24">
      <c r="A111">
        <v>172</v>
      </c>
      <c r="B111">
        <v>3665</v>
      </c>
      <c r="C111" t="s">
        <v>1878</v>
      </c>
      <c r="H111" t="s">
        <v>1570</v>
      </c>
      <c r="I111">
        <v>11</v>
      </c>
      <c r="J111">
        <v>12</v>
      </c>
      <c r="K111" t="s">
        <v>1727</v>
      </c>
      <c r="L111">
        <v>6</v>
      </c>
      <c r="N111" t="s">
        <v>919</v>
      </c>
      <c r="O111" t="s">
        <v>1725</v>
      </c>
      <c r="P111" t="s">
        <v>1726</v>
      </c>
      <c r="R111" t="s">
        <v>1728</v>
      </c>
      <c r="S111">
        <v>15</v>
      </c>
      <c r="X111">
        <v>0</v>
      </c>
    </row>
    <row r="112" spans="1:24">
      <c r="A112">
        <v>173</v>
      </c>
      <c r="B112">
        <v>3666</v>
      </c>
      <c r="C112" t="s">
        <v>1878</v>
      </c>
      <c r="D112">
        <v>15910</v>
      </c>
      <c r="E112" t="s">
        <v>2255</v>
      </c>
      <c r="H112" t="s">
        <v>1588</v>
      </c>
      <c r="I112">
        <v>12</v>
      </c>
      <c r="J112">
        <v>12</v>
      </c>
      <c r="K112" t="s">
        <v>1729</v>
      </c>
      <c r="L112">
        <v>7</v>
      </c>
      <c r="N112" t="s">
        <v>919</v>
      </c>
      <c r="S112">
        <v>0</v>
      </c>
      <c r="X112">
        <v>0</v>
      </c>
    </row>
    <row r="113" spans="1:24">
      <c r="A113">
        <v>174</v>
      </c>
      <c r="B113">
        <v>3682</v>
      </c>
      <c r="C113" t="s">
        <v>1878</v>
      </c>
      <c r="D113">
        <v>15740</v>
      </c>
      <c r="E113" t="s">
        <v>2256</v>
      </c>
      <c r="H113" t="s">
        <v>1588</v>
      </c>
      <c r="I113">
        <v>13</v>
      </c>
      <c r="J113">
        <v>12</v>
      </c>
      <c r="K113" t="s">
        <v>1730</v>
      </c>
      <c r="L113">
        <v>8</v>
      </c>
      <c r="N113" t="s">
        <v>919</v>
      </c>
      <c r="S113">
        <v>0</v>
      </c>
      <c r="X113">
        <v>0</v>
      </c>
    </row>
    <row r="114" spans="1:24">
      <c r="A114">
        <v>175</v>
      </c>
      <c r="B114">
        <v>3667</v>
      </c>
      <c r="C114" t="s">
        <v>1878</v>
      </c>
      <c r="D114" t="e">
        <v>#N/A</v>
      </c>
      <c r="E114" t="s">
        <v>2257</v>
      </c>
      <c r="H114" t="s">
        <v>1588</v>
      </c>
      <c r="I114">
        <v>15</v>
      </c>
      <c r="J114">
        <v>12</v>
      </c>
      <c r="K114" t="s">
        <v>1731</v>
      </c>
      <c r="L114">
        <v>9</v>
      </c>
      <c r="N114" t="s">
        <v>919</v>
      </c>
      <c r="S114">
        <v>0</v>
      </c>
      <c r="X114">
        <v>0</v>
      </c>
    </row>
    <row r="115" spans="1:24">
      <c r="A115">
        <v>176</v>
      </c>
      <c r="B115">
        <v>3668</v>
      </c>
      <c r="C115" t="s">
        <v>1878</v>
      </c>
      <c r="D115">
        <v>15810</v>
      </c>
      <c r="E115" t="s">
        <v>2258</v>
      </c>
      <c r="H115" t="s">
        <v>1588</v>
      </c>
      <c r="I115">
        <v>16</v>
      </c>
      <c r="J115">
        <v>12</v>
      </c>
      <c r="K115" t="s">
        <v>1732</v>
      </c>
      <c r="L115">
        <v>10</v>
      </c>
      <c r="N115" t="s">
        <v>919</v>
      </c>
      <c r="S115">
        <v>0</v>
      </c>
      <c r="X115">
        <v>0</v>
      </c>
    </row>
    <row r="116" spans="1:24">
      <c r="A116">
        <v>177</v>
      </c>
      <c r="B116">
        <v>3669</v>
      </c>
      <c r="C116" t="s">
        <v>1878</v>
      </c>
      <c r="D116" t="e">
        <v>#N/A</v>
      </c>
      <c r="E116" t="s">
        <v>2259</v>
      </c>
      <c r="H116" t="s">
        <v>1588</v>
      </c>
      <c r="I116">
        <v>17</v>
      </c>
      <c r="J116">
        <v>12</v>
      </c>
      <c r="K116" t="s">
        <v>1733</v>
      </c>
      <c r="L116">
        <v>11</v>
      </c>
      <c r="N116" t="s">
        <v>92</v>
      </c>
      <c r="S116">
        <v>0</v>
      </c>
      <c r="X116">
        <v>0</v>
      </c>
    </row>
    <row r="117" spans="1:24">
      <c r="A117">
        <v>178</v>
      </c>
      <c r="B117">
        <v>59844</v>
      </c>
      <c r="C117" t="s">
        <v>1878</v>
      </c>
      <c r="D117">
        <v>15760</v>
      </c>
      <c r="E117" t="s">
        <v>2260</v>
      </c>
      <c r="H117" t="s">
        <v>1588</v>
      </c>
      <c r="I117">
        <v>19</v>
      </c>
      <c r="J117">
        <v>12</v>
      </c>
      <c r="K117" t="s">
        <v>1734</v>
      </c>
      <c r="L117">
        <v>12</v>
      </c>
      <c r="N117" t="s">
        <v>919</v>
      </c>
      <c r="S117">
        <v>0</v>
      </c>
      <c r="X117">
        <v>0</v>
      </c>
    </row>
    <row r="118" spans="1:24">
      <c r="A118">
        <v>179</v>
      </c>
      <c r="B118">
        <v>8962</v>
      </c>
      <c r="C118" t="s">
        <v>1878</v>
      </c>
      <c r="H118" t="s">
        <v>1588</v>
      </c>
      <c r="I118">
        <v>20</v>
      </c>
      <c r="J118">
        <v>12</v>
      </c>
      <c r="K118" t="s">
        <v>1735</v>
      </c>
      <c r="L118">
        <v>13</v>
      </c>
      <c r="N118" t="s">
        <v>919</v>
      </c>
      <c r="S118">
        <v>0</v>
      </c>
      <c r="X118">
        <v>0</v>
      </c>
    </row>
    <row r="119" spans="1:24">
      <c r="A119">
        <v>180</v>
      </c>
      <c r="B119">
        <v>59845</v>
      </c>
      <c r="C119" t="s">
        <v>1878</v>
      </c>
      <c r="D119">
        <v>15690</v>
      </c>
      <c r="E119" t="s">
        <v>2261</v>
      </c>
      <c r="H119" t="s">
        <v>1590</v>
      </c>
      <c r="I119">
        <v>21</v>
      </c>
      <c r="J119">
        <v>12</v>
      </c>
      <c r="K119" t="s">
        <v>1736</v>
      </c>
      <c r="L119">
        <v>14</v>
      </c>
      <c r="N119" t="s">
        <v>919</v>
      </c>
      <c r="O119" t="s">
        <v>136</v>
      </c>
      <c r="P119" t="s">
        <v>1737</v>
      </c>
      <c r="S119">
        <v>0</v>
      </c>
      <c r="X119">
        <v>0</v>
      </c>
    </row>
    <row r="120" spans="1:24">
      <c r="A120">
        <v>181</v>
      </c>
      <c r="B120">
        <v>59846</v>
      </c>
      <c r="C120" t="s">
        <v>41</v>
      </c>
      <c r="D120">
        <v>12350</v>
      </c>
      <c r="E120" t="s">
        <v>2262</v>
      </c>
      <c r="H120" t="s">
        <v>1588</v>
      </c>
      <c r="I120">
        <v>3</v>
      </c>
      <c r="J120">
        <v>2</v>
      </c>
      <c r="K120" t="s">
        <v>1738</v>
      </c>
      <c r="L120">
        <v>1</v>
      </c>
      <c r="N120" t="s">
        <v>919</v>
      </c>
      <c r="S120">
        <v>0</v>
      </c>
      <c r="X120">
        <v>0</v>
      </c>
    </row>
    <row r="121" spans="1:24">
      <c r="A121">
        <v>182</v>
      </c>
      <c r="B121">
        <v>59847</v>
      </c>
      <c r="C121" t="s">
        <v>41</v>
      </c>
      <c r="D121">
        <v>12390</v>
      </c>
      <c r="E121" t="s">
        <v>2263</v>
      </c>
      <c r="H121" t="s">
        <v>1588</v>
      </c>
      <c r="I121">
        <v>4</v>
      </c>
      <c r="J121">
        <v>2</v>
      </c>
      <c r="K121" t="s">
        <v>1739</v>
      </c>
      <c r="L121">
        <v>2</v>
      </c>
      <c r="N121" t="s">
        <v>919</v>
      </c>
      <c r="S121">
        <v>0</v>
      </c>
      <c r="X121">
        <v>0</v>
      </c>
    </row>
    <row r="122" spans="1:24">
      <c r="A122">
        <v>183</v>
      </c>
      <c r="B122">
        <v>59848</v>
      </c>
      <c r="C122" t="s">
        <v>41</v>
      </c>
      <c r="D122">
        <v>12360</v>
      </c>
      <c r="E122" t="s">
        <v>2264</v>
      </c>
      <c r="H122" t="s">
        <v>1588</v>
      </c>
      <c r="I122">
        <v>5</v>
      </c>
      <c r="J122">
        <v>2</v>
      </c>
      <c r="K122" t="s">
        <v>1740</v>
      </c>
      <c r="L122">
        <v>3</v>
      </c>
      <c r="N122" t="s">
        <v>919</v>
      </c>
      <c r="S122">
        <v>0</v>
      </c>
      <c r="X122">
        <v>0</v>
      </c>
    </row>
    <row r="123" spans="1:24">
      <c r="A123">
        <v>184</v>
      </c>
      <c r="B123">
        <v>59849</v>
      </c>
      <c r="C123" t="s">
        <v>41</v>
      </c>
      <c r="H123" t="s">
        <v>1590</v>
      </c>
      <c r="I123">
        <v>6</v>
      </c>
      <c r="J123">
        <v>2</v>
      </c>
      <c r="K123" t="s">
        <v>1741</v>
      </c>
      <c r="L123">
        <v>4</v>
      </c>
      <c r="N123" t="s">
        <v>919</v>
      </c>
      <c r="O123" t="s">
        <v>136</v>
      </c>
      <c r="P123" t="s">
        <v>1609</v>
      </c>
      <c r="R123" t="s">
        <v>1742</v>
      </c>
      <c r="S123">
        <v>0</v>
      </c>
      <c r="V123" t="s">
        <v>1743</v>
      </c>
      <c r="X123">
        <v>0</v>
      </c>
    </row>
    <row r="124" spans="1:24">
      <c r="A124">
        <v>185</v>
      </c>
      <c r="B124">
        <v>13340</v>
      </c>
      <c r="C124" t="s">
        <v>41</v>
      </c>
      <c r="H124" t="s">
        <v>1744</v>
      </c>
      <c r="I124">
        <v>7</v>
      </c>
      <c r="J124">
        <v>2</v>
      </c>
      <c r="K124" t="s">
        <v>1745</v>
      </c>
      <c r="L124">
        <v>5</v>
      </c>
      <c r="N124" t="s">
        <v>919</v>
      </c>
      <c r="O124" t="s">
        <v>136</v>
      </c>
      <c r="P124" t="s">
        <v>1672</v>
      </c>
      <c r="S124">
        <v>0</v>
      </c>
      <c r="V124" t="s">
        <v>1746</v>
      </c>
      <c r="X124">
        <v>0</v>
      </c>
    </row>
    <row r="125" spans="1:24">
      <c r="A125">
        <v>186</v>
      </c>
      <c r="B125">
        <v>5987</v>
      </c>
      <c r="C125" t="s">
        <v>41</v>
      </c>
      <c r="D125">
        <v>12300</v>
      </c>
      <c r="E125" t="s">
        <v>2265</v>
      </c>
      <c r="H125" t="s">
        <v>1588</v>
      </c>
      <c r="I125">
        <v>3</v>
      </c>
      <c r="J125">
        <v>40</v>
      </c>
      <c r="K125" t="s">
        <v>1747</v>
      </c>
      <c r="L125">
        <v>6</v>
      </c>
      <c r="N125" t="s">
        <v>919</v>
      </c>
      <c r="S125">
        <v>0</v>
      </c>
      <c r="X125">
        <v>0</v>
      </c>
    </row>
    <row r="126" spans="1:24">
      <c r="A126">
        <v>187</v>
      </c>
      <c r="B126">
        <v>14769</v>
      </c>
      <c r="C126" t="s">
        <v>41</v>
      </c>
      <c r="D126">
        <v>12270</v>
      </c>
      <c r="E126" t="s">
        <v>2266</v>
      </c>
      <c r="H126" t="s">
        <v>1588</v>
      </c>
      <c r="I126">
        <v>4</v>
      </c>
      <c r="J126">
        <v>40</v>
      </c>
      <c r="K126" t="s">
        <v>1748</v>
      </c>
      <c r="L126">
        <v>7</v>
      </c>
      <c r="N126" t="s">
        <v>919</v>
      </c>
      <c r="S126">
        <v>0</v>
      </c>
      <c r="X126">
        <v>0</v>
      </c>
    </row>
    <row r="127" spans="1:24">
      <c r="A127">
        <v>188</v>
      </c>
      <c r="B127">
        <v>59850</v>
      </c>
      <c r="C127" t="s">
        <v>41</v>
      </c>
      <c r="D127">
        <v>12560</v>
      </c>
      <c r="E127" t="s">
        <v>2267</v>
      </c>
      <c r="H127" t="s">
        <v>1588</v>
      </c>
      <c r="I127">
        <v>5</v>
      </c>
      <c r="J127">
        <v>40</v>
      </c>
      <c r="K127" t="s">
        <v>1749</v>
      </c>
      <c r="L127">
        <v>8</v>
      </c>
      <c r="N127" t="s">
        <v>919</v>
      </c>
      <c r="S127">
        <v>0</v>
      </c>
      <c r="X127">
        <v>0</v>
      </c>
    </row>
    <row r="128" spans="1:24">
      <c r="A128">
        <v>189</v>
      </c>
      <c r="B128">
        <v>12958</v>
      </c>
      <c r="C128" t="s">
        <v>41</v>
      </c>
      <c r="D128">
        <v>11920</v>
      </c>
      <c r="E128" t="s">
        <v>2200</v>
      </c>
      <c r="H128" t="s">
        <v>1588</v>
      </c>
      <c r="I128">
        <v>9</v>
      </c>
      <c r="J128">
        <v>2</v>
      </c>
      <c r="K128" t="s">
        <v>1750</v>
      </c>
      <c r="L128">
        <v>9</v>
      </c>
      <c r="N128" t="s">
        <v>919</v>
      </c>
      <c r="S128">
        <v>0</v>
      </c>
      <c r="X128">
        <v>0</v>
      </c>
    </row>
    <row r="129" spans="1:24">
      <c r="A129">
        <v>190</v>
      </c>
      <c r="B129">
        <v>9146</v>
      </c>
      <c r="C129" t="s">
        <v>41</v>
      </c>
      <c r="D129">
        <v>11930</v>
      </c>
      <c r="E129" t="s">
        <v>2201</v>
      </c>
      <c r="H129" t="s">
        <v>1588</v>
      </c>
      <c r="I129">
        <v>10</v>
      </c>
      <c r="J129">
        <v>2</v>
      </c>
      <c r="K129" t="s">
        <v>1751</v>
      </c>
      <c r="L129">
        <v>10</v>
      </c>
      <c r="N129" t="s">
        <v>919</v>
      </c>
      <c r="S129">
        <v>0</v>
      </c>
      <c r="X129">
        <v>0</v>
      </c>
    </row>
    <row r="130" spans="1:24">
      <c r="A130">
        <v>191</v>
      </c>
      <c r="B130">
        <v>6000</v>
      </c>
      <c r="C130" t="s">
        <v>41</v>
      </c>
      <c r="D130">
        <v>11960</v>
      </c>
      <c r="E130" t="s">
        <v>2202</v>
      </c>
      <c r="H130" t="s">
        <v>1588</v>
      </c>
      <c r="I130">
        <v>11</v>
      </c>
      <c r="J130">
        <v>2</v>
      </c>
      <c r="K130" t="s">
        <v>1752</v>
      </c>
      <c r="L130">
        <v>11</v>
      </c>
      <c r="N130" t="s">
        <v>919</v>
      </c>
      <c r="S130">
        <v>0</v>
      </c>
      <c r="X130">
        <v>0</v>
      </c>
    </row>
    <row r="131" spans="1:24">
      <c r="A131">
        <v>192</v>
      </c>
      <c r="B131">
        <v>59851</v>
      </c>
      <c r="C131" t="s">
        <v>41</v>
      </c>
      <c r="D131">
        <v>12000</v>
      </c>
      <c r="E131" t="s">
        <v>2203</v>
      </c>
      <c r="H131" t="s">
        <v>1588</v>
      </c>
      <c r="I131">
        <v>12</v>
      </c>
      <c r="J131">
        <v>2</v>
      </c>
      <c r="K131" t="s">
        <v>1753</v>
      </c>
      <c r="L131">
        <v>12</v>
      </c>
      <c r="N131" t="s">
        <v>919</v>
      </c>
      <c r="S131">
        <v>0</v>
      </c>
      <c r="X131">
        <v>0</v>
      </c>
    </row>
    <row r="132" spans="1:24">
      <c r="A132">
        <v>193</v>
      </c>
      <c r="B132">
        <v>12960</v>
      </c>
      <c r="C132" t="s">
        <v>41</v>
      </c>
      <c r="D132">
        <v>11990</v>
      </c>
      <c r="E132" t="s">
        <v>2204</v>
      </c>
      <c r="H132" t="s">
        <v>1588</v>
      </c>
      <c r="I132">
        <v>13</v>
      </c>
      <c r="J132">
        <v>2</v>
      </c>
      <c r="K132" t="s">
        <v>1754</v>
      </c>
      <c r="L132">
        <v>13</v>
      </c>
      <c r="N132" t="s">
        <v>919</v>
      </c>
      <c r="S132">
        <v>0</v>
      </c>
      <c r="X132">
        <v>0</v>
      </c>
    </row>
    <row r="133" spans="1:24">
      <c r="A133">
        <v>194</v>
      </c>
      <c r="B133">
        <v>12859</v>
      </c>
      <c r="C133" t="s">
        <v>41</v>
      </c>
      <c r="D133">
        <v>12150</v>
      </c>
      <c r="E133" t="s">
        <v>2205</v>
      </c>
      <c r="H133" t="s">
        <v>1588</v>
      </c>
      <c r="I133">
        <v>9</v>
      </c>
      <c r="J133">
        <v>40</v>
      </c>
      <c r="K133" t="s">
        <v>1755</v>
      </c>
      <c r="L133">
        <v>14</v>
      </c>
      <c r="N133" t="s">
        <v>919</v>
      </c>
      <c r="S133">
        <v>0</v>
      </c>
      <c r="X133">
        <v>0</v>
      </c>
    </row>
    <row r="134" spans="1:24">
      <c r="A134">
        <v>195</v>
      </c>
      <c r="B134">
        <v>9212</v>
      </c>
      <c r="C134" t="s">
        <v>41</v>
      </c>
      <c r="H134" t="s">
        <v>1588</v>
      </c>
      <c r="I134">
        <v>10</v>
      </c>
      <c r="J134">
        <v>40</v>
      </c>
      <c r="K134" t="s">
        <v>1756</v>
      </c>
      <c r="L134">
        <v>15</v>
      </c>
      <c r="N134" t="s">
        <v>919</v>
      </c>
      <c r="S134">
        <v>0</v>
      </c>
      <c r="X134">
        <v>0</v>
      </c>
    </row>
    <row r="135" spans="1:24">
      <c r="A135">
        <v>196</v>
      </c>
      <c r="B135">
        <v>12860</v>
      </c>
      <c r="C135" t="s">
        <v>41</v>
      </c>
      <c r="D135">
        <v>12060</v>
      </c>
      <c r="E135" t="s">
        <v>2231</v>
      </c>
      <c r="H135" t="s">
        <v>1588</v>
      </c>
      <c r="I135">
        <v>11</v>
      </c>
      <c r="J135">
        <v>40</v>
      </c>
      <c r="K135" t="s">
        <v>1757</v>
      </c>
      <c r="L135">
        <v>16</v>
      </c>
      <c r="N135" t="s">
        <v>919</v>
      </c>
      <c r="S135">
        <v>0</v>
      </c>
      <c r="X135">
        <v>0</v>
      </c>
    </row>
    <row r="136" spans="1:24">
      <c r="A136">
        <v>197</v>
      </c>
      <c r="B136">
        <v>5998</v>
      </c>
      <c r="C136" t="s">
        <v>41</v>
      </c>
      <c r="D136">
        <v>12480</v>
      </c>
      <c r="E136" t="s">
        <v>2268</v>
      </c>
      <c r="H136" t="s">
        <v>1598</v>
      </c>
      <c r="I136">
        <v>14</v>
      </c>
      <c r="J136">
        <v>2</v>
      </c>
      <c r="K136" t="s">
        <v>14</v>
      </c>
      <c r="L136">
        <v>17</v>
      </c>
      <c r="N136" t="s">
        <v>919</v>
      </c>
      <c r="S136">
        <v>0</v>
      </c>
      <c r="X136">
        <v>0</v>
      </c>
    </row>
    <row r="137" spans="1:24">
      <c r="A137">
        <v>198</v>
      </c>
      <c r="B137">
        <v>12961</v>
      </c>
      <c r="C137" t="s">
        <v>41</v>
      </c>
      <c r="D137">
        <v>12470</v>
      </c>
      <c r="E137" t="s">
        <v>2269</v>
      </c>
      <c r="H137" t="s">
        <v>1588</v>
      </c>
      <c r="I137">
        <v>20</v>
      </c>
      <c r="J137">
        <v>2</v>
      </c>
      <c r="K137" t="s">
        <v>1758</v>
      </c>
      <c r="L137">
        <v>18</v>
      </c>
      <c r="N137" t="s">
        <v>919</v>
      </c>
      <c r="S137">
        <v>0</v>
      </c>
      <c r="X137">
        <v>0</v>
      </c>
    </row>
    <row r="138" spans="1:24">
      <c r="A138">
        <v>199</v>
      </c>
      <c r="B138">
        <v>12962</v>
      </c>
      <c r="C138" t="s">
        <v>41</v>
      </c>
      <c r="D138">
        <v>12490</v>
      </c>
      <c r="E138" t="s">
        <v>2270</v>
      </c>
      <c r="H138" t="s">
        <v>1588</v>
      </c>
      <c r="I138">
        <v>21</v>
      </c>
      <c r="J138">
        <v>2</v>
      </c>
      <c r="K138" t="s">
        <v>1759</v>
      </c>
      <c r="L138">
        <v>19</v>
      </c>
      <c r="N138" t="s">
        <v>919</v>
      </c>
      <c r="S138">
        <v>0</v>
      </c>
      <c r="X138">
        <v>0</v>
      </c>
    </row>
    <row r="139" spans="1:24">
      <c r="A139">
        <v>200</v>
      </c>
      <c r="B139">
        <v>9170</v>
      </c>
      <c r="C139" t="s">
        <v>41</v>
      </c>
      <c r="D139">
        <v>12460</v>
      </c>
      <c r="E139" t="s">
        <v>2271</v>
      </c>
      <c r="H139" t="s">
        <v>1590</v>
      </c>
      <c r="I139">
        <v>20</v>
      </c>
      <c r="J139">
        <v>34</v>
      </c>
      <c r="K139" t="s">
        <v>1760</v>
      </c>
      <c r="L139">
        <v>20</v>
      </c>
      <c r="N139" t="s">
        <v>919</v>
      </c>
      <c r="O139" t="s">
        <v>136</v>
      </c>
      <c r="P139" t="s">
        <v>1761</v>
      </c>
      <c r="S139">
        <v>0</v>
      </c>
      <c r="X139">
        <v>0</v>
      </c>
    </row>
    <row r="140" spans="1:24">
      <c r="A140">
        <v>201</v>
      </c>
      <c r="B140">
        <v>59852</v>
      </c>
      <c r="C140" t="s">
        <v>41</v>
      </c>
      <c r="H140" t="s">
        <v>1570</v>
      </c>
      <c r="I140">
        <v>21</v>
      </c>
      <c r="J140">
        <v>34</v>
      </c>
      <c r="K140" t="s">
        <v>1762</v>
      </c>
      <c r="L140">
        <v>21</v>
      </c>
      <c r="N140" t="s">
        <v>919</v>
      </c>
      <c r="O140" t="s">
        <v>170</v>
      </c>
      <c r="P140" t="s">
        <v>1648</v>
      </c>
      <c r="S140">
        <v>0</v>
      </c>
      <c r="X140">
        <v>0</v>
      </c>
    </row>
    <row r="141" spans="1:24">
      <c r="A141">
        <v>202</v>
      </c>
      <c r="B141">
        <v>59853</v>
      </c>
      <c r="C141" t="s">
        <v>53</v>
      </c>
      <c r="D141">
        <v>11660</v>
      </c>
      <c r="E141" t="s">
        <v>2272</v>
      </c>
      <c r="H141" t="s">
        <v>1588</v>
      </c>
      <c r="I141">
        <v>8</v>
      </c>
      <c r="J141">
        <v>9</v>
      </c>
      <c r="K141" t="s">
        <v>1626</v>
      </c>
      <c r="L141">
        <v>1</v>
      </c>
      <c r="N141" t="s">
        <v>919</v>
      </c>
      <c r="S141">
        <v>0</v>
      </c>
      <c r="X141">
        <v>0</v>
      </c>
    </row>
    <row r="142" spans="1:24">
      <c r="A142">
        <v>203</v>
      </c>
      <c r="B142">
        <v>3683</v>
      </c>
      <c r="C142" t="s">
        <v>53</v>
      </c>
      <c r="H142" t="s">
        <v>1588</v>
      </c>
      <c r="I142">
        <v>9</v>
      </c>
      <c r="J142">
        <v>9</v>
      </c>
      <c r="K142" t="s">
        <v>1763</v>
      </c>
      <c r="L142">
        <v>2</v>
      </c>
      <c r="N142" t="s">
        <v>919</v>
      </c>
      <c r="S142">
        <v>0</v>
      </c>
      <c r="X142">
        <v>0</v>
      </c>
    </row>
    <row r="143" spans="1:24">
      <c r="A143">
        <v>204</v>
      </c>
      <c r="B143">
        <v>59854</v>
      </c>
      <c r="C143" t="s">
        <v>53</v>
      </c>
      <c r="D143">
        <v>11640</v>
      </c>
      <c r="E143" t="s">
        <v>2273</v>
      </c>
      <c r="H143" t="s">
        <v>1570</v>
      </c>
      <c r="I143">
        <v>10</v>
      </c>
      <c r="J143">
        <v>9</v>
      </c>
      <c r="K143" t="s">
        <v>1647</v>
      </c>
      <c r="L143">
        <v>3</v>
      </c>
      <c r="N143" t="s">
        <v>919</v>
      </c>
      <c r="O143" t="s">
        <v>1764</v>
      </c>
      <c r="P143" t="s">
        <v>1765</v>
      </c>
      <c r="S143">
        <v>0</v>
      </c>
      <c r="X143">
        <v>0</v>
      </c>
    </row>
    <row r="144" spans="1:24">
      <c r="A144">
        <v>205</v>
      </c>
      <c r="B144">
        <v>5973</v>
      </c>
      <c r="C144" t="s">
        <v>53</v>
      </c>
      <c r="D144">
        <v>11680</v>
      </c>
      <c r="E144" t="s">
        <v>2274</v>
      </c>
      <c r="H144" t="s">
        <v>1588</v>
      </c>
      <c r="I144">
        <v>11</v>
      </c>
      <c r="J144">
        <v>9</v>
      </c>
      <c r="K144" t="s">
        <v>1639</v>
      </c>
      <c r="L144">
        <v>4</v>
      </c>
      <c r="N144" t="s">
        <v>919</v>
      </c>
      <c r="S144">
        <v>0</v>
      </c>
      <c r="X144">
        <v>0</v>
      </c>
    </row>
    <row r="145" spans="1:24">
      <c r="A145">
        <v>206</v>
      </c>
      <c r="B145">
        <v>6004</v>
      </c>
      <c r="C145" t="s">
        <v>53</v>
      </c>
      <c r="D145">
        <v>11670</v>
      </c>
      <c r="E145" t="s">
        <v>2275</v>
      </c>
      <c r="H145" t="s">
        <v>1588</v>
      </c>
      <c r="I145">
        <v>12</v>
      </c>
      <c r="J145">
        <v>9</v>
      </c>
      <c r="K145" t="s">
        <v>1766</v>
      </c>
      <c r="L145">
        <v>5</v>
      </c>
      <c r="N145" t="s">
        <v>919</v>
      </c>
      <c r="S145">
        <v>0</v>
      </c>
      <c r="X145">
        <v>0</v>
      </c>
    </row>
    <row r="146" spans="1:24">
      <c r="A146">
        <v>207</v>
      </c>
      <c r="B146">
        <v>9389</v>
      </c>
      <c r="C146" t="s">
        <v>53</v>
      </c>
      <c r="D146">
        <v>11650</v>
      </c>
      <c r="E146" t="s">
        <v>2276</v>
      </c>
      <c r="H146" t="s">
        <v>1598</v>
      </c>
      <c r="I146">
        <v>14</v>
      </c>
      <c r="J146">
        <v>9</v>
      </c>
      <c r="K146" t="s">
        <v>14</v>
      </c>
      <c r="L146">
        <v>6</v>
      </c>
      <c r="N146" t="s">
        <v>919</v>
      </c>
      <c r="S146">
        <v>0</v>
      </c>
      <c r="X146">
        <v>0</v>
      </c>
    </row>
    <row r="147" spans="1:24">
      <c r="A147">
        <v>208</v>
      </c>
      <c r="B147">
        <v>12963</v>
      </c>
      <c r="C147" t="s">
        <v>1293</v>
      </c>
      <c r="D147">
        <v>16770</v>
      </c>
      <c r="E147" t="s">
        <v>2277</v>
      </c>
      <c r="H147" t="s">
        <v>1588</v>
      </c>
      <c r="I147">
        <v>5</v>
      </c>
      <c r="J147">
        <v>2</v>
      </c>
      <c r="K147" t="s">
        <v>1767</v>
      </c>
      <c r="L147">
        <v>1</v>
      </c>
      <c r="N147" t="s">
        <v>919</v>
      </c>
      <c r="S147">
        <v>0</v>
      </c>
      <c r="X147">
        <v>0</v>
      </c>
    </row>
    <row r="148" spans="1:24">
      <c r="A148">
        <v>209</v>
      </c>
      <c r="B148">
        <v>12965</v>
      </c>
      <c r="C148" t="s">
        <v>1293</v>
      </c>
      <c r="D148">
        <v>16700</v>
      </c>
      <c r="E148" t="s">
        <v>2278</v>
      </c>
      <c r="H148" t="s">
        <v>1588</v>
      </c>
      <c r="I148">
        <v>5</v>
      </c>
      <c r="J148">
        <v>30</v>
      </c>
      <c r="K148" t="s">
        <v>1768</v>
      </c>
      <c r="L148">
        <v>2</v>
      </c>
      <c r="N148" t="s">
        <v>919</v>
      </c>
      <c r="S148">
        <v>0</v>
      </c>
      <c r="X148">
        <v>0</v>
      </c>
    </row>
    <row r="149" spans="1:24">
      <c r="A149">
        <v>210</v>
      </c>
      <c r="B149">
        <v>6037</v>
      </c>
      <c r="C149" t="s">
        <v>1293</v>
      </c>
      <c r="D149">
        <v>16810</v>
      </c>
      <c r="E149" t="s">
        <v>2279</v>
      </c>
      <c r="H149" t="s">
        <v>1588</v>
      </c>
      <c r="I149">
        <v>6</v>
      </c>
      <c r="J149">
        <v>2</v>
      </c>
      <c r="K149" t="s">
        <v>1769</v>
      </c>
      <c r="L149">
        <v>3</v>
      </c>
      <c r="N149" t="s">
        <v>919</v>
      </c>
      <c r="S149">
        <v>0</v>
      </c>
      <c r="X149">
        <v>0</v>
      </c>
    </row>
    <row r="150" spans="1:24">
      <c r="A150">
        <v>211</v>
      </c>
      <c r="B150">
        <v>13342</v>
      </c>
      <c r="C150" t="s">
        <v>1293</v>
      </c>
      <c r="D150">
        <v>16680</v>
      </c>
      <c r="E150" t="s">
        <v>2280</v>
      </c>
      <c r="H150" t="s">
        <v>1588</v>
      </c>
      <c r="I150">
        <v>7</v>
      </c>
      <c r="J150">
        <v>2</v>
      </c>
      <c r="K150" t="s">
        <v>1770</v>
      </c>
      <c r="L150">
        <v>4</v>
      </c>
      <c r="N150" t="s">
        <v>919</v>
      </c>
      <c r="S150">
        <v>0</v>
      </c>
      <c r="X150">
        <v>0</v>
      </c>
    </row>
    <row r="151" spans="1:24">
      <c r="A151">
        <v>212</v>
      </c>
      <c r="B151">
        <v>12861</v>
      </c>
      <c r="C151" t="s">
        <v>1293</v>
      </c>
      <c r="D151">
        <v>16720</v>
      </c>
      <c r="E151" t="s">
        <v>2281</v>
      </c>
      <c r="H151" t="s">
        <v>1590</v>
      </c>
      <c r="I151">
        <v>8</v>
      </c>
      <c r="J151">
        <v>2</v>
      </c>
      <c r="K151" t="s">
        <v>1771</v>
      </c>
      <c r="L151">
        <v>5</v>
      </c>
      <c r="N151" t="s">
        <v>919</v>
      </c>
      <c r="O151" t="s">
        <v>136</v>
      </c>
      <c r="P151" t="s">
        <v>1772</v>
      </c>
      <c r="S151">
        <v>0</v>
      </c>
      <c r="X151">
        <v>0</v>
      </c>
    </row>
    <row r="152" spans="1:24">
      <c r="A152">
        <v>213</v>
      </c>
      <c r="B152">
        <v>59855</v>
      </c>
      <c r="C152" t="s">
        <v>1293</v>
      </c>
      <c r="D152">
        <v>16740</v>
      </c>
      <c r="E152" t="s">
        <v>2282</v>
      </c>
      <c r="H152" t="s">
        <v>1590</v>
      </c>
      <c r="I152">
        <v>9</v>
      </c>
      <c r="J152">
        <v>2</v>
      </c>
      <c r="K152" t="s">
        <v>1773</v>
      </c>
      <c r="L152">
        <v>6</v>
      </c>
      <c r="N152" t="s">
        <v>919</v>
      </c>
      <c r="O152" t="s">
        <v>136</v>
      </c>
      <c r="P152" t="s">
        <v>1774</v>
      </c>
      <c r="S152">
        <v>0</v>
      </c>
      <c r="X152">
        <v>0</v>
      </c>
    </row>
    <row r="153" spans="1:24">
      <c r="A153">
        <v>214</v>
      </c>
      <c r="B153">
        <v>9008</v>
      </c>
      <c r="C153" t="s">
        <v>1293</v>
      </c>
      <c r="D153">
        <v>16730</v>
      </c>
      <c r="E153" t="s">
        <v>2283</v>
      </c>
      <c r="H153" t="s">
        <v>1570</v>
      </c>
      <c r="I153">
        <v>10</v>
      </c>
      <c r="J153">
        <v>2</v>
      </c>
      <c r="K153" t="s">
        <v>1775</v>
      </c>
      <c r="L153">
        <v>7</v>
      </c>
      <c r="N153" t="s">
        <v>919</v>
      </c>
      <c r="O153" t="s">
        <v>147</v>
      </c>
      <c r="P153" t="s">
        <v>1776</v>
      </c>
      <c r="S153">
        <v>0</v>
      </c>
      <c r="X153">
        <v>0</v>
      </c>
    </row>
    <row r="154" spans="1:24">
      <c r="A154">
        <v>215</v>
      </c>
      <c r="B154">
        <v>59856</v>
      </c>
      <c r="C154" t="s">
        <v>1293</v>
      </c>
      <c r="D154">
        <v>16790</v>
      </c>
      <c r="E154" t="s">
        <v>2284</v>
      </c>
      <c r="H154" t="s">
        <v>1588</v>
      </c>
      <c r="I154">
        <v>11</v>
      </c>
      <c r="J154">
        <v>2</v>
      </c>
      <c r="K154" t="s">
        <v>1777</v>
      </c>
      <c r="L154">
        <v>8</v>
      </c>
      <c r="N154" t="s">
        <v>919</v>
      </c>
      <c r="S154">
        <v>0</v>
      </c>
      <c r="X154">
        <v>0</v>
      </c>
    </row>
    <row r="155" spans="1:24">
      <c r="A155">
        <v>216</v>
      </c>
      <c r="B155">
        <v>59857</v>
      </c>
      <c r="C155" t="s">
        <v>1293</v>
      </c>
      <c r="D155">
        <v>16760</v>
      </c>
      <c r="E155" t="s">
        <v>2285</v>
      </c>
      <c r="H155" t="s">
        <v>1598</v>
      </c>
      <c r="I155">
        <v>12</v>
      </c>
      <c r="J155">
        <v>2</v>
      </c>
      <c r="K155" t="s">
        <v>1778</v>
      </c>
      <c r="L155">
        <v>9</v>
      </c>
      <c r="N155" t="s">
        <v>919</v>
      </c>
      <c r="S155">
        <v>0</v>
      </c>
      <c r="X155">
        <v>0</v>
      </c>
    </row>
    <row r="156" spans="1:24">
      <c r="A156">
        <v>217</v>
      </c>
      <c r="B156">
        <v>12966</v>
      </c>
      <c r="C156" t="s">
        <v>1879</v>
      </c>
      <c r="D156">
        <v>12350</v>
      </c>
      <c r="E156" t="s">
        <v>2262</v>
      </c>
      <c r="H156" t="s">
        <v>1588</v>
      </c>
      <c r="I156">
        <v>3</v>
      </c>
      <c r="J156">
        <v>2</v>
      </c>
      <c r="K156" t="s">
        <v>1779</v>
      </c>
      <c r="L156">
        <v>1</v>
      </c>
      <c r="N156" t="s">
        <v>919</v>
      </c>
      <c r="S156">
        <v>0</v>
      </c>
      <c r="X156">
        <v>0</v>
      </c>
    </row>
    <row r="157" spans="1:24">
      <c r="A157">
        <v>218</v>
      </c>
      <c r="B157">
        <v>3675</v>
      </c>
      <c r="C157" t="s">
        <v>1879</v>
      </c>
      <c r="D157">
        <v>12340</v>
      </c>
      <c r="E157" t="s">
        <v>2286</v>
      </c>
      <c r="H157" t="s">
        <v>1588</v>
      </c>
      <c r="I157">
        <v>4</v>
      </c>
      <c r="J157">
        <v>2</v>
      </c>
      <c r="K157" t="s">
        <v>1780</v>
      </c>
      <c r="L157">
        <v>2</v>
      </c>
      <c r="N157" t="s">
        <v>919</v>
      </c>
      <c r="S157">
        <v>0</v>
      </c>
      <c r="X157">
        <v>0</v>
      </c>
    </row>
    <row r="158" spans="1:24">
      <c r="A158">
        <v>219</v>
      </c>
      <c r="B158">
        <v>3674</v>
      </c>
      <c r="C158" t="s">
        <v>1879</v>
      </c>
      <c r="D158">
        <v>12360</v>
      </c>
      <c r="E158" t="s">
        <v>2264</v>
      </c>
      <c r="H158" t="s">
        <v>1588</v>
      </c>
      <c r="I158">
        <v>5</v>
      </c>
      <c r="J158">
        <v>2</v>
      </c>
      <c r="K158" t="s">
        <v>1781</v>
      </c>
      <c r="L158">
        <v>3</v>
      </c>
      <c r="N158" t="s">
        <v>919</v>
      </c>
      <c r="S158">
        <v>0</v>
      </c>
      <c r="X158">
        <v>0</v>
      </c>
    </row>
    <row r="159" spans="1:24">
      <c r="A159">
        <v>220</v>
      </c>
      <c r="B159">
        <v>3684</v>
      </c>
      <c r="C159" t="s">
        <v>1879</v>
      </c>
      <c r="H159" t="s">
        <v>1588</v>
      </c>
      <c r="I159">
        <v>6</v>
      </c>
      <c r="J159">
        <v>2</v>
      </c>
      <c r="K159" t="s">
        <v>1782</v>
      </c>
      <c r="L159">
        <v>4</v>
      </c>
      <c r="N159" t="s">
        <v>919</v>
      </c>
      <c r="S159">
        <v>0</v>
      </c>
      <c r="X159">
        <v>0</v>
      </c>
    </row>
    <row r="160" spans="1:24">
      <c r="A160">
        <v>221</v>
      </c>
      <c r="B160">
        <v>3685</v>
      </c>
      <c r="C160" t="s">
        <v>1879</v>
      </c>
      <c r="H160" t="s">
        <v>1744</v>
      </c>
      <c r="I160">
        <v>7</v>
      </c>
      <c r="J160">
        <v>2</v>
      </c>
      <c r="K160" t="s">
        <v>1783</v>
      </c>
      <c r="L160">
        <v>5</v>
      </c>
      <c r="N160" t="s">
        <v>919</v>
      </c>
      <c r="O160" t="s">
        <v>136</v>
      </c>
      <c r="P160" t="s">
        <v>1672</v>
      </c>
      <c r="S160">
        <v>0</v>
      </c>
      <c r="V160" t="s">
        <v>1746</v>
      </c>
      <c r="X160">
        <v>0</v>
      </c>
    </row>
    <row r="161" spans="1:24">
      <c r="A161">
        <v>222</v>
      </c>
      <c r="B161">
        <v>13341</v>
      </c>
      <c r="C161" t="s">
        <v>1879</v>
      </c>
      <c r="D161">
        <v>12340</v>
      </c>
      <c r="E161" t="s">
        <v>2286</v>
      </c>
      <c r="H161" t="s">
        <v>1588</v>
      </c>
      <c r="I161">
        <v>3</v>
      </c>
      <c r="J161">
        <v>40</v>
      </c>
      <c r="K161" t="s">
        <v>1784</v>
      </c>
      <c r="L161">
        <v>6</v>
      </c>
      <c r="N161" t="s">
        <v>919</v>
      </c>
      <c r="S161">
        <v>0</v>
      </c>
      <c r="X161">
        <v>0</v>
      </c>
    </row>
    <row r="162" spans="1:24">
      <c r="A162">
        <v>223</v>
      </c>
      <c r="B162">
        <v>59858</v>
      </c>
      <c r="C162" t="s">
        <v>1879</v>
      </c>
      <c r="D162">
        <v>12270</v>
      </c>
      <c r="E162" t="s">
        <v>2266</v>
      </c>
      <c r="H162" t="s">
        <v>1588</v>
      </c>
      <c r="I162">
        <v>4</v>
      </c>
      <c r="J162">
        <v>40</v>
      </c>
      <c r="K162" t="s">
        <v>1785</v>
      </c>
      <c r="L162">
        <v>7</v>
      </c>
      <c r="N162" t="s">
        <v>919</v>
      </c>
      <c r="S162">
        <v>0</v>
      </c>
      <c r="X162">
        <v>0</v>
      </c>
    </row>
    <row r="163" spans="1:24">
      <c r="A163">
        <v>224</v>
      </c>
      <c r="B163">
        <v>59859</v>
      </c>
      <c r="C163" t="s">
        <v>1879</v>
      </c>
      <c r="D163">
        <v>12300</v>
      </c>
      <c r="E163" t="s">
        <v>2265</v>
      </c>
      <c r="H163" t="s">
        <v>1588</v>
      </c>
      <c r="I163">
        <v>5</v>
      </c>
      <c r="J163">
        <v>40</v>
      </c>
      <c r="K163" t="s">
        <v>1786</v>
      </c>
      <c r="L163">
        <v>8</v>
      </c>
      <c r="N163" t="s">
        <v>919</v>
      </c>
      <c r="S163">
        <v>0</v>
      </c>
      <c r="X163">
        <v>0</v>
      </c>
    </row>
    <row r="164" spans="1:24">
      <c r="A164">
        <v>225</v>
      </c>
      <c r="B164">
        <v>61709</v>
      </c>
      <c r="C164" t="s">
        <v>1879</v>
      </c>
      <c r="H164" t="s">
        <v>1590</v>
      </c>
      <c r="I164">
        <v>6</v>
      </c>
      <c r="J164">
        <v>40</v>
      </c>
      <c r="K164" t="s">
        <v>1652</v>
      </c>
      <c r="L164">
        <v>9</v>
      </c>
      <c r="N164" t="s">
        <v>919</v>
      </c>
      <c r="O164" t="s">
        <v>136</v>
      </c>
      <c r="P164" t="s">
        <v>1609</v>
      </c>
      <c r="S164">
        <v>0</v>
      </c>
      <c r="V164" t="s">
        <v>1787</v>
      </c>
      <c r="X164">
        <v>0</v>
      </c>
    </row>
    <row r="165" spans="1:24">
      <c r="A165">
        <v>226</v>
      </c>
      <c r="B165">
        <v>61710</v>
      </c>
      <c r="C165" t="s">
        <v>1879</v>
      </c>
      <c r="H165" t="s">
        <v>1588</v>
      </c>
      <c r="I165">
        <v>7</v>
      </c>
      <c r="J165">
        <v>50</v>
      </c>
      <c r="K165" t="s">
        <v>1788</v>
      </c>
      <c r="L165">
        <v>10</v>
      </c>
      <c r="N165" t="s">
        <v>919</v>
      </c>
      <c r="S165">
        <v>0</v>
      </c>
      <c r="X165">
        <v>0</v>
      </c>
    </row>
    <row r="166" spans="1:24">
      <c r="A166">
        <v>227</v>
      </c>
      <c r="B166">
        <v>59860</v>
      </c>
      <c r="C166" t="s">
        <v>1879</v>
      </c>
      <c r="H166" t="s">
        <v>1570</v>
      </c>
      <c r="I166">
        <v>9</v>
      </c>
      <c r="J166">
        <v>2</v>
      </c>
      <c r="K166" t="s">
        <v>1789</v>
      </c>
      <c r="L166">
        <v>11</v>
      </c>
      <c r="N166" t="s">
        <v>919</v>
      </c>
      <c r="O166" t="s">
        <v>138</v>
      </c>
      <c r="P166" t="s">
        <v>1690</v>
      </c>
      <c r="S166">
        <v>0</v>
      </c>
      <c r="V166" t="s">
        <v>1790</v>
      </c>
      <c r="X166">
        <v>0</v>
      </c>
    </row>
    <row r="167" spans="1:24">
      <c r="A167">
        <v>228</v>
      </c>
      <c r="B167">
        <v>9282</v>
      </c>
      <c r="C167" t="s">
        <v>1879</v>
      </c>
      <c r="H167" t="s">
        <v>1588</v>
      </c>
      <c r="I167">
        <v>9</v>
      </c>
      <c r="J167">
        <v>40</v>
      </c>
      <c r="K167" t="s">
        <v>1791</v>
      </c>
      <c r="L167">
        <v>12</v>
      </c>
      <c r="N167" t="s">
        <v>919</v>
      </c>
      <c r="S167">
        <v>0</v>
      </c>
      <c r="X167">
        <v>0</v>
      </c>
    </row>
    <row r="168" spans="1:24">
      <c r="A168">
        <v>229</v>
      </c>
      <c r="B168">
        <v>59861</v>
      </c>
      <c r="C168" t="s">
        <v>1879</v>
      </c>
      <c r="D168">
        <v>11920</v>
      </c>
      <c r="E168" t="s">
        <v>2200</v>
      </c>
      <c r="H168" t="s">
        <v>1588</v>
      </c>
      <c r="I168">
        <v>11</v>
      </c>
      <c r="J168">
        <v>2</v>
      </c>
      <c r="K168" t="s">
        <v>1655</v>
      </c>
      <c r="L168">
        <v>13</v>
      </c>
      <c r="N168" t="s">
        <v>919</v>
      </c>
      <c r="S168">
        <v>0</v>
      </c>
      <c r="X168">
        <v>0</v>
      </c>
    </row>
    <row r="169" spans="1:24">
      <c r="A169">
        <v>230</v>
      </c>
      <c r="B169">
        <v>59862</v>
      </c>
      <c r="C169" t="s">
        <v>1879</v>
      </c>
      <c r="D169">
        <v>11930</v>
      </c>
      <c r="E169" t="s">
        <v>2201</v>
      </c>
      <c r="H169" t="s">
        <v>1588</v>
      </c>
      <c r="I169">
        <v>12</v>
      </c>
      <c r="J169">
        <v>2</v>
      </c>
      <c r="K169" t="s">
        <v>1656</v>
      </c>
      <c r="L169">
        <v>14</v>
      </c>
      <c r="N169" t="s">
        <v>919</v>
      </c>
      <c r="S169">
        <v>0</v>
      </c>
      <c r="X169">
        <v>0</v>
      </c>
    </row>
    <row r="170" spans="1:24">
      <c r="A170">
        <v>231</v>
      </c>
      <c r="B170">
        <v>59863</v>
      </c>
      <c r="C170" t="s">
        <v>1879</v>
      </c>
      <c r="D170">
        <v>11960</v>
      </c>
      <c r="E170" t="s">
        <v>2202</v>
      </c>
      <c r="H170" t="s">
        <v>1588</v>
      </c>
      <c r="I170">
        <v>13</v>
      </c>
      <c r="J170">
        <v>2</v>
      </c>
      <c r="K170" t="s">
        <v>1657</v>
      </c>
      <c r="L170">
        <v>15</v>
      </c>
      <c r="N170" t="s">
        <v>919</v>
      </c>
      <c r="S170">
        <v>0</v>
      </c>
      <c r="X170">
        <v>0</v>
      </c>
    </row>
    <row r="171" spans="1:24">
      <c r="A171">
        <v>232</v>
      </c>
      <c r="B171">
        <v>59864</v>
      </c>
      <c r="C171" t="s">
        <v>1879</v>
      </c>
      <c r="D171">
        <v>12000</v>
      </c>
      <c r="E171" t="s">
        <v>2203</v>
      </c>
      <c r="H171" t="s">
        <v>1588</v>
      </c>
      <c r="I171">
        <v>14</v>
      </c>
      <c r="J171">
        <v>2</v>
      </c>
      <c r="K171" t="s">
        <v>1658</v>
      </c>
      <c r="L171">
        <v>16</v>
      </c>
      <c r="N171" t="s">
        <v>919</v>
      </c>
      <c r="S171">
        <v>0</v>
      </c>
      <c r="X171">
        <v>0</v>
      </c>
    </row>
    <row r="172" spans="1:24">
      <c r="A172">
        <v>233</v>
      </c>
      <c r="B172">
        <v>3686</v>
      </c>
      <c r="C172" t="s">
        <v>1879</v>
      </c>
      <c r="D172">
        <v>11990</v>
      </c>
      <c r="E172" t="s">
        <v>2204</v>
      </c>
      <c r="H172" t="s">
        <v>1588</v>
      </c>
      <c r="I172">
        <v>15</v>
      </c>
      <c r="J172">
        <v>2</v>
      </c>
      <c r="K172" t="s">
        <v>1659</v>
      </c>
      <c r="L172">
        <v>17</v>
      </c>
      <c r="N172" t="s">
        <v>919</v>
      </c>
      <c r="S172">
        <v>0</v>
      </c>
      <c r="X172">
        <v>0</v>
      </c>
    </row>
    <row r="173" spans="1:24">
      <c r="A173">
        <v>234</v>
      </c>
      <c r="B173">
        <v>59865</v>
      </c>
      <c r="C173" t="s">
        <v>1879</v>
      </c>
      <c r="D173">
        <v>12150</v>
      </c>
      <c r="E173" t="s">
        <v>2205</v>
      </c>
      <c r="H173" t="s">
        <v>1588</v>
      </c>
      <c r="I173">
        <v>11</v>
      </c>
      <c r="J173">
        <v>40</v>
      </c>
      <c r="K173" t="s">
        <v>1792</v>
      </c>
      <c r="L173">
        <v>18</v>
      </c>
      <c r="N173" t="s">
        <v>919</v>
      </c>
      <c r="S173">
        <v>0</v>
      </c>
      <c r="X173">
        <v>0</v>
      </c>
    </row>
    <row r="174" spans="1:24">
      <c r="A174">
        <v>235</v>
      </c>
      <c r="B174">
        <v>59866</v>
      </c>
      <c r="C174" t="s">
        <v>1879</v>
      </c>
      <c r="D174">
        <v>12150</v>
      </c>
      <c r="E174" t="s">
        <v>2205</v>
      </c>
      <c r="H174" t="s">
        <v>1588</v>
      </c>
      <c r="I174">
        <v>12</v>
      </c>
      <c r="J174">
        <v>40</v>
      </c>
      <c r="K174" t="s">
        <v>1793</v>
      </c>
      <c r="L174">
        <v>19</v>
      </c>
      <c r="N174" t="s">
        <v>919</v>
      </c>
      <c r="S174">
        <v>0</v>
      </c>
      <c r="X174">
        <v>0</v>
      </c>
    </row>
    <row r="175" spans="1:24">
      <c r="A175">
        <v>236</v>
      </c>
      <c r="B175">
        <v>59867</v>
      </c>
      <c r="C175" t="s">
        <v>1879</v>
      </c>
      <c r="D175">
        <v>12150</v>
      </c>
      <c r="E175" t="s">
        <v>2205</v>
      </c>
      <c r="H175" t="s">
        <v>1588</v>
      </c>
      <c r="I175">
        <v>13</v>
      </c>
      <c r="J175">
        <v>40</v>
      </c>
      <c r="K175" t="s">
        <v>1794</v>
      </c>
      <c r="L175">
        <v>20</v>
      </c>
      <c r="N175" t="s">
        <v>919</v>
      </c>
      <c r="S175">
        <v>0</v>
      </c>
      <c r="X175">
        <v>0</v>
      </c>
    </row>
    <row r="176" spans="1:24">
      <c r="A176">
        <v>237</v>
      </c>
      <c r="B176">
        <v>59868</v>
      </c>
      <c r="C176" t="s">
        <v>1879</v>
      </c>
      <c r="D176">
        <v>12060</v>
      </c>
      <c r="E176" t="s">
        <v>2231</v>
      </c>
      <c r="H176" t="s">
        <v>1588</v>
      </c>
      <c r="I176">
        <v>14</v>
      </c>
      <c r="J176">
        <v>40</v>
      </c>
      <c r="K176" t="s">
        <v>1795</v>
      </c>
      <c r="L176">
        <v>21</v>
      </c>
      <c r="N176" t="s">
        <v>919</v>
      </c>
      <c r="S176">
        <v>0</v>
      </c>
      <c r="X176">
        <v>0</v>
      </c>
    </row>
    <row r="177" spans="1:24">
      <c r="A177">
        <v>239</v>
      </c>
      <c r="B177">
        <v>59869</v>
      </c>
      <c r="C177" t="s">
        <v>1879</v>
      </c>
      <c r="D177">
        <v>12310</v>
      </c>
      <c r="E177" t="s">
        <v>2208</v>
      </c>
      <c r="H177" t="s">
        <v>1598</v>
      </c>
      <c r="I177">
        <v>17</v>
      </c>
      <c r="J177">
        <v>1</v>
      </c>
      <c r="K177" t="s">
        <v>14</v>
      </c>
      <c r="L177">
        <v>23</v>
      </c>
      <c r="N177" t="s">
        <v>919</v>
      </c>
      <c r="S177">
        <v>0</v>
      </c>
      <c r="X177">
        <v>0</v>
      </c>
    </row>
    <row r="178" spans="1:24">
      <c r="A178">
        <v>240</v>
      </c>
      <c r="B178">
        <v>13344</v>
      </c>
      <c r="C178" t="s">
        <v>921</v>
      </c>
      <c r="H178" t="s">
        <v>1570</v>
      </c>
      <c r="I178">
        <v>6</v>
      </c>
      <c r="J178">
        <v>2</v>
      </c>
      <c r="K178" t="s">
        <v>1796</v>
      </c>
      <c r="L178">
        <v>1</v>
      </c>
      <c r="N178" t="s">
        <v>92</v>
      </c>
      <c r="O178" t="s">
        <v>1797</v>
      </c>
      <c r="P178" t="s">
        <v>1798</v>
      </c>
      <c r="S178">
        <v>0</v>
      </c>
      <c r="X178">
        <v>0</v>
      </c>
    </row>
    <row r="179" spans="1:24">
      <c r="A179">
        <v>241</v>
      </c>
      <c r="B179">
        <v>59870</v>
      </c>
      <c r="C179" t="s">
        <v>921</v>
      </c>
      <c r="D179">
        <v>16690</v>
      </c>
      <c r="E179" t="s">
        <v>2287</v>
      </c>
      <c r="H179" t="s">
        <v>1570</v>
      </c>
      <c r="I179">
        <v>7</v>
      </c>
      <c r="J179">
        <v>2</v>
      </c>
      <c r="K179" t="s">
        <v>1799</v>
      </c>
      <c r="L179">
        <v>2</v>
      </c>
      <c r="N179" t="s">
        <v>92</v>
      </c>
      <c r="O179" t="s">
        <v>1800</v>
      </c>
      <c r="P179" t="s">
        <v>1801</v>
      </c>
      <c r="S179">
        <v>0</v>
      </c>
      <c r="X179">
        <v>0</v>
      </c>
    </row>
    <row r="180" spans="1:24">
      <c r="A180">
        <v>242</v>
      </c>
      <c r="B180">
        <v>59871</v>
      </c>
      <c r="C180" t="s">
        <v>921</v>
      </c>
      <c r="D180">
        <v>16840</v>
      </c>
      <c r="E180" t="s">
        <v>2288</v>
      </c>
      <c r="H180" t="s">
        <v>1588</v>
      </c>
      <c r="I180">
        <v>9</v>
      </c>
      <c r="J180">
        <v>2</v>
      </c>
      <c r="K180" t="s">
        <v>1705</v>
      </c>
      <c r="L180">
        <v>3</v>
      </c>
      <c r="N180" t="s">
        <v>919</v>
      </c>
      <c r="S180">
        <v>0</v>
      </c>
      <c r="X180">
        <v>0</v>
      </c>
    </row>
    <row r="181" spans="1:24">
      <c r="A181">
        <v>243</v>
      </c>
      <c r="B181">
        <v>9506</v>
      </c>
      <c r="C181" t="s">
        <v>921</v>
      </c>
      <c r="D181">
        <v>16750</v>
      </c>
      <c r="E181" t="s">
        <v>2289</v>
      </c>
      <c r="H181" t="s">
        <v>1588</v>
      </c>
      <c r="I181">
        <v>10</v>
      </c>
      <c r="J181">
        <v>2</v>
      </c>
      <c r="K181" t="s">
        <v>1802</v>
      </c>
      <c r="L181">
        <v>4</v>
      </c>
      <c r="N181" t="s">
        <v>919</v>
      </c>
      <c r="S181">
        <v>0</v>
      </c>
      <c r="X181">
        <v>0</v>
      </c>
    </row>
    <row r="182" spans="1:24">
      <c r="A182">
        <v>244</v>
      </c>
      <c r="B182">
        <v>59872</v>
      </c>
      <c r="C182" t="s">
        <v>921</v>
      </c>
      <c r="D182">
        <v>16830</v>
      </c>
      <c r="E182" t="s">
        <v>2290</v>
      </c>
      <c r="H182" t="s">
        <v>1588</v>
      </c>
      <c r="I182">
        <v>10</v>
      </c>
      <c r="J182">
        <v>42</v>
      </c>
      <c r="K182" t="s">
        <v>1803</v>
      </c>
      <c r="L182">
        <v>5</v>
      </c>
      <c r="N182" t="s">
        <v>919</v>
      </c>
      <c r="S182">
        <v>0</v>
      </c>
      <c r="X182">
        <v>0</v>
      </c>
    </row>
    <row r="183" spans="1:24">
      <c r="A183">
        <v>245</v>
      </c>
      <c r="B183">
        <v>59873</v>
      </c>
      <c r="C183" t="s">
        <v>921</v>
      </c>
      <c r="D183">
        <v>16710</v>
      </c>
      <c r="E183" t="s">
        <v>2291</v>
      </c>
      <c r="H183" t="s">
        <v>1588</v>
      </c>
      <c r="I183">
        <v>11</v>
      </c>
      <c r="J183">
        <v>2</v>
      </c>
      <c r="K183" t="s">
        <v>1804</v>
      </c>
      <c r="L183">
        <v>6</v>
      </c>
      <c r="N183" t="s">
        <v>92</v>
      </c>
      <c r="S183">
        <v>0</v>
      </c>
      <c r="X183">
        <v>0</v>
      </c>
    </row>
    <row r="184" spans="1:24">
      <c r="A184">
        <v>246</v>
      </c>
      <c r="B184">
        <v>14867</v>
      </c>
      <c r="C184" t="s">
        <v>921</v>
      </c>
      <c r="D184">
        <v>16780</v>
      </c>
      <c r="E184" t="s">
        <v>2292</v>
      </c>
      <c r="H184" t="s">
        <v>1588</v>
      </c>
      <c r="I184">
        <v>11</v>
      </c>
      <c r="J184">
        <v>47</v>
      </c>
      <c r="K184" t="s">
        <v>1805</v>
      </c>
      <c r="L184">
        <v>7</v>
      </c>
      <c r="N184" t="s">
        <v>92</v>
      </c>
      <c r="S184">
        <v>0</v>
      </c>
      <c r="X184">
        <v>0</v>
      </c>
    </row>
    <row r="185" spans="1:24">
      <c r="A185">
        <v>247</v>
      </c>
      <c r="B185">
        <v>59874</v>
      </c>
      <c r="C185" t="s">
        <v>921</v>
      </c>
      <c r="D185">
        <v>16760</v>
      </c>
      <c r="E185" t="s">
        <v>2285</v>
      </c>
      <c r="H185" t="s">
        <v>1598</v>
      </c>
      <c r="I185">
        <v>13</v>
      </c>
      <c r="J185">
        <v>2</v>
      </c>
      <c r="K185" t="s">
        <v>1806</v>
      </c>
      <c r="L185">
        <v>8</v>
      </c>
      <c r="N185" t="s">
        <v>919</v>
      </c>
      <c r="S185">
        <v>0</v>
      </c>
      <c r="X185">
        <v>0</v>
      </c>
    </row>
    <row r="186" spans="1:24">
      <c r="A186">
        <v>271</v>
      </c>
      <c r="B186">
        <v>59883</v>
      </c>
      <c r="C186" t="s">
        <v>120</v>
      </c>
      <c r="D186">
        <v>16010</v>
      </c>
      <c r="E186" t="s">
        <v>2293</v>
      </c>
      <c r="H186" t="s">
        <v>1590</v>
      </c>
      <c r="I186">
        <v>4</v>
      </c>
      <c r="J186">
        <v>4</v>
      </c>
      <c r="K186" t="s">
        <v>1807</v>
      </c>
      <c r="L186">
        <v>1</v>
      </c>
      <c r="N186" t="s">
        <v>92</v>
      </c>
      <c r="O186" t="s">
        <v>136</v>
      </c>
      <c r="P186" t="s">
        <v>1808</v>
      </c>
      <c r="S186">
        <v>0</v>
      </c>
      <c r="X186">
        <v>0</v>
      </c>
    </row>
    <row r="187" spans="1:24">
      <c r="A187">
        <v>272</v>
      </c>
      <c r="B187">
        <v>9589</v>
      </c>
      <c r="C187" t="s">
        <v>120</v>
      </c>
      <c r="D187">
        <v>16080</v>
      </c>
      <c r="E187" t="s">
        <v>2294</v>
      </c>
      <c r="H187" t="s">
        <v>1588</v>
      </c>
      <c r="I187">
        <v>5</v>
      </c>
      <c r="J187">
        <v>4</v>
      </c>
      <c r="K187" t="s">
        <v>1783</v>
      </c>
      <c r="L187">
        <v>3</v>
      </c>
      <c r="N187" t="s">
        <v>92</v>
      </c>
      <c r="S187">
        <v>0</v>
      </c>
      <c r="X187">
        <v>0</v>
      </c>
    </row>
    <row r="188" spans="1:24">
      <c r="A188">
        <v>273</v>
      </c>
      <c r="B188">
        <v>59884</v>
      </c>
      <c r="C188" t="s">
        <v>120</v>
      </c>
      <c r="D188">
        <v>16060</v>
      </c>
      <c r="E188" t="s">
        <v>2295</v>
      </c>
      <c r="H188" t="s">
        <v>1588</v>
      </c>
      <c r="I188">
        <v>6</v>
      </c>
      <c r="J188">
        <v>4</v>
      </c>
      <c r="K188" t="s">
        <v>1809</v>
      </c>
      <c r="L188">
        <v>4</v>
      </c>
      <c r="N188" t="s">
        <v>92</v>
      </c>
      <c r="S188">
        <v>0</v>
      </c>
      <c r="X188">
        <v>0</v>
      </c>
    </row>
    <row r="189" spans="1:24">
      <c r="A189">
        <v>274</v>
      </c>
      <c r="B189">
        <v>59885</v>
      </c>
      <c r="C189" t="s">
        <v>120</v>
      </c>
      <c r="D189">
        <v>16050</v>
      </c>
      <c r="E189" t="s">
        <v>2296</v>
      </c>
      <c r="H189" t="s">
        <v>1588</v>
      </c>
      <c r="I189">
        <v>7</v>
      </c>
      <c r="J189">
        <v>4</v>
      </c>
      <c r="K189" t="s">
        <v>1664</v>
      </c>
      <c r="L189">
        <v>5</v>
      </c>
      <c r="N189" t="s">
        <v>92</v>
      </c>
      <c r="S189">
        <v>0</v>
      </c>
      <c r="X189">
        <v>0</v>
      </c>
    </row>
    <row r="190" spans="1:24">
      <c r="A190">
        <v>275</v>
      </c>
      <c r="B190">
        <v>6048</v>
      </c>
      <c r="C190" t="s">
        <v>134</v>
      </c>
      <c r="H190" t="s">
        <v>1588</v>
      </c>
      <c r="I190">
        <v>9</v>
      </c>
      <c r="J190">
        <v>4</v>
      </c>
      <c r="K190" t="s">
        <v>1810</v>
      </c>
      <c r="L190">
        <v>6</v>
      </c>
      <c r="N190" t="s">
        <v>919</v>
      </c>
      <c r="S190">
        <v>0</v>
      </c>
      <c r="X190">
        <v>0</v>
      </c>
    </row>
    <row r="191" spans="1:24">
      <c r="A191">
        <v>276</v>
      </c>
      <c r="B191">
        <v>59886</v>
      </c>
      <c r="C191" t="s">
        <v>134</v>
      </c>
      <c r="D191">
        <v>15020</v>
      </c>
      <c r="E191" t="s">
        <v>2297</v>
      </c>
      <c r="H191" t="s">
        <v>1588</v>
      </c>
      <c r="I191">
        <v>10</v>
      </c>
      <c r="J191">
        <v>4</v>
      </c>
      <c r="K191" t="s">
        <v>1783</v>
      </c>
      <c r="L191">
        <v>8</v>
      </c>
      <c r="N191" t="s">
        <v>919</v>
      </c>
      <c r="S191">
        <v>0</v>
      </c>
      <c r="X191">
        <v>0</v>
      </c>
    </row>
    <row r="192" spans="1:24">
      <c r="A192">
        <v>277</v>
      </c>
      <c r="B192">
        <v>59887</v>
      </c>
      <c r="C192" t="s">
        <v>134</v>
      </c>
      <c r="D192">
        <v>14900</v>
      </c>
      <c r="E192" t="s">
        <v>2298</v>
      </c>
      <c r="H192" t="s">
        <v>1570</v>
      </c>
      <c r="I192">
        <v>11</v>
      </c>
      <c r="J192">
        <v>4</v>
      </c>
      <c r="K192" t="s">
        <v>1603</v>
      </c>
      <c r="L192">
        <v>9</v>
      </c>
      <c r="N192" t="s">
        <v>919</v>
      </c>
      <c r="O192" t="s">
        <v>1604</v>
      </c>
      <c r="P192" t="s">
        <v>1605</v>
      </c>
      <c r="S192">
        <v>0</v>
      </c>
      <c r="X192">
        <v>0</v>
      </c>
    </row>
    <row r="193" spans="1:24">
      <c r="A193">
        <v>278</v>
      </c>
      <c r="B193">
        <v>6056</v>
      </c>
      <c r="C193" t="s">
        <v>134</v>
      </c>
      <c r="D193">
        <v>14910</v>
      </c>
      <c r="E193" t="s">
        <v>2299</v>
      </c>
      <c r="H193" t="s">
        <v>1570</v>
      </c>
      <c r="I193">
        <v>12</v>
      </c>
      <c r="J193">
        <v>4</v>
      </c>
      <c r="K193" t="s">
        <v>1811</v>
      </c>
      <c r="L193">
        <v>10</v>
      </c>
      <c r="N193" t="s">
        <v>919</v>
      </c>
      <c r="O193" t="s">
        <v>1631</v>
      </c>
      <c r="P193" t="s">
        <v>1632</v>
      </c>
      <c r="S193">
        <v>0</v>
      </c>
      <c r="X193">
        <v>0</v>
      </c>
    </row>
    <row r="194" spans="1:24">
      <c r="A194">
        <v>279</v>
      </c>
      <c r="B194">
        <v>59888</v>
      </c>
      <c r="C194" t="s">
        <v>134</v>
      </c>
      <c r="H194" t="s">
        <v>1590</v>
      </c>
      <c r="I194">
        <v>13</v>
      </c>
      <c r="J194">
        <v>52</v>
      </c>
      <c r="K194" t="s">
        <v>1812</v>
      </c>
      <c r="L194">
        <v>12</v>
      </c>
      <c r="N194" t="s">
        <v>919</v>
      </c>
      <c r="O194" t="s">
        <v>136</v>
      </c>
      <c r="P194" t="s">
        <v>1813</v>
      </c>
      <c r="S194">
        <v>0</v>
      </c>
      <c r="X194">
        <v>0</v>
      </c>
    </row>
    <row r="195" spans="1:24">
      <c r="A195">
        <v>280</v>
      </c>
      <c r="B195">
        <v>9338</v>
      </c>
      <c r="C195" t="s">
        <v>134</v>
      </c>
      <c r="D195">
        <v>15000</v>
      </c>
      <c r="E195" t="s">
        <v>2300</v>
      </c>
      <c r="H195" t="s">
        <v>1588</v>
      </c>
      <c r="I195">
        <v>14</v>
      </c>
      <c r="J195">
        <v>4</v>
      </c>
      <c r="K195" t="s">
        <v>1809</v>
      </c>
      <c r="L195">
        <v>13</v>
      </c>
      <c r="N195" t="s">
        <v>919</v>
      </c>
      <c r="S195">
        <v>0</v>
      </c>
      <c r="X195">
        <v>0</v>
      </c>
    </row>
    <row r="196" spans="1:24">
      <c r="A196">
        <v>281</v>
      </c>
      <c r="B196">
        <v>59889</v>
      </c>
      <c r="C196" t="s">
        <v>134</v>
      </c>
      <c r="D196">
        <v>14970</v>
      </c>
      <c r="E196" t="s">
        <v>2301</v>
      </c>
      <c r="H196" t="s">
        <v>1588</v>
      </c>
      <c r="I196">
        <v>15</v>
      </c>
      <c r="J196">
        <v>4</v>
      </c>
      <c r="K196" t="s">
        <v>1814</v>
      </c>
      <c r="L196">
        <v>14</v>
      </c>
      <c r="N196" t="s">
        <v>92</v>
      </c>
      <c r="S196">
        <v>0</v>
      </c>
      <c r="X196">
        <v>0</v>
      </c>
    </row>
    <row r="197" spans="1:24">
      <c r="A197">
        <v>282</v>
      </c>
      <c r="B197">
        <v>12867</v>
      </c>
      <c r="C197" t="s">
        <v>134</v>
      </c>
      <c r="H197" t="s">
        <v>1815</v>
      </c>
      <c r="I197">
        <v>16</v>
      </c>
      <c r="J197">
        <v>4</v>
      </c>
      <c r="K197" t="s">
        <v>1816</v>
      </c>
      <c r="L197">
        <v>15</v>
      </c>
      <c r="N197" t="s">
        <v>92</v>
      </c>
      <c r="O197" t="s">
        <v>1817</v>
      </c>
      <c r="P197" t="s">
        <v>1818</v>
      </c>
      <c r="S197">
        <v>0</v>
      </c>
      <c r="V197" t="s">
        <v>1819</v>
      </c>
      <c r="X197">
        <v>0</v>
      </c>
    </row>
    <row r="198" spans="1:24">
      <c r="A198">
        <v>283</v>
      </c>
      <c r="B198">
        <v>59890</v>
      </c>
      <c r="C198" t="s">
        <v>134</v>
      </c>
      <c r="D198">
        <v>14990</v>
      </c>
      <c r="E198" t="s">
        <v>2302</v>
      </c>
      <c r="H198" t="s">
        <v>1598</v>
      </c>
      <c r="I198">
        <v>17</v>
      </c>
      <c r="J198">
        <v>4</v>
      </c>
      <c r="L198">
        <v>16</v>
      </c>
      <c r="N198" t="s">
        <v>919</v>
      </c>
      <c r="S198">
        <v>0</v>
      </c>
      <c r="X198">
        <v>0</v>
      </c>
    </row>
    <row r="199" spans="1:24">
      <c r="A199">
        <v>319</v>
      </c>
      <c r="B199">
        <v>59908</v>
      </c>
      <c r="C199" t="s">
        <v>1880</v>
      </c>
      <c r="D199">
        <v>12720</v>
      </c>
      <c r="E199" t="s">
        <v>2303</v>
      </c>
      <c r="H199" t="s">
        <v>1570</v>
      </c>
      <c r="I199">
        <v>13</v>
      </c>
      <c r="J199">
        <v>5</v>
      </c>
      <c r="K199" t="s">
        <v>1820</v>
      </c>
      <c r="L199">
        <v>1</v>
      </c>
      <c r="N199" t="s">
        <v>919</v>
      </c>
      <c r="O199" t="s">
        <v>138</v>
      </c>
      <c r="P199" t="s">
        <v>1690</v>
      </c>
      <c r="S199">
        <v>0</v>
      </c>
      <c r="X199">
        <v>0</v>
      </c>
    </row>
    <row r="200" spans="1:24">
      <c r="A200">
        <v>320</v>
      </c>
      <c r="B200">
        <v>9814</v>
      </c>
      <c r="C200" t="s">
        <v>1880</v>
      </c>
      <c r="D200">
        <v>12730</v>
      </c>
      <c r="E200" t="s">
        <v>2304</v>
      </c>
      <c r="H200" t="s">
        <v>1590</v>
      </c>
      <c r="I200">
        <v>13</v>
      </c>
      <c r="J200">
        <v>30</v>
      </c>
      <c r="K200" t="s">
        <v>1821</v>
      </c>
      <c r="L200">
        <v>2</v>
      </c>
      <c r="N200" t="s">
        <v>919</v>
      </c>
      <c r="O200" t="s">
        <v>136</v>
      </c>
      <c r="P200" t="s">
        <v>1822</v>
      </c>
      <c r="S200">
        <v>0</v>
      </c>
      <c r="X200">
        <v>0</v>
      </c>
    </row>
    <row r="201" spans="1:24">
      <c r="A201">
        <v>321</v>
      </c>
      <c r="B201">
        <v>12976</v>
      </c>
      <c r="C201" t="s">
        <v>1880</v>
      </c>
      <c r="D201">
        <v>12740</v>
      </c>
      <c r="E201" t="s">
        <v>2305</v>
      </c>
      <c r="H201" t="s">
        <v>1588</v>
      </c>
      <c r="I201">
        <v>14</v>
      </c>
      <c r="J201">
        <v>5</v>
      </c>
      <c r="K201" t="s">
        <v>1823</v>
      </c>
      <c r="L201">
        <v>3</v>
      </c>
      <c r="N201" t="s">
        <v>919</v>
      </c>
      <c r="S201">
        <v>0</v>
      </c>
      <c r="X201">
        <v>0</v>
      </c>
    </row>
    <row r="202" spans="1:24">
      <c r="A202">
        <v>322</v>
      </c>
      <c r="B202">
        <v>59909</v>
      </c>
      <c r="C202" t="s">
        <v>1886</v>
      </c>
      <c r="D202">
        <v>10760</v>
      </c>
      <c r="E202" t="s">
        <v>2306</v>
      </c>
      <c r="H202" t="s">
        <v>1570</v>
      </c>
      <c r="I202">
        <v>13</v>
      </c>
      <c r="J202">
        <v>14</v>
      </c>
      <c r="K202" t="s">
        <v>1824</v>
      </c>
      <c r="L202">
        <v>1</v>
      </c>
      <c r="N202" t="s">
        <v>919</v>
      </c>
      <c r="O202" t="s">
        <v>1582</v>
      </c>
      <c r="P202" t="s">
        <v>1583</v>
      </c>
      <c r="S202">
        <v>0</v>
      </c>
      <c r="X202">
        <v>0</v>
      </c>
    </row>
    <row r="203" spans="1:24">
      <c r="A203">
        <v>323</v>
      </c>
      <c r="B203">
        <v>12974</v>
      </c>
      <c r="C203" t="s">
        <v>1886</v>
      </c>
      <c r="D203">
        <v>10780</v>
      </c>
      <c r="E203" t="s">
        <v>2307</v>
      </c>
      <c r="H203" t="s">
        <v>1570</v>
      </c>
      <c r="I203">
        <v>14</v>
      </c>
      <c r="J203">
        <v>14</v>
      </c>
      <c r="K203" t="s">
        <v>1825</v>
      </c>
      <c r="L203">
        <v>2</v>
      </c>
      <c r="N203" t="s">
        <v>919</v>
      </c>
      <c r="O203" t="s">
        <v>1572</v>
      </c>
      <c r="P203" t="s">
        <v>1573</v>
      </c>
      <c r="S203">
        <v>0</v>
      </c>
      <c r="X203">
        <v>0</v>
      </c>
    </row>
    <row r="204" spans="1:24">
      <c r="A204">
        <v>324</v>
      </c>
      <c r="B204">
        <v>59910</v>
      </c>
      <c r="C204" t="s">
        <v>1886</v>
      </c>
      <c r="D204">
        <v>10750</v>
      </c>
      <c r="E204" t="s">
        <v>2308</v>
      </c>
      <c r="H204" t="s">
        <v>1570</v>
      </c>
      <c r="I204">
        <v>15</v>
      </c>
      <c r="J204">
        <v>14</v>
      </c>
      <c r="K204" t="s">
        <v>1826</v>
      </c>
      <c r="L204">
        <v>3</v>
      </c>
      <c r="N204" t="s">
        <v>919</v>
      </c>
      <c r="O204" t="s">
        <v>1576</v>
      </c>
      <c r="P204" t="s">
        <v>1577</v>
      </c>
      <c r="S204">
        <v>0</v>
      </c>
      <c r="X204">
        <v>0</v>
      </c>
    </row>
    <row r="205" spans="1:24">
      <c r="A205">
        <v>325</v>
      </c>
      <c r="B205">
        <v>59911</v>
      </c>
      <c r="C205" t="s">
        <v>1886</v>
      </c>
      <c r="D205">
        <v>10790</v>
      </c>
      <c r="E205" t="s">
        <v>2309</v>
      </c>
      <c r="H205" t="s">
        <v>1588</v>
      </c>
      <c r="I205">
        <v>16</v>
      </c>
      <c r="J205">
        <v>14</v>
      </c>
      <c r="K205" t="s">
        <v>1827</v>
      </c>
      <c r="L205">
        <v>4</v>
      </c>
      <c r="N205" t="s">
        <v>919</v>
      </c>
      <c r="S205">
        <v>0</v>
      </c>
      <c r="X205">
        <v>0</v>
      </c>
    </row>
    <row r="206" spans="1:24">
      <c r="A206">
        <v>326</v>
      </c>
      <c r="B206">
        <v>12977</v>
      </c>
      <c r="C206" t="s">
        <v>1887</v>
      </c>
      <c r="D206">
        <v>10870</v>
      </c>
      <c r="E206" t="s">
        <v>2310</v>
      </c>
      <c r="H206" t="s">
        <v>1570</v>
      </c>
      <c r="I206">
        <v>13</v>
      </c>
      <c r="J206">
        <v>14</v>
      </c>
      <c r="K206" t="s">
        <v>1824</v>
      </c>
      <c r="L206">
        <v>1</v>
      </c>
      <c r="N206" t="s">
        <v>919</v>
      </c>
      <c r="O206" t="s">
        <v>1582</v>
      </c>
      <c r="P206" t="s">
        <v>1583</v>
      </c>
      <c r="S206">
        <v>0</v>
      </c>
      <c r="X206">
        <v>0</v>
      </c>
    </row>
    <row r="207" spans="1:24">
      <c r="A207">
        <v>327</v>
      </c>
      <c r="B207">
        <v>59912</v>
      </c>
      <c r="C207" t="s">
        <v>1887</v>
      </c>
      <c r="D207">
        <v>10890</v>
      </c>
      <c r="E207" t="s">
        <v>2311</v>
      </c>
      <c r="H207" t="s">
        <v>1570</v>
      </c>
      <c r="I207">
        <v>14</v>
      </c>
      <c r="J207">
        <v>14</v>
      </c>
      <c r="K207" t="s">
        <v>1825</v>
      </c>
      <c r="L207">
        <v>2</v>
      </c>
      <c r="N207" t="s">
        <v>919</v>
      </c>
      <c r="O207" t="s">
        <v>1572</v>
      </c>
      <c r="P207" t="s">
        <v>1573</v>
      </c>
      <c r="S207">
        <v>0</v>
      </c>
      <c r="X207">
        <v>0</v>
      </c>
    </row>
    <row r="208" spans="1:24">
      <c r="A208">
        <v>328</v>
      </c>
      <c r="B208">
        <v>59913</v>
      </c>
      <c r="C208" t="s">
        <v>1887</v>
      </c>
      <c r="D208">
        <v>10860</v>
      </c>
      <c r="E208" t="s">
        <v>2312</v>
      </c>
      <c r="H208" t="s">
        <v>1570</v>
      </c>
      <c r="I208">
        <v>15</v>
      </c>
      <c r="J208">
        <v>14</v>
      </c>
      <c r="K208" t="s">
        <v>1826</v>
      </c>
      <c r="L208">
        <v>3</v>
      </c>
      <c r="N208" t="s">
        <v>919</v>
      </c>
      <c r="O208" t="s">
        <v>1576</v>
      </c>
      <c r="P208" t="s">
        <v>1577</v>
      </c>
      <c r="S208">
        <v>0</v>
      </c>
      <c r="X208">
        <v>0</v>
      </c>
    </row>
    <row r="209" spans="1:24">
      <c r="A209">
        <v>329</v>
      </c>
      <c r="B209">
        <v>12978</v>
      </c>
      <c r="C209" t="s">
        <v>1887</v>
      </c>
      <c r="D209">
        <v>10930</v>
      </c>
      <c r="E209" t="s">
        <v>2313</v>
      </c>
      <c r="H209" t="s">
        <v>1588</v>
      </c>
      <c r="I209">
        <v>16</v>
      </c>
      <c r="J209">
        <v>14</v>
      </c>
      <c r="K209" t="s">
        <v>1828</v>
      </c>
      <c r="L209">
        <v>4</v>
      </c>
      <c r="N209" t="s">
        <v>919</v>
      </c>
      <c r="S209">
        <v>0</v>
      </c>
      <c r="X209">
        <v>0</v>
      </c>
    </row>
    <row r="210" spans="1:24">
      <c r="A210">
        <v>330</v>
      </c>
      <c r="B210">
        <v>13319</v>
      </c>
      <c r="C210" t="s">
        <v>1887</v>
      </c>
      <c r="D210">
        <v>10900</v>
      </c>
      <c r="E210" t="s">
        <v>2314</v>
      </c>
      <c r="H210" t="s">
        <v>1588</v>
      </c>
      <c r="I210">
        <v>17</v>
      </c>
      <c r="J210">
        <v>14</v>
      </c>
      <c r="K210" t="s">
        <v>1827</v>
      </c>
      <c r="L210">
        <v>5</v>
      </c>
      <c r="N210" t="s">
        <v>919</v>
      </c>
      <c r="S210">
        <v>0</v>
      </c>
      <c r="X210">
        <v>0</v>
      </c>
    </row>
    <row r="211" spans="1:24">
      <c r="A211">
        <v>331</v>
      </c>
      <c r="B211">
        <v>59914</v>
      </c>
      <c r="C211" t="s">
        <v>1881</v>
      </c>
      <c r="D211">
        <v>11000</v>
      </c>
      <c r="E211" t="s">
        <v>2315</v>
      </c>
      <c r="H211" t="s">
        <v>1588</v>
      </c>
      <c r="I211">
        <v>13</v>
      </c>
      <c r="J211">
        <v>19</v>
      </c>
      <c r="K211" t="s">
        <v>1829</v>
      </c>
      <c r="L211">
        <v>1</v>
      </c>
      <c r="N211" t="s">
        <v>919</v>
      </c>
      <c r="S211">
        <v>0</v>
      </c>
      <c r="X211">
        <v>0</v>
      </c>
    </row>
    <row r="212" spans="1:24">
      <c r="A212">
        <v>332</v>
      </c>
      <c r="B212">
        <v>13351</v>
      </c>
      <c r="C212" t="s">
        <v>1881</v>
      </c>
      <c r="D212">
        <v>10970</v>
      </c>
      <c r="E212" t="s">
        <v>2316</v>
      </c>
      <c r="H212" t="s">
        <v>1588</v>
      </c>
      <c r="I212">
        <v>14</v>
      </c>
      <c r="J212">
        <v>19</v>
      </c>
      <c r="K212" t="s">
        <v>1830</v>
      </c>
      <c r="L212">
        <v>2</v>
      </c>
      <c r="N212" t="s">
        <v>919</v>
      </c>
      <c r="S212">
        <v>0</v>
      </c>
      <c r="X212">
        <v>0</v>
      </c>
    </row>
    <row r="213" spans="1:24">
      <c r="A213">
        <v>352</v>
      </c>
      <c r="B213">
        <v>12868</v>
      </c>
      <c r="C213" t="s">
        <v>1882</v>
      </c>
      <c r="D213">
        <v>16340</v>
      </c>
      <c r="E213" t="s">
        <v>2317</v>
      </c>
      <c r="H213" t="s">
        <v>1570</v>
      </c>
      <c r="I213">
        <v>9</v>
      </c>
      <c r="J213">
        <v>7</v>
      </c>
      <c r="K213" t="s">
        <v>1831</v>
      </c>
      <c r="L213">
        <v>1</v>
      </c>
      <c r="N213" t="s">
        <v>919</v>
      </c>
      <c r="O213" t="s">
        <v>1832</v>
      </c>
      <c r="P213" t="s">
        <v>1833</v>
      </c>
      <c r="S213">
        <v>0</v>
      </c>
      <c r="X213">
        <v>0</v>
      </c>
    </row>
    <row r="214" spans="1:24">
      <c r="A214">
        <v>353</v>
      </c>
      <c r="B214">
        <v>9943</v>
      </c>
      <c r="C214" t="s">
        <v>1882</v>
      </c>
      <c r="D214">
        <v>16390</v>
      </c>
      <c r="E214" t="s">
        <v>2318</v>
      </c>
      <c r="H214" t="s">
        <v>1588</v>
      </c>
      <c r="I214">
        <v>10</v>
      </c>
      <c r="J214">
        <v>7</v>
      </c>
      <c r="K214" t="s">
        <v>1675</v>
      </c>
      <c r="L214">
        <v>2</v>
      </c>
      <c r="N214" t="s">
        <v>919</v>
      </c>
      <c r="S214">
        <v>0</v>
      </c>
      <c r="X214">
        <v>0</v>
      </c>
    </row>
    <row r="215" spans="1:24">
      <c r="A215">
        <v>354</v>
      </c>
      <c r="B215">
        <v>59924</v>
      </c>
      <c r="C215" t="s">
        <v>1882</v>
      </c>
      <c r="H215" t="s">
        <v>1588</v>
      </c>
      <c r="I215">
        <v>11</v>
      </c>
      <c r="J215">
        <v>7</v>
      </c>
      <c r="K215" t="s">
        <v>1834</v>
      </c>
      <c r="L215">
        <v>3</v>
      </c>
      <c r="N215" t="s">
        <v>919</v>
      </c>
      <c r="S215">
        <v>0</v>
      </c>
      <c r="X215">
        <v>0</v>
      </c>
    </row>
    <row r="216" spans="1:24">
      <c r="A216">
        <v>355</v>
      </c>
      <c r="B216">
        <v>59925</v>
      </c>
      <c r="C216" t="s">
        <v>1882</v>
      </c>
      <c r="H216" t="s">
        <v>1588</v>
      </c>
      <c r="I216">
        <v>12</v>
      </c>
      <c r="J216">
        <v>7</v>
      </c>
      <c r="L216">
        <v>4</v>
      </c>
      <c r="N216" t="s">
        <v>919</v>
      </c>
      <c r="S216">
        <v>0</v>
      </c>
      <c r="X216">
        <v>0</v>
      </c>
    </row>
    <row r="217" spans="1:24">
      <c r="A217">
        <v>356</v>
      </c>
      <c r="B217">
        <v>59926</v>
      </c>
      <c r="C217" t="s">
        <v>1882</v>
      </c>
      <c r="D217">
        <v>16370</v>
      </c>
      <c r="E217" t="s">
        <v>2319</v>
      </c>
      <c r="H217" t="s">
        <v>1588</v>
      </c>
      <c r="I217">
        <v>13</v>
      </c>
      <c r="J217">
        <v>7</v>
      </c>
      <c r="K217" t="s">
        <v>1835</v>
      </c>
      <c r="L217">
        <v>5</v>
      </c>
      <c r="N217" t="s">
        <v>919</v>
      </c>
      <c r="S217">
        <v>0</v>
      </c>
      <c r="X217">
        <v>0</v>
      </c>
    </row>
    <row r="218" spans="1:24">
      <c r="A218">
        <v>357</v>
      </c>
      <c r="B218">
        <v>9983</v>
      </c>
      <c r="C218" t="s">
        <v>1882</v>
      </c>
      <c r="D218">
        <v>16420</v>
      </c>
      <c r="E218" t="s">
        <v>2320</v>
      </c>
      <c r="H218" t="s">
        <v>1588</v>
      </c>
      <c r="I218">
        <v>14</v>
      </c>
      <c r="J218">
        <v>7</v>
      </c>
      <c r="K218" t="s">
        <v>1836</v>
      </c>
      <c r="L218">
        <v>6</v>
      </c>
      <c r="N218" t="s">
        <v>919</v>
      </c>
      <c r="S218">
        <v>0</v>
      </c>
      <c r="X218">
        <v>0</v>
      </c>
    </row>
    <row r="219" spans="1:24">
      <c r="A219">
        <v>358</v>
      </c>
      <c r="B219">
        <v>59927</v>
      </c>
      <c r="C219" t="s">
        <v>1882</v>
      </c>
      <c r="D219">
        <v>16400</v>
      </c>
      <c r="E219" t="s">
        <v>2321</v>
      </c>
      <c r="H219" t="s">
        <v>1588</v>
      </c>
      <c r="I219">
        <v>15</v>
      </c>
      <c r="J219">
        <v>7</v>
      </c>
      <c r="K219" t="s">
        <v>1837</v>
      </c>
      <c r="L219">
        <v>7</v>
      </c>
      <c r="N219" t="s">
        <v>919</v>
      </c>
      <c r="S219">
        <v>0</v>
      </c>
      <c r="X219">
        <v>0</v>
      </c>
    </row>
    <row r="220" spans="1:24">
      <c r="A220">
        <v>359</v>
      </c>
      <c r="B220">
        <v>59928</v>
      </c>
      <c r="C220" t="s">
        <v>1882</v>
      </c>
      <c r="H220" t="s">
        <v>1588</v>
      </c>
      <c r="I220">
        <v>17</v>
      </c>
      <c r="J220">
        <v>7</v>
      </c>
      <c r="K220" t="s">
        <v>1838</v>
      </c>
      <c r="L220">
        <v>8</v>
      </c>
      <c r="N220" t="s">
        <v>92</v>
      </c>
      <c r="S220">
        <v>0</v>
      </c>
      <c r="X220">
        <v>0</v>
      </c>
    </row>
    <row r="221" spans="1:24">
      <c r="A221">
        <v>360</v>
      </c>
      <c r="B221">
        <v>13352</v>
      </c>
      <c r="C221" t="s">
        <v>1882</v>
      </c>
      <c r="D221">
        <v>16090</v>
      </c>
      <c r="E221" t="s">
        <v>2322</v>
      </c>
      <c r="H221" t="s">
        <v>1588</v>
      </c>
      <c r="I221">
        <v>18</v>
      </c>
      <c r="J221">
        <v>7</v>
      </c>
      <c r="K221" t="s">
        <v>1839</v>
      </c>
      <c r="L221">
        <v>9</v>
      </c>
      <c r="N221" t="s">
        <v>919</v>
      </c>
      <c r="S221">
        <v>0</v>
      </c>
      <c r="X221">
        <v>0</v>
      </c>
    </row>
    <row r="222" spans="1:24">
      <c r="A222">
        <v>361</v>
      </c>
      <c r="B222">
        <v>59929</v>
      </c>
      <c r="C222" t="s">
        <v>1882</v>
      </c>
      <c r="D222">
        <v>16060</v>
      </c>
      <c r="E222" t="s">
        <v>2295</v>
      </c>
      <c r="H222" t="s">
        <v>1588</v>
      </c>
      <c r="I222">
        <v>19</v>
      </c>
      <c r="J222">
        <v>7</v>
      </c>
      <c r="K222" t="s">
        <v>1676</v>
      </c>
      <c r="L222">
        <v>10</v>
      </c>
      <c r="N222" t="s">
        <v>919</v>
      </c>
      <c r="S222">
        <v>0</v>
      </c>
      <c r="X222">
        <v>0</v>
      </c>
    </row>
    <row r="223" spans="1:24">
      <c r="A223">
        <v>362</v>
      </c>
      <c r="B223">
        <v>59930</v>
      </c>
      <c r="C223" t="s">
        <v>1882</v>
      </c>
      <c r="D223">
        <v>16410</v>
      </c>
      <c r="E223" t="s">
        <v>2323</v>
      </c>
      <c r="H223" t="s">
        <v>1588</v>
      </c>
      <c r="I223">
        <v>20</v>
      </c>
      <c r="J223">
        <v>7</v>
      </c>
      <c r="K223" t="s">
        <v>1840</v>
      </c>
      <c r="L223">
        <v>11</v>
      </c>
      <c r="N223" t="s">
        <v>92</v>
      </c>
      <c r="S223">
        <v>0</v>
      </c>
      <c r="X223">
        <v>0</v>
      </c>
    </row>
    <row r="224" spans="1:24">
      <c r="A224">
        <v>363</v>
      </c>
      <c r="B224">
        <v>59931</v>
      </c>
      <c r="C224" t="s">
        <v>1882</v>
      </c>
      <c r="H224" t="s">
        <v>1588</v>
      </c>
      <c r="I224">
        <v>21</v>
      </c>
      <c r="J224">
        <v>7</v>
      </c>
      <c r="K224" t="s">
        <v>1635</v>
      </c>
      <c r="L224">
        <v>12</v>
      </c>
      <c r="N224" t="s">
        <v>92</v>
      </c>
      <c r="S224">
        <v>0</v>
      </c>
      <c r="X224">
        <v>0</v>
      </c>
    </row>
    <row r="225" spans="1:24">
      <c r="A225">
        <v>364</v>
      </c>
      <c r="B225">
        <v>13530</v>
      </c>
      <c r="C225" t="s">
        <v>1883</v>
      </c>
      <c r="D225">
        <v>16450</v>
      </c>
      <c r="E225" t="s">
        <v>2324</v>
      </c>
      <c r="H225" t="s">
        <v>1570</v>
      </c>
      <c r="I225">
        <v>13</v>
      </c>
      <c r="J225">
        <v>7</v>
      </c>
      <c r="K225" t="s">
        <v>1841</v>
      </c>
      <c r="L225">
        <v>1</v>
      </c>
      <c r="N225" t="s">
        <v>92</v>
      </c>
      <c r="O225" t="s">
        <v>1576</v>
      </c>
      <c r="P225" t="s">
        <v>1577</v>
      </c>
      <c r="S225">
        <v>0</v>
      </c>
      <c r="X225">
        <v>0</v>
      </c>
    </row>
    <row r="226" spans="1:24">
      <c r="A226">
        <v>365</v>
      </c>
      <c r="B226">
        <v>59932</v>
      </c>
      <c r="C226" t="s">
        <v>1883</v>
      </c>
      <c r="D226">
        <v>16080</v>
      </c>
      <c r="E226" t="s">
        <v>2294</v>
      </c>
      <c r="H226" t="s">
        <v>1588</v>
      </c>
      <c r="I226">
        <v>14</v>
      </c>
      <c r="J226">
        <v>7</v>
      </c>
      <c r="K226" t="s">
        <v>1842</v>
      </c>
      <c r="L226">
        <v>2</v>
      </c>
      <c r="N226" t="s">
        <v>92</v>
      </c>
      <c r="S226">
        <v>0</v>
      </c>
      <c r="X226">
        <v>0</v>
      </c>
    </row>
    <row r="227" spans="1:24">
      <c r="A227">
        <v>366</v>
      </c>
      <c r="B227">
        <v>59933</v>
      </c>
      <c r="C227" t="s">
        <v>1883</v>
      </c>
      <c r="D227">
        <v>16010</v>
      </c>
      <c r="E227" t="s">
        <v>2293</v>
      </c>
      <c r="H227" t="s">
        <v>1590</v>
      </c>
      <c r="I227">
        <v>15</v>
      </c>
      <c r="J227">
        <v>7</v>
      </c>
      <c r="K227" t="s">
        <v>1843</v>
      </c>
      <c r="L227">
        <v>3</v>
      </c>
      <c r="N227" t="s">
        <v>92</v>
      </c>
      <c r="O227" t="s">
        <v>136</v>
      </c>
      <c r="P227" t="s">
        <v>1808</v>
      </c>
      <c r="S227">
        <v>0</v>
      </c>
      <c r="X227">
        <v>0</v>
      </c>
    </row>
    <row r="228" spans="1:24">
      <c r="A228">
        <v>367</v>
      </c>
      <c r="B228">
        <v>9934</v>
      </c>
      <c r="C228" t="s">
        <v>1883</v>
      </c>
      <c r="D228">
        <v>16050</v>
      </c>
      <c r="E228" t="s">
        <v>2296</v>
      </c>
      <c r="H228" t="s">
        <v>1588</v>
      </c>
      <c r="I228">
        <v>17</v>
      </c>
      <c r="J228">
        <v>7</v>
      </c>
      <c r="K228" t="s">
        <v>1844</v>
      </c>
      <c r="L228">
        <v>5</v>
      </c>
      <c r="N228" t="s">
        <v>92</v>
      </c>
      <c r="S228">
        <v>0</v>
      </c>
      <c r="X228">
        <v>0</v>
      </c>
    </row>
    <row r="229" spans="1:24">
      <c r="A229">
        <v>368</v>
      </c>
      <c r="B229">
        <v>12985</v>
      </c>
      <c r="C229" t="s">
        <v>1883</v>
      </c>
      <c r="D229">
        <v>16090</v>
      </c>
      <c r="E229" t="s">
        <v>2322</v>
      </c>
      <c r="H229" t="s">
        <v>1588</v>
      </c>
      <c r="I229">
        <v>19</v>
      </c>
      <c r="J229">
        <v>7</v>
      </c>
      <c r="K229" t="s">
        <v>1845</v>
      </c>
      <c r="L229">
        <v>6</v>
      </c>
      <c r="N229" t="s">
        <v>919</v>
      </c>
      <c r="S229">
        <v>0</v>
      </c>
      <c r="X229">
        <v>0</v>
      </c>
    </row>
    <row r="230" spans="1:24">
      <c r="A230">
        <v>369</v>
      </c>
      <c r="B230">
        <v>12870</v>
      </c>
      <c r="C230" t="s">
        <v>1883</v>
      </c>
      <c r="D230">
        <v>16470</v>
      </c>
      <c r="E230" t="s">
        <v>2325</v>
      </c>
      <c r="H230" t="s">
        <v>1588</v>
      </c>
      <c r="I230">
        <v>20</v>
      </c>
      <c r="J230">
        <v>7</v>
      </c>
      <c r="K230" t="s">
        <v>1846</v>
      </c>
      <c r="L230">
        <v>7</v>
      </c>
      <c r="N230" t="s">
        <v>919</v>
      </c>
      <c r="S230">
        <v>0</v>
      </c>
      <c r="X230">
        <v>0</v>
      </c>
    </row>
    <row r="231" spans="1:24">
      <c r="A231">
        <v>370</v>
      </c>
      <c r="B231">
        <v>59934</v>
      </c>
      <c r="C231" t="s">
        <v>326</v>
      </c>
      <c r="D231">
        <v>13440</v>
      </c>
      <c r="E231" t="s">
        <v>1869</v>
      </c>
      <c r="H231" t="s">
        <v>1588</v>
      </c>
      <c r="I231">
        <v>3</v>
      </c>
      <c r="J231">
        <v>14</v>
      </c>
      <c r="K231" t="s">
        <v>1809</v>
      </c>
      <c r="L231">
        <v>1</v>
      </c>
      <c r="N231" t="s">
        <v>919</v>
      </c>
      <c r="S231">
        <v>0</v>
      </c>
      <c r="X231">
        <v>0</v>
      </c>
    </row>
    <row r="232" spans="1:24">
      <c r="A232">
        <v>371</v>
      </c>
      <c r="B232">
        <v>10086</v>
      </c>
      <c r="C232" t="s">
        <v>326</v>
      </c>
      <c r="D232">
        <v>13380</v>
      </c>
      <c r="E232" t="s">
        <v>1872</v>
      </c>
      <c r="H232" t="s">
        <v>1570</v>
      </c>
      <c r="I232">
        <v>4</v>
      </c>
      <c r="J232">
        <v>14</v>
      </c>
      <c r="K232" t="s">
        <v>1847</v>
      </c>
      <c r="L232">
        <v>2</v>
      </c>
      <c r="N232" t="s">
        <v>919</v>
      </c>
      <c r="O232" t="s">
        <v>145</v>
      </c>
      <c r="P232" t="s">
        <v>1678</v>
      </c>
      <c r="S232">
        <v>0</v>
      </c>
      <c r="V232" t="s">
        <v>1848</v>
      </c>
      <c r="X232">
        <v>0</v>
      </c>
    </row>
    <row r="233" spans="1:24">
      <c r="A233">
        <v>372</v>
      </c>
      <c r="B233">
        <v>13492</v>
      </c>
      <c r="C233" t="s">
        <v>326</v>
      </c>
      <c r="H233" t="s">
        <v>1590</v>
      </c>
      <c r="I233">
        <v>5</v>
      </c>
      <c r="J233">
        <v>14</v>
      </c>
      <c r="K233" t="s">
        <v>1849</v>
      </c>
      <c r="L233">
        <v>3</v>
      </c>
      <c r="N233" t="s">
        <v>919</v>
      </c>
      <c r="O233" t="s">
        <v>136</v>
      </c>
      <c r="P233" t="s">
        <v>1850</v>
      </c>
      <c r="S233">
        <v>0</v>
      </c>
      <c r="X233">
        <v>0</v>
      </c>
    </row>
    <row r="234" spans="1:24">
      <c r="A234">
        <v>373</v>
      </c>
      <c r="B234">
        <v>12986</v>
      </c>
      <c r="C234" t="s">
        <v>326</v>
      </c>
      <c r="D234">
        <v>13480</v>
      </c>
      <c r="E234" t="s">
        <v>2326</v>
      </c>
      <c r="H234" t="s">
        <v>1588</v>
      </c>
      <c r="I234">
        <v>6</v>
      </c>
      <c r="J234">
        <v>14</v>
      </c>
      <c r="K234" t="s">
        <v>1851</v>
      </c>
      <c r="L234">
        <v>4</v>
      </c>
      <c r="N234" t="s">
        <v>919</v>
      </c>
      <c r="S234">
        <v>0</v>
      </c>
      <c r="X234">
        <v>0</v>
      </c>
    </row>
    <row r="235" spans="1:24">
      <c r="A235">
        <v>374</v>
      </c>
      <c r="B235">
        <v>59935</v>
      </c>
      <c r="C235" t="s">
        <v>326</v>
      </c>
      <c r="D235">
        <v>13450</v>
      </c>
      <c r="E235" t="s">
        <v>2327</v>
      </c>
      <c r="H235" t="s">
        <v>1588</v>
      </c>
      <c r="I235">
        <v>7</v>
      </c>
      <c r="J235">
        <v>14</v>
      </c>
      <c r="K235" t="s">
        <v>1852</v>
      </c>
      <c r="L235">
        <v>5</v>
      </c>
      <c r="N235" t="s">
        <v>919</v>
      </c>
      <c r="S235">
        <v>0</v>
      </c>
      <c r="X235">
        <v>0</v>
      </c>
    </row>
    <row r="236" spans="1:24">
      <c r="A236">
        <v>375</v>
      </c>
      <c r="B236">
        <v>59936</v>
      </c>
      <c r="C236" t="s">
        <v>326</v>
      </c>
      <c r="D236">
        <v>13460</v>
      </c>
      <c r="E236" t="s">
        <v>2328</v>
      </c>
      <c r="H236" t="s">
        <v>1588</v>
      </c>
      <c r="I236">
        <v>8</v>
      </c>
      <c r="J236">
        <v>12</v>
      </c>
      <c r="K236" t="s">
        <v>1853</v>
      </c>
      <c r="L236">
        <v>6</v>
      </c>
      <c r="N236" t="s">
        <v>919</v>
      </c>
      <c r="S236">
        <v>0</v>
      </c>
      <c r="X236">
        <v>0</v>
      </c>
    </row>
    <row r="237" spans="1:24">
      <c r="A237">
        <v>376</v>
      </c>
      <c r="B237">
        <v>59937</v>
      </c>
      <c r="C237" t="s">
        <v>326</v>
      </c>
      <c r="D237">
        <v>13470</v>
      </c>
      <c r="E237" t="s">
        <v>1876</v>
      </c>
      <c r="H237" t="s">
        <v>1588</v>
      </c>
      <c r="I237">
        <v>9</v>
      </c>
      <c r="J237">
        <v>10</v>
      </c>
      <c r="K237" t="s">
        <v>1854</v>
      </c>
      <c r="L237">
        <v>7</v>
      </c>
      <c r="N237" t="s">
        <v>919</v>
      </c>
      <c r="S237">
        <v>0</v>
      </c>
      <c r="X237">
        <v>0</v>
      </c>
    </row>
    <row r="238" spans="1:24">
      <c r="A238">
        <v>377</v>
      </c>
      <c r="B238">
        <v>59938</v>
      </c>
      <c r="C238" t="s">
        <v>326</v>
      </c>
      <c r="H238" t="s">
        <v>1588</v>
      </c>
      <c r="I238">
        <v>11</v>
      </c>
      <c r="J238">
        <v>17</v>
      </c>
      <c r="K238" t="s">
        <v>1694</v>
      </c>
      <c r="L238">
        <v>8</v>
      </c>
      <c r="N238" t="s">
        <v>919</v>
      </c>
      <c r="S238">
        <v>0</v>
      </c>
      <c r="X238">
        <v>0</v>
      </c>
    </row>
    <row r="239" spans="1:24">
      <c r="A239">
        <v>378</v>
      </c>
      <c r="B239">
        <v>59939</v>
      </c>
      <c r="C239" t="s">
        <v>326</v>
      </c>
      <c r="D239">
        <v>13430</v>
      </c>
      <c r="E239" t="s">
        <v>1875</v>
      </c>
      <c r="H239" t="s">
        <v>1588</v>
      </c>
      <c r="I239">
        <v>12</v>
      </c>
      <c r="J239">
        <v>18</v>
      </c>
      <c r="K239" t="s">
        <v>1855</v>
      </c>
      <c r="L239">
        <v>9</v>
      </c>
      <c r="N239" t="s">
        <v>919</v>
      </c>
      <c r="S239">
        <v>0</v>
      </c>
      <c r="X239">
        <v>0</v>
      </c>
    </row>
    <row r="240" spans="1:24">
      <c r="A240">
        <v>379</v>
      </c>
      <c r="B240">
        <v>6111</v>
      </c>
      <c r="C240" t="s">
        <v>326</v>
      </c>
      <c r="D240">
        <v>13400</v>
      </c>
      <c r="E240" t="s">
        <v>1873</v>
      </c>
      <c r="H240" t="s">
        <v>1570</v>
      </c>
      <c r="I240">
        <v>13</v>
      </c>
      <c r="J240">
        <v>10</v>
      </c>
      <c r="K240" t="s">
        <v>1856</v>
      </c>
      <c r="L240">
        <v>10</v>
      </c>
      <c r="N240" t="s">
        <v>919</v>
      </c>
      <c r="O240" t="s">
        <v>1604</v>
      </c>
      <c r="P240" t="s">
        <v>1605</v>
      </c>
      <c r="S240">
        <v>0</v>
      </c>
      <c r="X240">
        <v>0</v>
      </c>
    </row>
    <row r="241" spans="1:24">
      <c r="A241">
        <v>380</v>
      </c>
      <c r="B241">
        <v>59940</v>
      </c>
      <c r="C241" t="s">
        <v>326</v>
      </c>
      <c r="D241">
        <v>13390</v>
      </c>
      <c r="E241" t="s">
        <v>2329</v>
      </c>
      <c r="H241" t="s">
        <v>1570</v>
      </c>
      <c r="I241">
        <v>14</v>
      </c>
      <c r="J241">
        <v>10</v>
      </c>
      <c r="K241" t="s">
        <v>1857</v>
      </c>
      <c r="L241">
        <v>11</v>
      </c>
      <c r="N241" t="s">
        <v>919</v>
      </c>
      <c r="O241" t="s">
        <v>1604</v>
      </c>
      <c r="P241" t="s">
        <v>1605</v>
      </c>
      <c r="S241">
        <v>0</v>
      </c>
      <c r="X241">
        <v>0</v>
      </c>
    </row>
    <row r="242" spans="1:24">
      <c r="A242">
        <v>381</v>
      </c>
      <c r="B242">
        <v>12987</v>
      </c>
      <c r="C242" t="s">
        <v>326</v>
      </c>
      <c r="D242">
        <v>13410</v>
      </c>
      <c r="E242" t="s">
        <v>1874</v>
      </c>
      <c r="H242" t="s">
        <v>1570</v>
      </c>
      <c r="I242">
        <v>15</v>
      </c>
      <c r="J242">
        <v>9</v>
      </c>
      <c r="K242" t="s">
        <v>1858</v>
      </c>
      <c r="L242">
        <v>12</v>
      </c>
      <c r="N242" t="s">
        <v>919</v>
      </c>
      <c r="O242" t="s">
        <v>1604</v>
      </c>
      <c r="P242" t="s">
        <v>1605</v>
      </c>
      <c r="S242">
        <v>0</v>
      </c>
      <c r="X242">
        <v>0</v>
      </c>
    </row>
    <row r="243" spans="1:24">
      <c r="A243">
        <v>382</v>
      </c>
      <c r="B243">
        <v>59941</v>
      </c>
      <c r="C243" t="s">
        <v>326</v>
      </c>
      <c r="D243">
        <v>13490</v>
      </c>
      <c r="E243" t="s">
        <v>1870</v>
      </c>
      <c r="H243" t="s">
        <v>1598</v>
      </c>
      <c r="I243">
        <v>16</v>
      </c>
      <c r="J243">
        <v>9</v>
      </c>
      <c r="K243" t="s">
        <v>1859</v>
      </c>
      <c r="L243">
        <v>13</v>
      </c>
      <c r="N243" t="s">
        <v>919</v>
      </c>
      <c r="S243">
        <v>0</v>
      </c>
      <c r="X243">
        <v>0</v>
      </c>
    </row>
    <row r="244" spans="1:24">
      <c r="A244">
        <v>383</v>
      </c>
      <c r="B244">
        <v>59942</v>
      </c>
      <c r="C244" t="s">
        <v>120</v>
      </c>
      <c r="D244">
        <v>16010</v>
      </c>
      <c r="E244" t="s">
        <v>2293</v>
      </c>
      <c r="H244" t="s">
        <v>1590</v>
      </c>
      <c r="I244">
        <v>13</v>
      </c>
      <c r="J244">
        <v>7</v>
      </c>
      <c r="K244" t="s">
        <v>1807</v>
      </c>
      <c r="L244">
        <v>1</v>
      </c>
      <c r="N244" t="s">
        <v>92</v>
      </c>
      <c r="O244" t="s">
        <v>136</v>
      </c>
      <c r="P244" t="s">
        <v>1808</v>
      </c>
      <c r="S244">
        <v>0</v>
      </c>
      <c r="X244">
        <v>0</v>
      </c>
    </row>
    <row r="245" spans="1:24">
      <c r="A245">
        <v>384</v>
      </c>
      <c r="B245">
        <v>13531</v>
      </c>
      <c r="C245" t="s">
        <v>120</v>
      </c>
      <c r="D245">
        <v>16080</v>
      </c>
      <c r="E245" t="s">
        <v>2294</v>
      </c>
      <c r="H245" t="s">
        <v>1588</v>
      </c>
      <c r="I245">
        <v>14</v>
      </c>
      <c r="J245">
        <v>7</v>
      </c>
      <c r="K245" t="s">
        <v>1783</v>
      </c>
      <c r="L245">
        <v>3</v>
      </c>
      <c r="N245" t="s">
        <v>919</v>
      </c>
      <c r="S245">
        <v>0</v>
      </c>
      <c r="X245">
        <v>0</v>
      </c>
    </row>
    <row r="246" spans="1:24">
      <c r="A246">
        <v>385</v>
      </c>
      <c r="B246">
        <v>59943</v>
      </c>
      <c r="C246" t="s">
        <v>120</v>
      </c>
      <c r="D246">
        <v>16060</v>
      </c>
      <c r="E246" t="s">
        <v>2295</v>
      </c>
      <c r="H246" t="s">
        <v>1588</v>
      </c>
      <c r="I246">
        <v>15</v>
      </c>
      <c r="J246">
        <v>7</v>
      </c>
      <c r="K246" t="s">
        <v>1809</v>
      </c>
      <c r="L246">
        <v>4</v>
      </c>
      <c r="N246" t="s">
        <v>919</v>
      </c>
      <c r="S246">
        <v>0</v>
      </c>
      <c r="X246">
        <v>0</v>
      </c>
    </row>
    <row r="247" spans="1:24">
      <c r="A247">
        <v>386</v>
      </c>
      <c r="B247">
        <v>10068</v>
      </c>
      <c r="C247" t="s">
        <v>120</v>
      </c>
      <c r="D247">
        <v>16090</v>
      </c>
      <c r="E247" t="s">
        <v>2322</v>
      </c>
      <c r="H247" t="s">
        <v>1588</v>
      </c>
      <c r="I247">
        <v>16</v>
      </c>
      <c r="J247">
        <v>7</v>
      </c>
      <c r="K247" t="s">
        <v>1828</v>
      </c>
      <c r="L247">
        <v>5</v>
      </c>
      <c r="N247" t="s">
        <v>919</v>
      </c>
      <c r="S247">
        <v>0</v>
      </c>
      <c r="X247">
        <v>0</v>
      </c>
    </row>
    <row r="248" spans="1:24">
      <c r="A248">
        <v>387</v>
      </c>
      <c r="B248">
        <v>6133</v>
      </c>
      <c r="C248" t="s">
        <v>211</v>
      </c>
      <c r="D248">
        <v>11280</v>
      </c>
      <c r="E248" t="s">
        <v>2330</v>
      </c>
      <c r="H248" t="s">
        <v>1588</v>
      </c>
      <c r="I248">
        <v>0</v>
      </c>
      <c r="J248">
        <v>2</v>
      </c>
      <c r="K248" t="s">
        <v>2356</v>
      </c>
      <c r="L248">
        <v>1</v>
      </c>
      <c r="N248" t="s">
        <v>919</v>
      </c>
      <c r="S248">
        <v>0</v>
      </c>
      <c r="X248">
        <v>0</v>
      </c>
    </row>
    <row r="249" spans="1:24">
      <c r="A249">
        <v>388</v>
      </c>
      <c r="B249">
        <v>10093</v>
      </c>
      <c r="C249" t="s">
        <v>211</v>
      </c>
      <c r="D249">
        <v>11260</v>
      </c>
      <c r="E249" t="s">
        <v>2331</v>
      </c>
      <c r="H249" t="s">
        <v>1570</v>
      </c>
      <c r="I249">
        <v>1</v>
      </c>
      <c r="J249">
        <v>2</v>
      </c>
      <c r="K249" t="s">
        <v>2357</v>
      </c>
      <c r="L249">
        <v>2</v>
      </c>
      <c r="N249" t="s">
        <v>919</v>
      </c>
      <c r="O249" t="s">
        <v>1860</v>
      </c>
      <c r="P249" t="s">
        <v>1861</v>
      </c>
      <c r="S249">
        <v>0</v>
      </c>
      <c r="X249">
        <v>0</v>
      </c>
    </row>
    <row r="250" spans="1:24">
      <c r="A250">
        <v>389</v>
      </c>
      <c r="B250">
        <v>6121</v>
      </c>
      <c r="C250" t="s">
        <v>211</v>
      </c>
      <c r="D250">
        <v>11300</v>
      </c>
      <c r="E250" t="s">
        <v>2332</v>
      </c>
      <c r="H250" t="s">
        <v>1588</v>
      </c>
      <c r="I250">
        <v>2</v>
      </c>
      <c r="J250">
        <v>2</v>
      </c>
      <c r="K250" t="s">
        <v>2358</v>
      </c>
      <c r="L250">
        <v>3</v>
      </c>
      <c r="N250" t="s">
        <v>919</v>
      </c>
      <c r="S250">
        <v>0</v>
      </c>
      <c r="X250">
        <v>0</v>
      </c>
    </row>
    <row r="251" spans="1:24">
      <c r="A251">
        <v>390</v>
      </c>
      <c r="B251">
        <v>59944</v>
      </c>
      <c r="C251" t="s">
        <v>211</v>
      </c>
      <c r="D251">
        <v>11290</v>
      </c>
      <c r="E251" t="s">
        <v>2333</v>
      </c>
      <c r="H251" t="s">
        <v>1588</v>
      </c>
      <c r="I251">
        <v>3</v>
      </c>
      <c r="J251">
        <v>2</v>
      </c>
      <c r="K251" t="s">
        <v>2359</v>
      </c>
      <c r="L251">
        <v>4</v>
      </c>
      <c r="N251" t="s">
        <v>919</v>
      </c>
      <c r="S251">
        <v>0</v>
      </c>
      <c r="X251">
        <v>0</v>
      </c>
    </row>
    <row r="252" spans="1:24">
      <c r="A252">
        <v>391</v>
      </c>
      <c r="B252">
        <v>59945</v>
      </c>
      <c r="C252" t="s">
        <v>211</v>
      </c>
      <c r="D252">
        <v>11270</v>
      </c>
      <c r="E252" t="s">
        <v>2334</v>
      </c>
      <c r="H252" t="s">
        <v>1590</v>
      </c>
      <c r="I252">
        <v>4</v>
      </c>
      <c r="J252">
        <v>2</v>
      </c>
      <c r="K252" t="s">
        <v>2360</v>
      </c>
      <c r="L252">
        <v>5</v>
      </c>
      <c r="N252" t="s">
        <v>919</v>
      </c>
      <c r="S252">
        <v>0</v>
      </c>
      <c r="X252">
        <v>0</v>
      </c>
    </row>
    <row r="253" spans="1:24">
      <c r="A253">
        <v>392</v>
      </c>
      <c r="B253">
        <v>59946</v>
      </c>
      <c r="C253" t="s">
        <v>1884</v>
      </c>
      <c r="D253">
        <v>10690</v>
      </c>
      <c r="E253" t="s">
        <v>2335</v>
      </c>
      <c r="H253" t="s">
        <v>1570</v>
      </c>
      <c r="I253">
        <v>0</v>
      </c>
      <c r="J253">
        <v>2</v>
      </c>
      <c r="K253" t="s">
        <v>2361</v>
      </c>
      <c r="L253">
        <v>1</v>
      </c>
      <c r="N253" t="s">
        <v>919</v>
      </c>
      <c r="O253" t="s">
        <v>1862</v>
      </c>
      <c r="P253" t="s">
        <v>1573</v>
      </c>
      <c r="S253">
        <v>0</v>
      </c>
      <c r="X253">
        <v>0</v>
      </c>
    </row>
    <row r="254" spans="1:24">
      <c r="A254">
        <v>393</v>
      </c>
      <c r="B254">
        <v>59947</v>
      </c>
      <c r="C254" t="s">
        <v>1884</v>
      </c>
      <c r="D254">
        <v>10670</v>
      </c>
      <c r="E254" t="s">
        <v>2336</v>
      </c>
      <c r="H254" t="s">
        <v>1570</v>
      </c>
      <c r="I254">
        <v>1</v>
      </c>
      <c r="J254">
        <v>2</v>
      </c>
      <c r="K254" t="s">
        <v>2362</v>
      </c>
      <c r="L254">
        <v>2</v>
      </c>
      <c r="N254" t="s">
        <v>919</v>
      </c>
      <c r="O254" t="s">
        <v>1863</v>
      </c>
      <c r="P254" t="s">
        <v>1577</v>
      </c>
      <c r="S254">
        <v>0</v>
      </c>
      <c r="X254">
        <v>0</v>
      </c>
    </row>
    <row r="255" spans="1:24">
      <c r="A255">
        <v>394</v>
      </c>
      <c r="B255">
        <v>59948</v>
      </c>
      <c r="C255" t="s">
        <v>433</v>
      </c>
      <c r="D255">
        <v>10530</v>
      </c>
      <c r="E255" t="s">
        <v>2337</v>
      </c>
      <c r="H255" t="s">
        <v>1570</v>
      </c>
      <c r="I255">
        <v>0</v>
      </c>
      <c r="J255">
        <v>1</v>
      </c>
      <c r="K255" t="s">
        <v>2363</v>
      </c>
      <c r="L255">
        <v>1</v>
      </c>
      <c r="N255" t="s">
        <v>919</v>
      </c>
      <c r="O255" t="s">
        <v>1862</v>
      </c>
      <c r="P255" t="s">
        <v>1573</v>
      </c>
      <c r="S255">
        <v>0</v>
      </c>
      <c r="X255">
        <v>0</v>
      </c>
    </row>
    <row r="256" spans="1:24">
      <c r="A256">
        <v>395</v>
      </c>
      <c r="B256">
        <v>59949</v>
      </c>
      <c r="C256" t="s">
        <v>433</v>
      </c>
      <c r="D256">
        <v>10590</v>
      </c>
      <c r="E256" t="s">
        <v>2338</v>
      </c>
      <c r="H256" t="s">
        <v>1588</v>
      </c>
      <c r="I256">
        <v>1</v>
      </c>
      <c r="J256">
        <v>1</v>
      </c>
      <c r="K256" t="s">
        <v>2364</v>
      </c>
      <c r="L256">
        <v>2</v>
      </c>
      <c r="N256" t="s">
        <v>919</v>
      </c>
      <c r="S256">
        <v>0</v>
      </c>
      <c r="X256">
        <v>0</v>
      </c>
    </row>
    <row r="257" spans="1:24">
      <c r="A257">
        <v>396</v>
      </c>
      <c r="B257">
        <v>12993</v>
      </c>
      <c r="C257" t="s">
        <v>433</v>
      </c>
      <c r="D257">
        <v>10540</v>
      </c>
      <c r="E257" t="s">
        <v>2339</v>
      </c>
      <c r="H257" t="s">
        <v>1570</v>
      </c>
      <c r="I257">
        <v>2</v>
      </c>
      <c r="J257">
        <v>1</v>
      </c>
      <c r="K257" t="s">
        <v>2365</v>
      </c>
      <c r="L257">
        <v>3</v>
      </c>
      <c r="N257" t="s">
        <v>919</v>
      </c>
      <c r="O257" t="s">
        <v>1864</v>
      </c>
      <c r="P257" t="s">
        <v>1632</v>
      </c>
      <c r="S257">
        <v>0</v>
      </c>
      <c r="X257">
        <v>0</v>
      </c>
    </row>
    <row r="258" spans="1:24">
      <c r="A258">
        <v>397</v>
      </c>
      <c r="B258">
        <v>59950</v>
      </c>
      <c r="C258" t="s">
        <v>433</v>
      </c>
      <c r="H258" t="s">
        <v>1570</v>
      </c>
      <c r="I258">
        <v>0</v>
      </c>
      <c r="J258">
        <v>40</v>
      </c>
      <c r="K258" t="s">
        <v>2366</v>
      </c>
      <c r="L258">
        <v>4</v>
      </c>
      <c r="N258" t="s">
        <v>919</v>
      </c>
      <c r="O258" t="s">
        <v>1865</v>
      </c>
      <c r="P258" t="s">
        <v>1801</v>
      </c>
      <c r="S258">
        <v>0</v>
      </c>
      <c r="X258">
        <v>0</v>
      </c>
    </row>
    <row r="259" spans="1:24">
      <c r="A259">
        <v>398</v>
      </c>
      <c r="B259">
        <v>59951</v>
      </c>
      <c r="C259" t="s">
        <v>433</v>
      </c>
      <c r="D259">
        <v>10620</v>
      </c>
      <c r="E259" t="s">
        <v>2340</v>
      </c>
      <c r="H259" t="s">
        <v>1588</v>
      </c>
      <c r="I259">
        <v>2</v>
      </c>
      <c r="J259">
        <v>40</v>
      </c>
      <c r="K259" t="s">
        <v>2367</v>
      </c>
      <c r="L259">
        <v>5</v>
      </c>
      <c r="N259" t="s">
        <v>919</v>
      </c>
      <c r="S259">
        <v>0</v>
      </c>
      <c r="X259">
        <v>0</v>
      </c>
    </row>
    <row r="260" spans="1:24">
      <c r="A260">
        <v>399</v>
      </c>
      <c r="B260">
        <v>59952</v>
      </c>
      <c r="C260" t="s">
        <v>433</v>
      </c>
      <c r="D260">
        <v>10610</v>
      </c>
      <c r="E260" t="s">
        <v>2341</v>
      </c>
      <c r="H260" t="s">
        <v>1588</v>
      </c>
      <c r="I260">
        <v>4</v>
      </c>
      <c r="J260">
        <v>1</v>
      </c>
      <c r="K260" t="s">
        <v>2368</v>
      </c>
      <c r="L260">
        <v>7</v>
      </c>
      <c r="N260" t="s">
        <v>919</v>
      </c>
      <c r="S260">
        <v>0</v>
      </c>
      <c r="X260">
        <v>0</v>
      </c>
    </row>
    <row r="261" spans="1:24">
      <c r="A261">
        <v>400</v>
      </c>
      <c r="B261">
        <v>6142</v>
      </c>
      <c r="C261" t="s">
        <v>433</v>
      </c>
      <c r="D261">
        <v>10580</v>
      </c>
      <c r="E261" t="s">
        <v>2342</v>
      </c>
      <c r="H261" t="s">
        <v>1588</v>
      </c>
      <c r="I261">
        <v>5</v>
      </c>
      <c r="J261">
        <v>1</v>
      </c>
      <c r="K261" t="s">
        <v>2369</v>
      </c>
      <c r="L261">
        <v>8</v>
      </c>
      <c r="N261" t="s">
        <v>919</v>
      </c>
      <c r="S261">
        <v>0</v>
      </c>
      <c r="X261">
        <v>0</v>
      </c>
    </row>
    <row r="262" spans="1:24">
      <c r="A262">
        <v>401</v>
      </c>
      <c r="B262">
        <v>6146</v>
      </c>
      <c r="C262" t="s">
        <v>433</v>
      </c>
      <c r="H262" t="s">
        <v>1588</v>
      </c>
      <c r="I262">
        <v>6</v>
      </c>
      <c r="J262">
        <v>1</v>
      </c>
      <c r="K262" t="s">
        <v>2370</v>
      </c>
      <c r="L262">
        <v>10</v>
      </c>
      <c r="N262" t="s">
        <v>919</v>
      </c>
      <c r="S262">
        <v>0</v>
      </c>
      <c r="X262">
        <v>0</v>
      </c>
    </row>
    <row r="263" spans="1:24">
      <c r="A263">
        <v>402</v>
      </c>
      <c r="B263">
        <v>12991</v>
      </c>
      <c r="C263" t="s">
        <v>433</v>
      </c>
      <c r="D263">
        <v>10510</v>
      </c>
      <c r="E263" t="s">
        <v>2343</v>
      </c>
      <c r="H263" t="s">
        <v>1590</v>
      </c>
      <c r="I263">
        <v>4</v>
      </c>
      <c r="J263">
        <v>40</v>
      </c>
      <c r="K263" t="s">
        <v>2371</v>
      </c>
      <c r="L263">
        <v>12</v>
      </c>
      <c r="N263" t="s">
        <v>919</v>
      </c>
      <c r="S263">
        <v>0</v>
      </c>
      <c r="X263">
        <v>0</v>
      </c>
    </row>
    <row r="264" spans="1:24">
      <c r="A264">
        <v>403</v>
      </c>
      <c r="B264">
        <v>12990</v>
      </c>
      <c r="C264" t="s">
        <v>433</v>
      </c>
      <c r="D264">
        <v>10490</v>
      </c>
      <c r="E264" t="s">
        <v>2344</v>
      </c>
      <c r="H264" t="s">
        <v>1590</v>
      </c>
      <c r="I264">
        <v>5</v>
      </c>
      <c r="J264">
        <v>40</v>
      </c>
      <c r="K264" t="s">
        <v>2372</v>
      </c>
      <c r="L264">
        <v>13</v>
      </c>
      <c r="N264" t="s">
        <v>919</v>
      </c>
      <c r="S264">
        <v>0</v>
      </c>
      <c r="X264">
        <v>0</v>
      </c>
    </row>
    <row r="265" spans="1:24">
      <c r="A265">
        <v>404</v>
      </c>
      <c r="B265">
        <v>59953</v>
      </c>
      <c r="C265" t="s">
        <v>433</v>
      </c>
      <c r="H265" t="s">
        <v>1590</v>
      </c>
      <c r="I265">
        <v>6</v>
      </c>
      <c r="J265">
        <v>40</v>
      </c>
      <c r="K265" t="s">
        <v>2373</v>
      </c>
      <c r="L265">
        <v>14</v>
      </c>
      <c r="N265" t="s">
        <v>919</v>
      </c>
      <c r="S265">
        <v>0</v>
      </c>
      <c r="X265">
        <v>0</v>
      </c>
    </row>
    <row r="266" spans="1:24">
      <c r="A266">
        <v>405</v>
      </c>
      <c r="B266">
        <v>59954</v>
      </c>
      <c r="C266" t="s">
        <v>433</v>
      </c>
      <c r="D266">
        <v>10520</v>
      </c>
      <c r="E266" t="s">
        <v>2345</v>
      </c>
      <c r="H266" t="s">
        <v>1590</v>
      </c>
      <c r="I266">
        <v>8</v>
      </c>
      <c r="J266">
        <v>1</v>
      </c>
      <c r="K266" t="s">
        <v>2374</v>
      </c>
      <c r="L266">
        <v>15</v>
      </c>
      <c r="N266" t="s">
        <v>919</v>
      </c>
      <c r="S266">
        <v>0</v>
      </c>
      <c r="X266">
        <v>0</v>
      </c>
    </row>
    <row r="267" spans="1:24">
      <c r="A267">
        <v>406</v>
      </c>
      <c r="B267">
        <v>59955</v>
      </c>
      <c r="C267" t="s">
        <v>433</v>
      </c>
      <c r="D267">
        <v>10630</v>
      </c>
      <c r="E267" t="s">
        <v>2346</v>
      </c>
      <c r="H267" t="s">
        <v>1588</v>
      </c>
      <c r="I267">
        <v>9</v>
      </c>
      <c r="J267">
        <v>1</v>
      </c>
      <c r="K267" t="s">
        <v>2375</v>
      </c>
      <c r="L267">
        <v>16</v>
      </c>
      <c r="N267" t="s">
        <v>919</v>
      </c>
      <c r="S267">
        <v>0</v>
      </c>
      <c r="X267">
        <v>0</v>
      </c>
    </row>
    <row r="268" spans="1:24">
      <c r="A268">
        <v>407</v>
      </c>
      <c r="B268">
        <v>59956</v>
      </c>
      <c r="C268" t="s">
        <v>433</v>
      </c>
      <c r="D268">
        <v>10570</v>
      </c>
      <c r="E268" t="s">
        <v>2347</v>
      </c>
      <c r="H268" t="s">
        <v>1588</v>
      </c>
      <c r="I268">
        <v>10</v>
      </c>
      <c r="J268">
        <v>1</v>
      </c>
      <c r="K268" t="s">
        <v>2376</v>
      </c>
      <c r="L268">
        <v>17</v>
      </c>
      <c r="N268" t="s">
        <v>919</v>
      </c>
      <c r="S268">
        <v>0</v>
      </c>
      <c r="X268">
        <v>0</v>
      </c>
    </row>
    <row r="269" spans="1:24">
      <c r="A269">
        <v>408</v>
      </c>
      <c r="B269">
        <v>59957</v>
      </c>
      <c r="C269" t="s">
        <v>433</v>
      </c>
      <c r="H269" t="s">
        <v>1588</v>
      </c>
      <c r="I269">
        <v>8</v>
      </c>
      <c r="J269">
        <v>40</v>
      </c>
      <c r="K269" t="s">
        <v>2377</v>
      </c>
      <c r="L269">
        <v>18</v>
      </c>
      <c r="N269" t="s">
        <v>919</v>
      </c>
      <c r="S269">
        <v>0</v>
      </c>
      <c r="X269">
        <v>0</v>
      </c>
    </row>
    <row r="270" spans="1:24">
      <c r="A270">
        <v>409</v>
      </c>
      <c r="B270">
        <v>59958</v>
      </c>
      <c r="C270" t="s">
        <v>433</v>
      </c>
      <c r="H270" t="s">
        <v>1588</v>
      </c>
      <c r="I270">
        <v>8</v>
      </c>
      <c r="J270">
        <v>61</v>
      </c>
      <c r="K270" t="s">
        <v>2378</v>
      </c>
      <c r="L270">
        <v>19</v>
      </c>
      <c r="N270" t="s">
        <v>919</v>
      </c>
      <c r="S270">
        <v>0</v>
      </c>
      <c r="X270">
        <v>0</v>
      </c>
    </row>
    <row r="271" spans="1:24">
      <c r="A271">
        <v>410</v>
      </c>
      <c r="B271">
        <v>12871</v>
      </c>
      <c r="C271" t="s">
        <v>433</v>
      </c>
      <c r="D271">
        <v>10550</v>
      </c>
      <c r="E271" t="s">
        <v>2348</v>
      </c>
      <c r="H271" t="s">
        <v>1588</v>
      </c>
      <c r="I271">
        <v>9</v>
      </c>
      <c r="J271">
        <v>40</v>
      </c>
      <c r="K271" t="s">
        <v>2379</v>
      </c>
      <c r="L271">
        <v>20</v>
      </c>
      <c r="N271" t="s">
        <v>919</v>
      </c>
      <c r="S271">
        <v>0</v>
      </c>
      <c r="X271">
        <v>0</v>
      </c>
    </row>
    <row r="272" spans="1:24">
      <c r="A272">
        <v>411</v>
      </c>
      <c r="B272">
        <v>59959</v>
      </c>
      <c r="C272" t="s">
        <v>433</v>
      </c>
      <c r="D272">
        <v>10600</v>
      </c>
      <c r="E272" t="s">
        <v>2349</v>
      </c>
      <c r="H272" t="s">
        <v>1588</v>
      </c>
      <c r="I272">
        <v>10</v>
      </c>
      <c r="J272">
        <v>40</v>
      </c>
      <c r="K272" t="s">
        <v>2380</v>
      </c>
      <c r="L272">
        <v>21</v>
      </c>
      <c r="N272" t="s">
        <v>919</v>
      </c>
      <c r="S272">
        <v>0</v>
      </c>
      <c r="X272">
        <v>0</v>
      </c>
    </row>
    <row r="273" spans="1:24">
      <c r="A273">
        <v>412</v>
      </c>
      <c r="B273">
        <v>12992</v>
      </c>
      <c r="C273" t="s">
        <v>433</v>
      </c>
      <c r="D273">
        <v>10560</v>
      </c>
      <c r="E273" t="s">
        <v>2350</v>
      </c>
      <c r="H273" t="s">
        <v>1598</v>
      </c>
      <c r="I273">
        <v>10</v>
      </c>
      <c r="J273">
        <v>1</v>
      </c>
      <c r="L273">
        <v>22</v>
      </c>
      <c r="N273" t="s">
        <v>919</v>
      </c>
      <c r="S273">
        <v>0</v>
      </c>
      <c r="X273">
        <v>0</v>
      </c>
    </row>
    <row r="274" spans="1:24">
      <c r="A274">
        <v>413</v>
      </c>
      <c r="B274">
        <v>10240</v>
      </c>
      <c r="C274" t="s">
        <v>1885</v>
      </c>
      <c r="H274" t="s">
        <v>1570</v>
      </c>
      <c r="I274">
        <v>0</v>
      </c>
      <c r="J274">
        <v>1</v>
      </c>
      <c r="K274" t="s">
        <v>2381</v>
      </c>
      <c r="L274">
        <v>1</v>
      </c>
      <c r="N274" t="s">
        <v>92</v>
      </c>
      <c r="O274" t="s">
        <v>1862</v>
      </c>
      <c r="P274" t="s">
        <v>1573</v>
      </c>
      <c r="S274">
        <v>0</v>
      </c>
      <c r="X274">
        <v>0</v>
      </c>
    </row>
    <row r="275" spans="1:24">
      <c r="A275">
        <v>414</v>
      </c>
      <c r="B275">
        <v>10121</v>
      </c>
      <c r="C275" t="s">
        <v>1885</v>
      </c>
      <c r="D275">
        <v>10500</v>
      </c>
      <c r="E275" t="s">
        <v>2351</v>
      </c>
      <c r="H275" t="s">
        <v>1570</v>
      </c>
      <c r="I275">
        <v>1</v>
      </c>
      <c r="J275">
        <v>1</v>
      </c>
      <c r="K275" t="s">
        <v>2382</v>
      </c>
      <c r="L275">
        <v>2</v>
      </c>
      <c r="N275" t="s">
        <v>92</v>
      </c>
      <c r="O275" t="s">
        <v>1863</v>
      </c>
      <c r="P275" t="s">
        <v>1577</v>
      </c>
      <c r="S275">
        <v>0</v>
      </c>
      <c r="X275">
        <v>0</v>
      </c>
    </row>
    <row r="276" spans="1:24">
      <c r="A276">
        <v>415</v>
      </c>
      <c r="B276">
        <v>59960</v>
      </c>
      <c r="C276" t="s">
        <v>1885</v>
      </c>
      <c r="D276">
        <v>10590</v>
      </c>
      <c r="E276" t="s">
        <v>2338</v>
      </c>
      <c r="H276" t="s">
        <v>1588</v>
      </c>
      <c r="I276">
        <v>2</v>
      </c>
      <c r="J276">
        <v>1</v>
      </c>
      <c r="K276" t="s">
        <v>2364</v>
      </c>
      <c r="L276">
        <v>3</v>
      </c>
      <c r="N276" t="s">
        <v>919</v>
      </c>
      <c r="S276">
        <v>0</v>
      </c>
      <c r="X276">
        <v>0</v>
      </c>
    </row>
    <row r="277" spans="1:24">
      <c r="A277">
        <v>416</v>
      </c>
      <c r="B277">
        <v>59961</v>
      </c>
      <c r="C277" t="s">
        <v>1885</v>
      </c>
      <c r="D277">
        <v>10520</v>
      </c>
      <c r="E277" t="s">
        <v>2345</v>
      </c>
      <c r="H277" t="s">
        <v>1590</v>
      </c>
      <c r="I277">
        <v>4</v>
      </c>
      <c r="J277">
        <v>1</v>
      </c>
      <c r="K277" t="s">
        <v>2374</v>
      </c>
      <c r="L277">
        <v>4</v>
      </c>
      <c r="N277" t="s">
        <v>919</v>
      </c>
      <c r="S277">
        <v>0</v>
      </c>
      <c r="X277">
        <v>0</v>
      </c>
    </row>
    <row r="278" spans="1:24">
      <c r="A278">
        <v>417</v>
      </c>
      <c r="B278">
        <v>13355</v>
      </c>
      <c r="C278" t="s">
        <v>1885</v>
      </c>
      <c r="D278">
        <v>10630</v>
      </c>
      <c r="E278" t="s">
        <v>2346</v>
      </c>
      <c r="H278" t="s">
        <v>1588</v>
      </c>
      <c r="I278">
        <v>5</v>
      </c>
      <c r="J278">
        <v>1</v>
      </c>
      <c r="K278" t="s">
        <v>2375</v>
      </c>
      <c r="L278">
        <v>5</v>
      </c>
      <c r="N278" t="s">
        <v>919</v>
      </c>
      <c r="S278">
        <v>0</v>
      </c>
      <c r="X278">
        <v>0</v>
      </c>
    </row>
    <row r="279" spans="1:24">
      <c r="A279">
        <v>418</v>
      </c>
      <c r="B279">
        <v>13532</v>
      </c>
      <c r="C279" t="s">
        <v>1885</v>
      </c>
      <c r="D279">
        <v>10570</v>
      </c>
      <c r="E279" t="s">
        <v>2347</v>
      </c>
      <c r="H279" t="s">
        <v>1588</v>
      </c>
      <c r="I279">
        <v>6</v>
      </c>
      <c r="J279">
        <v>1</v>
      </c>
      <c r="K279" t="s">
        <v>2376</v>
      </c>
      <c r="L279">
        <v>6</v>
      </c>
      <c r="N279" t="s">
        <v>919</v>
      </c>
      <c r="S279">
        <v>0</v>
      </c>
      <c r="X279">
        <v>0</v>
      </c>
    </row>
    <row r="280" spans="1:24">
      <c r="A280">
        <v>419</v>
      </c>
      <c r="B280">
        <v>59962</v>
      </c>
      <c r="C280" t="s">
        <v>1885</v>
      </c>
      <c r="D280">
        <v>10560</v>
      </c>
      <c r="E280" t="s">
        <v>2350</v>
      </c>
      <c r="H280" t="s">
        <v>1598</v>
      </c>
      <c r="I280">
        <v>6</v>
      </c>
      <c r="J280">
        <v>1</v>
      </c>
      <c r="L280">
        <v>7</v>
      </c>
      <c r="N280" t="s">
        <v>919</v>
      </c>
      <c r="S280">
        <v>0</v>
      </c>
      <c r="X280">
        <v>0</v>
      </c>
    </row>
  </sheetData>
  <autoFilter ref="A1:AB280" xr:uid="{9FDF27EC-3E23-49BA-A4AD-E73A3E79BB40}">
    <sortState xmlns:xlrd2="http://schemas.microsoft.com/office/spreadsheetml/2017/richdata2" ref="A2:AB280">
      <sortCondition ref="A1:A280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E5A20-62A4-4EB1-A160-E189CAB622FD}">
  <sheetPr codeName="Sheet9"/>
  <dimension ref="A1:D2611"/>
  <sheetViews>
    <sheetView topLeftCell="A1240" workbookViewId="0">
      <selection activeCell="E1253" sqref="E1253"/>
    </sheetView>
  </sheetViews>
  <sheetFormatPr defaultRowHeight="14.25"/>
  <cols>
    <col min="1" max="1" width="9.73046875" bestFit="1" customWidth="1"/>
    <col min="2" max="2" width="17" bestFit="1" customWidth="1"/>
    <col min="3" max="3" width="11" bestFit="1" customWidth="1"/>
    <col min="4" max="4" width="9" bestFit="1" customWidth="1"/>
  </cols>
  <sheetData>
    <row r="1" spans="1:4">
      <c r="A1" t="s">
        <v>94</v>
      </c>
      <c r="B1" t="s">
        <v>6008</v>
      </c>
      <c r="C1" t="s">
        <v>0</v>
      </c>
      <c r="D1" t="s">
        <v>6014</v>
      </c>
    </row>
    <row r="2" spans="1:4">
      <c r="A2" t="s">
        <v>6010</v>
      </c>
      <c r="B2" t="s">
        <v>1349</v>
      </c>
      <c r="C2">
        <v>337250</v>
      </c>
      <c r="D2">
        <v>22610</v>
      </c>
    </row>
    <row r="3" spans="1:4">
      <c r="A3" t="s">
        <v>6010</v>
      </c>
      <c r="B3" s="7" t="s">
        <v>1349</v>
      </c>
      <c r="C3">
        <v>337240</v>
      </c>
      <c r="D3">
        <v>22600</v>
      </c>
    </row>
    <row r="4" spans="1:4">
      <c r="A4" t="s">
        <v>3946</v>
      </c>
      <c r="B4" t="s">
        <v>1349</v>
      </c>
      <c r="C4">
        <v>2000032711</v>
      </c>
      <c r="D4">
        <v>22590</v>
      </c>
    </row>
    <row r="5" spans="1:4">
      <c r="A5" t="s">
        <v>3946</v>
      </c>
      <c r="B5" t="s">
        <v>1349</v>
      </c>
      <c r="C5">
        <v>2000053600</v>
      </c>
      <c r="D5">
        <v>22580</v>
      </c>
    </row>
    <row r="6" spans="1:4">
      <c r="A6" t="s">
        <v>3946</v>
      </c>
      <c r="B6" t="s">
        <v>1349</v>
      </c>
      <c r="C6">
        <v>2000032713</v>
      </c>
      <c r="D6">
        <v>22570</v>
      </c>
    </row>
    <row r="7" spans="1:4">
      <c r="A7" t="s">
        <v>3946</v>
      </c>
      <c r="B7" t="s">
        <v>1349</v>
      </c>
      <c r="C7">
        <v>2000053590</v>
      </c>
      <c r="D7">
        <v>22560</v>
      </c>
    </row>
    <row r="8" spans="1:4">
      <c r="A8" t="s">
        <v>3946</v>
      </c>
      <c r="B8" t="s">
        <v>1349</v>
      </c>
      <c r="C8">
        <v>2000053580</v>
      </c>
      <c r="D8">
        <v>22550</v>
      </c>
    </row>
    <row r="9" spans="1:4">
      <c r="A9" t="s">
        <v>3946</v>
      </c>
      <c r="B9" t="s">
        <v>1349</v>
      </c>
      <c r="C9">
        <v>2000032710</v>
      </c>
      <c r="D9">
        <v>22540</v>
      </c>
    </row>
    <row r="10" spans="1:4">
      <c r="A10" t="s">
        <v>3946</v>
      </c>
      <c r="B10" s="7" t="s">
        <v>1349</v>
      </c>
      <c r="C10">
        <v>2000053560</v>
      </c>
      <c r="D10">
        <v>22530</v>
      </c>
    </row>
    <row r="11" spans="1:4">
      <c r="A11" t="s">
        <v>3946</v>
      </c>
      <c r="B11" s="7" t="s">
        <v>1349</v>
      </c>
      <c r="C11">
        <v>2000053540</v>
      </c>
      <c r="D11">
        <v>22520</v>
      </c>
    </row>
    <row r="12" spans="1:4">
      <c r="A12" t="s">
        <v>3946</v>
      </c>
      <c r="B12" s="7" t="s">
        <v>1349</v>
      </c>
      <c r="C12">
        <v>2000032700</v>
      </c>
      <c r="D12">
        <v>22510</v>
      </c>
    </row>
    <row r="13" spans="1:4">
      <c r="A13" t="s">
        <v>3946</v>
      </c>
      <c r="B13" s="7" t="s">
        <v>1349</v>
      </c>
      <c r="C13">
        <v>2000032690</v>
      </c>
      <c r="D13">
        <v>22500</v>
      </c>
    </row>
    <row r="14" spans="1:4">
      <c r="A14" t="s">
        <v>3946</v>
      </c>
      <c r="B14" s="7" t="s">
        <v>1349</v>
      </c>
      <c r="C14">
        <v>2000032680</v>
      </c>
      <c r="D14">
        <v>22490</v>
      </c>
    </row>
    <row r="15" spans="1:4">
      <c r="A15" t="s">
        <v>3946</v>
      </c>
      <c r="B15" t="s">
        <v>1349</v>
      </c>
      <c r="C15">
        <v>2000032670</v>
      </c>
      <c r="D15">
        <v>22480</v>
      </c>
    </row>
    <row r="16" spans="1:4">
      <c r="A16" t="s">
        <v>3946</v>
      </c>
      <c r="B16" t="s">
        <v>1349</v>
      </c>
      <c r="C16">
        <v>2000032660</v>
      </c>
      <c r="D16">
        <v>22470</v>
      </c>
    </row>
    <row r="17" spans="1:4">
      <c r="A17" t="s">
        <v>3946</v>
      </c>
      <c r="B17" s="7" t="s">
        <v>1349</v>
      </c>
      <c r="C17">
        <v>2000032714</v>
      </c>
      <c r="D17">
        <v>22460</v>
      </c>
    </row>
    <row r="18" spans="1:4">
      <c r="A18" t="s">
        <v>3946</v>
      </c>
      <c r="B18" s="7" t="s">
        <v>1349</v>
      </c>
      <c r="C18">
        <v>2000032650</v>
      </c>
      <c r="D18">
        <v>22450</v>
      </c>
    </row>
    <row r="19" spans="1:4">
      <c r="A19" t="s">
        <v>3946</v>
      </c>
      <c r="B19" s="7" t="s">
        <v>1349</v>
      </c>
      <c r="C19">
        <v>2000053530</v>
      </c>
      <c r="D19">
        <v>22440</v>
      </c>
    </row>
    <row r="20" spans="1:4">
      <c r="A20" t="s">
        <v>3946</v>
      </c>
      <c r="B20" s="7" t="s">
        <v>1349</v>
      </c>
      <c r="C20">
        <v>2000032630</v>
      </c>
      <c r="D20">
        <v>22430</v>
      </c>
    </row>
    <row r="21" spans="1:4">
      <c r="A21" t="s">
        <v>3946</v>
      </c>
      <c r="B21" s="7" t="s">
        <v>1349</v>
      </c>
      <c r="C21">
        <v>2000053550</v>
      </c>
      <c r="D21">
        <v>22420</v>
      </c>
    </row>
    <row r="22" spans="1:4">
      <c r="A22" t="s">
        <v>3946</v>
      </c>
      <c r="B22" s="7" t="s">
        <v>1349</v>
      </c>
      <c r="C22">
        <v>2000053570</v>
      </c>
      <c r="D22">
        <v>22410</v>
      </c>
    </row>
    <row r="23" spans="1:4">
      <c r="A23" t="s">
        <v>3946</v>
      </c>
      <c r="B23" s="7" t="s">
        <v>1349</v>
      </c>
      <c r="C23">
        <v>2000032629</v>
      </c>
      <c r="D23">
        <v>22400</v>
      </c>
    </row>
    <row r="24" spans="1:4">
      <c r="A24" t="s">
        <v>3946</v>
      </c>
      <c r="B24" s="7" t="s">
        <v>1349</v>
      </c>
      <c r="C24">
        <v>2000056520</v>
      </c>
      <c r="D24">
        <v>22390</v>
      </c>
    </row>
    <row r="25" spans="1:4">
      <c r="A25" t="s">
        <v>3946</v>
      </c>
      <c r="B25" s="7" t="s">
        <v>1349</v>
      </c>
      <c r="C25">
        <v>2000052870</v>
      </c>
      <c r="D25">
        <v>22380</v>
      </c>
    </row>
    <row r="26" spans="1:4">
      <c r="A26" t="s">
        <v>3946</v>
      </c>
      <c r="B26" s="7" t="s">
        <v>1349</v>
      </c>
      <c r="C26">
        <v>2000052830</v>
      </c>
      <c r="D26">
        <v>22370</v>
      </c>
    </row>
    <row r="27" spans="1:4">
      <c r="A27" t="s">
        <v>3946</v>
      </c>
      <c r="B27" s="7" t="s">
        <v>1349</v>
      </c>
      <c r="C27">
        <v>2000052790</v>
      </c>
      <c r="D27">
        <v>22360</v>
      </c>
    </row>
    <row r="28" spans="1:4">
      <c r="A28" t="s">
        <v>3946</v>
      </c>
      <c r="B28" s="7" t="s">
        <v>1349</v>
      </c>
      <c r="C28">
        <v>2000052850</v>
      </c>
      <c r="D28">
        <v>22350</v>
      </c>
    </row>
    <row r="29" spans="1:4">
      <c r="A29" t="s">
        <v>3946</v>
      </c>
      <c r="B29" s="7" t="s">
        <v>1349</v>
      </c>
      <c r="C29">
        <v>2000052860</v>
      </c>
      <c r="D29">
        <v>22340</v>
      </c>
    </row>
    <row r="30" spans="1:4">
      <c r="A30" t="s">
        <v>3946</v>
      </c>
      <c r="B30" s="7" t="s">
        <v>1349</v>
      </c>
      <c r="C30">
        <v>2000052810</v>
      </c>
      <c r="D30">
        <v>22330</v>
      </c>
    </row>
    <row r="31" spans="1:4">
      <c r="A31" t="s">
        <v>3946</v>
      </c>
      <c r="B31" s="7" t="s">
        <v>1349</v>
      </c>
      <c r="C31">
        <v>2000052820</v>
      </c>
      <c r="D31">
        <v>22320</v>
      </c>
    </row>
    <row r="32" spans="1:4">
      <c r="A32" t="s">
        <v>3946</v>
      </c>
      <c r="B32" s="7" t="s">
        <v>1349</v>
      </c>
      <c r="C32">
        <v>2000052840</v>
      </c>
      <c r="D32">
        <v>22310</v>
      </c>
    </row>
    <row r="33" spans="1:4">
      <c r="A33" t="s">
        <v>3946</v>
      </c>
      <c r="B33" s="7" t="s">
        <v>1349</v>
      </c>
      <c r="C33">
        <v>2000052800</v>
      </c>
      <c r="D33">
        <v>22300</v>
      </c>
    </row>
    <row r="34" spans="1:4">
      <c r="A34" t="s">
        <v>3946</v>
      </c>
      <c r="B34" s="7" t="s">
        <v>1349</v>
      </c>
      <c r="C34">
        <v>2000052780</v>
      </c>
      <c r="D34">
        <v>22290</v>
      </c>
    </row>
    <row r="35" spans="1:4">
      <c r="A35" t="s">
        <v>3946</v>
      </c>
      <c r="B35" s="7" t="s">
        <v>1349</v>
      </c>
      <c r="C35">
        <v>2000021330</v>
      </c>
      <c r="D35">
        <v>22280</v>
      </c>
    </row>
    <row r="36" spans="1:4">
      <c r="A36" t="s">
        <v>6010</v>
      </c>
      <c r="B36" s="7" t="s">
        <v>1349</v>
      </c>
      <c r="C36">
        <v>333330</v>
      </c>
      <c r="D36">
        <v>22280</v>
      </c>
    </row>
    <row r="37" spans="1:4">
      <c r="A37" t="s">
        <v>3946</v>
      </c>
      <c r="B37" t="s">
        <v>1349</v>
      </c>
      <c r="C37">
        <v>2000021320</v>
      </c>
      <c r="D37">
        <v>22270</v>
      </c>
    </row>
    <row r="38" spans="1:4">
      <c r="A38" t="s">
        <v>6010</v>
      </c>
      <c r="B38" s="7" t="s">
        <v>1349</v>
      </c>
      <c r="C38">
        <v>333320</v>
      </c>
      <c r="D38">
        <v>22270</v>
      </c>
    </row>
    <row r="39" spans="1:4">
      <c r="A39" t="s">
        <v>3946</v>
      </c>
      <c r="B39" s="7" t="s">
        <v>1349</v>
      </c>
      <c r="C39">
        <v>2000021310</v>
      </c>
      <c r="D39">
        <v>22260</v>
      </c>
    </row>
    <row r="40" spans="1:4">
      <c r="A40" t="s">
        <v>6010</v>
      </c>
      <c r="B40" s="7" t="s">
        <v>1349</v>
      </c>
      <c r="C40">
        <v>333300</v>
      </c>
      <c r="D40">
        <v>22260</v>
      </c>
    </row>
    <row r="41" spans="1:4">
      <c r="A41" t="s">
        <v>3946</v>
      </c>
      <c r="B41" s="7" t="s">
        <v>1349</v>
      </c>
      <c r="C41">
        <v>2000021299</v>
      </c>
      <c r="D41">
        <v>22240</v>
      </c>
    </row>
    <row r="42" spans="1:4">
      <c r="A42" t="s">
        <v>6010</v>
      </c>
      <c r="B42" s="7" t="s">
        <v>1349</v>
      </c>
      <c r="C42">
        <v>333290</v>
      </c>
      <c r="D42">
        <v>22240</v>
      </c>
    </row>
    <row r="43" spans="1:4">
      <c r="A43" t="s">
        <v>3946</v>
      </c>
      <c r="B43" s="7" t="s">
        <v>1349</v>
      </c>
      <c r="C43">
        <v>2000021280</v>
      </c>
      <c r="D43">
        <v>22230</v>
      </c>
    </row>
    <row r="44" spans="1:4">
      <c r="A44" t="s">
        <v>6010</v>
      </c>
      <c r="B44" s="7" t="s">
        <v>1349</v>
      </c>
      <c r="C44">
        <v>333280</v>
      </c>
      <c r="D44">
        <v>22230</v>
      </c>
    </row>
    <row r="45" spans="1:4">
      <c r="A45" t="s">
        <v>3946</v>
      </c>
      <c r="B45" s="7" t="s">
        <v>1349</v>
      </c>
      <c r="C45">
        <v>2000021270</v>
      </c>
      <c r="D45">
        <v>22220</v>
      </c>
    </row>
    <row r="46" spans="1:4">
      <c r="A46" t="s">
        <v>6010</v>
      </c>
      <c r="B46" s="7" t="s">
        <v>1349</v>
      </c>
      <c r="C46">
        <v>333270</v>
      </c>
      <c r="D46">
        <v>22220</v>
      </c>
    </row>
    <row r="47" spans="1:4">
      <c r="A47" t="s">
        <v>3946</v>
      </c>
      <c r="B47" s="7" t="s">
        <v>1349</v>
      </c>
      <c r="C47">
        <v>2000021250</v>
      </c>
      <c r="D47">
        <v>22200</v>
      </c>
    </row>
    <row r="48" spans="1:4">
      <c r="A48" t="s">
        <v>6010</v>
      </c>
      <c r="B48" s="7" t="s">
        <v>1349</v>
      </c>
      <c r="C48">
        <v>333260</v>
      </c>
      <c r="D48">
        <v>22200</v>
      </c>
    </row>
    <row r="49" spans="1:4">
      <c r="A49" t="s">
        <v>3946</v>
      </c>
      <c r="B49" s="7" t="s">
        <v>1349</v>
      </c>
      <c r="C49">
        <v>2000021249</v>
      </c>
      <c r="D49">
        <v>22190</v>
      </c>
    </row>
    <row r="50" spans="1:4">
      <c r="A50" t="s">
        <v>6010</v>
      </c>
      <c r="B50" s="7" t="s">
        <v>1349</v>
      </c>
      <c r="C50">
        <v>333240</v>
      </c>
      <c r="D50">
        <v>22190</v>
      </c>
    </row>
    <row r="51" spans="1:4">
      <c r="A51" t="s">
        <v>3946</v>
      </c>
      <c r="B51" s="7" t="s">
        <v>1349</v>
      </c>
      <c r="C51">
        <v>2000021230</v>
      </c>
      <c r="D51">
        <v>22180</v>
      </c>
    </row>
    <row r="52" spans="1:4">
      <c r="A52" t="s">
        <v>6010</v>
      </c>
      <c r="B52" t="s">
        <v>1349</v>
      </c>
      <c r="C52">
        <v>333230</v>
      </c>
      <c r="D52">
        <v>22180</v>
      </c>
    </row>
    <row r="53" spans="1:4">
      <c r="A53" t="s">
        <v>3946</v>
      </c>
      <c r="B53" t="s">
        <v>1349</v>
      </c>
      <c r="C53">
        <v>2000021220</v>
      </c>
      <c r="D53">
        <v>22170</v>
      </c>
    </row>
    <row r="54" spans="1:4">
      <c r="A54" t="s">
        <v>6010</v>
      </c>
      <c r="B54" t="s">
        <v>1349</v>
      </c>
      <c r="C54">
        <v>333220</v>
      </c>
      <c r="D54">
        <v>22170</v>
      </c>
    </row>
    <row r="55" spans="1:4">
      <c r="A55" t="s">
        <v>3946</v>
      </c>
      <c r="B55" s="7" t="s">
        <v>1349</v>
      </c>
      <c r="C55">
        <v>2000021210</v>
      </c>
      <c r="D55">
        <v>22160</v>
      </c>
    </row>
    <row r="56" spans="1:4">
      <c r="A56" t="s">
        <v>6010</v>
      </c>
      <c r="B56" s="7" t="s">
        <v>1349</v>
      </c>
      <c r="C56">
        <v>333200</v>
      </c>
      <c r="D56">
        <v>22160</v>
      </c>
    </row>
    <row r="57" spans="1:4">
      <c r="A57" t="s">
        <v>3946</v>
      </c>
      <c r="B57" s="7" t="s">
        <v>1349</v>
      </c>
      <c r="C57">
        <v>2000021200</v>
      </c>
      <c r="D57">
        <v>22150</v>
      </c>
    </row>
    <row r="58" spans="1:4">
      <c r="A58" t="s">
        <v>6010</v>
      </c>
      <c r="B58" t="s">
        <v>1349</v>
      </c>
      <c r="C58">
        <v>333210</v>
      </c>
      <c r="D58">
        <v>22150</v>
      </c>
    </row>
    <row r="59" spans="1:4">
      <c r="A59" t="s">
        <v>3946</v>
      </c>
      <c r="B59" t="s">
        <v>1349</v>
      </c>
      <c r="C59">
        <v>2000021199</v>
      </c>
      <c r="D59">
        <v>22140</v>
      </c>
    </row>
    <row r="60" spans="1:4">
      <c r="A60" t="s">
        <v>6010</v>
      </c>
      <c r="B60" t="s">
        <v>1349</v>
      </c>
      <c r="C60">
        <v>333190</v>
      </c>
      <c r="D60">
        <v>22140</v>
      </c>
    </row>
    <row r="61" spans="1:4">
      <c r="A61" t="s">
        <v>3946</v>
      </c>
      <c r="B61" t="s">
        <v>1349</v>
      </c>
      <c r="C61">
        <v>2000056510</v>
      </c>
      <c r="D61">
        <v>22130</v>
      </c>
    </row>
    <row r="62" spans="1:4">
      <c r="A62" t="s">
        <v>3946</v>
      </c>
      <c r="B62" t="s">
        <v>1349</v>
      </c>
      <c r="C62">
        <v>2000052770</v>
      </c>
      <c r="D62">
        <v>22120</v>
      </c>
    </row>
    <row r="63" spans="1:4">
      <c r="A63" t="s">
        <v>3946</v>
      </c>
      <c r="B63" t="s">
        <v>1349</v>
      </c>
      <c r="C63">
        <v>2000052760</v>
      </c>
      <c r="D63">
        <v>22110</v>
      </c>
    </row>
    <row r="64" spans="1:4">
      <c r="A64" t="s">
        <v>3946</v>
      </c>
      <c r="B64" t="s">
        <v>1349</v>
      </c>
      <c r="C64">
        <v>2000052730</v>
      </c>
      <c r="D64">
        <v>22100</v>
      </c>
    </row>
    <row r="65" spans="1:4">
      <c r="A65" t="s">
        <v>3946</v>
      </c>
      <c r="B65" t="s">
        <v>1349</v>
      </c>
      <c r="C65">
        <v>2000052740</v>
      </c>
      <c r="D65">
        <v>22090</v>
      </c>
    </row>
    <row r="66" spans="1:4">
      <c r="A66" t="s">
        <v>3946</v>
      </c>
      <c r="B66" t="s">
        <v>1349</v>
      </c>
      <c r="C66">
        <v>2000052600</v>
      </c>
      <c r="D66">
        <v>22080</v>
      </c>
    </row>
    <row r="67" spans="1:4">
      <c r="A67" t="s">
        <v>3946</v>
      </c>
      <c r="B67" t="s">
        <v>1349</v>
      </c>
      <c r="C67">
        <v>2000052630</v>
      </c>
      <c r="D67">
        <v>22070</v>
      </c>
    </row>
    <row r="68" spans="1:4">
      <c r="A68" t="s">
        <v>3946</v>
      </c>
      <c r="B68" t="s">
        <v>1349</v>
      </c>
      <c r="C68">
        <v>2000052580</v>
      </c>
      <c r="D68">
        <v>22060</v>
      </c>
    </row>
    <row r="69" spans="1:4">
      <c r="A69" t="s">
        <v>3946</v>
      </c>
      <c r="B69" s="7" t="s">
        <v>1349</v>
      </c>
      <c r="C69" s="7">
        <v>2000052620</v>
      </c>
      <c r="D69">
        <v>22050</v>
      </c>
    </row>
    <row r="70" spans="1:4">
      <c r="A70" t="s">
        <v>3946</v>
      </c>
      <c r="B70" t="s">
        <v>1349</v>
      </c>
      <c r="C70">
        <v>2000052610</v>
      </c>
      <c r="D70">
        <v>22040</v>
      </c>
    </row>
    <row r="71" spans="1:4">
      <c r="A71" t="s">
        <v>3946</v>
      </c>
      <c r="B71" t="s">
        <v>1349</v>
      </c>
      <c r="C71">
        <v>2000052590</v>
      </c>
      <c r="D71">
        <v>22030</v>
      </c>
    </row>
    <row r="72" spans="1:4">
      <c r="A72" t="s">
        <v>3946</v>
      </c>
      <c r="B72" t="s">
        <v>1349</v>
      </c>
      <c r="C72">
        <v>2000052560</v>
      </c>
      <c r="D72">
        <v>22020</v>
      </c>
    </row>
    <row r="73" spans="1:4">
      <c r="A73" t="s">
        <v>3946</v>
      </c>
      <c r="B73" t="s">
        <v>1349</v>
      </c>
      <c r="C73">
        <v>2000052680</v>
      </c>
      <c r="D73">
        <v>22010</v>
      </c>
    </row>
    <row r="74" spans="1:4">
      <c r="A74" t="s">
        <v>3946</v>
      </c>
      <c r="B74" t="s">
        <v>1349</v>
      </c>
      <c r="C74">
        <v>2000052650</v>
      </c>
      <c r="D74">
        <v>22000</v>
      </c>
    </row>
    <row r="75" spans="1:4">
      <c r="A75" t="s">
        <v>3946</v>
      </c>
      <c r="B75" t="s">
        <v>1349</v>
      </c>
      <c r="C75">
        <v>2000052660</v>
      </c>
      <c r="D75">
        <v>21990</v>
      </c>
    </row>
    <row r="76" spans="1:4">
      <c r="A76" t="s">
        <v>3946</v>
      </c>
      <c r="B76" t="s">
        <v>1349</v>
      </c>
      <c r="C76">
        <v>2000052690</v>
      </c>
      <c r="D76">
        <v>21980</v>
      </c>
    </row>
    <row r="77" spans="1:4">
      <c r="A77" t="s">
        <v>3946</v>
      </c>
      <c r="B77" t="s">
        <v>1349</v>
      </c>
      <c r="C77">
        <v>2000052640</v>
      </c>
      <c r="D77">
        <v>21970</v>
      </c>
    </row>
    <row r="78" spans="1:4">
      <c r="A78" t="s">
        <v>3946</v>
      </c>
      <c r="B78" t="s">
        <v>1349</v>
      </c>
      <c r="C78">
        <v>2000052750</v>
      </c>
      <c r="D78">
        <v>21960</v>
      </c>
    </row>
    <row r="79" spans="1:4">
      <c r="A79" t="s">
        <v>3946</v>
      </c>
      <c r="B79" t="s">
        <v>1349</v>
      </c>
      <c r="C79">
        <v>2000052700</v>
      </c>
      <c r="D79">
        <v>21950</v>
      </c>
    </row>
    <row r="80" spans="1:4">
      <c r="A80" t="s">
        <v>3946</v>
      </c>
      <c r="B80" t="s">
        <v>1349</v>
      </c>
      <c r="C80">
        <v>2000052670</v>
      </c>
      <c r="D80">
        <v>21940</v>
      </c>
    </row>
    <row r="81" spans="1:4">
      <c r="A81" t="s">
        <v>3946</v>
      </c>
      <c r="B81" t="s">
        <v>1349</v>
      </c>
      <c r="C81">
        <v>2000052720</v>
      </c>
      <c r="D81">
        <v>21930</v>
      </c>
    </row>
    <row r="82" spans="1:4">
      <c r="A82" t="s">
        <v>3946</v>
      </c>
      <c r="B82" t="s">
        <v>1349</v>
      </c>
      <c r="C82">
        <v>2000052710</v>
      </c>
      <c r="D82">
        <v>21920</v>
      </c>
    </row>
    <row r="83" spans="1:4">
      <c r="A83" t="s">
        <v>3946</v>
      </c>
      <c r="B83" t="s">
        <v>1349</v>
      </c>
      <c r="C83">
        <v>2000052570</v>
      </c>
      <c r="D83">
        <v>21910</v>
      </c>
    </row>
    <row r="84" spans="1:4">
      <c r="A84" t="s">
        <v>3946</v>
      </c>
      <c r="B84" t="s">
        <v>1349</v>
      </c>
      <c r="C84">
        <v>2000052550</v>
      </c>
      <c r="D84">
        <v>21900</v>
      </c>
    </row>
    <row r="85" spans="1:4">
      <c r="A85" t="s">
        <v>3946</v>
      </c>
      <c r="B85" t="s">
        <v>1349</v>
      </c>
      <c r="C85">
        <v>2000047530</v>
      </c>
      <c r="D85">
        <v>21890</v>
      </c>
    </row>
    <row r="86" spans="1:4">
      <c r="A86" t="s">
        <v>3946</v>
      </c>
      <c r="B86" t="s">
        <v>1349</v>
      </c>
      <c r="C86">
        <v>2000047510</v>
      </c>
      <c r="D86">
        <v>21880</v>
      </c>
    </row>
    <row r="87" spans="1:4">
      <c r="A87" t="s">
        <v>3946</v>
      </c>
      <c r="B87" t="s">
        <v>1349</v>
      </c>
      <c r="C87">
        <v>2000047480</v>
      </c>
      <c r="D87">
        <v>21870</v>
      </c>
    </row>
    <row r="88" spans="1:4">
      <c r="A88" t="s">
        <v>6010</v>
      </c>
      <c r="B88" t="s">
        <v>1349</v>
      </c>
      <c r="C88">
        <v>332770</v>
      </c>
      <c r="D88">
        <v>21870</v>
      </c>
    </row>
    <row r="89" spans="1:4">
      <c r="A89" t="s">
        <v>3061</v>
      </c>
      <c r="B89" t="s">
        <v>1349</v>
      </c>
      <c r="C89">
        <v>408090</v>
      </c>
      <c r="D89">
        <v>21870</v>
      </c>
    </row>
    <row r="90" spans="1:4">
      <c r="A90" t="s">
        <v>3946</v>
      </c>
      <c r="B90" t="s">
        <v>1349</v>
      </c>
      <c r="C90">
        <v>2000047490</v>
      </c>
      <c r="D90">
        <v>21860</v>
      </c>
    </row>
    <row r="91" spans="1:4">
      <c r="A91" t="s">
        <v>3946</v>
      </c>
      <c r="B91" t="s">
        <v>1349</v>
      </c>
      <c r="C91">
        <v>2000047520</v>
      </c>
      <c r="D91">
        <v>21850</v>
      </c>
    </row>
    <row r="92" spans="1:4">
      <c r="A92" t="s">
        <v>3946</v>
      </c>
      <c r="B92" t="s">
        <v>1349</v>
      </c>
      <c r="C92">
        <v>2000047500</v>
      </c>
      <c r="D92">
        <v>21840</v>
      </c>
    </row>
    <row r="93" spans="1:4">
      <c r="A93" t="s">
        <v>6010</v>
      </c>
      <c r="B93" t="s">
        <v>1349</v>
      </c>
      <c r="C93">
        <v>332800</v>
      </c>
      <c r="D93">
        <v>21840</v>
      </c>
    </row>
    <row r="94" spans="1:4">
      <c r="A94" t="s">
        <v>3061</v>
      </c>
      <c r="B94" t="s">
        <v>1349</v>
      </c>
      <c r="C94">
        <v>408110</v>
      </c>
      <c r="D94">
        <v>21840</v>
      </c>
    </row>
    <row r="95" spans="1:4">
      <c r="A95" t="s">
        <v>3946</v>
      </c>
      <c r="B95" s="7" t="s">
        <v>1349</v>
      </c>
      <c r="C95" s="7">
        <v>2000047470</v>
      </c>
      <c r="D95">
        <v>21830</v>
      </c>
    </row>
    <row r="96" spans="1:4">
      <c r="A96" t="s">
        <v>6010</v>
      </c>
      <c r="B96" s="7" t="s">
        <v>1349</v>
      </c>
      <c r="C96" s="7">
        <v>332750</v>
      </c>
      <c r="D96">
        <v>21830</v>
      </c>
    </row>
    <row r="97" spans="1:4">
      <c r="A97" t="s">
        <v>3061</v>
      </c>
      <c r="B97" s="7" t="s">
        <v>1349</v>
      </c>
      <c r="C97" s="7">
        <v>408060</v>
      </c>
      <c r="D97">
        <v>21830</v>
      </c>
    </row>
    <row r="98" spans="1:4">
      <c r="A98" t="s">
        <v>3946</v>
      </c>
      <c r="B98" s="7" t="s">
        <v>1349</v>
      </c>
      <c r="C98" s="7">
        <v>2000052480</v>
      </c>
      <c r="D98">
        <v>21820</v>
      </c>
    </row>
    <row r="99" spans="1:4">
      <c r="A99" t="s">
        <v>3946</v>
      </c>
      <c r="B99" s="7" t="s">
        <v>1349</v>
      </c>
      <c r="C99" s="7">
        <v>2000052450</v>
      </c>
      <c r="D99">
        <v>21810</v>
      </c>
    </row>
    <row r="100" spans="1:4">
      <c r="A100" t="s">
        <v>3946</v>
      </c>
      <c r="B100" t="s">
        <v>1349</v>
      </c>
      <c r="C100">
        <v>2000052470</v>
      </c>
      <c r="D100">
        <v>21800</v>
      </c>
    </row>
    <row r="101" spans="1:4">
      <c r="A101" t="s">
        <v>3946</v>
      </c>
      <c r="B101" t="s">
        <v>1349</v>
      </c>
      <c r="C101">
        <v>2000052460</v>
      </c>
      <c r="D101">
        <v>21790</v>
      </c>
    </row>
    <row r="102" spans="1:4">
      <c r="A102" t="s">
        <v>3946</v>
      </c>
      <c r="B102" t="s">
        <v>1349</v>
      </c>
      <c r="C102">
        <v>2000052440</v>
      </c>
      <c r="D102">
        <v>21780</v>
      </c>
    </row>
    <row r="103" spans="1:4">
      <c r="A103" t="s">
        <v>3946</v>
      </c>
      <c r="B103" t="s">
        <v>1349</v>
      </c>
      <c r="C103">
        <v>2000052430</v>
      </c>
      <c r="D103">
        <v>21770</v>
      </c>
    </row>
    <row r="104" spans="1:4">
      <c r="A104" t="s">
        <v>3946</v>
      </c>
      <c r="B104" t="s">
        <v>1349</v>
      </c>
      <c r="C104">
        <v>2000052420</v>
      </c>
      <c r="D104">
        <v>21760</v>
      </c>
    </row>
    <row r="105" spans="1:4">
      <c r="A105" t="s">
        <v>3946</v>
      </c>
      <c r="B105" t="s">
        <v>1349</v>
      </c>
      <c r="C105">
        <v>2000052410</v>
      </c>
      <c r="D105">
        <v>21750</v>
      </c>
    </row>
    <row r="106" spans="1:4">
      <c r="A106" t="s">
        <v>3946</v>
      </c>
      <c r="B106" t="s">
        <v>1349</v>
      </c>
      <c r="C106">
        <v>2000052400</v>
      </c>
      <c r="D106">
        <v>21740</v>
      </c>
    </row>
    <row r="107" spans="1:4">
      <c r="A107" t="s">
        <v>3946</v>
      </c>
      <c r="B107" t="s">
        <v>1349</v>
      </c>
      <c r="C107">
        <v>2000056490</v>
      </c>
      <c r="D107">
        <v>21730</v>
      </c>
    </row>
    <row r="108" spans="1:4">
      <c r="A108" t="s">
        <v>3946</v>
      </c>
      <c r="B108" t="s">
        <v>1349</v>
      </c>
      <c r="C108">
        <v>2000052360</v>
      </c>
      <c r="D108">
        <v>21720</v>
      </c>
    </row>
    <row r="109" spans="1:4">
      <c r="A109" t="s">
        <v>3946</v>
      </c>
      <c r="B109" t="s">
        <v>1349</v>
      </c>
      <c r="C109">
        <v>2000052350</v>
      </c>
      <c r="D109">
        <v>21710</v>
      </c>
    </row>
    <row r="110" spans="1:4">
      <c r="A110" t="s">
        <v>3946</v>
      </c>
      <c r="B110" t="s">
        <v>1349</v>
      </c>
      <c r="C110">
        <v>2000052340</v>
      </c>
      <c r="D110">
        <v>21700</v>
      </c>
    </row>
    <row r="111" spans="1:4">
      <c r="A111" t="s">
        <v>3946</v>
      </c>
      <c r="B111" t="s">
        <v>1349</v>
      </c>
      <c r="C111">
        <v>2000052320</v>
      </c>
      <c r="D111">
        <v>21690</v>
      </c>
    </row>
    <row r="112" spans="1:4">
      <c r="A112" t="s">
        <v>3946</v>
      </c>
      <c r="B112" t="s">
        <v>1349</v>
      </c>
      <c r="C112">
        <v>2000052380</v>
      </c>
      <c r="D112">
        <v>21680</v>
      </c>
    </row>
    <row r="113" spans="1:4">
      <c r="A113" t="s">
        <v>3946</v>
      </c>
      <c r="B113" t="s">
        <v>1349</v>
      </c>
      <c r="C113">
        <v>2000052390</v>
      </c>
      <c r="D113">
        <v>21670</v>
      </c>
    </row>
    <row r="114" spans="1:4">
      <c r="A114" t="s">
        <v>3946</v>
      </c>
      <c r="B114" t="s">
        <v>1349</v>
      </c>
      <c r="C114">
        <v>2000052330</v>
      </c>
      <c r="D114">
        <v>21660</v>
      </c>
    </row>
    <row r="115" spans="1:4">
      <c r="A115" t="s">
        <v>3946</v>
      </c>
      <c r="B115" t="s">
        <v>1349</v>
      </c>
      <c r="C115">
        <v>2000052370</v>
      </c>
      <c r="D115">
        <v>21650</v>
      </c>
    </row>
    <row r="116" spans="1:4">
      <c r="A116" t="s">
        <v>3946</v>
      </c>
      <c r="B116" t="s">
        <v>1349</v>
      </c>
      <c r="C116">
        <v>2000052310</v>
      </c>
      <c r="D116">
        <v>21640</v>
      </c>
    </row>
    <row r="117" spans="1:4">
      <c r="A117" t="s">
        <v>3946</v>
      </c>
      <c r="B117" t="s">
        <v>1349</v>
      </c>
      <c r="C117">
        <v>2000052300</v>
      </c>
      <c r="D117">
        <v>21630</v>
      </c>
    </row>
    <row r="118" spans="1:4">
      <c r="A118" t="s">
        <v>3946</v>
      </c>
      <c r="B118" t="s">
        <v>1349</v>
      </c>
      <c r="C118">
        <v>2000056480</v>
      </c>
      <c r="D118">
        <v>21620</v>
      </c>
    </row>
    <row r="119" spans="1:4">
      <c r="A119" t="s">
        <v>3946</v>
      </c>
      <c r="B119" t="s">
        <v>1349</v>
      </c>
      <c r="C119">
        <v>2000052290</v>
      </c>
      <c r="D119">
        <v>21610</v>
      </c>
    </row>
    <row r="120" spans="1:4">
      <c r="A120" t="s">
        <v>3946</v>
      </c>
      <c r="B120" t="s">
        <v>1349</v>
      </c>
      <c r="C120">
        <v>2000052270</v>
      </c>
      <c r="D120">
        <v>21600</v>
      </c>
    </row>
    <row r="121" spans="1:4">
      <c r="A121" t="s">
        <v>3946</v>
      </c>
      <c r="B121" t="s">
        <v>1349</v>
      </c>
      <c r="C121">
        <v>2000052280</v>
      </c>
      <c r="D121">
        <v>21590</v>
      </c>
    </row>
    <row r="122" spans="1:4">
      <c r="A122" t="s">
        <v>3946</v>
      </c>
      <c r="B122" t="s">
        <v>1349</v>
      </c>
      <c r="C122">
        <v>2000052260</v>
      </c>
      <c r="D122">
        <v>21580</v>
      </c>
    </row>
    <row r="123" spans="1:4">
      <c r="A123" t="s">
        <v>3946</v>
      </c>
      <c r="B123" t="s">
        <v>1349</v>
      </c>
      <c r="C123">
        <v>2000056440</v>
      </c>
      <c r="D123">
        <v>21450</v>
      </c>
    </row>
    <row r="124" spans="1:4">
      <c r="A124" t="s">
        <v>3946</v>
      </c>
      <c r="B124" t="s">
        <v>1349</v>
      </c>
      <c r="C124">
        <v>2000052160</v>
      </c>
      <c r="D124">
        <v>21440</v>
      </c>
    </row>
    <row r="125" spans="1:4">
      <c r="A125" t="s">
        <v>3946</v>
      </c>
      <c r="B125" t="s">
        <v>1349</v>
      </c>
      <c r="C125">
        <v>2000052070</v>
      </c>
      <c r="D125">
        <v>21430</v>
      </c>
    </row>
    <row r="126" spans="1:4">
      <c r="A126" t="s">
        <v>3946</v>
      </c>
      <c r="B126" t="s">
        <v>1349</v>
      </c>
      <c r="C126">
        <v>2000052100</v>
      </c>
      <c r="D126">
        <v>21420</v>
      </c>
    </row>
    <row r="127" spans="1:4">
      <c r="A127" t="s">
        <v>3946</v>
      </c>
      <c r="B127" t="s">
        <v>1349</v>
      </c>
      <c r="C127">
        <v>2000052140</v>
      </c>
      <c r="D127">
        <v>21410</v>
      </c>
    </row>
    <row r="128" spans="1:4">
      <c r="A128" t="s">
        <v>3946</v>
      </c>
      <c r="B128" t="s">
        <v>1349</v>
      </c>
      <c r="C128">
        <v>2000046260</v>
      </c>
      <c r="D128">
        <v>21400</v>
      </c>
    </row>
    <row r="129" spans="1:4">
      <c r="A129" t="s">
        <v>3946</v>
      </c>
      <c r="B129" t="s">
        <v>1349</v>
      </c>
      <c r="C129">
        <v>2000052110</v>
      </c>
      <c r="D129">
        <v>21390</v>
      </c>
    </row>
    <row r="130" spans="1:4">
      <c r="A130" t="s">
        <v>3946</v>
      </c>
      <c r="B130" t="s">
        <v>1349</v>
      </c>
      <c r="C130">
        <v>2000052150</v>
      </c>
      <c r="D130">
        <v>21380</v>
      </c>
    </row>
    <row r="131" spans="1:4">
      <c r="A131" t="s">
        <v>3946</v>
      </c>
      <c r="B131" t="s">
        <v>1349</v>
      </c>
      <c r="C131">
        <v>2000052080</v>
      </c>
      <c r="D131">
        <v>21370</v>
      </c>
    </row>
    <row r="132" spans="1:4">
      <c r="A132" t="s">
        <v>3946</v>
      </c>
      <c r="B132" t="s">
        <v>1349</v>
      </c>
      <c r="C132">
        <v>2000046270</v>
      </c>
      <c r="D132">
        <v>21360</v>
      </c>
    </row>
    <row r="133" spans="1:4">
      <c r="A133" t="s">
        <v>3946</v>
      </c>
      <c r="B133" t="s">
        <v>1349</v>
      </c>
      <c r="C133">
        <v>2000046280</v>
      </c>
      <c r="D133">
        <v>21350</v>
      </c>
    </row>
    <row r="134" spans="1:4">
      <c r="A134" t="s">
        <v>3946</v>
      </c>
      <c r="B134" t="s">
        <v>1349</v>
      </c>
      <c r="C134">
        <v>2000052120</v>
      </c>
      <c r="D134">
        <v>21340</v>
      </c>
    </row>
    <row r="135" spans="1:4">
      <c r="A135" t="s">
        <v>3946</v>
      </c>
      <c r="B135" t="s">
        <v>1349</v>
      </c>
      <c r="C135">
        <v>2000052130</v>
      </c>
      <c r="D135">
        <v>21330</v>
      </c>
    </row>
    <row r="136" spans="1:4">
      <c r="A136" t="s">
        <v>3946</v>
      </c>
      <c r="B136" t="s">
        <v>1349</v>
      </c>
      <c r="C136">
        <v>2000052090</v>
      </c>
      <c r="D136">
        <v>21320</v>
      </c>
    </row>
    <row r="137" spans="1:4">
      <c r="A137" t="s">
        <v>3946</v>
      </c>
      <c r="B137" t="s">
        <v>1349</v>
      </c>
      <c r="C137">
        <v>2000046290</v>
      </c>
      <c r="D137">
        <v>21310</v>
      </c>
    </row>
    <row r="138" spans="1:4">
      <c r="A138" t="s">
        <v>3946</v>
      </c>
      <c r="B138" t="s">
        <v>1349</v>
      </c>
      <c r="C138">
        <v>2000046300</v>
      </c>
      <c r="D138">
        <v>21300</v>
      </c>
    </row>
    <row r="139" spans="1:4">
      <c r="A139" t="s">
        <v>3946</v>
      </c>
      <c r="B139" t="s">
        <v>1349</v>
      </c>
      <c r="C139">
        <v>2000046250</v>
      </c>
      <c r="D139">
        <v>21280</v>
      </c>
    </row>
    <row r="140" spans="1:4">
      <c r="A140" t="s">
        <v>3946</v>
      </c>
      <c r="B140" t="s">
        <v>1349</v>
      </c>
      <c r="C140">
        <v>2000056390</v>
      </c>
      <c r="D140">
        <v>21270</v>
      </c>
    </row>
    <row r="141" spans="1:4">
      <c r="A141" t="s">
        <v>3946</v>
      </c>
      <c r="B141" t="s">
        <v>1349</v>
      </c>
      <c r="C141">
        <v>2000051840</v>
      </c>
      <c r="D141">
        <v>21260</v>
      </c>
    </row>
    <row r="142" spans="1:4">
      <c r="A142" t="s">
        <v>3946</v>
      </c>
      <c r="B142" t="s">
        <v>1349</v>
      </c>
      <c r="C142">
        <v>2000051790</v>
      </c>
      <c r="D142">
        <v>21250</v>
      </c>
    </row>
    <row r="143" spans="1:4">
      <c r="A143" t="s">
        <v>3946</v>
      </c>
      <c r="B143" t="s">
        <v>1349</v>
      </c>
      <c r="C143">
        <v>2000051810</v>
      </c>
      <c r="D143">
        <v>21240</v>
      </c>
    </row>
    <row r="144" spans="1:4">
      <c r="A144" t="s">
        <v>3946</v>
      </c>
      <c r="B144" t="s">
        <v>1349</v>
      </c>
      <c r="C144">
        <v>2000051850</v>
      </c>
      <c r="D144">
        <v>21230</v>
      </c>
    </row>
    <row r="145" spans="1:4">
      <c r="A145" t="s">
        <v>3946</v>
      </c>
      <c r="B145" t="s">
        <v>1349</v>
      </c>
      <c r="C145">
        <v>2000051770</v>
      </c>
      <c r="D145">
        <v>21220</v>
      </c>
    </row>
    <row r="146" spans="1:4">
      <c r="A146" t="s">
        <v>3946</v>
      </c>
      <c r="B146" t="s">
        <v>1349</v>
      </c>
      <c r="C146">
        <v>2000051800</v>
      </c>
      <c r="D146">
        <v>21210</v>
      </c>
    </row>
    <row r="147" spans="1:4">
      <c r="A147" t="s">
        <v>3946</v>
      </c>
      <c r="B147" t="s">
        <v>1349</v>
      </c>
      <c r="C147">
        <v>2000051780</v>
      </c>
      <c r="D147">
        <v>21200</v>
      </c>
    </row>
    <row r="148" spans="1:4">
      <c r="A148" t="s">
        <v>3946</v>
      </c>
      <c r="B148" t="s">
        <v>1349</v>
      </c>
      <c r="C148">
        <v>2000051830</v>
      </c>
      <c r="D148">
        <v>21190</v>
      </c>
    </row>
    <row r="149" spans="1:4">
      <c r="A149" t="s">
        <v>3946</v>
      </c>
      <c r="B149" t="s">
        <v>1349</v>
      </c>
      <c r="C149">
        <v>2000051820</v>
      </c>
      <c r="D149">
        <v>21180</v>
      </c>
    </row>
    <row r="150" spans="1:4">
      <c r="A150" t="s">
        <v>3946</v>
      </c>
      <c r="B150" t="s">
        <v>1349</v>
      </c>
      <c r="C150">
        <v>2000051760</v>
      </c>
      <c r="D150">
        <v>21170</v>
      </c>
    </row>
    <row r="151" spans="1:4">
      <c r="A151" t="s">
        <v>3946</v>
      </c>
      <c r="B151" t="s">
        <v>1349</v>
      </c>
      <c r="C151">
        <v>2000051750</v>
      </c>
      <c r="D151">
        <v>21160</v>
      </c>
    </row>
    <row r="152" spans="1:4">
      <c r="A152" t="s">
        <v>3946</v>
      </c>
      <c r="B152" t="s">
        <v>1349</v>
      </c>
      <c r="C152">
        <v>2000056380</v>
      </c>
      <c r="D152">
        <v>21070</v>
      </c>
    </row>
    <row r="153" spans="1:4">
      <c r="A153" t="s">
        <v>3946</v>
      </c>
      <c r="B153" t="s">
        <v>1349</v>
      </c>
      <c r="C153">
        <v>2000051740</v>
      </c>
      <c r="D153">
        <v>21060</v>
      </c>
    </row>
    <row r="154" spans="1:4">
      <c r="A154" t="s">
        <v>3946</v>
      </c>
      <c r="B154" t="s">
        <v>1349</v>
      </c>
      <c r="C154">
        <v>2000051730</v>
      </c>
      <c r="D154">
        <v>21050</v>
      </c>
    </row>
    <row r="155" spans="1:4">
      <c r="A155" t="s">
        <v>3946</v>
      </c>
      <c r="B155" t="s">
        <v>1349</v>
      </c>
      <c r="C155">
        <v>2000051710</v>
      </c>
      <c r="D155">
        <v>21040</v>
      </c>
    </row>
    <row r="156" spans="1:4">
      <c r="A156" t="s">
        <v>3946</v>
      </c>
      <c r="B156" t="s">
        <v>1349</v>
      </c>
      <c r="C156">
        <v>2000051720</v>
      </c>
      <c r="D156">
        <v>21030</v>
      </c>
    </row>
    <row r="157" spans="1:4">
      <c r="A157" t="s">
        <v>3946</v>
      </c>
      <c r="B157" t="s">
        <v>1349</v>
      </c>
      <c r="C157">
        <v>2000051700</v>
      </c>
      <c r="D157">
        <v>21020</v>
      </c>
    </row>
    <row r="158" spans="1:4">
      <c r="A158" t="s">
        <v>3946</v>
      </c>
      <c r="B158" t="s">
        <v>1349</v>
      </c>
      <c r="C158">
        <v>2000056370</v>
      </c>
      <c r="D158">
        <v>21010</v>
      </c>
    </row>
    <row r="159" spans="1:4">
      <c r="A159" t="s">
        <v>3946</v>
      </c>
      <c r="B159" t="s">
        <v>1349</v>
      </c>
      <c r="C159">
        <v>2000051690</v>
      </c>
      <c r="D159">
        <v>21000</v>
      </c>
    </row>
    <row r="160" spans="1:4">
      <c r="A160" t="s">
        <v>3946</v>
      </c>
      <c r="B160" t="s">
        <v>1349</v>
      </c>
      <c r="C160">
        <v>2000051680</v>
      </c>
      <c r="D160">
        <v>20990</v>
      </c>
    </row>
    <row r="161" spans="1:4">
      <c r="A161" t="s">
        <v>3946</v>
      </c>
      <c r="B161" t="s">
        <v>1349</v>
      </c>
      <c r="C161">
        <v>2000051670</v>
      </c>
      <c r="D161">
        <v>20980</v>
      </c>
    </row>
    <row r="162" spans="1:4">
      <c r="A162" t="s">
        <v>3946</v>
      </c>
      <c r="B162" t="s">
        <v>1349</v>
      </c>
      <c r="C162">
        <v>2000051660</v>
      </c>
      <c r="D162">
        <v>20970</v>
      </c>
    </row>
    <row r="163" spans="1:4">
      <c r="A163" t="s">
        <v>3946</v>
      </c>
      <c r="B163" t="s">
        <v>1349</v>
      </c>
      <c r="C163">
        <v>2000051650</v>
      </c>
      <c r="D163">
        <v>20960</v>
      </c>
    </row>
    <row r="164" spans="1:4">
      <c r="A164" t="s">
        <v>3946</v>
      </c>
      <c r="B164" t="s">
        <v>1349</v>
      </c>
      <c r="C164">
        <v>2000056360</v>
      </c>
      <c r="D164">
        <v>20950</v>
      </c>
    </row>
    <row r="165" spans="1:4">
      <c r="A165" t="s">
        <v>3946</v>
      </c>
      <c r="B165" t="s">
        <v>1349</v>
      </c>
      <c r="C165">
        <v>2000051640</v>
      </c>
      <c r="D165">
        <v>20940</v>
      </c>
    </row>
    <row r="166" spans="1:4">
      <c r="A166" t="s">
        <v>3946</v>
      </c>
      <c r="B166" t="s">
        <v>1349</v>
      </c>
      <c r="C166">
        <v>2000051630</v>
      </c>
      <c r="D166">
        <v>20930</v>
      </c>
    </row>
    <row r="167" spans="1:4">
      <c r="A167" t="s">
        <v>3946</v>
      </c>
      <c r="B167" t="s">
        <v>1349</v>
      </c>
      <c r="C167">
        <v>2000051620</v>
      </c>
      <c r="D167">
        <v>20920</v>
      </c>
    </row>
    <row r="168" spans="1:4">
      <c r="A168" t="s">
        <v>3946</v>
      </c>
      <c r="B168" t="s">
        <v>1349</v>
      </c>
      <c r="C168">
        <v>2000051610</v>
      </c>
      <c r="D168">
        <v>20910</v>
      </c>
    </row>
    <row r="169" spans="1:4">
      <c r="A169" t="s">
        <v>3946</v>
      </c>
      <c r="B169" t="s">
        <v>1349</v>
      </c>
      <c r="C169">
        <v>2000051600</v>
      </c>
      <c r="D169">
        <v>20900</v>
      </c>
    </row>
    <row r="170" spans="1:4">
      <c r="A170" t="s">
        <v>3946</v>
      </c>
      <c r="B170" t="s">
        <v>1349</v>
      </c>
      <c r="C170">
        <v>2000056340</v>
      </c>
      <c r="D170">
        <v>20890</v>
      </c>
    </row>
    <row r="171" spans="1:4">
      <c r="A171" t="s">
        <v>3946</v>
      </c>
      <c r="B171" t="s">
        <v>1349</v>
      </c>
      <c r="C171">
        <v>2000046850</v>
      </c>
      <c r="D171">
        <v>20880</v>
      </c>
    </row>
    <row r="172" spans="1:4">
      <c r="A172" t="s">
        <v>3946</v>
      </c>
      <c r="B172" t="s">
        <v>1349</v>
      </c>
      <c r="C172">
        <v>2000046840</v>
      </c>
      <c r="D172">
        <v>20870</v>
      </c>
    </row>
    <row r="173" spans="1:4">
      <c r="A173" t="s">
        <v>3946</v>
      </c>
      <c r="B173" t="s">
        <v>1349</v>
      </c>
      <c r="C173">
        <v>2000046820</v>
      </c>
      <c r="D173">
        <v>20860</v>
      </c>
    </row>
    <row r="174" spans="1:4">
      <c r="A174" t="s">
        <v>3946</v>
      </c>
      <c r="B174" t="s">
        <v>1349</v>
      </c>
      <c r="C174">
        <v>2000046830</v>
      </c>
      <c r="D174">
        <v>20850</v>
      </c>
    </row>
    <row r="175" spans="1:4">
      <c r="A175" t="s">
        <v>3946</v>
      </c>
      <c r="B175" t="s">
        <v>1349</v>
      </c>
      <c r="C175">
        <v>2000051520</v>
      </c>
      <c r="D175">
        <v>20840</v>
      </c>
    </row>
    <row r="176" spans="1:4">
      <c r="A176" t="s">
        <v>3946</v>
      </c>
      <c r="B176" t="s">
        <v>1349</v>
      </c>
      <c r="C176">
        <v>2000046810</v>
      </c>
      <c r="D176">
        <v>20830</v>
      </c>
    </row>
    <row r="177" spans="1:4">
      <c r="A177" t="s">
        <v>3946</v>
      </c>
      <c r="B177" t="s">
        <v>1349</v>
      </c>
      <c r="C177">
        <v>2000056330</v>
      </c>
      <c r="D177">
        <v>20820</v>
      </c>
    </row>
    <row r="178" spans="1:4">
      <c r="A178" t="s">
        <v>3946</v>
      </c>
      <c r="B178" t="s">
        <v>1349</v>
      </c>
      <c r="C178">
        <v>2000051510</v>
      </c>
      <c r="D178">
        <v>20810</v>
      </c>
    </row>
    <row r="179" spans="1:4">
      <c r="A179" t="s">
        <v>3946</v>
      </c>
      <c r="B179" t="s">
        <v>1349</v>
      </c>
      <c r="C179">
        <v>2000051500</v>
      </c>
      <c r="D179">
        <v>20800</v>
      </c>
    </row>
    <row r="180" spans="1:4">
      <c r="A180" t="s">
        <v>3946</v>
      </c>
      <c r="B180" t="s">
        <v>1349</v>
      </c>
      <c r="C180">
        <v>2000051480</v>
      </c>
      <c r="D180">
        <v>20790</v>
      </c>
    </row>
    <row r="181" spans="1:4">
      <c r="A181" t="s">
        <v>3946</v>
      </c>
      <c r="B181" t="s">
        <v>1349</v>
      </c>
      <c r="C181">
        <v>2000051470</v>
      </c>
      <c r="D181">
        <v>20780</v>
      </c>
    </row>
    <row r="182" spans="1:4">
      <c r="A182" t="s">
        <v>3946</v>
      </c>
      <c r="B182" t="s">
        <v>1349</v>
      </c>
      <c r="C182">
        <v>2000051490</v>
      </c>
      <c r="D182">
        <v>20770</v>
      </c>
    </row>
    <row r="183" spans="1:4">
      <c r="A183" t="s">
        <v>3946</v>
      </c>
      <c r="B183" t="s">
        <v>1349</v>
      </c>
      <c r="C183">
        <v>2000051460</v>
      </c>
      <c r="D183">
        <v>20760</v>
      </c>
    </row>
    <row r="184" spans="1:4">
      <c r="A184" t="s">
        <v>3946</v>
      </c>
      <c r="B184" t="s">
        <v>1349</v>
      </c>
      <c r="C184">
        <v>2000056320</v>
      </c>
      <c r="D184">
        <v>20750</v>
      </c>
    </row>
    <row r="185" spans="1:4">
      <c r="A185" t="s">
        <v>3946</v>
      </c>
      <c r="B185" t="s">
        <v>1349</v>
      </c>
      <c r="C185">
        <v>2000051450</v>
      </c>
      <c r="D185">
        <v>20740</v>
      </c>
    </row>
    <row r="186" spans="1:4">
      <c r="A186" t="s">
        <v>3946</v>
      </c>
      <c r="B186" t="s">
        <v>1349</v>
      </c>
      <c r="C186">
        <v>2000051440</v>
      </c>
      <c r="D186">
        <v>20730</v>
      </c>
    </row>
    <row r="187" spans="1:4">
      <c r="A187" t="s">
        <v>3946</v>
      </c>
      <c r="B187" t="s">
        <v>1349</v>
      </c>
      <c r="C187">
        <v>2000051430</v>
      </c>
      <c r="D187">
        <v>20720</v>
      </c>
    </row>
    <row r="188" spans="1:4">
      <c r="A188" t="s">
        <v>3946</v>
      </c>
      <c r="B188" t="s">
        <v>1349</v>
      </c>
      <c r="C188">
        <v>2000051420</v>
      </c>
      <c r="D188">
        <v>20710</v>
      </c>
    </row>
    <row r="189" spans="1:4">
      <c r="A189" t="s">
        <v>3946</v>
      </c>
      <c r="B189" t="s">
        <v>1349</v>
      </c>
      <c r="C189">
        <v>2000051410</v>
      </c>
      <c r="D189">
        <v>20700</v>
      </c>
    </row>
    <row r="190" spans="1:4">
      <c r="A190" t="s">
        <v>3946</v>
      </c>
      <c r="B190" t="s">
        <v>1349</v>
      </c>
      <c r="C190">
        <v>2000051400</v>
      </c>
      <c r="D190">
        <v>20690</v>
      </c>
    </row>
    <row r="191" spans="1:4">
      <c r="A191" t="s">
        <v>3946</v>
      </c>
      <c r="B191" t="s">
        <v>1349</v>
      </c>
      <c r="C191">
        <v>2000056310</v>
      </c>
      <c r="D191">
        <v>20680</v>
      </c>
    </row>
    <row r="192" spans="1:4">
      <c r="A192" t="s">
        <v>3946</v>
      </c>
      <c r="B192" t="s">
        <v>1349</v>
      </c>
      <c r="C192">
        <v>2000047250</v>
      </c>
      <c r="D192">
        <v>20670</v>
      </c>
    </row>
    <row r="193" spans="1:4">
      <c r="A193" t="s">
        <v>3946</v>
      </c>
      <c r="B193" t="s">
        <v>1349</v>
      </c>
      <c r="C193">
        <v>2000047220</v>
      </c>
      <c r="D193">
        <v>20660</v>
      </c>
    </row>
    <row r="194" spans="1:4">
      <c r="A194" t="s">
        <v>3946</v>
      </c>
      <c r="B194" t="s">
        <v>1349</v>
      </c>
      <c r="C194">
        <v>2000047230</v>
      </c>
      <c r="D194">
        <v>20650</v>
      </c>
    </row>
    <row r="195" spans="1:4">
      <c r="A195" t="s">
        <v>3946</v>
      </c>
      <c r="B195" t="s">
        <v>1349</v>
      </c>
      <c r="C195">
        <v>2000047240</v>
      </c>
      <c r="D195">
        <v>20640</v>
      </c>
    </row>
    <row r="196" spans="1:4">
      <c r="A196" t="s">
        <v>3946</v>
      </c>
      <c r="B196" t="s">
        <v>1349</v>
      </c>
      <c r="C196">
        <v>2000047180</v>
      </c>
      <c r="D196">
        <v>20630</v>
      </c>
    </row>
    <row r="197" spans="1:4">
      <c r="A197" t="s">
        <v>3946</v>
      </c>
      <c r="B197" t="s">
        <v>1349</v>
      </c>
      <c r="C197">
        <v>2000047190</v>
      </c>
      <c r="D197">
        <v>20620</v>
      </c>
    </row>
    <row r="198" spans="1:4">
      <c r="A198" t="s">
        <v>3946</v>
      </c>
      <c r="B198" t="s">
        <v>1349</v>
      </c>
      <c r="C198">
        <v>2000047210</v>
      </c>
      <c r="D198">
        <v>20610</v>
      </c>
    </row>
    <row r="199" spans="1:4">
      <c r="A199" t="s">
        <v>3946</v>
      </c>
      <c r="B199" t="s">
        <v>1349</v>
      </c>
      <c r="C199">
        <v>2000047200</v>
      </c>
      <c r="D199">
        <v>20600</v>
      </c>
    </row>
    <row r="200" spans="1:4">
      <c r="A200" t="s">
        <v>3946</v>
      </c>
      <c r="B200" t="s">
        <v>1349</v>
      </c>
      <c r="C200">
        <v>2000047170</v>
      </c>
      <c r="D200">
        <v>20590</v>
      </c>
    </row>
    <row r="201" spans="1:4">
      <c r="A201" t="s">
        <v>3946</v>
      </c>
      <c r="B201" t="s">
        <v>1349</v>
      </c>
      <c r="C201">
        <v>2000056300</v>
      </c>
      <c r="D201">
        <v>20580</v>
      </c>
    </row>
    <row r="202" spans="1:4">
      <c r="A202" t="s">
        <v>3946</v>
      </c>
      <c r="B202" t="s">
        <v>1349</v>
      </c>
      <c r="C202">
        <v>2000047160</v>
      </c>
      <c r="D202">
        <v>20570</v>
      </c>
    </row>
    <row r="203" spans="1:4">
      <c r="A203" t="s">
        <v>3946</v>
      </c>
      <c r="B203" t="s">
        <v>1349</v>
      </c>
      <c r="C203">
        <v>2000047150</v>
      </c>
      <c r="D203">
        <v>20560</v>
      </c>
    </row>
    <row r="204" spans="1:4">
      <c r="A204" t="s">
        <v>3946</v>
      </c>
      <c r="B204" t="s">
        <v>1349</v>
      </c>
      <c r="C204">
        <v>2000047120</v>
      </c>
      <c r="D204">
        <v>20550</v>
      </c>
    </row>
    <row r="205" spans="1:4">
      <c r="A205" t="s">
        <v>3946</v>
      </c>
      <c r="B205" t="s">
        <v>1349</v>
      </c>
      <c r="C205">
        <v>2000047130</v>
      </c>
      <c r="D205">
        <v>20540</v>
      </c>
    </row>
    <row r="206" spans="1:4">
      <c r="A206" t="s">
        <v>3946</v>
      </c>
      <c r="B206" t="s">
        <v>1349</v>
      </c>
      <c r="C206">
        <v>2000047140</v>
      </c>
      <c r="D206">
        <v>20530</v>
      </c>
    </row>
    <row r="207" spans="1:4">
      <c r="A207" t="s">
        <v>3946</v>
      </c>
      <c r="B207" t="s">
        <v>1349</v>
      </c>
      <c r="C207">
        <v>2000047110</v>
      </c>
      <c r="D207">
        <v>20520</v>
      </c>
    </row>
    <row r="208" spans="1:4">
      <c r="A208" t="s">
        <v>3946</v>
      </c>
      <c r="B208" t="s">
        <v>1349</v>
      </c>
      <c r="C208">
        <v>2000056290</v>
      </c>
      <c r="D208">
        <v>20510</v>
      </c>
    </row>
    <row r="209" spans="1:4">
      <c r="A209" t="s">
        <v>3946</v>
      </c>
      <c r="B209" t="s">
        <v>1349</v>
      </c>
      <c r="C209">
        <v>2000047050</v>
      </c>
      <c r="D209">
        <v>20500</v>
      </c>
    </row>
    <row r="210" spans="1:4">
      <c r="A210" t="s">
        <v>3946</v>
      </c>
      <c r="B210" t="s">
        <v>1349</v>
      </c>
      <c r="C210">
        <v>2000046990</v>
      </c>
      <c r="D210">
        <v>20490</v>
      </c>
    </row>
    <row r="211" spans="1:4">
      <c r="A211" t="s">
        <v>3946</v>
      </c>
      <c r="B211" t="s">
        <v>1349</v>
      </c>
      <c r="C211">
        <v>2000046980</v>
      </c>
      <c r="D211">
        <v>20480</v>
      </c>
    </row>
    <row r="212" spans="1:4">
      <c r="A212" t="s">
        <v>3946</v>
      </c>
      <c r="B212" t="s">
        <v>1349</v>
      </c>
      <c r="C212">
        <v>2000046970</v>
      </c>
      <c r="D212">
        <v>20470</v>
      </c>
    </row>
    <row r="213" spans="1:4">
      <c r="A213" t="s">
        <v>3946</v>
      </c>
      <c r="B213" t="s">
        <v>1349</v>
      </c>
      <c r="C213">
        <v>2000046960</v>
      </c>
      <c r="D213">
        <v>20460</v>
      </c>
    </row>
    <row r="214" spans="1:4">
      <c r="A214" t="s">
        <v>3946</v>
      </c>
      <c r="B214" t="s">
        <v>1349</v>
      </c>
      <c r="C214">
        <v>2000047040</v>
      </c>
      <c r="D214">
        <v>20450</v>
      </c>
    </row>
    <row r="215" spans="1:4">
      <c r="A215" t="s">
        <v>3946</v>
      </c>
      <c r="B215" t="s">
        <v>1349</v>
      </c>
      <c r="C215">
        <v>2000046940</v>
      </c>
      <c r="D215">
        <v>20440</v>
      </c>
    </row>
    <row r="216" spans="1:4">
      <c r="A216" t="s">
        <v>3946</v>
      </c>
      <c r="B216" t="s">
        <v>1349</v>
      </c>
      <c r="C216">
        <v>2000047030</v>
      </c>
      <c r="D216">
        <v>20430</v>
      </c>
    </row>
    <row r="217" spans="1:4">
      <c r="A217" t="s">
        <v>3946</v>
      </c>
      <c r="B217" t="s">
        <v>1349</v>
      </c>
      <c r="C217">
        <v>2000047020</v>
      </c>
      <c r="D217">
        <v>20420</v>
      </c>
    </row>
    <row r="218" spans="1:4">
      <c r="A218" t="s">
        <v>3946</v>
      </c>
      <c r="B218" t="s">
        <v>1349</v>
      </c>
      <c r="C218">
        <v>2000047010</v>
      </c>
      <c r="D218">
        <v>20410</v>
      </c>
    </row>
    <row r="219" spans="1:4">
      <c r="A219" t="s">
        <v>3946</v>
      </c>
      <c r="B219" t="s">
        <v>1349</v>
      </c>
      <c r="C219">
        <v>2000047000</v>
      </c>
      <c r="D219">
        <v>20400</v>
      </c>
    </row>
    <row r="220" spans="1:4">
      <c r="A220" t="s">
        <v>3946</v>
      </c>
      <c r="B220" t="s">
        <v>1349</v>
      </c>
      <c r="C220">
        <v>2000047100</v>
      </c>
      <c r="D220">
        <v>20390</v>
      </c>
    </row>
    <row r="221" spans="1:4">
      <c r="A221" t="s">
        <v>3946</v>
      </c>
      <c r="B221" t="s">
        <v>1349</v>
      </c>
      <c r="C221">
        <v>2000046920</v>
      </c>
      <c r="D221">
        <v>20380</v>
      </c>
    </row>
    <row r="222" spans="1:4">
      <c r="A222" t="s">
        <v>3946</v>
      </c>
      <c r="B222" t="s">
        <v>1349</v>
      </c>
      <c r="C222">
        <v>2000046950</v>
      </c>
      <c r="D222">
        <v>20370</v>
      </c>
    </row>
    <row r="223" spans="1:4">
      <c r="A223" t="s">
        <v>3946</v>
      </c>
      <c r="B223" t="s">
        <v>1349</v>
      </c>
      <c r="C223">
        <v>2000046900</v>
      </c>
      <c r="D223">
        <v>20360</v>
      </c>
    </row>
    <row r="224" spans="1:4">
      <c r="A224" t="s">
        <v>3946</v>
      </c>
      <c r="B224" t="s">
        <v>1349</v>
      </c>
      <c r="C224">
        <v>2000047090</v>
      </c>
      <c r="D224">
        <v>20350</v>
      </c>
    </row>
    <row r="225" spans="1:4">
      <c r="A225" t="s">
        <v>3946</v>
      </c>
      <c r="B225" t="s">
        <v>1349</v>
      </c>
      <c r="C225">
        <v>2000046930</v>
      </c>
      <c r="D225">
        <v>20340</v>
      </c>
    </row>
    <row r="226" spans="1:4">
      <c r="A226" t="s">
        <v>3946</v>
      </c>
      <c r="B226" t="s">
        <v>1349</v>
      </c>
      <c r="C226">
        <v>2000046910</v>
      </c>
      <c r="D226">
        <v>20330</v>
      </c>
    </row>
    <row r="227" spans="1:4">
      <c r="A227" t="s">
        <v>3946</v>
      </c>
      <c r="B227" t="s">
        <v>1349</v>
      </c>
      <c r="C227">
        <v>2000046870</v>
      </c>
      <c r="D227">
        <v>20320</v>
      </c>
    </row>
    <row r="228" spans="1:4">
      <c r="A228" t="s">
        <v>3946</v>
      </c>
      <c r="B228" t="s">
        <v>1349</v>
      </c>
      <c r="C228">
        <v>2000046890</v>
      </c>
      <c r="D228">
        <v>20310</v>
      </c>
    </row>
    <row r="229" spans="1:4">
      <c r="A229" t="s">
        <v>3946</v>
      </c>
      <c r="B229" t="s">
        <v>1349</v>
      </c>
      <c r="C229">
        <v>2000047060</v>
      </c>
      <c r="D229">
        <v>20290</v>
      </c>
    </row>
    <row r="230" spans="1:4">
      <c r="A230" t="s">
        <v>3946</v>
      </c>
      <c r="B230" t="s">
        <v>1349</v>
      </c>
      <c r="C230">
        <v>2000046880</v>
      </c>
      <c r="D230">
        <v>20280</v>
      </c>
    </row>
    <row r="231" spans="1:4">
      <c r="A231" t="s">
        <v>3946</v>
      </c>
      <c r="B231" t="s">
        <v>1349</v>
      </c>
      <c r="C231">
        <v>2000046860</v>
      </c>
      <c r="D231">
        <v>20270</v>
      </c>
    </row>
    <row r="232" spans="1:4">
      <c r="A232" t="s">
        <v>3946</v>
      </c>
      <c r="B232" t="s">
        <v>1349</v>
      </c>
      <c r="C232">
        <v>2000056280</v>
      </c>
      <c r="D232">
        <v>20260</v>
      </c>
    </row>
    <row r="233" spans="1:4">
      <c r="A233" t="s">
        <v>3946</v>
      </c>
      <c r="B233" t="s">
        <v>1349</v>
      </c>
      <c r="C233">
        <v>2000046730</v>
      </c>
      <c r="D233">
        <v>20250</v>
      </c>
    </row>
    <row r="234" spans="1:4">
      <c r="A234" t="s">
        <v>3946</v>
      </c>
      <c r="B234" t="s">
        <v>1349</v>
      </c>
      <c r="C234">
        <v>2000046720</v>
      </c>
      <c r="D234">
        <v>20240</v>
      </c>
    </row>
    <row r="235" spans="1:4">
      <c r="A235" t="s">
        <v>3946</v>
      </c>
      <c r="B235" t="s">
        <v>1349</v>
      </c>
      <c r="C235">
        <v>2000046680</v>
      </c>
      <c r="D235">
        <v>20230</v>
      </c>
    </row>
    <row r="236" spans="1:4">
      <c r="A236" t="s">
        <v>3946</v>
      </c>
      <c r="B236" t="s">
        <v>1349</v>
      </c>
      <c r="C236">
        <v>2000046700</v>
      </c>
      <c r="D236">
        <v>20220</v>
      </c>
    </row>
    <row r="237" spans="1:4">
      <c r="A237" t="s">
        <v>3946</v>
      </c>
      <c r="B237" t="s">
        <v>1349</v>
      </c>
      <c r="C237">
        <v>2000046710</v>
      </c>
      <c r="D237">
        <v>20210</v>
      </c>
    </row>
    <row r="238" spans="1:4">
      <c r="A238" t="s">
        <v>3946</v>
      </c>
      <c r="B238" t="s">
        <v>1349</v>
      </c>
      <c r="C238">
        <v>2000046690</v>
      </c>
      <c r="D238">
        <v>20200</v>
      </c>
    </row>
    <row r="239" spans="1:4">
      <c r="A239" t="s">
        <v>3946</v>
      </c>
      <c r="B239" t="s">
        <v>1349</v>
      </c>
      <c r="C239">
        <v>2000051390</v>
      </c>
      <c r="D239">
        <v>20190</v>
      </c>
    </row>
    <row r="240" spans="1:4">
      <c r="A240" t="s">
        <v>3946</v>
      </c>
      <c r="B240" t="s">
        <v>1349</v>
      </c>
      <c r="C240">
        <v>2000046660</v>
      </c>
      <c r="D240">
        <v>20180</v>
      </c>
    </row>
    <row r="241" spans="1:4">
      <c r="A241" t="s">
        <v>3946</v>
      </c>
      <c r="B241" t="s">
        <v>1349</v>
      </c>
      <c r="C241">
        <v>2000046750</v>
      </c>
      <c r="D241">
        <v>20170</v>
      </c>
    </row>
    <row r="242" spans="1:4">
      <c r="A242" t="s">
        <v>3946</v>
      </c>
      <c r="B242" t="s">
        <v>1349</v>
      </c>
      <c r="C242">
        <v>2000046760</v>
      </c>
      <c r="D242">
        <v>20160</v>
      </c>
    </row>
    <row r="243" spans="1:4">
      <c r="A243" t="s">
        <v>3946</v>
      </c>
      <c r="B243" t="s">
        <v>1349</v>
      </c>
      <c r="C243">
        <v>2000046770</v>
      </c>
      <c r="D243">
        <v>20150</v>
      </c>
    </row>
    <row r="244" spans="1:4">
      <c r="A244" t="s">
        <v>3946</v>
      </c>
      <c r="B244" t="s">
        <v>1349</v>
      </c>
      <c r="C244">
        <v>2000046800</v>
      </c>
      <c r="D244">
        <v>20140</v>
      </c>
    </row>
    <row r="245" spans="1:4">
      <c r="A245" t="s">
        <v>3946</v>
      </c>
      <c r="B245" t="s">
        <v>1349</v>
      </c>
      <c r="C245">
        <v>2000046670</v>
      </c>
      <c r="D245">
        <v>20130</v>
      </c>
    </row>
    <row r="246" spans="1:4">
      <c r="A246" t="s">
        <v>3946</v>
      </c>
      <c r="B246" t="s">
        <v>1349</v>
      </c>
      <c r="C246">
        <v>2000046780</v>
      </c>
      <c r="D246">
        <v>20120</v>
      </c>
    </row>
    <row r="247" spans="1:4">
      <c r="A247" t="s">
        <v>3946</v>
      </c>
      <c r="B247" t="s">
        <v>1349</v>
      </c>
      <c r="C247">
        <v>2000054580</v>
      </c>
      <c r="D247">
        <v>20110</v>
      </c>
    </row>
    <row r="248" spans="1:4">
      <c r="A248" t="s">
        <v>3946</v>
      </c>
      <c r="B248" t="s">
        <v>1349</v>
      </c>
      <c r="C248">
        <v>2000046650</v>
      </c>
      <c r="D248">
        <v>20090</v>
      </c>
    </row>
    <row r="249" spans="1:4">
      <c r="A249" t="s">
        <v>3946</v>
      </c>
      <c r="B249" t="s">
        <v>1349</v>
      </c>
      <c r="C249">
        <v>2000056260</v>
      </c>
      <c r="D249">
        <v>20010</v>
      </c>
    </row>
    <row r="250" spans="1:4">
      <c r="A250" t="s">
        <v>3946</v>
      </c>
      <c r="B250" t="s">
        <v>1349</v>
      </c>
      <c r="C250">
        <v>2000047460</v>
      </c>
      <c r="D250">
        <v>20000</v>
      </c>
    </row>
    <row r="251" spans="1:4">
      <c r="A251" t="s">
        <v>3946</v>
      </c>
      <c r="B251" t="s">
        <v>1349</v>
      </c>
      <c r="C251">
        <v>2000047430</v>
      </c>
      <c r="D251">
        <v>19990</v>
      </c>
    </row>
    <row r="252" spans="1:4">
      <c r="A252" t="s">
        <v>3946</v>
      </c>
      <c r="B252" t="s">
        <v>1349</v>
      </c>
      <c r="C252">
        <v>2000047450</v>
      </c>
      <c r="D252">
        <v>19980</v>
      </c>
    </row>
    <row r="253" spans="1:4">
      <c r="A253" t="s">
        <v>3946</v>
      </c>
      <c r="B253" t="s">
        <v>1349</v>
      </c>
      <c r="C253">
        <v>2000047440</v>
      </c>
      <c r="D253">
        <v>19970</v>
      </c>
    </row>
    <row r="254" spans="1:4">
      <c r="A254" t="s">
        <v>3946</v>
      </c>
      <c r="B254" t="s">
        <v>1349</v>
      </c>
      <c r="C254">
        <v>2000047420</v>
      </c>
      <c r="D254">
        <v>19960</v>
      </c>
    </row>
    <row r="255" spans="1:4">
      <c r="A255" t="s">
        <v>3946</v>
      </c>
      <c r="B255" t="s">
        <v>1349</v>
      </c>
      <c r="C255">
        <v>2000056250</v>
      </c>
      <c r="D255">
        <v>19950</v>
      </c>
    </row>
    <row r="256" spans="1:4">
      <c r="A256" t="s">
        <v>3946</v>
      </c>
      <c r="B256" t="s">
        <v>1349</v>
      </c>
      <c r="C256">
        <v>2000051380</v>
      </c>
      <c r="D256">
        <v>19940</v>
      </c>
    </row>
    <row r="257" spans="1:4">
      <c r="A257" t="s">
        <v>3946</v>
      </c>
      <c r="B257" t="s">
        <v>1349</v>
      </c>
      <c r="C257">
        <v>2000051370</v>
      </c>
      <c r="D257">
        <v>19930</v>
      </c>
    </row>
    <row r="258" spans="1:4">
      <c r="A258" t="s">
        <v>3946</v>
      </c>
      <c r="B258" t="s">
        <v>1349</v>
      </c>
      <c r="C258">
        <v>2000051340</v>
      </c>
      <c r="D258">
        <v>19920</v>
      </c>
    </row>
    <row r="259" spans="1:4">
      <c r="A259" t="s">
        <v>3946</v>
      </c>
      <c r="B259" t="s">
        <v>1349</v>
      </c>
      <c r="C259">
        <v>2000051360</v>
      </c>
      <c r="D259">
        <v>19910</v>
      </c>
    </row>
    <row r="260" spans="1:4">
      <c r="A260" t="s">
        <v>3946</v>
      </c>
      <c r="B260" t="s">
        <v>1349</v>
      </c>
      <c r="C260">
        <v>2000051350</v>
      </c>
      <c r="D260">
        <v>19900</v>
      </c>
    </row>
    <row r="261" spans="1:4">
      <c r="A261" t="s">
        <v>3946</v>
      </c>
      <c r="B261" t="s">
        <v>1349</v>
      </c>
      <c r="C261">
        <v>2000051330</v>
      </c>
      <c r="D261">
        <v>19890</v>
      </c>
    </row>
    <row r="262" spans="1:4">
      <c r="A262" t="s">
        <v>3946</v>
      </c>
      <c r="B262" t="s">
        <v>1349</v>
      </c>
      <c r="C262">
        <v>2000006030</v>
      </c>
      <c r="D262">
        <v>19830</v>
      </c>
    </row>
    <row r="263" spans="1:4">
      <c r="A263" t="s">
        <v>3946</v>
      </c>
      <c r="B263" t="s">
        <v>1349</v>
      </c>
      <c r="C263">
        <v>2000056240</v>
      </c>
      <c r="D263">
        <v>19830</v>
      </c>
    </row>
    <row r="264" spans="1:4">
      <c r="A264" t="s">
        <v>3946</v>
      </c>
      <c r="B264" t="s">
        <v>1349</v>
      </c>
      <c r="C264">
        <v>2000006020</v>
      </c>
      <c r="D264">
        <v>19820</v>
      </c>
    </row>
    <row r="265" spans="1:4">
      <c r="A265" t="s">
        <v>3946</v>
      </c>
      <c r="B265" t="s">
        <v>1349</v>
      </c>
      <c r="C265">
        <v>2000051320</v>
      </c>
      <c r="D265">
        <v>19820</v>
      </c>
    </row>
    <row r="266" spans="1:4">
      <c r="A266" t="s">
        <v>3946</v>
      </c>
      <c r="B266" t="s">
        <v>1349</v>
      </c>
      <c r="C266">
        <v>2000006000</v>
      </c>
      <c r="D266">
        <v>19810</v>
      </c>
    </row>
    <row r="267" spans="1:4">
      <c r="A267" t="s">
        <v>3946</v>
      </c>
      <c r="B267" t="s">
        <v>1349</v>
      </c>
      <c r="C267">
        <v>2000051210</v>
      </c>
      <c r="D267">
        <v>19810</v>
      </c>
    </row>
    <row r="268" spans="1:4">
      <c r="A268" t="s">
        <v>3946</v>
      </c>
      <c r="B268" t="s">
        <v>1349</v>
      </c>
      <c r="C268">
        <v>2000051180</v>
      </c>
      <c r="D268">
        <v>19800</v>
      </c>
    </row>
    <row r="269" spans="1:4">
      <c r="A269" t="s">
        <v>3946</v>
      </c>
      <c r="B269" t="s">
        <v>1349</v>
      </c>
      <c r="C269">
        <v>2000005990</v>
      </c>
      <c r="D269">
        <v>19780</v>
      </c>
    </row>
    <row r="270" spans="1:4">
      <c r="A270" t="s">
        <v>3946</v>
      </c>
      <c r="B270" t="s">
        <v>1349</v>
      </c>
      <c r="C270">
        <v>2000051150</v>
      </c>
      <c r="D270">
        <v>19780</v>
      </c>
    </row>
    <row r="271" spans="1:4">
      <c r="A271" t="s">
        <v>3946</v>
      </c>
      <c r="B271" t="s">
        <v>1349</v>
      </c>
      <c r="C271">
        <v>2000051160</v>
      </c>
      <c r="D271">
        <v>19770</v>
      </c>
    </row>
    <row r="272" spans="1:4">
      <c r="A272" t="s">
        <v>3946</v>
      </c>
      <c r="B272" t="s">
        <v>1349</v>
      </c>
      <c r="C272">
        <v>2000054140</v>
      </c>
      <c r="D272">
        <v>19760</v>
      </c>
    </row>
    <row r="273" spans="1:4">
      <c r="A273" t="s">
        <v>6010</v>
      </c>
      <c r="B273" t="s">
        <v>1349</v>
      </c>
      <c r="C273">
        <v>311160</v>
      </c>
      <c r="D273">
        <v>19760</v>
      </c>
    </row>
    <row r="274" spans="1:4">
      <c r="A274" t="s">
        <v>3946</v>
      </c>
      <c r="B274" t="s">
        <v>1349</v>
      </c>
      <c r="C274">
        <v>2000051140</v>
      </c>
      <c r="D274">
        <v>19750</v>
      </c>
    </row>
    <row r="275" spans="1:4">
      <c r="A275" t="s">
        <v>3946</v>
      </c>
      <c r="B275" t="s">
        <v>1349</v>
      </c>
      <c r="C275">
        <v>2000005960</v>
      </c>
      <c r="D275">
        <v>19740</v>
      </c>
    </row>
    <row r="276" spans="1:4">
      <c r="A276" t="s">
        <v>3946</v>
      </c>
      <c r="B276" t="s">
        <v>1349</v>
      </c>
      <c r="C276">
        <v>2000051120</v>
      </c>
      <c r="D276">
        <v>19740</v>
      </c>
    </row>
    <row r="277" spans="1:4">
      <c r="A277" t="s">
        <v>6010</v>
      </c>
      <c r="B277" t="s">
        <v>1349</v>
      </c>
      <c r="C277">
        <v>311110</v>
      </c>
      <c r="D277">
        <v>19740</v>
      </c>
    </row>
    <row r="278" spans="1:4">
      <c r="A278" t="s">
        <v>3946</v>
      </c>
      <c r="B278" t="s">
        <v>1349</v>
      </c>
      <c r="C278">
        <v>2000051190</v>
      </c>
      <c r="D278">
        <v>19730</v>
      </c>
    </row>
    <row r="279" spans="1:4">
      <c r="A279" t="s">
        <v>3946</v>
      </c>
      <c r="B279" t="s">
        <v>1349</v>
      </c>
      <c r="C279">
        <v>2000051130</v>
      </c>
      <c r="D279">
        <v>19710</v>
      </c>
    </row>
    <row r="280" spans="1:4">
      <c r="A280" t="s">
        <v>3946</v>
      </c>
      <c r="B280" t="s">
        <v>1349</v>
      </c>
      <c r="C280">
        <v>2000051270</v>
      </c>
      <c r="D280">
        <v>19700</v>
      </c>
    </row>
    <row r="281" spans="1:4">
      <c r="A281" t="s">
        <v>3946</v>
      </c>
      <c r="B281" t="s">
        <v>1349</v>
      </c>
      <c r="C281">
        <v>2000054120</v>
      </c>
      <c r="D281">
        <v>19700</v>
      </c>
    </row>
    <row r="282" spans="1:4">
      <c r="A282" t="s">
        <v>6010</v>
      </c>
      <c r="B282" t="s">
        <v>1349</v>
      </c>
      <c r="C282">
        <v>311130</v>
      </c>
      <c r="D282">
        <v>19700</v>
      </c>
    </row>
    <row r="283" spans="1:4">
      <c r="A283" t="s">
        <v>3061</v>
      </c>
      <c r="B283" t="s">
        <v>1349</v>
      </c>
      <c r="C283">
        <v>412070</v>
      </c>
      <c r="D283">
        <v>19700</v>
      </c>
    </row>
    <row r="284" spans="1:4">
      <c r="A284" t="s">
        <v>3946</v>
      </c>
      <c r="B284" t="s">
        <v>1349</v>
      </c>
      <c r="C284">
        <v>2000051280</v>
      </c>
      <c r="D284">
        <v>19690</v>
      </c>
    </row>
    <row r="285" spans="1:4">
      <c r="A285" t="s">
        <v>3946</v>
      </c>
      <c r="B285" t="s">
        <v>1349</v>
      </c>
      <c r="C285">
        <v>2000005950</v>
      </c>
      <c r="D285">
        <v>19680</v>
      </c>
    </row>
    <row r="286" spans="1:4">
      <c r="A286" t="s">
        <v>3946</v>
      </c>
      <c r="B286" t="s">
        <v>1349</v>
      </c>
      <c r="C286">
        <v>2000005949</v>
      </c>
      <c r="D286">
        <v>19670</v>
      </c>
    </row>
    <row r="287" spans="1:4">
      <c r="A287" t="s">
        <v>3946</v>
      </c>
      <c r="B287" t="s">
        <v>1349</v>
      </c>
      <c r="C287">
        <v>2000051100</v>
      </c>
      <c r="D287">
        <v>19670</v>
      </c>
    </row>
    <row r="288" spans="1:4">
      <c r="A288" t="s">
        <v>6010</v>
      </c>
      <c r="B288" t="s">
        <v>1349</v>
      </c>
      <c r="C288">
        <v>311100</v>
      </c>
      <c r="D288">
        <v>19670</v>
      </c>
    </row>
    <row r="289" spans="1:4">
      <c r="A289" t="s">
        <v>3946</v>
      </c>
      <c r="B289" t="s">
        <v>1349</v>
      </c>
      <c r="C289">
        <v>2000056220</v>
      </c>
      <c r="D289">
        <v>19660</v>
      </c>
    </row>
    <row r="290" spans="1:4">
      <c r="A290" t="s">
        <v>3946</v>
      </c>
      <c r="B290" t="s">
        <v>1349</v>
      </c>
      <c r="C290">
        <v>2000050950</v>
      </c>
      <c r="D290">
        <v>19650</v>
      </c>
    </row>
    <row r="291" spans="1:4">
      <c r="A291" t="s">
        <v>3946</v>
      </c>
      <c r="B291" t="s">
        <v>1349</v>
      </c>
      <c r="C291">
        <v>2000050810</v>
      </c>
      <c r="D291">
        <v>19640</v>
      </c>
    </row>
    <row r="292" spans="1:4">
      <c r="A292" t="s">
        <v>3946</v>
      </c>
      <c r="B292" t="s">
        <v>1349</v>
      </c>
      <c r="C292">
        <v>2000050660</v>
      </c>
      <c r="D292">
        <v>19630</v>
      </c>
    </row>
    <row r="293" spans="1:4">
      <c r="A293" t="s">
        <v>3946</v>
      </c>
      <c r="B293" t="s">
        <v>1349</v>
      </c>
      <c r="C293">
        <v>2000050700</v>
      </c>
      <c r="D293">
        <v>19620</v>
      </c>
    </row>
    <row r="294" spans="1:4">
      <c r="A294" t="s">
        <v>3946</v>
      </c>
      <c r="B294" t="s">
        <v>1349</v>
      </c>
      <c r="C294">
        <v>2000050710</v>
      </c>
      <c r="D294">
        <v>19610</v>
      </c>
    </row>
    <row r="295" spans="1:4">
      <c r="A295" t="s">
        <v>3946</v>
      </c>
      <c r="B295" t="s">
        <v>1349</v>
      </c>
      <c r="C295">
        <v>2000050770</v>
      </c>
      <c r="D295">
        <v>19600</v>
      </c>
    </row>
    <row r="296" spans="1:4">
      <c r="A296" t="s">
        <v>3946</v>
      </c>
      <c r="B296" t="s">
        <v>1349</v>
      </c>
      <c r="C296">
        <v>2000050880</v>
      </c>
      <c r="D296">
        <v>19590</v>
      </c>
    </row>
    <row r="297" spans="1:4">
      <c r="A297" t="s">
        <v>3946</v>
      </c>
      <c r="B297" t="s">
        <v>1349</v>
      </c>
      <c r="C297">
        <v>2000050670</v>
      </c>
      <c r="D297">
        <v>19580</v>
      </c>
    </row>
    <row r="298" spans="1:4">
      <c r="A298" t="s">
        <v>3946</v>
      </c>
      <c r="B298" t="s">
        <v>1349</v>
      </c>
      <c r="C298">
        <v>2000050790</v>
      </c>
      <c r="D298">
        <v>19570</v>
      </c>
    </row>
    <row r="299" spans="1:4">
      <c r="A299" t="s">
        <v>3946</v>
      </c>
      <c r="B299" t="s">
        <v>1349</v>
      </c>
      <c r="C299">
        <v>2000050750</v>
      </c>
      <c r="D299">
        <v>19560</v>
      </c>
    </row>
    <row r="300" spans="1:4">
      <c r="A300" t="s">
        <v>3946</v>
      </c>
      <c r="B300" t="s">
        <v>1349</v>
      </c>
      <c r="C300">
        <v>2000050730</v>
      </c>
      <c r="D300">
        <v>19550</v>
      </c>
    </row>
    <row r="301" spans="1:4">
      <c r="A301" t="s">
        <v>3946</v>
      </c>
      <c r="B301" t="s">
        <v>1349</v>
      </c>
      <c r="C301">
        <v>2000050740</v>
      </c>
      <c r="D301">
        <v>19540</v>
      </c>
    </row>
    <row r="302" spans="1:4">
      <c r="A302" t="s">
        <v>3946</v>
      </c>
      <c r="B302" t="s">
        <v>1349</v>
      </c>
      <c r="C302">
        <v>2000050800</v>
      </c>
      <c r="D302">
        <v>19530</v>
      </c>
    </row>
    <row r="303" spans="1:4">
      <c r="A303" t="s">
        <v>3946</v>
      </c>
      <c r="B303" t="s">
        <v>1349</v>
      </c>
      <c r="C303">
        <v>2000050820</v>
      </c>
      <c r="D303">
        <v>19520</v>
      </c>
    </row>
    <row r="304" spans="1:4">
      <c r="A304" t="s">
        <v>3946</v>
      </c>
      <c r="B304" t="s">
        <v>1349</v>
      </c>
      <c r="C304">
        <v>2000050640</v>
      </c>
      <c r="D304">
        <v>19510</v>
      </c>
    </row>
    <row r="305" spans="1:4">
      <c r="A305" t="s">
        <v>3946</v>
      </c>
      <c r="B305" t="s">
        <v>1349</v>
      </c>
      <c r="C305">
        <v>2000050610</v>
      </c>
      <c r="D305">
        <v>19500</v>
      </c>
    </row>
    <row r="306" spans="1:4">
      <c r="A306" t="s">
        <v>3946</v>
      </c>
      <c r="B306" t="s">
        <v>1349</v>
      </c>
      <c r="C306">
        <v>2000056210</v>
      </c>
      <c r="D306">
        <v>19490</v>
      </c>
    </row>
    <row r="307" spans="1:4">
      <c r="A307" t="s">
        <v>3946</v>
      </c>
      <c r="B307" t="s">
        <v>1349</v>
      </c>
      <c r="C307">
        <v>2000050600</v>
      </c>
      <c r="D307">
        <v>19480</v>
      </c>
    </row>
    <row r="308" spans="1:4">
      <c r="A308" t="s">
        <v>3946</v>
      </c>
      <c r="B308" t="s">
        <v>1349</v>
      </c>
      <c r="C308">
        <v>2000050590</v>
      </c>
      <c r="D308">
        <v>19470</v>
      </c>
    </row>
    <row r="309" spans="1:4">
      <c r="A309" t="s">
        <v>3946</v>
      </c>
      <c r="B309" t="s">
        <v>1349</v>
      </c>
      <c r="C309">
        <v>2000050580</v>
      </c>
      <c r="D309">
        <v>19460</v>
      </c>
    </row>
    <row r="310" spans="1:4">
      <c r="A310" t="s">
        <v>3946</v>
      </c>
      <c r="B310" t="s">
        <v>1349</v>
      </c>
      <c r="C310">
        <v>2000050480</v>
      </c>
      <c r="D310">
        <v>19450</v>
      </c>
    </row>
    <row r="311" spans="1:4">
      <c r="A311" t="s">
        <v>3946</v>
      </c>
      <c r="B311" t="s">
        <v>1349</v>
      </c>
      <c r="C311">
        <v>2000050460</v>
      </c>
      <c r="D311">
        <v>19440</v>
      </c>
    </row>
    <row r="312" spans="1:4">
      <c r="A312" t="s">
        <v>3946</v>
      </c>
      <c r="B312" t="s">
        <v>1349</v>
      </c>
      <c r="C312">
        <v>2000050470</v>
      </c>
      <c r="D312">
        <v>19430</v>
      </c>
    </row>
    <row r="313" spans="1:4">
      <c r="A313" t="s">
        <v>3946</v>
      </c>
      <c r="B313" t="s">
        <v>1349</v>
      </c>
      <c r="C313">
        <v>2000050450</v>
      </c>
      <c r="D313">
        <v>19420</v>
      </c>
    </row>
    <row r="314" spans="1:4">
      <c r="A314" t="s">
        <v>3946</v>
      </c>
      <c r="B314" t="s">
        <v>1349</v>
      </c>
      <c r="C314">
        <v>2000056200</v>
      </c>
      <c r="D314">
        <v>19410</v>
      </c>
    </row>
    <row r="315" spans="1:4">
      <c r="A315" t="s">
        <v>3946</v>
      </c>
      <c r="B315" t="s">
        <v>1349</v>
      </c>
      <c r="C315">
        <v>2000050440</v>
      </c>
      <c r="D315">
        <v>19400</v>
      </c>
    </row>
    <row r="316" spans="1:4">
      <c r="A316" t="s">
        <v>3946</v>
      </c>
      <c r="B316" t="s">
        <v>1349</v>
      </c>
      <c r="C316">
        <v>2000050430</v>
      </c>
      <c r="D316">
        <v>19390</v>
      </c>
    </row>
    <row r="317" spans="1:4">
      <c r="A317" t="s">
        <v>3946</v>
      </c>
      <c r="B317" t="s">
        <v>1349</v>
      </c>
      <c r="C317">
        <v>2000050420</v>
      </c>
      <c r="D317">
        <v>19380</v>
      </c>
    </row>
    <row r="318" spans="1:4">
      <c r="A318" t="s">
        <v>3946</v>
      </c>
      <c r="B318" t="s">
        <v>1349</v>
      </c>
      <c r="C318">
        <v>2000050410</v>
      </c>
      <c r="D318">
        <v>19370</v>
      </c>
    </row>
    <row r="319" spans="1:4">
      <c r="A319" t="s">
        <v>3946</v>
      </c>
      <c r="B319" t="s">
        <v>1349</v>
      </c>
      <c r="C319">
        <v>2000050400</v>
      </c>
      <c r="D319">
        <v>19360</v>
      </c>
    </row>
    <row r="320" spans="1:4">
      <c r="A320" t="s">
        <v>3946</v>
      </c>
      <c r="B320" t="s">
        <v>1349</v>
      </c>
      <c r="C320">
        <v>2000056190</v>
      </c>
      <c r="D320">
        <v>19350</v>
      </c>
    </row>
    <row r="321" spans="1:4">
      <c r="A321" t="s">
        <v>3946</v>
      </c>
      <c r="B321" t="s">
        <v>1349</v>
      </c>
      <c r="C321">
        <v>2000050390</v>
      </c>
      <c r="D321">
        <v>19340</v>
      </c>
    </row>
    <row r="322" spans="1:4">
      <c r="A322" t="s">
        <v>3946</v>
      </c>
      <c r="B322" t="s">
        <v>1349</v>
      </c>
      <c r="C322">
        <v>2000050380</v>
      </c>
      <c r="D322">
        <v>19330</v>
      </c>
    </row>
    <row r="323" spans="1:4">
      <c r="A323" t="s">
        <v>3946</v>
      </c>
      <c r="B323" t="s">
        <v>1349</v>
      </c>
      <c r="C323">
        <v>2000050370</v>
      </c>
      <c r="D323">
        <v>19320</v>
      </c>
    </row>
    <row r="324" spans="1:4">
      <c r="A324" t="s">
        <v>3946</v>
      </c>
      <c r="B324" t="s">
        <v>1349</v>
      </c>
      <c r="C324">
        <v>2000050360</v>
      </c>
      <c r="D324">
        <v>19310</v>
      </c>
    </row>
    <row r="325" spans="1:4">
      <c r="A325" t="s">
        <v>3946</v>
      </c>
      <c r="B325" t="s">
        <v>1349</v>
      </c>
      <c r="C325">
        <v>2000050350</v>
      </c>
      <c r="D325">
        <v>19300</v>
      </c>
    </row>
    <row r="326" spans="1:4">
      <c r="A326" t="s">
        <v>3946</v>
      </c>
      <c r="B326" t="s">
        <v>1349</v>
      </c>
      <c r="C326">
        <v>2000056180</v>
      </c>
      <c r="D326">
        <v>19290</v>
      </c>
    </row>
    <row r="327" spans="1:4">
      <c r="A327" t="s">
        <v>3946</v>
      </c>
      <c r="B327" t="s">
        <v>1349</v>
      </c>
      <c r="C327">
        <v>2000047410</v>
      </c>
      <c r="D327">
        <v>19280</v>
      </c>
    </row>
    <row r="328" spans="1:4">
      <c r="A328" t="s">
        <v>3946</v>
      </c>
      <c r="B328" t="s">
        <v>1349</v>
      </c>
      <c r="C328">
        <v>2000047370</v>
      </c>
      <c r="D328">
        <v>19270</v>
      </c>
    </row>
    <row r="329" spans="1:4">
      <c r="A329" t="s">
        <v>3946</v>
      </c>
      <c r="B329" t="s">
        <v>1349</v>
      </c>
      <c r="C329">
        <v>2000047360</v>
      </c>
      <c r="D329">
        <v>19260</v>
      </c>
    </row>
    <row r="330" spans="1:4">
      <c r="A330" t="s">
        <v>3946</v>
      </c>
      <c r="B330" t="s">
        <v>1349</v>
      </c>
      <c r="C330">
        <v>2000047400</v>
      </c>
      <c r="D330">
        <v>19250</v>
      </c>
    </row>
    <row r="331" spans="1:4">
      <c r="A331" t="s">
        <v>3946</v>
      </c>
      <c r="B331" t="s">
        <v>1349</v>
      </c>
      <c r="C331">
        <v>2000047380</v>
      </c>
      <c r="D331">
        <v>19240</v>
      </c>
    </row>
    <row r="332" spans="1:4">
      <c r="A332" t="s">
        <v>3946</v>
      </c>
      <c r="B332" t="s">
        <v>1349</v>
      </c>
      <c r="C332">
        <v>2000047390</v>
      </c>
      <c r="D332">
        <v>19230</v>
      </c>
    </row>
    <row r="333" spans="1:4">
      <c r="A333" t="s">
        <v>3946</v>
      </c>
      <c r="B333" t="s">
        <v>1349</v>
      </c>
      <c r="C333">
        <v>2000047350</v>
      </c>
      <c r="D333">
        <v>19220</v>
      </c>
    </row>
    <row r="334" spans="1:4">
      <c r="A334" t="s">
        <v>3946</v>
      </c>
      <c r="B334" t="s">
        <v>1349</v>
      </c>
      <c r="C334">
        <v>2000047340</v>
      </c>
      <c r="D334">
        <v>19210</v>
      </c>
    </row>
    <row r="335" spans="1:4">
      <c r="A335" t="s">
        <v>3946</v>
      </c>
      <c r="B335" t="s">
        <v>1349</v>
      </c>
      <c r="C335">
        <v>2000047330</v>
      </c>
      <c r="D335">
        <v>19200</v>
      </c>
    </row>
    <row r="336" spans="1:4">
      <c r="A336" t="s">
        <v>3946</v>
      </c>
      <c r="B336" t="s">
        <v>1349</v>
      </c>
      <c r="C336">
        <v>2000056170</v>
      </c>
      <c r="D336">
        <v>19190</v>
      </c>
    </row>
    <row r="337" spans="1:4">
      <c r="A337" t="s">
        <v>3946</v>
      </c>
      <c r="B337" t="s">
        <v>1349</v>
      </c>
      <c r="C337">
        <v>2000050340</v>
      </c>
      <c r="D337">
        <v>19180</v>
      </c>
    </row>
    <row r="338" spans="1:4">
      <c r="A338" t="s">
        <v>3946</v>
      </c>
      <c r="B338" t="s">
        <v>1349</v>
      </c>
      <c r="C338">
        <v>2000050330</v>
      </c>
      <c r="D338">
        <v>19170</v>
      </c>
    </row>
    <row r="339" spans="1:4">
      <c r="A339" t="s">
        <v>3946</v>
      </c>
      <c r="B339" t="s">
        <v>1349</v>
      </c>
      <c r="C339">
        <v>2000050320</v>
      </c>
      <c r="D339">
        <v>19160</v>
      </c>
    </row>
    <row r="340" spans="1:4">
      <c r="A340" t="s">
        <v>3946</v>
      </c>
      <c r="B340" t="s">
        <v>1349</v>
      </c>
      <c r="C340">
        <v>2000050310</v>
      </c>
      <c r="D340">
        <v>19150</v>
      </c>
    </row>
    <row r="341" spans="1:4">
      <c r="A341" t="s">
        <v>3946</v>
      </c>
      <c r="B341" t="s">
        <v>1349</v>
      </c>
      <c r="C341">
        <v>2000050300</v>
      </c>
      <c r="D341">
        <v>19140</v>
      </c>
    </row>
    <row r="342" spans="1:4">
      <c r="A342" t="s">
        <v>3946</v>
      </c>
      <c r="B342" t="s">
        <v>1349</v>
      </c>
      <c r="C342">
        <v>2000056160</v>
      </c>
      <c r="D342">
        <v>19130</v>
      </c>
    </row>
    <row r="343" spans="1:4">
      <c r="A343" t="s">
        <v>3946</v>
      </c>
      <c r="B343" t="s">
        <v>1349</v>
      </c>
      <c r="C343">
        <v>2000047320</v>
      </c>
      <c r="D343">
        <v>19120</v>
      </c>
    </row>
    <row r="344" spans="1:4">
      <c r="A344" t="s">
        <v>3946</v>
      </c>
      <c r="B344" t="s">
        <v>1349</v>
      </c>
      <c r="C344">
        <v>2000047280</v>
      </c>
      <c r="D344">
        <v>19110</v>
      </c>
    </row>
    <row r="345" spans="1:4">
      <c r="A345" t="s">
        <v>3946</v>
      </c>
      <c r="B345" t="s">
        <v>1349</v>
      </c>
      <c r="C345">
        <v>2000047290</v>
      </c>
      <c r="D345">
        <v>19100</v>
      </c>
    </row>
    <row r="346" spans="1:4">
      <c r="A346" t="s">
        <v>3946</v>
      </c>
      <c r="B346" t="s">
        <v>1349</v>
      </c>
      <c r="C346">
        <v>2000047300</v>
      </c>
      <c r="D346">
        <v>19090</v>
      </c>
    </row>
    <row r="347" spans="1:4">
      <c r="A347" t="s">
        <v>3946</v>
      </c>
      <c r="B347" t="s">
        <v>1349</v>
      </c>
      <c r="C347">
        <v>2000047270</v>
      </c>
      <c r="D347">
        <v>19080</v>
      </c>
    </row>
    <row r="348" spans="1:4">
      <c r="A348" t="s">
        <v>3946</v>
      </c>
      <c r="B348" t="s">
        <v>1349</v>
      </c>
      <c r="C348">
        <v>2000047310</v>
      </c>
      <c r="D348">
        <v>19070</v>
      </c>
    </row>
    <row r="349" spans="1:4">
      <c r="A349" t="s">
        <v>3946</v>
      </c>
      <c r="B349" t="s">
        <v>1349</v>
      </c>
      <c r="C349">
        <v>2000047260</v>
      </c>
      <c r="D349">
        <v>19060</v>
      </c>
    </row>
    <row r="350" spans="1:4">
      <c r="A350" t="s">
        <v>464</v>
      </c>
      <c r="B350" t="s">
        <v>1349</v>
      </c>
      <c r="C350">
        <v>201670</v>
      </c>
      <c r="D350">
        <v>19040</v>
      </c>
    </row>
    <row r="351" spans="1:4">
      <c r="A351" t="s">
        <v>464</v>
      </c>
      <c r="B351" t="s">
        <v>1349</v>
      </c>
      <c r="C351">
        <v>201620</v>
      </c>
      <c r="D351">
        <v>19030</v>
      </c>
    </row>
    <row r="352" spans="1:4">
      <c r="A352" t="s">
        <v>464</v>
      </c>
      <c r="B352" t="s">
        <v>1349</v>
      </c>
      <c r="C352">
        <v>201630</v>
      </c>
      <c r="D352">
        <v>19020</v>
      </c>
    </row>
    <row r="353" spans="1:4">
      <c r="A353" t="s">
        <v>464</v>
      </c>
      <c r="B353" t="s">
        <v>1349</v>
      </c>
      <c r="C353">
        <v>201600</v>
      </c>
      <c r="D353">
        <v>19010</v>
      </c>
    </row>
    <row r="354" spans="1:4">
      <c r="A354" t="s">
        <v>464</v>
      </c>
      <c r="B354" t="s">
        <v>1349</v>
      </c>
      <c r="C354">
        <v>201610</v>
      </c>
      <c r="D354">
        <v>19000</v>
      </c>
    </row>
    <row r="355" spans="1:4">
      <c r="A355" t="s">
        <v>464</v>
      </c>
      <c r="B355" t="s">
        <v>1349</v>
      </c>
      <c r="C355">
        <v>201590</v>
      </c>
      <c r="D355">
        <v>18990</v>
      </c>
    </row>
    <row r="356" spans="1:4">
      <c r="A356" t="s">
        <v>3946</v>
      </c>
      <c r="B356" t="s">
        <v>1349</v>
      </c>
      <c r="C356">
        <v>2000003760</v>
      </c>
      <c r="D356">
        <v>18980</v>
      </c>
    </row>
    <row r="357" spans="1:4">
      <c r="A357" t="s">
        <v>464</v>
      </c>
      <c r="B357" t="s">
        <v>1349</v>
      </c>
      <c r="C357">
        <v>201580</v>
      </c>
      <c r="D357">
        <v>18970</v>
      </c>
    </row>
    <row r="358" spans="1:4">
      <c r="A358" t="s">
        <v>3946</v>
      </c>
      <c r="B358" t="s">
        <v>1349</v>
      </c>
      <c r="C358">
        <v>2000003750</v>
      </c>
      <c r="D358">
        <v>18970</v>
      </c>
    </row>
    <row r="359" spans="1:4">
      <c r="A359" t="s">
        <v>6010</v>
      </c>
      <c r="B359" t="s">
        <v>1349</v>
      </c>
      <c r="C359">
        <v>307630</v>
      </c>
      <c r="D359">
        <v>18970</v>
      </c>
    </row>
    <row r="360" spans="1:4">
      <c r="A360" t="s">
        <v>464</v>
      </c>
      <c r="B360" t="s">
        <v>1349</v>
      </c>
      <c r="C360">
        <v>201460</v>
      </c>
      <c r="D360">
        <v>18940</v>
      </c>
    </row>
    <row r="361" spans="1:4">
      <c r="A361" t="s">
        <v>464</v>
      </c>
      <c r="B361" t="s">
        <v>1349</v>
      </c>
      <c r="C361">
        <v>201560</v>
      </c>
      <c r="D361">
        <v>18910</v>
      </c>
    </row>
    <row r="362" spans="1:4">
      <c r="A362" t="s">
        <v>464</v>
      </c>
      <c r="B362" t="s">
        <v>1349</v>
      </c>
      <c r="C362">
        <v>201510</v>
      </c>
      <c r="D362">
        <v>18890</v>
      </c>
    </row>
    <row r="363" spans="1:4">
      <c r="A363" t="s">
        <v>3946</v>
      </c>
      <c r="B363" t="s">
        <v>1349</v>
      </c>
      <c r="C363">
        <v>2000003720</v>
      </c>
      <c r="D363">
        <v>18880</v>
      </c>
    </row>
    <row r="364" spans="1:4">
      <c r="A364" t="s">
        <v>6010</v>
      </c>
      <c r="B364" t="s">
        <v>1349</v>
      </c>
      <c r="C364">
        <v>307590</v>
      </c>
      <c r="D364">
        <v>18880</v>
      </c>
    </row>
    <row r="365" spans="1:4">
      <c r="A365" t="s">
        <v>3946</v>
      </c>
      <c r="B365" t="s">
        <v>1349</v>
      </c>
      <c r="C365">
        <v>2000003680</v>
      </c>
      <c r="D365">
        <v>18850</v>
      </c>
    </row>
    <row r="366" spans="1:4">
      <c r="A366" t="s">
        <v>6010</v>
      </c>
      <c r="B366" t="s">
        <v>1349</v>
      </c>
      <c r="C366">
        <v>307580</v>
      </c>
      <c r="D366">
        <v>18850</v>
      </c>
    </row>
    <row r="367" spans="1:4">
      <c r="A367" t="s">
        <v>464</v>
      </c>
      <c r="B367" t="s">
        <v>1349</v>
      </c>
      <c r="C367">
        <v>201440</v>
      </c>
      <c r="D367">
        <v>18840</v>
      </c>
    </row>
    <row r="368" spans="1:4">
      <c r="A368" t="s">
        <v>3946</v>
      </c>
      <c r="B368" t="s">
        <v>1349</v>
      </c>
      <c r="C368">
        <v>2000003679</v>
      </c>
      <c r="D368">
        <v>18840</v>
      </c>
    </row>
    <row r="369" spans="1:4">
      <c r="A369" t="s">
        <v>6010</v>
      </c>
      <c r="B369" t="s">
        <v>1349</v>
      </c>
      <c r="C369">
        <v>307570</v>
      </c>
      <c r="D369">
        <v>18840</v>
      </c>
    </row>
    <row r="370" spans="1:4">
      <c r="A370" t="s">
        <v>3946</v>
      </c>
      <c r="B370" t="s">
        <v>1349</v>
      </c>
      <c r="C370">
        <v>2000048290</v>
      </c>
      <c r="D370">
        <v>18830</v>
      </c>
    </row>
    <row r="371" spans="1:4">
      <c r="A371" t="s">
        <v>3946</v>
      </c>
      <c r="B371" t="s">
        <v>1349</v>
      </c>
      <c r="C371">
        <v>2000048295</v>
      </c>
      <c r="D371">
        <v>18820</v>
      </c>
    </row>
    <row r="372" spans="1:4">
      <c r="A372" t="s">
        <v>3946</v>
      </c>
      <c r="B372" t="s">
        <v>1349</v>
      </c>
      <c r="C372">
        <v>2000048240</v>
      </c>
      <c r="D372">
        <v>18810</v>
      </c>
    </row>
    <row r="373" spans="1:4">
      <c r="A373" t="s">
        <v>3946</v>
      </c>
      <c r="B373" t="s">
        <v>1349</v>
      </c>
      <c r="C373">
        <v>2000048260</v>
      </c>
      <c r="D373">
        <v>18800</v>
      </c>
    </row>
    <row r="374" spans="1:4">
      <c r="A374" t="s">
        <v>3946</v>
      </c>
      <c r="B374" t="s">
        <v>1349</v>
      </c>
      <c r="C374">
        <v>2000048280</v>
      </c>
      <c r="D374">
        <v>18790</v>
      </c>
    </row>
    <row r="375" spans="1:4">
      <c r="A375" t="s">
        <v>3946</v>
      </c>
      <c r="B375" t="s">
        <v>1349</v>
      </c>
      <c r="C375">
        <v>2000048250</v>
      </c>
      <c r="D375">
        <v>18780</v>
      </c>
    </row>
    <row r="376" spans="1:4">
      <c r="A376" t="s">
        <v>3946</v>
      </c>
      <c r="B376" t="s">
        <v>1349</v>
      </c>
      <c r="C376">
        <v>2000048270</v>
      </c>
      <c r="D376">
        <v>18770</v>
      </c>
    </row>
    <row r="377" spans="1:4">
      <c r="A377" t="s">
        <v>3946</v>
      </c>
      <c r="B377" t="s">
        <v>1349</v>
      </c>
      <c r="C377">
        <v>2000048220</v>
      </c>
      <c r="D377">
        <v>18760</v>
      </c>
    </row>
    <row r="378" spans="1:4">
      <c r="A378" t="s">
        <v>3946</v>
      </c>
      <c r="B378" t="s">
        <v>1349</v>
      </c>
      <c r="C378">
        <v>2000048230</v>
      </c>
      <c r="D378">
        <v>18750</v>
      </c>
    </row>
    <row r="379" spans="1:4">
      <c r="A379" t="s">
        <v>3946</v>
      </c>
      <c r="B379" t="s">
        <v>1349</v>
      </c>
      <c r="C379">
        <v>2000048210</v>
      </c>
      <c r="D379">
        <v>18740</v>
      </c>
    </row>
    <row r="380" spans="1:4">
      <c r="A380" t="s">
        <v>3946</v>
      </c>
      <c r="B380" t="s">
        <v>1349</v>
      </c>
      <c r="C380">
        <v>2000048200</v>
      </c>
      <c r="D380">
        <v>18730</v>
      </c>
    </row>
    <row r="381" spans="1:4">
      <c r="A381" t="s">
        <v>3946</v>
      </c>
      <c r="B381" t="s">
        <v>1349</v>
      </c>
      <c r="C381">
        <v>2000048201</v>
      </c>
      <c r="D381">
        <v>18720</v>
      </c>
    </row>
    <row r="382" spans="1:4">
      <c r="A382" t="s">
        <v>3946</v>
      </c>
      <c r="B382" t="s">
        <v>1349</v>
      </c>
      <c r="C382">
        <v>2000048180</v>
      </c>
      <c r="D382">
        <v>18710</v>
      </c>
    </row>
    <row r="383" spans="1:4">
      <c r="A383" t="s">
        <v>3946</v>
      </c>
      <c r="B383" t="s">
        <v>1349</v>
      </c>
      <c r="C383">
        <v>2000048205</v>
      </c>
      <c r="D383">
        <v>18700</v>
      </c>
    </row>
    <row r="384" spans="1:4">
      <c r="A384" t="s">
        <v>3946</v>
      </c>
      <c r="B384" t="s">
        <v>1349</v>
      </c>
      <c r="C384">
        <v>2000048170</v>
      </c>
      <c r="D384">
        <v>18690</v>
      </c>
    </row>
    <row r="385" spans="1:4">
      <c r="A385" t="s">
        <v>3946</v>
      </c>
      <c r="B385" t="s">
        <v>1349</v>
      </c>
      <c r="C385">
        <v>2000048110</v>
      </c>
      <c r="D385">
        <v>18680</v>
      </c>
    </row>
    <row r="386" spans="1:4">
      <c r="A386" t="s">
        <v>3946</v>
      </c>
      <c r="B386" t="s">
        <v>1349</v>
      </c>
      <c r="C386">
        <v>2000048160</v>
      </c>
      <c r="D386">
        <v>18670</v>
      </c>
    </row>
    <row r="387" spans="1:4">
      <c r="A387" t="s">
        <v>3946</v>
      </c>
      <c r="B387" t="s">
        <v>1349</v>
      </c>
      <c r="C387">
        <v>2000048203</v>
      </c>
      <c r="D387">
        <v>18660</v>
      </c>
    </row>
    <row r="388" spans="1:4">
      <c r="A388" t="s">
        <v>3946</v>
      </c>
      <c r="B388" t="s">
        <v>1349</v>
      </c>
      <c r="C388">
        <v>2000048202</v>
      </c>
      <c r="D388">
        <v>18650</v>
      </c>
    </row>
    <row r="389" spans="1:4">
      <c r="A389" t="s">
        <v>3946</v>
      </c>
      <c r="B389" t="s">
        <v>1349</v>
      </c>
      <c r="C389">
        <v>2000048130</v>
      </c>
      <c r="D389">
        <v>18640</v>
      </c>
    </row>
    <row r="390" spans="1:4">
      <c r="A390" t="s">
        <v>3946</v>
      </c>
      <c r="B390" t="s">
        <v>1349</v>
      </c>
      <c r="C390">
        <v>2000048150</v>
      </c>
      <c r="D390">
        <v>18630</v>
      </c>
    </row>
    <row r="391" spans="1:4">
      <c r="A391" t="s">
        <v>3946</v>
      </c>
      <c r="B391" t="s">
        <v>1349</v>
      </c>
      <c r="C391">
        <v>2000048140</v>
      </c>
      <c r="D391">
        <v>18620</v>
      </c>
    </row>
    <row r="392" spans="1:4">
      <c r="A392" t="s">
        <v>3946</v>
      </c>
      <c r="B392" t="s">
        <v>1349</v>
      </c>
      <c r="C392">
        <v>2000048204</v>
      </c>
      <c r="D392">
        <v>18610</v>
      </c>
    </row>
    <row r="393" spans="1:4">
      <c r="A393" t="s">
        <v>3946</v>
      </c>
      <c r="B393" t="s">
        <v>1349</v>
      </c>
      <c r="C393">
        <v>2000048120</v>
      </c>
      <c r="D393">
        <v>18600</v>
      </c>
    </row>
    <row r="394" spans="1:4">
      <c r="A394" t="s">
        <v>3946</v>
      </c>
      <c r="B394" t="s">
        <v>1349</v>
      </c>
      <c r="C394">
        <v>2000048100</v>
      </c>
      <c r="D394">
        <v>18590</v>
      </c>
    </row>
    <row r="395" spans="1:4">
      <c r="A395" t="s">
        <v>3946</v>
      </c>
      <c r="B395" t="s">
        <v>1349</v>
      </c>
      <c r="C395">
        <v>2000048091</v>
      </c>
      <c r="D395">
        <v>18580</v>
      </c>
    </row>
    <row r="396" spans="1:4">
      <c r="A396" t="s">
        <v>3946</v>
      </c>
      <c r="B396" t="s">
        <v>1349</v>
      </c>
      <c r="C396">
        <v>2000048090</v>
      </c>
      <c r="D396">
        <v>18570</v>
      </c>
    </row>
    <row r="397" spans="1:4">
      <c r="A397" t="s">
        <v>3946</v>
      </c>
      <c r="B397" t="s">
        <v>1349</v>
      </c>
      <c r="C397">
        <v>2000048080</v>
      </c>
      <c r="D397">
        <v>18560</v>
      </c>
    </row>
    <row r="398" spans="1:4">
      <c r="A398" t="s">
        <v>3946</v>
      </c>
      <c r="B398" t="s">
        <v>1349</v>
      </c>
      <c r="C398">
        <v>2000048060</v>
      </c>
      <c r="D398">
        <v>18550</v>
      </c>
    </row>
    <row r="399" spans="1:4">
      <c r="A399" t="s">
        <v>3946</v>
      </c>
      <c r="B399" t="s">
        <v>1349</v>
      </c>
      <c r="C399">
        <v>2000048070</v>
      </c>
      <c r="D399">
        <v>18540</v>
      </c>
    </row>
    <row r="400" spans="1:4">
      <c r="A400" t="s">
        <v>3946</v>
      </c>
      <c r="B400" t="s">
        <v>1349</v>
      </c>
      <c r="C400">
        <v>2000048050</v>
      </c>
      <c r="D400">
        <v>18530</v>
      </c>
    </row>
    <row r="401" spans="1:4">
      <c r="A401" t="s">
        <v>6010</v>
      </c>
      <c r="B401" t="s">
        <v>1349</v>
      </c>
      <c r="C401">
        <v>304140</v>
      </c>
      <c r="D401">
        <v>18520</v>
      </c>
    </row>
    <row r="402" spans="1:4">
      <c r="A402" t="s">
        <v>6010</v>
      </c>
      <c r="B402" t="s">
        <v>1349</v>
      </c>
      <c r="C402">
        <v>304130</v>
      </c>
      <c r="D402">
        <v>18510</v>
      </c>
    </row>
    <row r="403" spans="1:4">
      <c r="A403" t="s">
        <v>6010</v>
      </c>
      <c r="B403" t="s">
        <v>1349</v>
      </c>
      <c r="C403">
        <v>304090</v>
      </c>
      <c r="D403">
        <v>18500</v>
      </c>
    </row>
    <row r="404" spans="1:4">
      <c r="A404" t="s">
        <v>6010</v>
      </c>
      <c r="B404" t="s">
        <v>1349</v>
      </c>
      <c r="C404">
        <v>304110</v>
      </c>
      <c r="D404">
        <v>18490</v>
      </c>
    </row>
    <row r="405" spans="1:4">
      <c r="A405" t="s">
        <v>6010</v>
      </c>
      <c r="B405" t="s">
        <v>1349</v>
      </c>
      <c r="C405">
        <v>304100</v>
      </c>
      <c r="D405">
        <v>18480</v>
      </c>
    </row>
    <row r="406" spans="1:4">
      <c r="A406" t="s">
        <v>6010</v>
      </c>
      <c r="B406" t="s">
        <v>1349</v>
      </c>
      <c r="C406">
        <v>304120</v>
      </c>
      <c r="D406">
        <v>18470</v>
      </c>
    </row>
    <row r="407" spans="1:4">
      <c r="A407" t="s">
        <v>6010</v>
      </c>
      <c r="B407" t="s">
        <v>1349</v>
      </c>
      <c r="C407">
        <v>304070</v>
      </c>
      <c r="D407">
        <v>18450</v>
      </c>
    </row>
    <row r="408" spans="1:4">
      <c r="A408" t="s">
        <v>6010</v>
      </c>
      <c r="B408" t="s">
        <v>1349</v>
      </c>
      <c r="C408">
        <v>304060</v>
      </c>
      <c r="D408">
        <v>18440</v>
      </c>
    </row>
    <row r="409" spans="1:4">
      <c r="A409" t="s">
        <v>6010</v>
      </c>
      <c r="B409" t="s">
        <v>1349</v>
      </c>
      <c r="C409">
        <v>304030</v>
      </c>
      <c r="D409">
        <v>18410</v>
      </c>
    </row>
    <row r="410" spans="1:4">
      <c r="A410" t="s">
        <v>3061</v>
      </c>
      <c r="B410" t="s">
        <v>1349</v>
      </c>
      <c r="C410">
        <v>412050</v>
      </c>
      <c r="D410">
        <v>18410</v>
      </c>
    </row>
    <row r="411" spans="1:4">
      <c r="A411" t="s">
        <v>6010</v>
      </c>
      <c r="B411" t="s">
        <v>1349</v>
      </c>
      <c r="C411">
        <v>304020</v>
      </c>
      <c r="D411">
        <v>18400</v>
      </c>
    </row>
    <row r="412" spans="1:4">
      <c r="A412" t="s">
        <v>6010</v>
      </c>
      <c r="B412" t="s">
        <v>1349</v>
      </c>
      <c r="C412">
        <v>303990</v>
      </c>
      <c r="D412">
        <v>18380</v>
      </c>
    </row>
    <row r="413" spans="1:4">
      <c r="A413" t="s">
        <v>6010</v>
      </c>
      <c r="B413" t="s">
        <v>1349</v>
      </c>
      <c r="C413">
        <v>303980</v>
      </c>
      <c r="D413">
        <v>18370</v>
      </c>
    </row>
    <row r="414" spans="1:4">
      <c r="A414" t="s">
        <v>6010</v>
      </c>
      <c r="B414" t="s">
        <v>1349</v>
      </c>
      <c r="C414">
        <v>304050</v>
      </c>
      <c r="D414">
        <v>18370</v>
      </c>
    </row>
    <row r="415" spans="1:4">
      <c r="A415" t="s">
        <v>3061</v>
      </c>
      <c r="B415" t="s">
        <v>1349</v>
      </c>
      <c r="C415">
        <v>401760</v>
      </c>
      <c r="D415">
        <v>18370</v>
      </c>
    </row>
    <row r="416" spans="1:4">
      <c r="A416" t="s">
        <v>6010</v>
      </c>
      <c r="B416" t="s">
        <v>1349</v>
      </c>
      <c r="C416">
        <v>303970</v>
      </c>
      <c r="D416">
        <v>18360</v>
      </c>
    </row>
    <row r="417" spans="1:4">
      <c r="A417" t="s">
        <v>6010</v>
      </c>
      <c r="B417" t="s">
        <v>1349</v>
      </c>
      <c r="C417">
        <v>303950</v>
      </c>
      <c r="D417">
        <v>18290</v>
      </c>
    </row>
    <row r="418" spans="1:4">
      <c r="A418" t="s">
        <v>6010</v>
      </c>
      <c r="B418" t="s">
        <v>1349</v>
      </c>
      <c r="C418">
        <v>303880</v>
      </c>
      <c r="D418">
        <v>18280</v>
      </c>
    </row>
    <row r="419" spans="1:4">
      <c r="A419" t="s">
        <v>6010</v>
      </c>
      <c r="B419" t="s">
        <v>1349</v>
      </c>
      <c r="C419">
        <v>303890</v>
      </c>
      <c r="D419">
        <v>18270</v>
      </c>
    </row>
    <row r="420" spans="1:4">
      <c r="A420" t="s">
        <v>6010</v>
      </c>
      <c r="B420" t="s">
        <v>1349</v>
      </c>
      <c r="C420">
        <v>303870</v>
      </c>
      <c r="D420">
        <v>18260</v>
      </c>
    </row>
    <row r="421" spans="1:4">
      <c r="A421" t="s">
        <v>6010</v>
      </c>
      <c r="B421" t="s">
        <v>1349</v>
      </c>
      <c r="C421">
        <v>303850</v>
      </c>
      <c r="D421">
        <v>18240</v>
      </c>
    </row>
    <row r="422" spans="1:4">
      <c r="A422" t="s">
        <v>6010</v>
      </c>
      <c r="B422" t="s">
        <v>1349</v>
      </c>
      <c r="C422">
        <v>303900</v>
      </c>
      <c r="D422">
        <v>18230</v>
      </c>
    </row>
    <row r="423" spans="1:4">
      <c r="A423" t="s">
        <v>6010</v>
      </c>
      <c r="B423" t="s">
        <v>1349</v>
      </c>
      <c r="C423">
        <v>303820</v>
      </c>
      <c r="D423">
        <v>18220</v>
      </c>
    </row>
    <row r="424" spans="1:4">
      <c r="A424" t="s">
        <v>6010</v>
      </c>
      <c r="B424" t="s">
        <v>1349</v>
      </c>
      <c r="C424">
        <v>303790</v>
      </c>
      <c r="D424">
        <v>18200</v>
      </c>
    </row>
    <row r="425" spans="1:4">
      <c r="A425" t="s">
        <v>6010</v>
      </c>
      <c r="B425" t="s">
        <v>1349</v>
      </c>
      <c r="C425">
        <v>303780</v>
      </c>
      <c r="D425">
        <v>18190</v>
      </c>
    </row>
    <row r="426" spans="1:4">
      <c r="A426" t="s">
        <v>6010</v>
      </c>
      <c r="B426" t="s">
        <v>1349</v>
      </c>
      <c r="C426">
        <v>303800</v>
      </c>
      <c r="D426">
        <v>18170</v>
      </c>
    </row>
    <row r="427" spans="1:4">
      <c r="A427" t="s">
        <v>3061</v>
      </c>
      <c r="B427" t="s">
        <v>1349</v>
      </c>
      <c r="C427">
        <v>412040</v>
      </c>
      <c r="D427">
        <v>18170</v>
      </c>
    </row>
    <row r="428" spans="1:4">
      <c r="A428" t="s">
        <v>6010</v>
      </c>
      <c r="B428" t="s">
        <v>1349</v>
      </c>
      <c r="C428">
        <v>303710</v>
      </c>
      <c r="D428">
        <v>18160</v>
      </c>
    </row>
    <row r="429" spans="1:4">
      <c r="A429" t="s">
        <v>3061</v>
      </c>
      <c r="B429" t="s">
        <v>1349</v>
      </c>
      <c r="C429">
        <v>412030</v>
      </c>
      <c r="D429">
        <v>18160</v>
      </c>
    </row>
    <row r="430" spans="1:4">
      <c r="A430" t="s">
        <v>6010</v>
      </c>
      <c r="B430" t="s">
        <v>1349</v>
      </c>
      <c r="C430">
        <v>303760</v>
      </c>
      <c r="D430">
        <v>18150</v>
      </c>
    </row>
    <row r="431" spans="1:4">
      <c r="A431" t="s">
        <v>6010</v>
      </c>
      <c r="B431" t="s">
        <v>1349</v>
      </c>
      <c r="C431">
        <v>303750</v>
      </c>
      <c r="D431">
        <v>18140</v>
      </c>
    </row>
    <row r="432" spans="1:4">
      <c r="A432" t="s">
        <v>6010</v>
      </c>
      <c r="B432" t="s">
        <v>1349</v>
      </c>
      <c r="C432">
        <v>303700</v>
      </c>
      <c r="D432">
        <v>18100</v>
      </c>
    </row>
    <row r="433" spans="1:4">
      <c r="A433" t="s">
        <v>6010</v>
      </c>
      <c r="B433" t="s">
        <v>1349</v>
      </c>
      <c r="C433">
        <v>303690</v>
      </c>
      <c r="D433">
        <v>18080</v>
      </c>
    </row>
    <row r="434" spans="1:4">
      <c r="A434" t="s">
        <v>6010</v>
      </c>
      <c r="B434" t="s">
        <v>1349</v>
      </c>
      <c r="C434">
        <v>323700</v>
      </c>
      <c r="D434">
        <v>17350</v>
      </c>
    </row>
    <row r="435" spans="1:4">
      <c r="A435" t="s">
        <v>464</v>
      </c>
      <c r="B435" t="s">
        <v>1349</v>
      </c>
      <c r="C435">
        <v>202100</v>
      </c>
      <c r="D435">
        <v>16850</v>
      </c>
    </row>
    <row r="436" spans="1:4">
      <c r="A436" t="s">
        <v>464</v>
      </c>
      <c r="B436" t="s">
        <v>1349</v>
      </c>
      <c r="C436">
        <v>202420</v>
      </c>
      <c r="D436">
        <v>16850</v>
      </c>
    </row>
    <row r="437" spans="1:4">
      <c r="A437" t="s">
        <v>464</v>
      </c>
      <c r="B437" t="s">
        <v>1349</v>
      </c>
      <c r="C437">
        <v>202360</v>
      </c>
      <c r="D437">
        <v>16840</v>
      </c>
    </row>
    <row r="438" spans="1:4">
      <c r="A438" t="s">
        <v>464</v>
      </c>
      <c r="B438" t="s">
        <v>1349</v>
      </c>
      <c r="C438">
        <v>202350</v>
      </c>
      <c r="D438">
        <v>16830</v>
      </c>
    </row>
    <row r="439" spans="1:4">
      <c r="A439" t="s">
        <v>464</v>
      </c>
      <c r="B439" t="s">
        <v>1349</v>
      </c>
      <c r="C439">
        <v>202050</v>
      </c>
      <c r="D439">
        <v>16810</v>
      </c>
    </row>
    <row r="440" spans="1:4">
      <c r="A440" t="s">
        <v>464</v>
      </c>
      <c r="B440" t="s">
        <v>1349</v>
      </c>
      <c r="C440">
        <v>202020</v>
      </c>
      <c r="D440">
        <v>16790</v>
      </c>
    </row>
    <row r="441" spans="1:4">
      <c r="A441" t="s">
        <v>464</v>
      </c>
      <c r="B441" t="s">
        <v>1349</v>
      </c>
      <c r="C441">
        <v>202370</v>
      </c>
      <c r="D441">
        <v>16780</v>
      </c>
    </row>
    <row r="442" spans="1:4">
      <c r="A442" t="s">
        <v>464</v>
      </c>
      <c r="B442" t="s">
        <v>1349</v>
      </c>
      <c r="C442">
        <v>202010</v>
      </c>
      <c r="D442">
        <v>16770</v>
      </c>
    </row>
    <row r="443" spans="1:4">
      <c r="A443" t="s">
        <v>464</v>
      </c>
      <c r="B443" t="s">
        <v>1349</v>
      </c>
      <c r="C443">
        <v>202090</v>
      </c>
      <c r="D443">
        <v>16760</v>
      </c>
    </row>
    <row r="444" spans="1:4">
      <c r="A444" t="s">
        <v>464</v>
      </c>
      <c r="B444" t="s">
        <v>1349</v>
      </c>
      <c r="C444">
        <v>202410</v>
      </c>
      <c r="D444">
        <v>16760</v>
      </c>
    </row>
    <row r="445" spans="1:4">
      <c r="A445" t="s">
        <v>464</v>
      </c>
      <c r="B445" t="s">
        <v>1349</v>
      </c>
      <c r="C445">
        <v>202340</v>
      </c>
      <c r="D445">
        <v>16750</v>
      </c>
    </row>
    <row r="446" spans="1:4">
      <c r="A446" t="s">
        <v>464</v>
      </c>
      <c r="B446" t="s">
        <v>1349</v>
      </c>
      <c r="C446">
        <v>202070</v>
      </c>
      <c r="D446">
        <v>16740</v>
      </c>
    </row>
    <row r="447" spans="1:4">
      <c r="A447" t="s">
        <v>464</v>
      </c>
      <c r="B447" t="s">
        <v>1349</v>
      </c>
      <c r="C447">
        <v>202080</v>
      </c>
      <c r="D447">
        <v>16730</v>
      </c>
    </row>
    <row r="448" spans="1:4">
      <c r="A448" t="s">
        <v>464</v>
      </c>
      <c r="B448" t="s">
        <v>1349</v>
      </c>
      <c r="C448">
        <v>202060</v>
      </c>
      <c r="D448">
        <v>16720</v>
      </c>
    </row>
    <row r="449" spans="1:4">
      <c r="A449" t="s">
        <v>464</v>
      </c>
      <c r="B449" t="s">
        <v>1349</v>
      </c>
      <c r="C449">
        <v>202380</v>
      </c>
      <c r="D449">
        <v>16710</v>
      </c>
    </row>
    <row r="450" spans="1:4">
      <c r="A450" t="s">
        <v>464</v>
      </c>
      <c r="B450" t="s">
        <v>1349</v>
      </c>
      <c r="C450">
        <v>202040</v>
      </c>
      <c r="D450">
        <v>16700</v>
      </c>
    </row>
    <row r="451" spans="1:4">
      <c r="A451" t="s">
        <v>464</v>
      </c>
      <c r="B451" t="s">
        <v>1349</v>
      </c>
      <c r="C451">
        <v>202320</v>
      </c>
      <c r="D451">
        <v>16690</v>
      </c>
    </row>
    <row r="452" spans="1:4">
      <c r="A452" t="s">
        <v>464</v>
      </c>
      <c r="B452" t="s">
        <v>1349</v>
      </c>
      <c r="C452">
        <v>202030</v>
      </c>
      <c r="D452">
        <v>16680</v>
      </c>
    </row>
    <row r="453" spans="1:4">
      <c r="A453" t="s">
        <v>464</v>
      </c>
      <c r="B453" t="s">
        <v>1349</v>
      </c>
      <c r="C453">
        <v>202000</v>
      </c>
      <c r="D453">
        <v>16670</v>
      </c>
    </row>
    <row r="454" spans="1:4">
      <c r="A454" t="s">
        <v>464</v>
      </c>
      <c r="B454" t="s">
        <v>1349</v>
      </c>
      <c r="C454">
        <v>202310</v>
      </c>
      <c r="D454">
        <v>16670</v>
      </c>
    </row>
    <row r="455" spans="1:4">
      <c r="A455" t="s">
        <v>464</v>
      </c>
      <c r="B455" t="s">
        <v>1349</v>
      </c>
      <c r="C455">
        <v>203360</v>
      </c>
      <c r="D455">
        <v>16490</v>
      </c>
    </row>
    <row r="456" spans="1:4">
      <c r="A456" t="s">
        <v>464</v>
      </c>
      <c r="B456" t="s">
        <v>1349</v>
      </c>
      <c r="C456">
        <v>203340</v>
      </c>
      <c r="D456">
        <v>16480</v>
      </c>
    </row>
    <row r="457" spans="1:4">
      <c r="A457" t="s">
        <v>464</v>
      </c>
      <c r="B457" t="s">
        <v>1349</v>
      </c>
      <c r="C457">
        <v>203350</v>
      </c>
      <c r="D457">
        <v>16470</v>
      </c>
    </row>
    <row r="458" spans="1:4">
      <c r="A458" t="s">
        <v>464</v>
      </c>
      <c r="B458" t="s">
        <v>1349</v>
      </c>
      <c r="C458">
        <v>203330</v>
      </c>
      <c r="D458">
        <v>16460</v>
      </c>
    </row>
    <row r="459" spans="1:4">
      <c r="A459" t="s">
        <v>464</v>
      </c>
      <c r="B459" t="s">
        <v>1349</v>
      </c>
      <c r="C459">
        <v>203320</v>
      </c>
      <c r="D459">
        <v>16450</v>
      </c>
    </row>
    <row r="460" spans="1:4">
      <c r="A460" t="s">
        <v>464</v>
      </c>
      <c r="B460" t="s">
        <v>1349</v>
      </c>
      <c r="C460">
        <v>203310</v>
      </c>
      <c r="D460">
        <v>16440</v>
      </c>
    </row>
    <row r="461" spans="1:4">
      <c r="A461" t="s">
        <v>464</v>
      </c>
      <c r="B461" t="s">
        <v>1349</v>
      </c>
      <c r="C461">
        <v>204220</v>
      </c>
      <c r="D461">
        <v>16420</v>
      </c>
    </row>
    <row r="462" spans="1:4">
      <c r="A462" t="s">
        <v>464</v>
      </c>
      <c r="B462" t="s">
        <v>1349</v>
      </c>
      <c r="C462">
        <v>204240</v>
      </c>
      <c r="D462">
        <v>16410</v>
      </c>
    </row>
    <row r="463" spans="1:4">
      <c r="A463" t="s">
        <v>464</v>
      </c>
      <c r="B463" t="s">
        <v>1349</v>
      </c>
      <c r="C463">
        <v>204230</v>
      </c>
      <c r="D463">
        <v>16400</v>
      </c>
    </row>
    <row r="464" spans="1:4">
      <c r="A464" t="s">
        <v>464</v>
      </c>
      <c r="B464" t="s">
        <v>1349</v>
      </c>
      <c r="C464">
        <v>204180</v>
      </c>
      <c r="D464">
        <v>16390</v>
      </c>
    </row>
    <row r="465" spans="1:4">
      <c r="A465" t="s">
        <v>464</v>
      </c>
      <c r="B465" t="s">
        <v>1349</v>
      </c>
      <c r="C465">
        <v>204170</v>
      </c>
      <c r="D465">
        <v>16380</v>
      </c>
    </row>
    <row r="466" spans="1:4">
      <c r="A466" t="s">
        <v>464</v>
      </c>
      <c r="B466" t="s">
        <v>1349</v>
      </c>
      <c r="C466">
        <v>204210</v>
      </c>
      <c r="D466">
        <v>16370</v>
      </c>
    </row>
    <row r="467" spans="1:4">
      <c r="A467" t="s">
        <v>464</v>
      </c>
      <c r="B467" t="s">
        <v>1349</v>
      </c>
      <c r="C467">
        <v>204200</v>
      </c>
      <c r="D467">
        <v>16360</v>
      </c>
    </row>
    <row r="468" spans="1:4">
      <c r="A468" t="s">
        <v>464</v>
      </c>
      <c r="B468" t="s">
        <v>1349</v>
      </c>
      <c r="C468">
        <v>204190</v>
      </c>
      <c r="D468">
        <v>16350</v>
      </c>
    </row>
    <row r="469" spans="1:4">
      <c r="A469" t="s">
        <v>464</v>
      </c>
      <c r="B469" t="s">
        <v>1349</v>
      </c>
      <c r="C469">
        <v>204250</v>
      </c>
      <c r="D469">
        <v>16340</v>
      </c>
    </row>
    <row r="470" spans="1:4">
      <c r="A470" t="s">
        <v>464</v>
      </c>
      <c r="B470" t="s">
        <v>1349</v>
      </c>
      <c r="C470">
        <v>204160</v>
      </c>
      <c r="D470">
        <v>16330</v>
      </c>
    </row>
    <row r="471" spans="1:4">
      <c r="A471" t="s">
        <v>3946</v>
      </c>
      <c r="B471" t="s">
        <v>1349</v>
      </c>
      <c r="C471">
        <v>2000002760</v>
      </c>
      <c r="D471">
        <v>16320</v>
      </c>
    </row>
    <row r="472" spans="1:4">
      <c r="A472" t="s">
        <v>3946</v>
      </c>
      <c r="B472" t="s">
        <v>1349</v>
      </c>
      <c r="C472">
        <v>2000002740</v>
      </c>
      <c r="D472">
        <v>16310</v>
      </c>
    </row>
    <row r="473" spans="1:4">
      <c r="A473" t="s">
        <v>3946</v>
      </c>
      <c r="B473" t="s">
        <v>1349</v>
      </c>
      <c r="C473">
        <v>2000053940</v>
      </c>
      <c r="D473">
        <v>16300</v>
      </c>
    </row>
    <row r="474" spans="1:4">
      <c r="A474" t="s">
        <v>3946</v>
      </c>
      <c r="B474" t="s">
        <v>1349</v>
      </c>
      <c r="C474">
        <v>2000002730</v>
      </c>
      <c r="D474">
        <v>16290</v>
      </c>
    </row>
    <row r="475" spans="1:4">
      <c r="A475" t="s">
        <v>3946</v>
      </c>
      <c r="B475" t="s">
        <v>1349</v>
      </c>
      <c r="C475">
        <v>2000053930</v>
      </c>
      <c r="D475">
        <v>16260</v>
      </c>
    </row>
    <row r="476" spans="1:4">
      <c r="A476" t="s">
        <v>3946</v>
      </c>
      <c r="B476" t="s">
        <v>1349</v>
      </c>
      <c r="C476">
        <v>2000002680</v>
      </c>
      <c r="D476">
        <v>16250</v>
      </c>
    </row>
    <row r="477" spans="1:4">
      <c r="A477" t="s">
        <v>3946</v>
      </c>
      <c r="B477" t="s">
        <v>1349</v>
      </c>
      <c r="C477">
        <v>2000002671</v>
      </c>
      <c r="D477">
        <v>16230</v>
      </c>
    </row>
    <row r="478" spans="1:4">
      <c r="A478" t="s">
        <v>3946</v>
      </c>
      <c r="B478" t="s">
        <v>1349</v>
      </c>
      <c r="C478">
        <v>2000002660</v>
      </c>
      <c r="D478">
        <v>16220</v>
      </c>
    </row>
    <row r="479" spans="1:4">
      <c r="A479" t="s">
        <v>3946</v>
      </c>
      <c r="B479" t="s">
        <v>1349</v>
      </c>
      <c r="C479">
        <v>2000002741</v>
      </c>
      <c r="D479">
        <v>16200</v>
      </c>
    </row>
    <row r="480" spans="1:4">
      <c r="A480" t="s">
        <v>3946</v>
      </c>
      <c r="B480" t="s">
        <v>1349</v>
      </c>
      <c r="C480">
        <v>2000002630</v>
      </c>
      <c r="D480">
        <v>16190</v>
      </c>
    </row>
    <row r="481" spans="1:4">
      <c r="A481" t="s">
        <v>3946</v>
      </c>
      <c r="B481" t="s">
        <v>1349</v>
      </c>
      <c r="C481">
        <v>2000002710</v>
      </c>
      <c r="D481">
        <v>16190</v>
      </c>
    </row>
    <row r="482" spans="1:4">
      <c r="A482" t="s">
        <v>3946</v>
      </c>
      <c r="B482" t="s">
        <v>1349</v>
      </c>
      <c r="C482">
        <v>2000002620</v>
      </c>
      <c r="D482">
        <v>16180</v>
      </c>
    </row>
    <row r="483" spans="1:4">
      <c r="A483" t="s">
        <v>3946</v>
      </c>
      <c r="B483" t="s">
        <v>1349</v>
      </c>
      <c r="C483">
        <v>2000002610</v>
      </c>
      <c r="D483">
        <v>16170</v>
      </c>
    </row>
    <row r="484" spans="1:4">
      <c r="A484" t="s">
        <v>3946</v>
      </c>
      <c r="B484" t="s">
        <v>1349</v>
      </c>
      <c r="C484">
        <v>2000002581</v>
      </c>
      <c r="D484">
        <v>16150</v>
      </c>
    </row>
    <row r="485" spans="1:4">
      <c r="A485" t="s">
        <v>3946</v>
      </c>
      <c r="B485" t="s">
        <v>1349</v>
      </c>
      <c r="C485">
        <v>2000002580</v>
      </c>
      <c r="D485">
        <v>16130</v>
      </c>
    </row>
    <row r="486" spans="1:4">
      <c r="A486" t="s">
        <v>3946</v>
      </c>
      <c r="B486" t="s">
        <v>1349</v>
      </c>
      <c r="C486">
        <v>2000002600</v>
      </c>
      <c r="D486">
        <v>16120</v>
      </c>
    </row>
    <row r="487" spans="1:4">
      <c r="A487" t="s">
        <v>3946</v>
      </c>
      <c r="B487" t="s">
        <v>1349</v>
      </c>
      <c r="C487">
        <v>2000002569</v>
      </c>
      <c r="D487">
        <v>16110</v>
      </c>
    </row>
    <row r="488" spans="1:4">
      <c r="A488" t="s">
        <v>3946</v>
      </c>
      <c r="B488" t="s">
        <v>1349</v>
      </c>
      <c r="C488">
        <v>2000023230</v>
      </c>
      <c r="D488">
        <v>16100</v>
      </c>
    </row>
    <row r="489" spans="1:4">
      <c r="A489" t="s">
        <v>6010</v>
      </c>
      <c r="B489" t="s">
        <v>1349</v>
      </c>
      <c r="C489">
        <v>336340</v>
      </c>
      <c r="D489">
        <v>16100</v>
      </c>
    </row>
    <row r="490" spans="1:4">
      <c r="A490" t="s">
        <v>464</v>
      </c>
      <c r="B490" t="s">
        <v>1349</v>
      </c>
      <c r="C490">
        <v>204320</v>
      </c>
      <c r="D490">
        <v>16090</v>
      </c>
    </row>
    <row r="491" spans="1:4">
      <c r="A491" t="s">
        <v>3946</v>
      </c>
      <c r="B491" t="s">
        <v>1349</v>
      </c>
      <c r="C491">
        <v>2000023210</v>
      </c>
      <c r="D491">
        <v>16090</v>
      </c>
    </row>
    <row r="492" spans="1:4">
      <c r="A492" t="s">
        <v>6010</v>
      </c>
      <c r="B492" t="s">
        <v>1349</v>
      </c>
      <c r="C492">
        <v>336280</v>
      </c>
      <c r="D492">
        <v>16090</v>
      </c>
    </row>
    <row r="493" spans="1:4">
      <c r="A493" t="s">
        <v>464</v>
      </c>
      <c r="B493" t="s">
        <v>1349</v>
      </c>
      <c r="C493">
        <v>204350</v>
      </c>
      <c r="D493">
        <v>16080</v>
      </c>
    </row>
    <row r="494" spans="1:4">
      <c r="A494" t="s">
        <v>3946</v>
      </c>
      <c r="B494" t="s">
        <v>1349</v>
      </c>
      <c r="C494">
        <v>2000023200</v>
      </c>
      <c r="D494">
        <v>16080</v>
      </c>
    </row>
    <row r="495" spans="1:4">
      <c r="A495" t="s">
        <v>3946</v>
      </c>
      <c r="B495" t="s">
        <v>1349</v>
      </c>
      <c r="C495">
        <v>2000023170</v>
      </c>
      <c r="D495">
        <v>16070</v>
      </c>
    </row>
    <row r="496" spans="1:4">
      <c r="A496" t="s">
        <v>464</v>
      </c>
      <c r="B496" t="s">
        <v>1349</v>
      </c>
      <c r="C496">
        <v>204310</v>
      </c>
      <c r="D496">
        <v>16060</v>
      </c>
    </row>
    <row r="497" spans="1:4">
      <c r="A497" t="s">
        <v>3946</v>
      </c>
      <c r="B497" t="s">
        <v>1349</v>
      </c>
      <c r="C497">
        <v>2000023160</v>
      </c>
      <c r="D497">
        <v>16060</v>
      </c>
    </row>
    <row r="498" spans="1:4">
      <c r="A498" t="s">
        <v>6010</v>
      </c>
      <c r="B498" t="s">
        <v>1349</v>
      </c>
      <c r="C498">
        <v>336290</v>
      </c>
      <c r="D498">
        <v>16060</v>
      </c>
    </row>
    <row r="499" spans="1:4">
      <c r="A499" t="s">
        <v>464</v>
      </c>
      <c r="B499" t="s">
        <v>1349</v>
      </c>
      <c r="C499">
        <v>204340</v>
      </c>
      <c r="D499">
        <v>16050</v>
      </c>
    </row>
    <row r="500" spans="1:4">
      <c r="A500" t="s">
        <v>464</v>
      </c>
      <c r="B500" t="s">
        <v>1349</v>
      </c>
      <c r="C500">
        <v>204300</v>
      </c>
      <c r="D500">
        <v>16040</v>
      </c>
    </row>
    <row r="501" spans="1:4">
      <c r="A501" t="s">
        <v>3946</v>
      </c>
      <c r="B501" t="s">
        <v>1349</v>
      </c>
      <c r="C501">
        <v>2000023190</v>
      </c>
      <c r="D501">
        <v>16040</v>
      </c>
    </row>
    <row r="502" spans="1:4">
      <c r="A502" t="s">
        <v>464</v>
      </c>
      <c r="B502" t="s">
        <v>1349</v>
      </c>
      <c r="C502">
        <v>204290</v>
      </c>
      <c r="D502">
        <v>16020</v>
      </c>
    </row>
    <row r="503" spans="1:4">
      <c r="A503" t="s">
        <v>464</v>
      </c>
      <c r="B503" t="s">
        <v>1349</v>
      </c>
      <c r="C503">
        <v>204330</v>
      </c>
      <c r="D503">
        <v>16010</v>
      </c>
    </row>
    <row r="504" spans="1:4">
      <c r="A504" t="s">
        <v>3946</v>
      </c>
      <c r="B504" t="s">
        <v>1349</v>
      </c>
      <c r="C504">
        <v>2000023110</v>
      </c>
      <c r="D504">
        <v>16010</v>
      </c>
    </row>
    <row r="505" spans="1:4">
      <c r="A505" t="s">
        <v>464</v>
      </c>
      <c r="B505" t="s">
        <v>1349</v>
      </c>
      <c r="C505">
        <v>204360</v>
      </c>
      <c r="D505">
        <v>16000</v>
      </c>
    </row>
    <row r="506" spans="1:4">
      <c r="A506" t="s">
        <v>464</v>
      </c>
      <c r="B506" t="s">
        <v>1349</v>
      </c>
      <c r="C506">
        <v>204280</v>
      </c>
      <c r="D506">
        <v>15990</v>
      </c>
    </row>
    <row r="507" spans="1:4">
      <c r="A507" t="s">
        <v>3946</v>
      </c>
      <c r="B507" t="s">
        <v>1349</v>
      </c>
      <c r="C507">
        <v>2000023130</v>
      </c>
      <c r="D507">
        <v>15990</v>
      </c>
    </row>
    <row r="508" spans="1:4">
      <c r="A508" t="s">
        <v>6010</v>
      </c>
      <c r="B508" t="s">
        <v>1349</v>
      </c>
      <c r="C508">
        <v>336270</v>
      </c>
      <c r="D508">
        <v>15990</v>
      </c>
    </row>
    <row r="509" spans="1:4">
      <c r="A509" t="s">
        <v>464</v>
      </c>
      <c r="B509" t="s">
        <v>1349</v>
      </c>
      <c r="C509">
        <v>204270</v>
      </c>
      <c r="D509">
        <v>15980</v>
      </c>
    </row>
    <row r="510" spans="1:4">
      <c r="A510" t="s">
        <v>3946</v>
      </c>
      <c r="B510" t="s">
        <v>1349</v>
      </c>
      <c r="C510">
        <v>2000023139</v>
      </c>
      <c r="D510">
        <v>15980</v>
      </c>
    </row>
    <row r="511" spans="1:4">
      <c r="A511" t="s">
        <v>6010</v>
      </c>
      <c r="B511" t="s">
        <v>1349</v>
      </c>
      <c r="C511">
        <v>336260</v>
      </c>
      <c r="D511">
        <v>15980</v>
      </c>
    </row>
    <row r="512" spans="1:4">
      <c r="A512" t="s">
        <v>3946</v>
      </c>
      <c r="B512" t="s">
        <v>1349</v>
      </c>
      <c r="C512">
        <v>2000022760</v>
      </c>
      <c r="D512">
        <v>15970</v>
      </c>
    </row>
    <row r="513" spans="1:4">
      <c r="A513" t="s">
        <v>6010</v>
      </c>
      <c r="B513" t="s">
        <v>1349</v>
      </c>
      <c r="C513">
        <v>309010</v>
      </c>
      <c r="D513">
        <v>15970</v>
      </c>
    </row>
    <row r="514" spans="1:4">
      <c r="A514" t="s">
        <v>6010</v>
      </c>
      <c r="B514" t="s">
        <v>1349</v>
      </c>
      <c r="C514">
        <v>333750</v>
      </c>
      <c r="D514">
        <v>15970</v>
      </c>
    </row>
    <row r="515" spans="1:4">
      <c r="A515" t="s">
        <v>3061</v>
      </c>
      <c r="B515" t="s">
        <v>1349</v>
      </c>
      <c r="C515">
        <v>408630</v>
      </c>
      <c r="D515">
        <v>15970</v>
      </c>
    </row>
    <row r="516" spans="1:4">
      <c r="A516" t="s">
        <v>464</v>
      </c>
      <c r="B516" t="s">
        <v>1349</v>
      </c>
      <c r="C516">
        <v>203570</v>
      </c>
      <c r="D516">
        <v>15960</v>
      </c>
    </row>
    <row r="517" spans="1:4">
      <c r="A517" t="s">
        <v>3946</v>
      </c>
      <c r="B517" t="s">
        <v>1349</v>
      </c>
      <c r="C517">
        <v>2000022750</v>
      </c>
      <c r="D517">
        <v>15960</v>
      </c>
    </row>
    <row r="518" spans="1:4">
      <c r="A518" t="s">
        <v>3946</v>
      </c>
      <c r="B518" t="s">
        <v>1349</v>
      </c>
      <c r="C518">
        <v>2000022610</v>
      </c>
      <c r="D518">
        <v>15930</v>
      </c>
    </row>
    <row r="519" spans="1:4">
      <c r="A519" t="s">
        <v>464</v>
      </c>
      <c r="B519" t="s">
        <v>1349</v>
      </c>
      <c r="C519">
        <v>203520</v>
      </c>
      <c r="D519">
        <v>15920</v>
      </c>
    </row>
    <row r="520" spans="1:4">
      <c r="A520" t="s">
        <v>464</v>
      </c>
      <c r="B520" t="s">
        <v>1349</v>
      </c>
      <c r="C520">
        <v>203440</v>
      </c>
      <c r="D520">
        <v>15910</v>
      </c>
    </row>
    <row r="521" spans="1:4">
      <c r="A521" t="s">
        <v>464</v>
      </c>
      <c r="B521" t="s">
        <v>1349</v>
      </c>
      <c r="C521">
        <v>203540</v>
      </c>
      <c r="D521">
        <v>15900</v>
      </c>
    </row>
    <row r="522" spans="1:4">
      <c r="A522" t="s">
        <v>464</v>
      </c>
      <c r="B522" t="s">
        <v>1349</v>
      </c>
      <c r="C522">
        <v>203550</v>
      </c>
      <c r="D522">
        <v>15890</v>
      </c>
    </row>
    <row r="523" spans="1:4">
      <c r="A523" t="s">
        <v>464</v>
      </c>
      <c r="B523" t="s">
        <v>1349</v>
      </c>
      <c r="C523">
        <v>203430</v>
      </c>
      <c r="D523">
        <v>15880</v>
      </c>
    </row>
    <row r="524" spans="1:4">
      <c r="A524" t="s">
        <v>464</v>
      </c>
      <c r="B524" t="s">
        <v>1349</v>
      </c>
      <c r="C524">
        <v>203560</v>
      </c>
      <c r="D524">
        <v>15870</v>
      </c>
    </row>
    <row r="525" spans="1:4">
      <c r="A525" t="s">
        <v>6010</v>
      </c>
      <c r="B525" t="s">
        <v>1349</v>
      </c>
      <c r="C525">
        <v>309040</v>
      </c>
      <c r="D525">
        <v>15860</v>
      </c>
    </row>
    <row r="526" spans="1:4">
      <c r="A526" t="s">
        <v>6010</v>
      </c>
      <c r="B526" t="s">
        <v>1349</v>
      </c>
      <c r="C526">
        <v>309030</v>
      </c>
      <c r="D526">
        <v>15850</v>
      </c>
    </row>
    <row r="527" spans="1:4">
      <c r="A527" t="s">
        <v>6010</v>
      </c>
      <c r="B527" t="s">
        <v>1349</v>
      </c>
      <c r="C527">
        <v>309020</v>
      </c>
      <c r="D527">
        <v>15840</v>
      </c>
    </row>
    <row r="528" spans="1:4">
      <c r="A528" t="s">
        <v>3946</v>
      </c>
      <c r="B528" t="s">
        <v>1349</v>
      </c>
      <c r="C528">
        <v>2000022410</v>
      </c>
      <c r="D528">
        <v>15830</v>
      </c>
    </row>
    <row r="529" spans="1:4">
      <c r="A529" t="s">
        <v>6010</v>
      </c>
      <c r="B529" t="s">
        <v>1349</v>
      </c>
      <c r="C529">
        <v>308980</v>
      </c>
      <c r="D529">
        <v>15830</v>
      </c>
    </row>
    <row r="530" spans="1:4">
      <c r="A530" t="s">
        <v>6010</v>
      </c>
      <c r="B530" t="s">
        <v>1349</v>
      </c>
      <c r="C530">
        <v>333710</v>
      </c>
      <c r="D530">
        <v>15830</v>
      </c>
    </row>
    <row r="531" spans="1:4">
      <c r="A531" t="s">
        <v>3946</v>
      </c>
      <c r="B531" t="s">
        <v>1349</v>
      </c>
      <c r="C531">
        <v>2000022400</v>
      </c>
      <c r="D531">
        <v>15820</v>
      </c>
    </row>
    <row r="532" spans="1:4">
      <c r="A532" t="s">
        <v>6010</v>
      </c>
      <c r="B532" t="s">
        <v>1349</v>
      </c>
      <c r="C532">
        <v>308970</v>
      </c>
      <c r="D532">
        <v>15820</v>
      </c>
    </row>
    <row r="533" spans="1:4">
      <c r="A533" t="s">
        <v>6010</v>
      </c>
      <c r="B533" t="s">
        <v>1349</v>
      </c>
      <c r="C533">
        <v>333700</v>
      </c>
      <c r="D533">
        <v>15820</v>
      </c>
    </row>
    <row r="534" spans="1:4">
      <c r="A534" t="s">
        <v>464</v>
      </c>
      <c r="B534" t="s">
        <v>1349</v>
      </c>
      <c r="C534">
        <v>203410</v>
      </c>
      <c r="D534">
        <v>15810</v>
      </c>
    </row>
    <row r="535" spans="1:4">
      <c r="A535" t="s">
        <v>3946</v>
      </c>
      <c r="B535" t="s">
        <v>1349</v>
      </c>
      <c r="C535">
        <v>2000022390</v>
      </c>
      <c r="D535">
        <v>15800</v>
      </c>
    </row>
    <row r="536" spans="1:4">
      <c r="A536" t="s">
        <v>6010</v>
      </c>
      <c r="B536" t="s">
        <v>1349</v>
      </c>
      <c r="C536">
        <v>308950</v>
      </c>
      <c r="D536">
        <v>15800</v>
      </c>
    </row>
    <row r="537" spans="1:4">
      <c r="A537" t="s">
        <v>6010</v>
      </c>
      <c r="B537" t="s">
        <v>1349</v>
      </c>
      <c r="C537">
        <v>333680</v>
      </c>
      <c r="D537">
        <v>15800</v>
      </c>
    </row>
    <row r="538" spans="1:4">
      <c r="A538" t="s">
        <v>3946</v>
      </c>
      <c r="B538" t="s">
        <v>1349</v>
      </c>
      <c r="C538">
        <v>2000022380</v>
      </c>
      <c r="D538">
        <v>15790</v>
      </c>
    </row>
    <row r="539" spans="1:4">
      <c r="A539" t="s">
        <v>6010</v>
      </c>
      <c r="B539" t="s">
        <v>1349</v>
      </c>
      <c r="C539">
        <v>308960</v>
      </c>
      <c r="D539">
        <v>15790</v>
      </c>
    </row>
    <row r="540" spans="1:4">
      <c r="A540" t="s">
        <v>6010</v>
      </c>
      <c r="B540" t="s">
        <v>1349</v>
      </c>
      <c r="C540">
        <v>333690</v>
      </c>
      <c r="D540">
        <v>15790</v>
      </c>
    </row>
    <row r="541" spans="1:4">
      <c r="A541" t="s">
        <v>6010</v>
      </c>
      <c r="B541" t="s">
        <v>1349</v>
      </c>
      <c r="C541">
        <v>309080</v>
      </c>
      <c r="D541">
        <v>15780</v>
      </c>
    </row>
    <row r="542" spans="1:4">
      <c r="A542" t="s">
        <v>464</v>
      </c>
      <c r="B542" t="s">
        <v>1349</v>
      </c>
      <c r="C542">
        <v>203470</v>
      </c>
      <c r="D542">
        <v>15760</v>
      </c>
    </row>
    <row r="543" spans="1:4">
      <c r="A543" t="s">
        <v>464</v>
      </c>
      <c r="B543" t="s">
        <v>1349</v>
      </c>
      <c r="C543">
        <v>203390</v>
      </c>
      <c r="D543">
        <v>15750</v>
      </c>
    </row>
    <row r="544" spans="1:4">
      <c r="A544" t="s">
        <v>464</v>
      </c>
      <c r="B544" t="s">
        <v>1349</v>
      </c>
      <c r="C544">
        <v>203450</v>
      </c>
      <c r="D544">
        <v>15740</v>
      </c>
    </row>
    <row r="545" spans="1:4">
      <c r="A545" t="s">
        <v>3946</v>
      </c>
      <c r="B545" t="s">
        <v>1349</v>
      </c>
      <c r="C545">
        <v>2000022220</v>
      </c>
      <c r="D545">
        <v>15730</v>
      </c>
    </row>
    <row r="546" spans="1:4">
      <c r="A546" t="s">
        <v>6010</v>
      </c>
      <c r="B546" t="s">
        <v>1349</v>
      </c>
      <c r="C546">
        <v>309000</v>
      </c>
      <c r="D546">
        <v>15730</v>
      </c>
    </row>
    <row r="547" spans="1:4">
      <c r="A547" t="s">
        <v>6010</v>
      </c>
      <c r="B547" t="s">
        <v>1349</v>
      </c>
      <c r="C547">
        <v>333770</v>
      </c>
      <c r="D547">
        <v>15730</v>
      </c>
    </row>
    <row r="548" spans="1:4">
      <c r="A548" t="s">
        <v>3946</v>
      </c>
      <c r="B548" t="s">
        <v>1349</v>
      </c>
      <c r="C548">
        <v>2000022210</v>
      </c>
      <c r="D548">
        <v>15720</v>
      </c>
    </row>
    <row r="549" spans="1:4">
      <c r="A549" t="s">
        <v>6010</v>
      </c>
      <c r="B549" t="s">
        <v>1349</v>
      </c>
      <c r="C549">
        <v>308990</v>
      </c>
      <c r="D549">
        <v>15720</v>
      </c>
    </row>
    <row r="550" spans="1:4">
      <c r="A550" t="s">
        <v>6010</v>
      </c>
      <c r="B550" t="s">
        <v>1349</v>
      </c>
      <c r="C550">
        <v>333720</v>
      </c>
      <c r="D550">
        <v>15720</v>
      </c>
    </row>
    <row r="551" spans="1:4">
      <c r="A551" t="s">
        <v>6010</v>
      </c>
      <c r="B551" t="s">
        <v>1349</v>
      </c>
      <c r="C551">
        <v>309070</v>
      </c>
      <c r="D551">
        <v>15710</v>
      </c>
    </row>
    <row r="552" spans="1:4">
      <c r="A552" t="s">
        <v>464</v>
      </c>
      <c r="B552" t="s">
        <v>1349</v>
      </c>
      <c r="C552">
        <v>203380</v>
      </c>
      <c r="D552">
        <v>15700</v>
      </c>
    </row>
    <row r="553" spans="1:4">
      <c r="A553" t="s">
        <v>464</v>
      </c>
      <c r="B553" t="s">
        <v>1349</v>
      </c>
      <c r="C553">
        <v>203490</v>
      </c>
      <c r="D553">
        <v>15690</v>
      </c>
    </row>
    <row r="554" spans="1:4">
      <c r="A554" t="s">
        <v>464</v>
      </c>
      <c r="B554" t="s">
        <v>1349</v>
      </c>
      <c r="C554">
        <v>203460</v>
      </c>
      <c r="D554">
        <v>15680</v>
      </c>
    </row>
    <row r="555" spans="1:4">
      <c r="A555" t="s">
        <v>6010</v>
      </c>
      <c r="B555" t="s">
        <v>1349</v>
      </c>
      <c r="C555">
        <v>308940</v>
      </c>
      <c r="D555">
        <v>15680</v>
      </c>
    </row>
    <row r="556" spans="1:4">
      <c r="A556" t="s">
        <v>464</v>
      </c>
      <c r="B556" t="s">
        <v>1349</v>
      </c>
      <c r="C556">
        <v>203370</v>
      </c>
      <c r="D556">
        <v>15670</v>
      </c>
    </row>
    <row r="557" spans="1:4">
      <c r="A557" t="s">
        <v>3946</v>
      </c>
      <c r="B557" t="s">
        <v>1349</v>
      </c>
      <c r="C557">
        <v>2000022209</v>
      </c>
      <c r="D557">
        <v>15670</v>
      </c>
    </row>
    <row r="558" spans="1:4">
      <c r="A558" t="s">
        <v>6010</v>
      </c>
      <c r="B558" t="s">
        <v>1349</v>
      </c>
      <c r="C558">
        <v>308930</v>
      </c>
      <c r="D558">
        <v>15670</v>
      </c>
    </row>
    <row r="559" spans="1:4">
      <c r="A559" t="s">
        <v>6010</v>
      </c>
      <c r="B559" t="s">
        <v>1349</v>
      </c>
      <c r="C559">
        <v>333670</v>
      </c>
      <c r="D559">
        <v>15670</v>
      </c>
    </row>
    <row r="560" spans="1:4">
      <c r="A560" t="s">
        <v>3061</v>
      </c>
      <c r="B560" t="s">
        <v>1349</v>
      </c>
      <c r="C560">
        <v>408520</v>
      </c>
      <c r="D560">
        <v>15670</v>
      </c>
    </row>
    <row r="561" spans="1:4">
      <c r="A561" t="s">
        <v>3946</v>
      </c>
      <c r="B561" t="s">
        <v>1349</v>
      </c>
      <c r="C561">
        <v>2000045870</v>
      </c>
      <c r="D561">
        <v>15660</v>
      </c>
    </row>
    <row r="562" spans="1:4">
      <c r="A562" t="s">
        <v>6010</v>
      </c>
      <c r="B562" t="s">
        <v>1349</v>
      </c>
      <c r="C562">
        <v>330970</v>
      </c>
      <c r="D562">
        <v>15660</v>
      </c>
    </row>
    <row r="563" spans="1:4">
      <c r="A563" t="s">
        <v>3946</v>
      </c>
      <c r="B563" t="s">
        <v>1349</v>
      </c>
      <c r="C563">
        <v>2000045860</v>
      </c>
      <c r="D563">
        <v>15650</v>
      </c>
    </row>
    <row r="564" spans="1:4">
      <c r="A564" t="s">
        <v>6010</v>
      </c>
      <c r="B564" t="s">
        <v>1349</v>
      </c>
      <c r="C564">
        <v>330950</v>
      </c>
      <c r="D564">
        <v>15650</v>
      </c>
    </row>
    <row r="565" spans="1:4">
      <c r="A565" t="s">
        <v>3061</v>
      </c>
      <c r="B565" t="s">
        <v>1349</v>
      </c>
      <c r="C565">
        <v>404110</v>
      </c>
      <c r="D565">
        <v>15650</v>
      </c>
    </row>
    <row r="566" spans="1:4">
      <c r="A566" t="s">
        <v>3946</v>
      </c>
      <c r="B566" t="s">
        <v>1349</v>
      </c>
      <c r="C566">
        <v>2000045850</v>
      </c>
      <c r="D566">
        <v>15640</v>
      </c>
    </row>
    <row r="567" spans="1:4">
      <c r="A567" t="s">
        <v>3946</v>
      </c>
      <c r="B567" t="s">
        <v>1349</v>
      </c>
      <c r="C567">
        <v>2000045830</v>
      </c>
      <c r="D567">
        <v>15630</v>
      </c>
    </row>
    <row r="568" spans="1:4">
      <c r="A568" t="s">
        <v>3946</v>
      </c>
      <c r="B568" t="s">
        <v>1349</v>
      </c>
      <c r="C568">
        <v>2000045820</v>
      </c>
      <c r="D568">
        <v>15620</v>
      </c>
    </row>
    <row r="569" spans="1:4">
      <c r="A569" t="s">
        <v>6010</v>
      </c>
      <c r="B569" t="s">
        <v>1349</v>
      </c>
      <c r="C569">
        <v>330920</v>
      </c>
      <c r="D569">
        <v>15620</v>
      </c>
    </row>
    <row r="570" spans="1:4">
      <c r="A570" t="s">
        <v>3061</v>
      </c>
      <c r="B570" t="s">
        <v>1349</v>
      </c>
      <c r="C570">
        <v>403980</v>
      </c>
      <c r="D570">
        <v>15620</v>
      </c>
    </row>
    <row r="571" spans="1:4">
      <c r="A571" t="s">
        <v>3061</v>
      </c>
      <c r="B571" t="s">
        <v>1349</v>
      </c>
      <c r="C571">
        <v>404030</v>
      </c>
      <c r="D571">
        <v>15620</v>
      </c>
    </row>
    <row r="572" spans="1:4">
      <c r="A572" t="s">
        <v>3061</v>
      </c>
      <c r="B572" t="s">
        <v>1349</v>
      </c>
      <c r="C572">
        <v>407470</v>
      </c>
      <c r="D572">
        <v>15620</v>
      </c>
    </row>
    <row r="573" spans="1:4">
      <c r="A573" t="s">
        <v>3946</v>
      </c>
      <c r="B573" t="s">
        <v>1349</v>
      </c>
      <c r="C573">
        <v>2000030691</v>
      </c>
      <c r="D573">
        <v>15360</v>
      </c>
    </row>
    <row r="574" spans="1:4">
      <c r="A574" t="s">
        <v>3061</v>
      </c>
      <c r="B574" t="s">
        <v>1349</v>
      </c>
      <c r="C574">
        <v>405160</v>
      </c>
      <c r="D574">
        <v>15360</v>
      </c>
    </row>
    <row r="575" spans="1:4">
      <c r="A575" t="s">
        <v>3946</v>
      </c>
      <c r="B575" t="s">
        <v>1349</v>
      </c>
      <c r="C575">
        <v>2000054200</v>
      </c>
      <c r="D575">
        <v>15350</v>
      </c>
    </row>
    <row r="576" spans="1:4">
      <c r="A576" t="s">
        <v>3061</v>
      </c>
      <c r="B576" t="s">
        <v>1349</v>
      </c>
      <c r="C576">
        <v>405150</v>
      </c>
      <c r="D576">
        <v>15350</v>
      </c>
    </row>
    <row r="577" spans="1:4">
      <c r="A577" t="s">
        <v>3946</v>
      </c>
      <c r="B577" t="s">
        <v>1349</v>
      </c>
      <c r="C577">
        <v>2000030692</v>
      </c>
      <c r="D577">
        <v>15340</v>
      </c>
    </row>
    <row r="578" spans="1:4">
      <c r="A578" t="s">
        <v>3946</v>
      </c>
      <c r="B578" t="s">
        <v>1349</v>
      </c>
      <c r="C578">
        <v>2000030693</v>
      </c>
      <c r="D578">
        <v>15330</v>
      </c>
    </row>
    <row r="579" spans="1:4">
      <c r="A579" t="s">
        <v>3946</v>
      </c>
      <c r="B579" t="s">
        <v>1349</v>
      </c>
      <c r="C579">
        <v>2000030632</v>
      </c>
      <c r="D579">
        <v>15320</v>
      </c>
    </row>
    <row r="580" spans="1:4">
      <c r="A580" t="s">
        <v>3946</v>
      </c>
      <c r="B580" t="s">
        <v>1349</v>
      </c>
      <c r="C580">
        <v>2000030694</v>
      </c>
      <c r="D580">
        <v>15310</v>
      </c>
    </row>
    <row r="581" spans="1:4">
      <c r="A581" t="s">
        <v>3946</v>
      </c>
      <c r="B581" t="s">
        <v>1349</v>
      </c>
      <c r="C581">
        <v>2000030695</v>
      </c>
      <c r="D581">
        <v>15300</v>
      </c>
    </row>
    <row r="582" spans="1:4">
      <c r="A582" t="s">
        <v>3946</v>
      </c>
      <c r="B582" t="s">
        <v>1349</v>
      </c>
      <c r="C582">
        <v>2000030696</v>
      </c>
      <c r="D582">
        <v>15290</v>
      </c>
    </row>
    <row r="583" spans="1:4">
      <c r="A583" t="s">
        <v>3946</v>
      </c>
      <c r="B583" t="s">
        <v>1349</v>
      </c>
      <c r="C583">
        <v>2000030690</v>
      </c>
      <c r="D583">
        <v>15280</v>
      </c>
    </row>
    <row r="584" spans="1:4">
      <c r="A584" t="s">
        <v>3946</v>
      </c>
      <c r="B584" t="s">
        <v>1349</v>
      </c>
      <c r="C584">
        <v>2000030633</v>
      </c>
      <c r="D584">
        <v>15270</v>
      </c>
    </row>
    <row r="585" spans="1:4">
      <c r="A585" t="s">
        <v>3946</v>
      </c>
      <c r="B585" t="s">
        <v>1349</v>
      </c>
      <c r="C585">
        <v>2000030630</v>
      </c>
      <c r="D585">
        <v>15260</v>
      </c>
    </row>
    <row r="586" spans="1:4">
      <c r="A586" t="s">
        <v>3061</v>
      </c>
      <c r="B586" t="s">
        <v>1349</v>
      </c>
      <c r="C586">
        <v>404810</v>
      </c>
      <c r="D586">
        <v>15260</v>
      </c>
    </row>
    <row r="587" spans="1:4">
      <c r="A587" t="s">
        <v>3946</v>
      </c>
      <c r="B587" t="s">
        <v>1349</v>
      </c>
      <c r="C587">
        <v>2000030631</v>
      </c>
      <c r="D587">
        <v>15250</v>
      </c>
    </row>
    <row r="588" spans="1:4">
      <c r="A588" t="s">
        <v>3061</v>
      </c>
      <c r="B588" t="s">
        <v>1349</v>
      </c>
      <c r="C588">
        <v>404820</v>
      </c>
      <c r="D588">
        <v>15250</v>
      </c>
    </row>
    <row r="589" spans="1:4">
      <c r="A589" t="s">
        <v>3946</v>
      </c>
      <c r="B589" t="s">
        <v>1349</v>
      </c>
      <c r="C589">
        <v>2000030609</v>
      </c>
      <c r="D589">
        <v>15240</v>
      </c>
    </row>
    <row r="590" spans="1:4">
      <c r="A590" t="s">
        <v>3061</v>
      </c>
      <c r="B590" t="s">
        <v>1349</v>
      </c>
      <c r="C590">
        <v>404800</v>
      </c>
      <c r="D590">
        <v>15240</v>
      </c>
    </row>
    <row r="591" spans="1:4">
      <c r="A591" t="s">
        <v>3946</v>
      </c>
      <c r="B591" t="s">
        <v>1349</v>
      </c>
      <c r="C591">
        <v>2000008910</v>
      </c>
      <c r="D591">
        <v>15230</v>
      </c>
    </row>
    <row r="592" spans="1:4">
      <c r="A592" t="s">
        <v>3946</v>
      </c>
      <c r="B592" t="s">
        <v>1349</v>
      </c>
      <c r="C592">
        <v>2000008920</v>
      </c>
      <c r="D592">
        <v>15220</v>
      </c>
    </row>
    <row r="593" spans="1:4">
      <c r="A593" t="s">
        <v>6010</v>
      </c>
      <c r="B593" t="s">
        <v>1349</v>
      </c>
      <c r="C593">
        <v>316780</v>
      </c>
      <c r="D593">
        <v>15220</v>
      </c>
    </row>
    <row r="594" spans="1:4">
      <c r="A594" t="s">
        <v>3061</v>
      </c>
      <c r="B594" t="s">
        <v>1349</v>
      </c>
      <c r="C594">
        <v>404580</v>
      </c>
      <c r="D594">
        <v>15220</v>
      </c>
    </row>
    <row r="595" spans="1:4">
      <c r="A595" t="s">
        <v>3946</v>
      </c>
      <c r="B595" t="s">
        <v>1349</v>
      </c>
      <c r="C595">
        <v>2000008890</v>
      </c>
      <c r="D595">
        <v>15200</v>
      </c>
    </row>
    <row r="596" spans="1:4">
      <c r="A596" t="s">
        <v>6010</v>
      </c>
      <c r="B596" t="s">
        <v>1349</v>
      </c>
      <c r="C596">
        <v>316760</v>
      </c>
      <c r="D596">
        <v>15200</v>
      </c>
    </row>
    <row r="597" spans="1:4">
      <c r="A597" t="s">
        <v>3061</v>
      </c>
      <c r="B597" t="s">
        <v>1349</v>
      </c>
      <c r="C597">
        <v>404570</v>
      </c>
      <c r="D597">
        <v>15200</v>
      </c>
    </row>
    <row r="598" spans="1:4">
      <c r="A598" t="s">
        <v>3946</v>
      </c>
      <c r="B598" t="s">
        <v>1349</v>
      </c>
      <c r="C598">
        <v>2000008889</v>
      </c>
      <c r="D598">
        <v>15190</v>
      </c>
    </row>
    <row r="599" spans="1:4">
      <c r="A599" t="s">
        <v>6010</v>
      </c>
      <c r="B599" t="s">
        <v>1349</v>
      </c>
      <c r="C599">
        <v>316750</v>
      </c>
      <c r="D599">
        <v>15190</v>
      </c>
    </row>
    <row r="600" spans="1:4">
      <c r="A600" t="s">
        <v>3061</v>
      </c>
      <c r="B600" t="s">
        <v>1349</v>
      </c>
      <c r="C600">
        <v>404560</v>
      </c>
      <c r="D600">
        <v>15190</v>
      </c>
    </row>
    <row r="601" spans="1:4">
      <c r="A601" t="s">
        <v>3946</v>
      </c>
      <c r="B601" t="s">
        <v>1349</v>
      </c>
      <c r="C601">
        <v>2000008860</v>
      </c>
      <c r="D601">
        <v>15180</v>
      </c>
    </row>
    <row r="602" spans="1:4">
      <c r="A602" t="s">
        <v>6010</v>
      </c>
      <c r="B602" t="s">
        <v>1349</v>
      </c>
      <c r="C602">
        <v>316700</v>
      </c>
      <c r="D602">
        <v>15180</v>
      </c>
    </row>
    <row r="603" spans="1:4">
      <c r="A603" t="s">
        <v>3061</v>
      </c>
      <c r="B603" t="s">
        <v>1349</v>
      </c>
      <c r="C603">
        <v>404490</v>
      </c>
      <c r="D603">
        <v>15180</v>
      </c>
    </row>
    <row r="604" spans="1:4">
      <c r="A604" t="s">
        <v>3946</v>
      </c>
      <c r="B604" t="s">
        <v>1349</v>
      </c>
      <c r="C604">
        <v>2000008830</v>
      </c>
      <c r="D604">
        <v>15170</v>
      </c>
    </row>
    <row r="605" spans="1:4">
      <c r="A605" t="s">
        <v>6010</v>
      </c>
      <c r="B605" t="s">
        <v>1349</v>
      </c>
      <c r="C605">
        <v>316690</v>
      </c>
      <c r="D605">
        <v>15170</v>
      </c>
    </row>
    <row r="606" spans="1:4">
      <c r="A606" t="s">
        <v>3061</v>
      </c>
      <c r="B606" t="s">
        <v>1349</v>
      </c>
      <c r="C606">
        <v>404510</v>
      </c>
      <c r="D606">
        <v>15170</v>
      </c>
    </row>
    <row r="607" spans="1:4">
      <c r="A607" t="s">
        <v>3946</v>
      </c>
      <c r="B607" t="s">
        <v>1349</v>
      </c>
      <c r="C607">
        <v>2000008820</v>
      </c>
      <c r="D607">
        <v>15160</v>
      </c>
    </row>
    <row r="608" spans="1:4">
      <c r="A608" t="s">
        <v>6010</v>
      </c>
      <c r="B608" t="s">
        <v>1349</v>
      </c>
      <c r="C608">
        <v>316730</v>
      </c>
      <c r="D608">
        <v>15160</v>
      </c>
    </row>
    <row r="609" spans="1:4">
      <c r="A609" t="s">
        <v>3061</v>
      </c>
      <c r="B609" t="s">
        <v>1349</v>
      </c>
      <c r="C609">
        <v>404500</v>
      </c>
      <c r="D609">
        <v>15160</v>
      </c>
    </row>
    <row r="610" spans="1:4">
      <c r="A610" t="s">
        <v>3946</v>
      </c>
      <c r="B610" t="s">
        <v>1349</v>
      </c>
      <c r="C610">
        <v>2000008840</v>
      </c>
      <c r="D610">
        <v>15150</v>
      </c>
    </row>
    <row r="611" spans="1:4">
      <c r="A611" t="s">
        <v>6010</v>
      </c>
      <c r="B611" t="s">
        <v>1349</v>
      </c>
      <c r="C611">
        <v>316680</v>
      </c>
      <c r="D611">
        <v>15150</v>
      </c>
    </row>
    <row r="612" spans="1:4">
      <c r="A612" t="s">
        <v>3061</v>
      </c>
      <c r="B612" t="s">
        <v>1349</v>
      </c>
      <c r="C612">
        <v>404520</v>
      </c>
      <c r="D612">
        <v>15150</v>
      </c>
    </row>
    <row r="613" spans="1:4">
      <c r="A613" t="s">
        <v>3946</v>
      </c>
      <c r="B613" t="s">
        <v>1349</v>
      </c>
      <c r="C613">
        <v>2000008819</v>
      </c>
      <c r="D613">
        <v>15140</v>
      </c>
    </row>
    <row r="614" spans="1:4">
      <c r="A614" t="s">
        <v>6010</v>
      </c>
      <c r="B614" t="s">
        <v>1349</v>
      </c>
      <c r="C614">
        <v>316660</v>
      </c>
      <c r="D614">
        <v>15140</v>
      </c>
    </row>
    <row r="615" spans="1:4">
      <c r="A615" t="s">
        <v>3061</v>
      </c>
      <c r="B615" t="s">
        <v>1349</v>
      </c>
      <c r="C615">
        <v>404460</v>
      </c>
      <c r="D615">
        <v>15140</v>
      </c>
    </row>
    <row r="616" spans="1:4">
      <c r="A616" t="s">
        <v>3946</v>
      </c>
      <c r="B616" t="s">
        <v>1349</v>
      </c>
      <c r="C616">
        <v>2000008640</v>
      </c>
      <c r="D616">
        <v>15100</v>
      </c>
    </row>
    <row r="617" spans="1:4">
      <c r="A617" t="s">
        <v>3946</v>
      </c>
      <c r="B617" t="s">
        <v>1349</v>
      </c>
      <c r="C617">
        <v>2000008630</v>
      </c>
      <c r="D617">
        <v>15090</v>
      </c>
    </row>
    <row r="618" spans="1:4">
      <c r="A618" t="s">
        <v>3946</v>
      </c>
      <c r="B618" t="s">
        <v>1349</v>
      </c>
      <c r="C618">
        <v>2000008620</v>
      </c>
      <c r="D618">
        <v>15080</v>
      </c>
    </row>
    <row r="619" spans="1:4">
      <c r="A619" t="s">
        <v>3946</v>
      </c>
      <c r="B619" t="s">
        <v>1349</v>
      </c>
      <c r="C619">
        <v>2000008610</v>
      </c>
      <c r="D619">
        <v>15060</v>
      </c>
    </row>
    <row r="620" spans="1:4">
      <c r="A620" t="s">
        <v>3946</v>
      </c>
      <c r="B620" t="s">
        <v>1349</v>
      </c>
      <c r="C620">
        <v>2000008599</v>
      </c>
      <c r="D620">
        <v>15050</v>
      </c>
    </row>
    <row r="621" spans="1:4">
      <c r="A621" t="s">
        <v>3946</v>
      </c>
      <c r="B621" t="s">
        <v>1349</v>
      </c>
      <c r="C621">
        <v>2000018030</v>
      </c>
      <c r="D621">
        <v>15040</v>
      </c>
    </row>
    <row r="622" spans="1:4">
      <c r="A622" t="s">
        <v>6010</v>
      </c>
      <c r="B622" t="s">
        <v>1349</v>
      </c>
      <c r="C622">
        <v>316280</v>
      </c>
      <c r="D622">
        <v>15040</v>
      </c>
    </row>
    <row r="623" spans="1:4">
      <c r="A623" t="s">
        <v>3061</v>
      </c>
      <c r="B623" t="s">
        <v>1349</v>
      </c>
      <c r="C623">
        <v>404150</v>
      </c>
      <c r="D623">
        <v>15040</v>
      </c>
    </row>
    <row r="624" spans="1:4">
      <c r="A624" t="s">
        <v>464</v>
      </c>
      <c r="B624" t="s">
        <v>1349</v>
      </c>
      <c r="C624">
        <v>202640</v>
      </c>
      <c r="D624">
        <v>15030</v>
      </c>
    </row>
    <row r="625" spans="1:4">
      <c r="A625" t="s">
        <v>464</v>
      </c>
      <c r="B625" t="s">
        <v>1349</v>
      </c>
      <c r="C625">
        <v>202670</v>
      </c>
      <c r="D625">
        <v>15020</v>
      </c>
    </row>
    <row r="626" spans="1:4">
      <c r="A626" t="s">
        <v>3946</v>
      </c>
      <c r="B626" t="s">
        <v>1349</v>
      </c>
      <c r="C626">
        <v>2000018000</v>
      </c>
      <c r="D626">
        <v>15020</v>
      </c>
    </row>
    <row r="627" spans="1:4">
      <c r="A627" t="s">
        <v>3946</v>
      </c>
      <c r="B627" t="s">
        <v>1349</v>
      </c>
      <c r="C627">
        <v>2000045920</v>
      </c>
      <c r="D627">
        <v>15010</v>
      </c>
    </row>
    <row r="628" spans="1:4">
      <c r="A628" t="s">
        <v>464</v>
      </c>
      <c r="B628" t="s">
        <v>1349</v>
      </c>
      <c r="C628">
        <v>202620</v>
      </c>
      <c r="D628">
        <v>15000</v>
      </c>
    </row>
    <row r="629" spans="1:4">
      <c r="A629" t="s">
        <v>3946</v>
      </c>
      <c r="B629" t="s">
        <v>1349</v>
      </c>
      <c r="C629">
        <v>2000017990</v>
      </c>
      <c r="D629">
        <v>15000</v>
      </c>
    </row>
    <row r="630" spans="1:4">
      <c r="A630" t="s">
        <v>6010</v>
      </c>
      <c r="B630" t="s">
        <v>1349</v>
      </c>
      <c r="C630">
        <v>316290</v>
      </c>
      <c r="D630">
        <v>15000</v>
      </c>
    </row>
    <row r="631" spans="1:4">
      <c r="A631" t="s">
        <v>464</v>
      </c>
      <c r="B631" t="s">
        <v>1349</v>
      </c>
      <c r="C631">
        <v>202700</v>
      </c>
      <c r="D631">
        <v>14990</v>
      </c>
    </row>
    <row r="632" spans="1:4">
      <c r="A632" t="s">
        <v>3946</v>
      </c>
      <c r="B632" t="s">
        <v>1349</v>
      </c>
      <c r="C632">
        <v>2000017980</v>
      </c>
      <c r="D632">
        <v>14990</v>
      </c>
    </row>
    <row r="633" spans="1:4">
      <c r="A633" t="s">
        <v>464</v>
      </c>
      <c r="B633" t="s">
        <v>1349</v>
      </c>
      <c r="C633">
        <v>202660</v>
      </c>
      <c r="D633">
        <v>14980</v>
      </c>
    </row>
    <row r="634" spans="1:4">
      <c r="A634" t="s">
        <v>464</v>
      </c>
      <c r="B634" t="s">
        <v>1349</v>
      </c>
      <c r="C634">
        <v>202610</v>
      </c>
      <c r="D634">
        <v>14970</v>
      </c>
    </row>
    <row r="635" spans="1:4">
      <c r="A635" t="s">
        <v>3946</v>
      </c>
      <c r="B635" t="s">
        <v>1349</v>
      </c>
      <c r="C635">
        <v>2000017970</v>
      </c>
      <c r="D635">
        <v>14970</v>
      </c>
    </row>
    <row r="636" spans="1:4">
      <c r="A636" t="s">
        <v>6010</v>
      </c>
      <c r="B636" t="s">
        <v>1349</v>
      </c>
      <c r="C636">
        <v>316250</v>
      </c>
      <c r="D636">
        <v>14970</v>
      </c>
    </row>
    <row r="637" spans="1:4">
      <c r="A637" t="s">
        <v>464</v>
      </c>
      <c r="B637" t="s">
        <v>1349</v>
      </c>
      <c r="C637">
        <v>202580</v>
      </c>
      <c r="D637">
        <v>14960</v>
      </c>
    </row>
    <row r="638" spans="1:4">
      <c r="A638" t="s">
        <v>3946</v>
      </c>
      <c r="B638" t="s">
        <v>1349</v>
      </c>
      <c r="C638">
        <v>2000017930</v>
      </c>
      <c r="D638">
        <v>14960</v>
      </c>
    </row>
    <row r="639" spans="1:4">
      <c r="A639" t="s">
        <v>3061</v>
      </c>
      <c r="B639" t="s">
        <v>1349</v>
      </c>
      <c r="C639">
        <v>411770</v>
      </c>
      <c r="D639">
        <v>14960</v>
      </c>
    </row>
    <row r="640" spans="1:4">
      <c r="A640" t="s">
        <v>464</v>
      </c>
      <c r="B640" t="s">
        <v>1349</v>
      </c>
      <c r="C640">
        <v>202570</v>
      </c>
      <c r="D640">
        <v>14950</v>
      </c>
    </row>
    <row r="641" spans="1:4">
      <c r="A641" t="s">
        <v>3946</v>
      </c>
      <c r="B641" t="s">
        <v>1349</v>
      </c>
      <c r="C641">
        <v>2000017940</v>
      </c>
      <c r="D641">
        <v>14950</v>
      </c>
    </row>
    <row r="642" spans="1:4">
      <c r="A642" t="s">
        <v>3061</v>
      </c>
      <c r="B642" t="s">
        <v>1349</v>
      </c>
      <c r="C642">
        <v>411790</v>
      </c>
      <c r="D642">
        <v>14950</v>
      </c>
    </row>
    <row r="643" spans="1:4">
      <c r="A643" t="s">
        <v>464</v>
      </c>
      <c r="B643" t="s">
        <v>1349</v>
      </c>
      <c r="C643">
        <v>202650</v>
      </c>
      <c r="D643">
        <v>14940</v>
      </c>
    </row>
    <row r="644" spans="1:4">
      <c r="A644" t="s">
        <v>3946</v>
      </c>
      <c r="B644" t="s">
        <v>1349</v>
      </c>
      <c r="C644">
        <v>2000017920</v>
      </c>
      <c r="D644">
        <v>14940</v>
      </c>
    </row>
    <row r="645" spans="1:4">
      <c r="A645" t="s">
        <v>6010</v>
      </c>
      <c r="B645" t="s">
        <v>1349</v>
      </c>
      <c r="C645">
        <v>316220</v>
      </c>
      <c r="D645">
        <v>14940</v>
      </c>
    </row>
    <row r="646" spans="1:4">
      <c r="A646" t="s">
        <v>3946</v>
      </c>
      <c r="B646" t="s">
        <v>1349</v>
      </c>
      <c r="C646">
        <v>2000017901</v>
      </c>
      <c r="D646">
        <v>14930</v>
      </c>
    </row>
    <row r="647" spans="1:4">
      <c r="A647" t="s">
        <v>3061</v>
      </c>
      <c r="B647" t="s">
        <v>1349</v>
      </c>
      <c r="C647">
        <v>411780</v>
      </c>
      <c r="D647">
        <v>14930</v>
      </c>
    </row>
    <row r="648" spans="1:4">
      <c r="A648" t="s">
        <v>464</v>
      </c>
      <c r="B648" t="s">
        <v>1349</v>
      </c>
      <c r="C648">
        <v>202710</v>
      </c>
      <c r="D648">
        <v>14920</v>
      </c>
    </row>
    <row r="649" spans="1:4">
      <c r="A649" t="s">
        <v>3946</v>
      </c>
      <c r="B649" t="s">
        <v>1349</v>
      </c>
      <c r="C649">
        <v>2000018010</v>
      </c>
      <c r="D649">
        <v>14920</v>
      </c>
    </row>
    <row r="650" spans="1:4">
      <c r="A650" t="s">
        <v>464</v>
      </c>
      <c r="B650" t="s">
        <v>1349</v>
      </c>
      <c r="C650">
        <v>202630</v>
      </c>
      <c r="D650">
        <v>14910</v>
      </c>
    </row>
    <row r="651" spans="1:4">
      <c r="A651" t="s">
        <v>464</v>
      </c>
      <c r="B651" t="s">
        <v>1349</v>
      </c>
      <c r="C651">
        <v>202560</v>
      </c>
      <c r="D651">
        <v>14900</v>
      </c>
    </row>
    <row r="652" spans="1:4">
      <c r="A652" t="s">
        <v>3946</v>
      </c>
      <c r="B652" t="s">
        <v>1349</v>
      </c>
      <c r="C652">
        <v>2000017900</v>
      </c>
      <c r="D652">
        <v>14900</v>
      </c>
    </row>
    <row r="653" spans="1:4">
      <c r="A653" t="s">
        <v>6010</v>
      </c>
      <c r="B653" t="s">
        <v>1349</v>
      </c>
      <c r="C653">
        <v>316260</v>
      </c>
      <c r="D653">
        <v>14900</v>
      </c>
    </row>
    <row r="654" spans="1:4">
      <c r="A654" t="s">
        <v>464</v>
      </c>
      <c r="B654" t="s">
        <v>1349</v>
      </c>
      <c r="C654">
        <v>202550</v>
      </c>
      <c r="D654">
        <v>14890</v>
      </c>
    </row>
    <row r="655" spans="1:4">
      <c r="A655" t="s">
        <v>3946</v>
      </c>
      <c r="B655" t="s">
        <v>1349</v>
      </c>
      <c r="C655">
        <v>2000017929</v>
      </c>
      <c r="D655">
        <v>14890</v>
      </c>
    </row>
    <row r="656" spans="1:4">
      <c r="A656" t="s">
        <v>6010</v>
      </c>
      <c r="B656" t="s">
        <v>1349</v>
      </c>
      <c r="C656">
        <v>316210</v>
      </c>
      <c r="D656">
        <v>14890</v>
      </c>
    </row>
    <row r="657" spans="1:4">
      <c r="A657" t="s">
        <v>3946</v>
      </c>
      <c r="B657" t="s">
        <v>1349</v>
      </c>
      <c r="C657">
        <v>2000005780</v>
      </c>
      <c r="D657">
        <v>14780</v>
      </c>
    </row>
    <row r="658" spans="1:4">
      <c r="A658" t="s">
        <v>3946</v>
      </c>
      <c r="B658" t="s">
        <v>1349</v>
      </c>
      <c r="C658">
        <v>2000005770</v>
      </c>
      <c r="D658">
        <v>14770</v>
      </c>
    </row>
    <row r="659" spans="1:4">
      <c r="A659" t="s">
        <v>3946</v>
      </c>
      <c r="B659" t="s">
        <v>1349</v>
      </c>
      <c r="C659">
        <v>2000005760</v>
      </c>
      <c r="D659">
        <v>14760</v>
      </c>
    </row>
    <row r="660" spans="1:4">
      <c r="A660" t="s">
        <v>3946</v>
      </c>
      <c r="B660" t="s">
        <v>1349</v>
      </c>
      <c r="C660">
        <v>2000005750</v>
      </c>
      <c r="D660">
        <v>14750</v>
      </c>
    </row>
    <row r="661" spans="1:4">
      <c r="A661" t="s">
        <v>3946</v>
      </c>
      <c r="B661" t="s">
        <v>1349</v>
      </c>
      <c r="C661">
        <v>2000005720</v>
      </c>
      <c r="D661">
        <v>14740</v>
      </c>
    </row>
    <row r="662" spans="1:4">
      <c r="A662" t="s">
        <v>3946</v>
      </c>
      <c r="B662" t="s">
        <v>1349</v>
      </c>
      <c r="C662">
        <v>2000005740</v>
      </c>
      <c r="D662">
        <v>14730</v>
      </c>
    </row>
    <row r="663" spans="1:4">
      <c r="A663" t="s">
        <v>3946</v>
      </c>
      <c r="B663" t="s">
        <v>1349</v>
      </c>
      <c r="C663">
        <v>2000005749</v>
      </c>
      <c r="D663">
        <v>14720</v>
      </c>
    </row>
    <row r="664" spans="1:4">
      <c r="A664" t="s">
        <v>464</v>
      </c>
      <c r="B664" t="s">
        <v>1349</v>
      </c>
      <c r="C664">
        <v>204530</v>
      </c>
      <c r="D664">
        <v>14700</v>
      </c>
    </row>
    <row r="665" spans="1:4">
      <c r="A665" t="s">
        <v>464</v>
      </c>
      <c r="B665" t="s">
        <v>1349</v>
      </c>
      <c r="C665">
        <v>204450</v>
      </c>
      <c r="D665">
        <v>14690</v>
      </c>
    </row>
    <row r="666" spans="1:4">
      <c r="A666" t="s">
        <v>464</v>
      </c>
      <c r="B666" t="s">
        <v>1349</v>
      </c>
      <c r="C666">
        <v>204490</v>
      </c>
      <c r="D666">
        <v>14680</v>
      </c>
    </row>
    <row r="667" spans="1:4">
      <c r="A667" t="s">
        <v>464</v>
      </c>
      <c r="B667" t="s">
        <v>1349</v>
      </c>
      <c r="C667">
        <v>204500</v>
      </c>
      <c r="D667">
        <v>14670</v>
      </c>
    </row>
    <row r="668" spans="1:4">
      <c r="A668" t="s">
        <v>464</v>
      </c>
      <c r="B668" t="s">
        <v>1349</v>
      </c>
      <c r="C668">
        <v>204460</v>
      </c>
      <c r="D668">
        <v>14660</v>
      </c>
    </row>
    <row r="669" spans="1:4">
      <c r="A669" t="s">
        <v>464</v>
      </c>
      <c r="B669" t="s">
        <v>1349</v>
      </c>
      <c r="C669">
        <v>204480</v>
      </c>
      <c r="D669">
        <v>14650</v>
      </c>
    </row>
    <row r="670" spans="1:4">
      <c r="A670" t="s">
        <v>464</v>
      </c>
      <c r="B670" t="s">
        <v>1349</v>
      </c>
      <c r="C670">
        <v>204470</v>
      </c>
      <c r="D670">
        <v>14640</v>
      </c>
    </row>
    <row r="671" spans="1:4">
      <c r="A671" t="s">
        <v>464</v>
      </c>
      <c r="B671" t="s">
        <v>1349</v>
      </c>
      <c r="C671">
        <v>204440</v>
      </c>
      <c r="D671">
        <v>14630</v>
      </c>
    </row>
    <row r="672" spans="1:4">
      <c r="A672" t="s">
        <v>464</v>
      </c>
      <c r="B672" t="s">
        <v>1349</v>
      </c>
      <c r="C672">
        <v>203650</v>
      </c>
      <c r="D672">
        <v>14610</v>
      </c>
    </row>
    <row r="673" spans="1:4">
      <c r="A673" t="s">
        <v>464</v>
      </c>
      <c r="B673" t="s">
        <v>1349</v>
      </c>
      <c r="C673">
        <v>203620</v>
      </c>
      <c r="D673">
        <v>14600</v>
      </c>
    </row>
    <row r="674" spans="1:4">
      <c r="A674" t="s">
        <v>464</v>
      </c>
      <c r="B674" t="s">
        <v>1349</v>
      </c>
      <c r="C674">
        <v>203610</v>
      </c>
      <c r="D674">
        <v>14590</v>
      </c>
    </row>
    <row r="675" spans="1:4">
      <c r="A675" t="s">
        <v>464</v>
      </c>
      <c r="B675" t="s">
        <v>1349</v>
      </c>
      <c r="C675">
        <v>203640</v>
      </c>
      <c r="D675">
        <v>14580</v>
      </c>
    </row>
    <row r="676" spans="1:4">
      <c r="A676" t="s">
        <v>464</v>
      </c>
      <c r="B676" t="s">
        <v>1349</v>
      </c>
      <c r="C676">
        <v>203630</v>
      </c>
      <c r="D676">
        <v>14570</v>
      </c>
    </row>
    <row r="677" spans="1:4">
      <c r="A677" t="s">
        <v>464</v>
      </c>
      <c r="B677" t="s">
        <v>1349</v>
      </c>
      <c r="C677">
        <v>203600</v>
      </c>
      <c r="D677">
        <v>14560</v>
      </c>
    </row>
    <row r="678" spans="1:4">
      <c r="A678" t="s">
        <v>464</v>
      </c>
      <c r="B678" t="s">
        <v>1349</v>
      </c>
      <c r="C678">
        <v>203590</v>
      </c>
      <c r="D678">
        <v>14550</v>
      </c>
    </row>
    <row r="679" spans="1:4">
      <c r="A679" t="s">
        <v>464</v>
      </c>
      <c r="B679" t="s">
        <v>1349</v>
      </c>
      <c r="C679">
        <v>203580</v>
      </c>
      <c r="D679">
        <v>14540</v>
      </c>
    </row>
    <row r="680" spans="1:4">
      <c r="A680" t="s">
        <v>464</v>
      </c>
      <c r="B680" t="s">
        <v>1349</v>
      </c>
      <c r="C680">
        <v>204430</v>
      </c>
      <c r="D680">
        <v>14410</v>
      </c>
    </row>
    <row r="681" spans="1:4">
      <c r="A681" t="s">
        <v>464</v>
      </c>
      <c r="B681" t="s">
        <v>1349</v>
      </c>
      <c r="C681">
        <v>204420</v>
      </c>
      <c r="D681">
        <v>14400</v>
      </c>
    </row>
    <row r="682" spans="1:4">
      <c r="A682" t="s">
        <v>464</v>
      </c>
      <c r="B682" t="s">
        <v>1349</v>
      </c>
      <c r="C682">
        <v>204400</v>
      </c>
      <c r="D682">
        <v>14390</v>
      </c>
    </row>
    <row r="683" spans="1:4">
      <c r="A683" t="s">
        <v>464</v>
      </c>
      <c r="B683" t="s">
        <v>1349</v>
      </c>
      <c r="C683">
        <v>204390</v>
      </c>
      <c r="D683">
        <v>14380</v>
      </c>
    </row>
    <row r="684" spans="1:4">
      <c r="A684" t="s">
        <v>464</v>
      </c>
      <c r="B684" t="s">
        <v>1349</v>
      </c>
      <c r="C684">
        <v>204410</v>
      </c>
      <c r="D684">
        <v>14370</v>
      </c>
    </row>
    <row r="685" spans="1:4">
      <c r="A685" t="s">
        <v>464</v>
      </c>
      <c r="B685" t="s">
        <v>1349</v>
      </c>
      <c r="C685">
        <v>204380</v>
      </c>
      <c r="D685">
        <v>14360</v>
      </c>
    </row>
    <row r="686" spans="1:4">
      <c r="A686" t="s">
        <v>3946</v>
      </c>
      <c r="B686" t="s">
        <v>1349</v>
      </c>
      <c r="C686">
        <v>2000002240</v>
      </c>
      <c r="D686">
        <v>14350</v>
      </c>
    </row>
    <row r="687" spans="1:4">
      <c r="A687" t="s">
        <v>6010</v>
      </c>
      <c r="B687" t="s">
        <v>1349</v>
      </c>
      <c r="C687">
        <v>302750</v>
      </c>
      <c r="D687">
        <v>14350</v>
      </c>
    </row>
    <row r="688" spans="1:4">
      <c r="A688" t="s">
        <v>464</v>
      </c>
      <c r="B688" t="s">
        <v>1349</v>
      </c>
      <c r="C688">
        <v>203240</v>
      </c>
      <c r="D688">
        <v>14340</v>
      </c>
    </row>
    <row r="689" spans="1:4">
      <c r="A689" t="s">
        <v>3946</v>
      </c>
      <c r="B689" t="s">
        <v>1349</v>
      </c>
      <c r="C689">
        <v>2000002230</v>
      </c>
      <c r="D689">
        <v>14340</v>
      </c>
    </row>
    <row r="690" spans="1:4">
      <c r="A690" t="s">
        <v>6010</v>
      </c>
      <c r="B690" t="s">
        <v>1349</v>
      </c>
      <c r="C690">
        <v>302650</v>
      </c>
      <c r="D690">
        <v>14330</v>
      </c>
    </row>
    <row r="691" spans="1:4">
      <c r="A691" t="s">
        <v>464</v>
      </c>
      <c r="B691" t="s">
        <v>1349</v>
      </c>
      <c r="C691">
        <v>203220</v>
      </c>
      <c r="D691">
        <v>14310</v>
      </c>
    </row>
    <row r="692" spans="1:4">
      <c r="A692" t="s">
        <v>464</v>
      </c>
      <c r="B692" t="s">
        <v>1349</v>
      </c>
      <c r="C692">
        <v>203150</v>
      </c>
      <c r="D692">
        <v>14300</v>
      </c>
    </row>
    <row r="693" spans="1:4">
      <c r="A693" t="s">
        <v>3946</v>
      </c>
      <c r="B693" t="s">
        <v>1349</v>
      </c>
      <c r="C693">
        <v>2000002210</v>
      </c>
      <c r="D693">
        <v>14300</v>
      </c>
    </row>
    <row r="694" spans="1:4">
      <c r="A694" t="s">
        <v>6010</v>
      </c>
      <c r="B694" t="s">
        <v>1349</v>
      </c>
      <c r="C694">
        <v>302690</v>
      </c>
      <c r="D694">
        <v>14300</v>
      </c>
    </row>
    <row r="695" spans="1:4">
      <c r="A695" t="s">
        <v>464</v>
      </c>
      <c r="B695" t="s">
        <v>1349</v>
      </c>
      <c r="C695">
        <v>203210</v>
      </c>
      <c r="D695">
        <v>14250</v>
      </c>
    </row>
    <row r="696" spans="1:4">
      <c r="A696" t="s">
        <v>3946</v>
      </c>
      <c r="B696" t="s">
        <v>1349</v>
      </c>
      <c r="C696">
        <v>2000002200</v>
      </c>
      <c r="D696">
        <v>14250</v>
      </c>
    </row>
    <row r="697" spans="1:4">
      <c r="A697" t="s">
        <v>6010</v>
      </c>
      <c r="B697" t="s">
        <v>1349</v>
      </c>
      <c r="C697">
        <v>302670</v>
      </c>
      <c r="D697">
        <v>14250</v>
      </c>
    </row>
    <row r="698" spans="1:4">
      <c r="A698" t="s">
        <v>3946</v>
      </c>
      <c r="B698" t="s">
        <v>1349</v>
      </c>
      <c r="C698">
        <v>2000002190</v>
      </c>
      <c r="D698">
        <v>14220</v>
      </c>
    </row>
    <row r="699" spans="1:4">
      <c r="A699" t="s">
        <v>6010</v>
      </c>
      <c r="B699" t="s">
        <v>1349</v>
      </c>
      <c r="C699">
        <v>302700</v>
      </c>
      <c r="D699">
        <v>14220</v>
      </c>
    </row>
    <row r="700" spans="1:4">
      <c r="A700" t="s">
        <v>464</v>
      </c>
      <c r="B700" t="s">
        <v>1349</v>
      </c>
      <c r="C700">
        <v>203180</v>
      </c>
      <c r="D700">
        <v>14170</v>
      </c>
    </row>
    <row r="701" spans="1:4">
      <c r="A701" t="s">
        <v>3946</v>
      </c>
      <c r="B701" t="s">
        <v>1349</v>
      </c>
      <c r="C701">
        <v>2000002130</v>
      </c>
      <c r="D701">
        <v>14170</v>
      </c>
    </row>
    <row r="702" spans="1:4">
      <c r="A702" t="s">
        <v>464</v>
      </c>
      <c r="B702" t="s">
        <v>1349</v>
      </c>
      <c r="C702">
        <v>203140</v>
      </c>
      <c r="D702">
        <v>14160</v>
      </c>
    </row>
    <row r="703" spans="1:4">
      <c r="A703" t="s">
        <v>3946</v>
      </c>
      <c r="B703" t="s">
        <v>1349</v>
      </c>
      <c r="C703">
        <v>2000002160</v>
      </c>
      <c r="D703">
        <v>14160</v>
      </c>
    </row>
    <row r="704" spans="1:4">
      <c r="A704" t="s">
        <v>6010</v>
      </c>
      <c r="B704" t="s">
        <v>1349</v>
      </c>
      <c r="C704">
        <v>302680</v>
      </c>
      <c r="D704">
        <v>14160</v>
      </c>
    </row>
    <row r="705" spans="1:4">
      <c r="A705" t="s">
        <v>464</v>
      </c>
      <c r="B705" t="s">
        <v>1349</v>
      </c>
      <c r="C705">
        <v>203130</v>
      </c>
      <c r="D705">
        <v>14150</v>
      </c>
    </row>
    <row r="706" spans="1:4">
      <c r="A706" t="s">
        <v>3946</v>
      </c>
      <c r="B706" t="s">
        <v>1349</v>
      </c>
      <c r="C706">
        <v>2000002150</v>
      </c>
      <c r="D706">
        <v>14150</v>
      </c>
    </row>
    <row r="707" spans="1:4">
      <c r="A707" t="s">
        <v>6010</v>
      </c>
      <c r="B707" t="s">
        <v>1349</v>
      </c>
      <c r="C707">
        <v>302640</v>
      </c>
      <c r="D707">
        <v>14150</v>
      </c>
    </row>
    <row r="708" spans="1:4">
      <c r="A708" t="s">
        <v>464</v>
      </c>
      <c r="B708" t="s">
        <v>1349</v>
      </c>
      <c r="C708">
        <v>203120</v>
      </c>
      <c r="D708">
        <v>14140</v>
      </c>
    </row>
    <row r="709" spans="1:4">
      <c r="A709" t="s">
        <v>3946</v>
      </c>
      <c r="B709" t="s">
        <v>1349</v>
      </c>
      <c r="C709">
        <v>2000002149</v>
      </c>
      <c r="D709">
        <v>14140</v>
      </c>
    </row>
    <row r="710" spans="1:4">
      <c r="A710" t="s">
        <v>6010</v>
      </c>
      <c r="B710" t="s">
        <v>1349</v>
      </c>
      <c r="C710">
        <v>302630</v>
      </c>
      <c r="D710">
        <v>14140</v>
      </c>
    </row>
    <row r="711" spans="1:4">
      <c r="A711" t="s">
        <v>3946</v>
      </c>
      <c r="B711" t="s">
        <v>1349</v>
      </c>
      <c r="C711">
        <v>2000046130</v>
      </c>
      <c r="D711">
        <v>14130</v>
      </c>
    </row>
    <row r="712" spans="1:4">
      <c r="A712" t="s">
        <v>464</v>
      </c>
      <c r="B712" t="s">
        <v>1349</v>
      </c>
      <c r="C712">
        <v>202930</v>
      </c>
      <c r="D712">
        <v>14120</v>
      </c>
    </row>
    <row r="713" spans="1:4">
      <c r="A713" t="s">
        <v>3946</v>
      </c>
      <c r="B713" t="s">
        <v>1349</v>
      </c>
      <c r="C713">
        <v>2000046120</v>
      </c>
      <c r="D713">
        <v>14120</v>
      </c>
    </row>
    <row r="714" spans="1:4">
      <c r="A714" t="s">
        <v>464</v>
      </c>
      <c r="B714" t="s">
        <v>1349</v>
      </c>
      <c r="C714">
        <v>202900</v>
      </c>
      <c r="D714">
        <v>14110</v>
      </c>
    </row>
    <row r="715" spans="1:4">
      <c r="A715" t="s">
        <v>464</v>
      </c>
      <c r="B715" t="s">
        <v>1349</v>
      </c>
      <c r="C715">
        <v>202880</v>
      </c>
      <c r="D715">
        <v>14100</v>
      </c>
    </row>
    <row r="716" spans="1:4">
      <c r="A716" t="s">
        <v>3946</v>
      </c>
      <c r="B716" t="s">
        <v>1349</v>
      </c>
      <c r="C716">
        <v>2000046090</v>
      </c>
      <c r="D716">
        <v>14100</v>
      </c>
    </row>
    <row r="717" spans="1:4">
      <c r="A717" t="s">
        <v>3946</v>
      </c>
      <c r="B717" t="s">
        <v>1349</v>
      </c>
      <c r="C717">
        <v>2000046151</v>
      </c>
      <c r="D717">
        <v>14090</v>
      </c>
    </row>
    <row r="718" spans="1:4">
      <c r="A718" t="s">
        <v>3946</v>
      </c>
      <c r="B718" t="s">
        <v>1349</v>
      </c>
      <c r="C718">
        <v>2000046150</v>
      </c>
      <c r="D718">
        <v>14080</v>
      </c>
    </row>
    <row r="719" spans="1:4">
      <c r="A719" t="s">
        <v>464</v>
      </c>
      <c r="B719" t="s">
        <v>1349</v>
      </c>
      <c r="C719">
        <v>202870</v>
      </c>
      <c r="D719">
        <v>14070</v>
      </c>
    </row>
    <row r="720" spans="1:4">
      <c r="A720" t="s">
        <v>3946</v>
      </c>
      <c r="B720" t="s">
        <v>1349</v>
      </c>
      <c r="C720">
        <v>2000046100</v>
      </c>
      <c r="D720">
        <v>14070</v>
      </c>
    </row>
    <row r="721" spans="1:4">
      <c r="A721" t="s">
        <v>464</v>
      </c>
      <c r="B721" t="s">
        <v>1349</v>
      </c>
      <c r="C721">
        <v>202920</v>
      </c>
      <c r="D721">
        <v>14060</v>
      </c>
    </row>
    <row r="722" spans="1:4">
      <c r="A722" t="s">
        <v>464</v>
      </c>
      <c r="B722" t="s">
        <v>1349</v>
      </c>
      <c r="C722">
        <v>202860</v>
      </c>
      <c r="D722">
        <v>14050</v>
      </c>
    </row>
    <row r="723" spans="1:4">
      <c r="A723" t="s">
        <v>3946</v>
      </c>
      <c r="B723" t="s">
        <v>1349</v>
      </c>
      <c r="C723">
        <v>2000046110</v>
      </c>
      <c r="D723">
        <v>14050</v>
      </c>
    </row>
    <row r="724" spans="1:4">
      <c r="A724" t="s">
        <v>3946</v>
      </c>
      <c r="B724" t="s">
        <v>1349</v>
      </c>
      <c r="C724">
        <v>2000002110</v>
      </c>
      <c r="D724">
        <v>13990</v>
      </c>
    </row>
    <row r="725" spans="1:4">
      <c r="A725" t="s">
        <v>6010</v>
      </c>
      <c r="B725" t="s">
        <v>1349</v>
      </c>
      <c r="C725">
        <v>302360</v>
      </c>
      <c r="D725">
        <v>13990</v>
      </c>
    </row>
    <row r="726" spans="1:4">
      <c r="A726" t="s">
        <v>464</v>
      </c>
      <c r="B726" t="s">
        <v>1349</v>
      </c>
      <c r="C726">
        <v>202990</v>
      </c>
      <c r="D726">
        <v>13980</v>
      </c>
    </row>
    <row r="727" spans="1:4">
      <c r="A727" t="s">
        <v>3946</v>
      </c>
      <c r="B727" t="s">
        <v>1349</v>
      </c>
      <c r="C727">
        <v>2000002050</v>
      </c>
      <c r="D727">
        <v>13980</v>
      </c>
    </row>
    <row r="728" spans="1:4">
      <c r="A728" t="s">
        <v>464</v>
      </c>
      <c r="B728" t="s">
        <v>1349</v>
      </c>
      <c r="C728">
        <v>203000</v>
      </c>
      <c r="D728">
        <v>13970</v>
      </c>
    </row>
    <row r="729" spans="1:4">
      <c r="A729" t="s">
        <v>3946</v>
      </c>
      <c r="B729" t="s">
        <v>1349</v>
      </c>
      <c r="C729">
        <v>2000002080</v>
      </c>
      <c r="D729">
        <v>13960</v>
      </c>
    </row>
    <row r="730" spans="1:4">
      <c r="A730" t="s">
        <v>6010</v>
      </c>
      <c r="B730" t="s">
        <v>1349</v>
      </c>
      <c r="C730">
        <v>302300</v>
      </c>
      <c r="D730">
        <v>13960</v>
      </c>
    </row>
    <row r="731" spans="1:4">
      <c r="A731" t="s">
        <v>464</v>
      </c>
      <c r="B731" t="s">
        <v>1349</v>
      </c>
      <c r="C731">
        <v>202980</v>
      </c>
      <c r="D731">
        <v>13950</v>
      </c>
    </row>
    <row r="732" spans="1:4">
      <c r="A732" t="s">
        <v>3946</v>
      </c>
      <c r="B732" t="s">
        <v>1349</v>
      </c>
      <c r="C732">
        <v>2000002070</v>
      </c>
      <c r="D732">
        <v>13950</v>
      </c>
    </row>
    <row r="733" spans="1:4">
      <c r="A733" t="s">
        <v>6010</v>
      </c>
      <c r="B733" t="s">
        <v>1349</v>
      </c>
      <c r="C733">
        <v>302320</v>
      </c>
      <c r="D733">
        <v>13950</v>
      </c>
    </row>
    <row r="734" spans="1:4">
      <c r="A734" t="s">
        <v>464</v>
      </c>
      <c r="B734" t="s">
        <v>1349</v>
      </c>
      <c r="C734">
        <v>202970</v>
      </c>
      <c r="D734">
        <v>13940</v>
      </c>
    </row>
    <row r="735" spans="1:4">
      <c r="A735" t="s">
        <v>3946</v>
      </c>
      <c r="B735" t="s">
        <v>1349</v>
      </c>
      <c r="C735">
        <v>2000002040</v>
      </c>
      <c r="D735">
        <v>13940</v>
      </c>
    </row>
    <row r="736" spans="1:4">
      <c r="A736" t="s">
        <v>464</v>
      </c>
      <c r="B736" t="s">
        <v>1349</v>
      </c>
      <c r="C736">
        <v>202950</v>
      </c>
      <c r="D736">
        <v>13920</v>
      </c>
    </row>
    <row r="737" spans="1:4">
      <c r="A737" t="s">
        <v>3946</v>
      </c>
      <c r="B737" t="s">
        <v>1349</v>
      </c>
      <c r="C737">
        <v>2000001990</v>
      </c>
      <c r="D737">
        <v>13920</v>
      </c>
    </row>
    <row r="738" spans="1:4">
      <c r="A738" t="s">
        <v>6010</v>
      </c>
      <c r="B738" t="s">
        <v>1349</v>
      </c>
      <c r="C738">
        <v>302310</v>
      </c>
      <c r="D738">
        <v>13920</v>
      </c>
    </row>
    <row r="739" spans="1:4">
      <c r="A739" t="s">
        <v>3946</v>
      </c>
      <c r="B739" t="s">
        <v>1349</v>
      </c>
      <c r="C739">
        <v>2000024030</v>
      </c>
      <c r="D739">
        <v>13910</v>
      </c>
    </row>
    <row r="740" spans="1:4">
      <c r="A740" t="s">
        <v>464</v>
      </c>
      <c r="B740" t="s">
        <v>1349</v>
      </c>
      <c r="C740">
        <v>202960</v>
      </c>
      <c r="D740">
        <v>13900</v>
      </c>
    </row>
    <row r="741" spans="1:4">
      <c r="A741" t="s">
        <v>464</v>
      </c>
      <c r="B741" t="s">
        <v>1349</v>
      </c>
      <c r="C741">
        <v>202940</v>
      </c>
      <c r="D741">
        <v>13890</v>
      </c>
    </row>
    <row r="742" spans="1:4">
      <c r="A742" t="s">
        <v>3946</v>
      </c>
      <c r="B742" t="s">
        <v>1349</v>
      </c>
      <c r="C742">
        <v>2000002039</v>
      </c>
      <c r="D742">
        <v>13890</v>
      </c>
    </row>
    <row r="743" spans="1:4">
      <c r="A743" t="s">
        <v>6010</v>
      </c>
      <c r="B743" t="s">
        <v>1349</v>
      </c>
      <c r="C743">
        <v>302290</v>
      </c>
      <c r="D743">
        <v>13890</v>
      </c>
    </row>
    <row r="744" spans="1:4">
      <c r="A744" t="s">
        <v>6011</v>
      </c>
      <c r="B744" t="s">
        <v>1349</v>
      </c>
      <c r="C744">
        <v>155480</v>
      </c>
      <c r="D744">
        <v>13840</v>
      </c>
    </row>
    <row r="745" spans="1:4">
      <c r="A745" t="s">
        <v>6011</v>
      </c>
      <c r="B745" t="s">
        <v>1349</v>
      </c>
      <c r="C745">
        <v>155475</v>
      </c>
      <c r="D745">
        <v>13830</v>
      </c>
    </row>
    <row r="746" spans="1:4">
      <c r="A746" t="s">
        <v>464</v>
      </c>
      <c r="B746" t="s">
        <v>1349</v>
      </c>
      <c r="C746">
        <v>203110</v>
      </c>
      <c r="D746">
        <v>13760</v>
      </c>
    </row>
    <row r="747" spans="1:4">
      <c r="A747" t="s">
        <v>464</v>
      </c>
      <c r="B747" t="s">
        <v>1349</v>
      </c>
      <c r="C747">
        <v>203090</v>
      </c>
      <c r="D747">
        <v>13750</v>
      </c>
    </row>
    <row r="748" spans="1:4">
      <c r="A748" t="s">
        <v>464</v>
      </c>
      <c r="B748" t="s">
        <v>1349</v>
      </c>
      <c r="C748">
        <v>203050</v>
      </c>
      <c r="D748">
        <v>13740</v>
      </c>
    </row>
    <row r="749" spans="1:4">
      <c r="A749" t="s">
        <v>464</v>
      </c>
      <c r="B749" t="s">
        <v>1349</v>
      </c>
      <c r="C749">
        <v>203100</v>
      </c>
      <c r="D749">
        <v>13730</v>
      </c>
    </row>
    <row r="750" spans="1:4">
      <c r="A750" t="s">
        <v>464</v>
      </c>
      <c r="B750" t="s">
        <v>1349</v>
      </c>
      <c r="C750">
        <v>203070</v>
      </c>
      <c r="D750">
        <v>13720</v>
      </c>
    </row>
    <row r="751" spans="1:4">
      <c r="A751" t="s">
        <v>464</v>
      </c>
      <c r="B751" t="s">
        <v>1349</v>
      </c>
      <c r="C751">
        <v>203060</v>
      </c>
      <c r="D751">
        <v>13710</v>
      </c>
    </row>
    <row r="752" spans="1:4">
      <c r="A752" t="s">
        <v>464</v>
      </c>
      <c r="B752" t="s">
        <v>1349</v>
      </c>
      <c r="C752">
        <v>203040</v>
      </c>
      <c r="D752">
        <v>13700</v>
      </c>
    </row>
    <row r="753" spans="1:4">
      <c r="A753" t="s">
        <v>464</v>
      </c>
      <c r="B753" t="s">
        <v>1349</v>
      </c>
      <c r="C753">
        <v>203030</v>
      </c>
      <c r="D753">
        <v>13690</v>
      </c>
    </row>
    <row r="754" spans="1:4">
      <c r="A754" t="s">
        <v>464</v>
      </c>
      <c r="B754" t="s">
        <v>1349</v>
      </c>
      <c r="C754">
        <v>203020</v>
      </c>
      <c r="D754">
        <v>13680</v>
      </c>
    </row>
    <row r="755" spans="1:4">
      <c r="A755" t="s">
        <v>3946</v>
      </c>
      <c r="B755" t="s">
        <v>1349</v>
      </c>
      <c r="C755">
        <v>2000008580</v>
      </c>
      <c r="D755">
        <v>13670</v>
      </c>
    </row>
    <row r="756" spans="1:4">
      <c r="A756" t="s">
        <v>6010</v>
      </c>
      <c r="B756" t="s">
        <v>1349</v>
      </c>
      <c r="C756">
        <v>316180</v>
      </c>
      <c r="D756">
        <v>13670</v>
      </c>
    </row>
    <row r="757" spans="1:4">
      <c r="A757" t="s">
        <v>464</v>
      </c>
      <c r="B757" t="s">
        <v>1349</v>
      </c>
      <c r="C757">
        <v>202850</v>
      </c>
      <c r="D757">
        <v>13660</v>
      </c>
    </row>
    <row r="758" spans="1:4">
      <c r="A758" t="s">
        <v>3946</v>
      </c>
      <c r="B758" t="s">
        <v>1349</v>
      </c>
      <c r="C758">
        <v>2000008570</v>
      </c>
      <c r="D758">
        <v>13660</v>
      </c>
    </row>
    <row r="759" spans="1:4">
      <c r="A759" t="s">
        <v>464</v>
      </c>
      <c r="B759" t="s">
        <v>1349</v>
      </c>
      <c r="C759">
        <v>202750</v>
      </c>
      <c r="D759">
        <v>13650</v>
      </c>
    </row>
    <row r="760" spans="1:4">
      <c r="A760" t="s">
        <v>464</v>
      </c>
      <c r="B760" t="s">
        <v>1349</v>
      </c>
      <c r="C760">
        <v>202800</v>
      </c>
      <c r="D760">
        <v>13640</v>
      </c>
    </row>
    <row r="761" spans="1:4">
      <c r="A761" t="s">
        <v>3946</v>
      </c>
      <c r="B761" t="s">
        <v>1349</v>
      </c>
      <c r="C761">
        <v>2000008560</v>
      </c>
      <c r="D761">
        <v>13640</v>
      </c>
    </row>
    <row r="762" spans="1:4">
      <c r="A762" t="s">
        <v>6010</v>
      </c>
      <c r="B762" t="s">
        <v>1349</v>
      </c>
      <c r="C762">
        <v>316120</v>
      </c>
      <c r="D762">
        <v>13640</v>
      </c>
    </row>
    <row r="763" spans="1:4">
      <c r="A763" t="s">
        <v>3946</v>
      </c>
      <c r="B763" t="s">
        <v>1349</v>
      </c>
      <c r="C763">
        <v>2000008550</v>
      </c>
      <c r="D763">
        <v>13630</v>
      </c>
    </row>
    <row r="764" spans="1:4">
      <c r="A764" t="s">
        <v>6010</v>
      </c>
      <c r="B764" t="s">
        <v>1349</v>
      </c>
      <c r="C764">
        <v>316130</v>
      </c>
      <c r="D764">
        <v>13630</v>
      </c>
    </row>
    <row r="765" spans="1:4">
      <c r="A765" t="s">
        <v>464</v>
      </c>
      <c r="B765" t="s">
        <v>1349</v>
      </c>
      <c r="C765">
        <v>202810</v>
      </c>
      <c r="D765">
        <v>13620</v>
      </c>
    </row>
    <row r="766" spans="1:4">
      <c r="A766" t="s">
        <v>3946</v>
      </c>
      <c r="B766" t="s">
        <v>1349</v>
      </c>
      <c r="C766">
        <v>2000008520</v>
      </c>
      <c r="D766">
        <v>13610</v>
      </c>
    </row>
    <row r="767" spans="1:4">
      <c r="A767" t="s">
        <v>464</v>
      </c>
      <c r="B767" t="s">
        <v>1349</v>
      </c>
      <c r="C767">
        <v>202760</v>
      </c>
      <c r="D767">
        <v>13600</v>
      </c>
    </row>
    <row r="768" spans="1:4">
      <c r="A768" t="s">
        <v>3946</v>
      </c>
      <c r="B768" t="s">
        <v>1349</v>
      </c>
      <c r="C768">
        <v>2000008540</v>
      </c>
      <c r="D768">
        <v>13600</v>
      </c>
    </row>
    <row r="769" spans="1:4">
      <c r="A769" t="s">
        <v>6010</v>
      </c>
      <c r="B769" t="s">
        <v>1349</v>
      </c>
      <c r="C769">
        <v>316110</v>
      </c>
      <c r="D769">
        <v>13600</v>
      </c>
    </row>
    <row r="770" spans="1:4">
      <c r="A770" t="s">
        <v>3946</v>
      </c>
      <c r="B770" t="s">
        <v>1349</v>
      </c>
      <c r="C770">
        <v>2000008530</v>
      </c>
      <c r="D770">
        <v>13590</v>
      </c>
    </row>
    <row r="771" spans="1:4">
      <c r="A771" t="s">
        <v>6010</v>
      </c>
      <c r="B771" t="s">
        <v>1349</v>
      </c>
      <c r="C771">
        <v>316150</v>
      </c>
      <c r="D771">
        <v>13590</v>
      </c>
    </row>
    <row r="772" spans="1:4">
      <c r="A772" t="s">
        <v>464</v>
      </c>
      <c r="B772" t="s">
        <v>1349</v>
      </c>
      <c r="C772">
        <v>202780</v>
      </c>
      <c r="D772">
        <v>13580</v>
      </c>
    </row>
    <row r="773" spans="1:4">
      <c r="A773" t="s">
        <v>6010</v>
      </c>
      <c r="B773" t="s">
        <v>1349</v>
      </c>
      <c r="C773">
        <v>316190</v>
      </c>
      <c r="D773">
        <v>13570</v>
      </c>
    </row>
    <row r="774" spans="1:4">
      <c r="A774" t="s">
        <v>464</v>
      </c>
      <c r="B774" t="s">
        <v>1349</v>
      </c>
      <c r="C774">
        <v>202790</v>
      </c>
      <c r="D774">
        <v>13550</v>
      </c>
    </row>
    <row r="775" spans="1:4">
      <c r="A775" t="s">
        <v>3946</v>
      </c>
      <c r="B775" t="s">
        <v>1349</v>
      </c>
      <c r="C775">
        <v>2000008500</v>
      </c>
      <c r="D775">
        <v>13550</v>
      </c>
    </row>
    <row r="776" spans="1:4">
      <c r="A776" t="s">
        <v>464</v>
      </c>
      <c r="B776" t="s">
        <v>1349</v>
      </c>
      <c r="C776">
        <v>202820</v>
      </c>
      <c r="D776">
        <v>13540</v>
      </c>
    </row>
    <row r="777" spans="1:4">
      <c r="A777" t="s">
        <v>3946</v>
      </c>
      <c r="B777" t="s">
        <v>1349</v>
      </c>
      <c r="C777">
        <v>2000008490</v>
      </c>
      <c r="D777">
        <v>13540</v>
      </c>
    </row>
    <row r="778" spans="1:4">
      <c r="A778" t="s">
        <v>464</v>
      </c>
      <c r="B778" t="s">
        <v>1349</v>
      </c>
      <c r="C778">
        <v>202770</v>
      </c>
      <c r="D778">
        <v>13530</v>
      </c>
    </row>
    <row r="779" spans="1:4">
      <c r="A779" t="s">
        <v>464</v>
      </c>
      <c r="B779" t="s">
        <v>1349</v>
      </c>
      <c r="C779">
        <v>202740</v>
      </c>
      <c r="D779">
        <v>13520</v>
      </c>
    </row>
    <row r="780" spans="1:4">
      <c r="A780" t="s">
        <v>3946</v>
      </c>
      <c r="B780" t="s">
        <v>1349</v>
      </c>
      <c r="C780">
        <v>2000008519</v>
      </c>
      <c r="D780">
        <v>13520</v>
      </c>
    </row>
    <row r="781" spans="1:4">
      <c r="A781" t="s">
        <v>6010</v>
      </c>
      <c r="B781" t="s">
        <v>1349</v>
      </c>
      <c r="C781">
        <v>316100</v>
      </c>
      <c r="D781">
        <v>13520</v>
      </c>
    </row>
    <row r="782" spans="1:4">
      <c r="A782" t="s">
        <v>464</v>
      </c>
      <c r="B782" t="s">
        <v>1349</v>
      </c>
      <c r="C782">
        <v>201840</v>
      </c>
      <c r="D782">
        <v>13500</v>
      </c>
    </row>
    <row r="783" spans="1:4">
      <c r="A783" t="s">
        <v>464</v>
      </c>
      <c r="B783" t="s">
        <v>1349</v>
      </c>
      <c r="C783">
        <v>201720</v>
      </c>
      <c r="D783">
        <v>13490</v>
      </c>
    </row>
    <row r="784" spans="1:4">
      <c r="A784" t="s">
        <v>464</v>
      </c>
      <c r="B784" t="s">
        <v>1349</v>
      </c>
      <c r="C784">
        <v>201690</v>
      </c>
      <c r="D784">
        <v>13480</v>
      </c>
    </row>
    <row r="785" spans="1:4">
      <c r="A785" t="s">
        <v>464</v>
      </c>
      <c r="B785" t="s">
        <v>1349</v>
      </c>
      <c r="C785">
        <v>201810</v>
      </c>
      <c r="D785">
        <v>13470</v>
      </c>
    </row>
    <row r="786" spans="1:4">
      <c r="A786" t="s">
        <v>464</v>
      </c>
      <c r="B786" t="s">
        <v>1349</v>
      </c>
      <c r="C786">
        <v>201740</v>
      </c>
      <c r="D786">
        <v>13460</v>
      </c>
    </row>
    <row r="787" spans="1:4">
      <c r="A787" t="s">
        <v>464</v>
      </c>
      <c r="B787" t="s">
        <v>1349</v>
      </c>
      <c r="C787">
        <v>201730</v>
      </c>
      <c r="D787">
        <v>13450</v>
      </c>
    </row>
    <row r="788" spans="1:4">
      <c r="A788" t="s">
        <v>464</v>
      </c>
      <c r="B788" t="s">
        <v>1349</v>
      </c>
      <c r="C788">
        <v>201700</v>
      </c>
      <c r="D788">
        <v>13440</v>
      </c>
    </row>
    <row r="789" spans="1:4">
      <c r="A789" t="s">
        <v>464</v>
      </c>
      <c r="B789" t="s">
        <v>1349</v>
      </c>
      <c r="C789">
        <v>201760</v>
      </c>
      <c r="D789">
        <v>13430</v>
      </c>
    </row>
    <row r="790" spans="1:4">
      <c r="A790" t="s">
        <v>464</v>
      </c>
      <c r="B790" t="s">
        <v>1349</v>
      </c>
      <c r="C790">
        <v>201780</v>
      </c>
      <c r="D790">
        <v>13410</v>
      </c>
    </row>
    <row r="791" spans="1:4">
      <c r="A791" t="s">
        <v>464</v>
      </c>
      <c r="B791" t="s">
        <v>1349</v>
      </c>
      <c r="C791">
        <v>201790</v>
      </c>
      <c r="D791">
        <v>13400</v>
      </c>
    </row>
    <row r="792" spans="1:4">
      <c r="A792" t="s">
        <v>464</v>
      </c>
      <c r="B792" t="s">
        <v>1349</v>
      </c>
      <c r="C792">
        <v>201770</v>
      </c>
      <c r="D792">
        <v>13390</v>
      </c>
    </row>
    <row r="793" spans="1:4">
      <c r="A793" t="s">
        <v>464</v>
      </c>
      <c r="B793" t="s">
        <v>1349</v>
      </c>
      <c r="C793">
        <v>201710</v>
      </c>
      <c r="D793">
        <v>13380</v>
      </c>
    </row>
    <row r="794" spans="1:4">
      <c r="A794" t="s">
        <v>464</v>
      </c>
      <c r="B794" t="s">
        <v>1349</v>
      </c>
      <c r="C794">
        <v>201680</v>
      </c>
      <c r="D794">
        <v>13370</v>
      </c>
    </row>
    <row r="795" spans="1:4">
      <c r="A795" t="s">
        <v>464</v>
      </c>
      <c r="B795" t="s">
        <v>1349</v>
      </c>
      <c r="C795">
        <v>200100</v>
      </c>
      <c r="D795">
        <v>13290</v>
      </c>
    </row>
    <row r="796" spans="1:4">
      <c r="A796" t="s">
        <v>464</v>
      </c>
      <c r="B796" t="s">
        <v>1349</v>
      </c>
      <c r="C796">
        <v>200040</v>
      </c>
      <c r="D796">
        <v>13280</v>
      </c>
    </row>
    <row r="797" spans="1:4">
      <c r="A797" t="s">
        <v>464</v>
      </c>
      <c r="B797" t="s">
        <v>1349</v>
      </c>
      <c r="C797">
        <v>200050</v>
      </c>
      <c r="D797">
        <v>13250</v>
      </c>
    </row>
    <row r="798" spans="1:4">
      <c r="A798" t="s">
        <v>464</v>
      </c>
      <c r="B798" t="s">
        <v>1349</v>
      </c>
      <c r="C798">
        <v>200070</v>
      </c>
      <c r="D798">
        <v>13240</v>
      </c>
    </row>
    <row r="799" spans="1:4">
      <c r="A799" t="s">
        <v>464</v>
      </c>
      <c r="B799" t="s">
        <v>1349</v>
      </c>
      <c r="C799">
        <v>200080</v>
      </c>
      <c r="D799">
        <v>13230</v>
      </c>
    </row>
    <row r="800" spans="1:4">
      <c r="A800" t="s">
        <v>464</v>
      </c>
      <c r="B800" t="s">
        <v>1349</v>
      </c>
      <c r="C800">
        <v>200030</v>
      </c>
      <c r="D800">
        <v>13220</v>
      </c>
    </row>
    <row r="801" spans="1:4">
      <c r="A801" t="s">
        <v>464</v>
      </c>
      <c r="B801" t="s">
        <v>1349</v>
      </c>
      <c r="C801">
        <v>200020</v>
      </c>
      <c r="D801">
        <v>13210</v>
      </c>
    </row>
    <row r="802" spans="1:4">
      <c r="A802" t="s">
        <v>464</v>
      </c>
      <c r="B802" t="s">
        <v>1349</v>
      </c>
      <c r="C802">
        <v>200060</v>
      </c>
      <c r="D802">
        <v>13200</v>
      </c>
    </row>
    <row r="803" spans="1:4">
      <c r="A803" t="s">
        <v>464</v>
      </c>
      <c r="B803" t="s">
        <v>1349</v>
      </c>
      <c r="C803">
        <v>200010</v>
      </c>
      <c r="D803">
        <v>13190</v>
      </c>
    </row>
    <row r="804" spans="1:4">
      <c r="A804" t="s">
        <v>464</v>
      </c>
      <c r="B804" t="s">
        <v>1349</v>
      </c>
      <c r="C804">
        <v>200090</v>
      </c>
      <c r="D804">
        <v>13180</v>
      </c>
    </row>
    <row r="805" spans="1:4">
      <c r="A805" t="s">
        <v>464</v>
      </c>
      <c r="B805" t="s">
        <v>1349</v>
      </c>
      <c r="C805">
        <v>200000</v>
      </c>
      <c r="D805">
        <v>13170</v>
      </c>
    </row>
    <row r="806" spans="1:4">
      <c r="A806" t="s">
        <v>464</v>
      </c>
      <c r="B806" t="s">
        <v>1349</v>
      </c>
      <c r="C806">
        <v>201990</v>
      </c>
      <c r="D806">
        <v>13150</v>
      </c>
    </row>
    <row r="807" spans="1:4">
      <c r="A807" t="s">
        <v>464</v>
      </c>
      <c r="B807" t="s">
        <v>1349</v>
      </c>
      <c r="C807">
        <v>201890</v>
      </c>
      <c r="D807">
        <v>13140</v>
      </c>
    </row>
    <row r="808" spans="1:4">
      <c r="A808" t="s">
        <v>464</v>
      </c>
      <c r="B808" t="s">
        <v>1349</v>
      </c>
      <c r="C808">
        <v>201970</v>
      </c>
      <c r="D808">
        <v>13130</v>
      </c>
    </row>
    <row r="809" spans="1:4">
      <c r="A809" t="s">
        <v>464</v>
      </c>
      <c r="B809" t="s">
        <v>1349</v>
      </c>
      <c r="C809">
        <v>201860</v>
      </c>
      <c r="D809">
        <v>13120</v>
      </c>
    </row>
    <row r="810" spans="1:4">
      <c r="A810" t="s">
        <v>464</v>
      </c>
      <c r="B810" t="s">
        <v>1349</v>
      </c>
      <c r="C810">
        <v>201900</v>
      </c>
      <c r="D810">
        <v>13110</v>
      </c>
    </row>
    <row r="811" spans="1:4">
      <c r="A811" t="s">
        <v>464</v>
      </c>
      <c r="B811" t="s">
        <v>1349</v>
      </c>
      <c r="C811">
        <v>201870</v>
      </c>
      <c r="D811">
        <v>13100</v>
      </c>
    </row>
    <row r="812" spans="1:4">
      <c r="A812" t="s">
        <v>464</v>
      </c>
      <c r="B812" t="s">
        <v>1349</v>
      </c>
      <c r="C812">
        <v>201950</v>
      </c>
      <c r="D812">
        <v>13090</v>
      </c>
    </row>
    <row r="813" spans="1:4">
      <c r="A813" t="s">
        <v>464</v>
      </c>
      <c r="B813" t="s">
        <v>1349</v>
      </c>
      <c r="C813">
        <v>201980</v>
      </c>
      <c r="D813">
        <v>13070</v>
      </c>
    </row>
    <row r="814" spans="1:4">
      <c r="A814" t="s">
        <v>464</v>
      </c>
      <c r="B814" t="s">
        <v>1349</v>
      </c>
      <c r="C814">
        <v>201910</v>
      </c>
      <c r="D814">
        <v>13060</v>
      </c>
    </row>
    <row r="815" spans="1:4">
      <c r="A815" t="s">
        <v>464</v>
      </c>
      <c r="B815" t="s">
        <v>1349</v>
      </c>
      <c r="C815">
        <v>201960</v>
      </c>
      <c r="D815">
        <v>13050</v>
      </c>
    </row>
    <row r="816" spans="1:4">
      <c r="A816" t="s">
        <v>464</v>
      </c>
      <c r="B816" t="s">
        <v>1349</v>
      </c>
      <c r="C816">
        <v>201880</v>
      </c>
      <c r="D816">
        <v>13040</v>
      </c>
    </row>
    <row r="817" spans="1:4">
      <c r="A817" t="s">
        <v>464</v>
      </c>
      <c r="B817" t="s">
        <v>1349</v>
      </c>
      <c r="C817">
        <v>201920</v>
      </c>
      <c r="D817">
        <v>13030</v>
      </c>
    </row>
    <row r="818" spans="1:4">
      <c r="A818" t="s">
        <v>464</v>
      </c>
      <c r="B818" t="s">
        <v>1349</v>
      </c>
      <c r="C818">
        <v>201850</v>
      </c>
      <c r="D818">
        <v>13020</v>
      </c>
    </row>
    <row r="819" spans="1:4">
      <c r="A819" t="s">
        <v>3946</v>
      </c>
      <c r="B819" t="s">
        <v>1349</v>
      </c>
      <c r="C819">
        <v>2000020770</v>
      </c>
      <c r="D819">
        <v>12790</v>
      </c>
    </row>
    <row r="820" spans="1:4">
      <c r="A820" t="s">
        <v>6010</v>
      </c>
      <c r="B820" t="s">
        <v>1349</v>
      </c>
      <c r="C820">
        <v>331520</v>
      </c>
      <c r="D820">
        <v>12790</v>
      </c>
    </row>
    <row r="821" spans="1:4">
      <c r="A821" t="s">
        <v>464</v>
      </c>
      <c r="B821" t="s">
        <v>1349</v>
      </c>
      <c r="C821">
        <v>200850</v>
      </c>
      <c r="D821">
        <v>12780</v>
      </c>
    </row>
    <row r="822" spans="1:4">
      <c r="A822" t="s">
        <v>3946</v>
      </c>
      <c r="B822" t="s">
        <v>1349</v>
      </c>
      <c r="C822">
        <v>2000020760</v>
      </c>
      <c r="D822">
        <v>12780</v>
      </c>
    </row>
    <row r="823" spans="1:4">
      <c r="A823" t="s">
        <v>6010</v>
      </c>
      <c r="B823" t="s">
        <v>1349</v>
      </c>
      <c r="C823">
        <v>331490</v>
      </c>
      <c r="D823">
        <v>12750</v>
      </c>
    </row>
    <row r="824" spans="1:4">
      <c r="A824" t="s">
        <v>464</v>
      </c>
      <c r="B824" t="s">
        <v>1349</v>
      </c>
      <c r="C824">
        <v>200830</v>
      </c>
      <c r="D824">
        <v>12740</v>
      </c>
    </row>
    <row r="825" spans="1:4">
      <c r="A825" t="s">
        <v>3946</v>
      </c>
      <c r="B825" t="s">
        <v>1349</v>
      </c>
      <c r="C825">
        <v>2000020730</v>
      </c>
      <c r="D825">
        <v>12740</v>
      </c>
    </row>
    <row r="826" spans="1:4">
      <c r="A826" t="s">
        <v>464</v>
      </c>
      <c r="B826" t="s">
        <v>1349</v>
      </c>
      <c r="C826">
        <v>200820</v>
      </c>
      <c r="D826">
        <v>12730</v>
      </c>
    </row>
    <row r="827" spans="1:4">
      <c r="A827" t="s">
        <v>464</v>
      </c>
      <c r="B827" t="s">
        <v>1349</v>
      </c>
      <c r="C827">
        <v>200810</v>
      </c>
      <c r="D827">
        <v>12720</v>
      </c>
    </row>
    <row r="828" spans="1:4">
      <c r="A828" t="s">
        <v>6010</v>
      </c>
      <c r="B828" t="s">
        <v>1349</v>
      </c>
      <c r="C828">
        <v>331470</v>
      </c>
      <c r="D828">
        <v>12720</v>
      </c>
    </row>
    <row r="829" spans="1:4">
      <c r="A829" t="s">
        <v>464</v>
      </c>
      <c r="B829" t="s">
        <v>1349</v>
      </c>
      <c r="C829">
        <v>200800</v>
      </c>
      <c r="D829">
        <v>12710</v>
      </c>
    </row>
    <row r="830" spans="1:4">
      <c r="A830" t="s">
        <v>6010</v>
      </c>
      <c r="B830" t="s">
        <v>1349</v>
      </c>
      <c r="C830">
        <v>331460</v>
      </c>
      <c r="D830">
        <v>12710</v>
      </c>
    </row>
    <row r="831" spans="1:4">
      <c r="A831" t="s">
        <v>464</v>
      </c>
      <c r="B831" t="s">
        <v>1349</v>
      </c>
      <c r="C831">
        <v>200790</v>
      </c>
      <c r="D831">
        <v>12700</v>
      </c>
    </row>
    <row r="832" spans="1:4">
      <c r="A832" t="s">
        <v>3946</v>
      </c>
      <c r="B832" t="s">
        <v>1349</v>
      </c>
      <c r="C832">
        <v>2000020729</v>
      </c>
      <c r="D832">
        <v>12700</v>
      </c>
    </row>
    <row r="833" spans="1:4">
      <c r="A833" t="s">
        <v>6010</v>
      </c>
      <c r="B833" t="s">
        <v>1349</v>
      </c>
      <c r="C833">
        <v>331440</v>
      </c>
      <c r="D833">
        <v>12700</v>
      </c>
    </row>
    <row r="834" spans="1:4">
      <c r="A834" t="s">
        <v>3061</v>
      </c>
      <c r="B834" t="s">
        <v>1349</v>
      </c>
      <c r="C834">
        <v>407830</v>
      </c>
      <c r="D834">
        <v>12700</v>
      </c>
    </row>
    <row r="835" spans="1:4">
      <c r="A835" t="s">
        <v>3946</v>
      </c>
      <c r="B835" t="s">
        <v>1349</v>
      </c>
      <c r="C835">
        <v>2000006780</v>
      </c>
      <c r="D835">
        <v>12570</v>
      </c>
    </row>
    <row r="836" spans="1:4">
      <c r="A836" t="s">
        <v>464</v>
      </c>
      <c r="B836" t="s">
        <v>1349</v>
      </c>
      <c r="C836">
        <v>201360</v>
      </c>
      <c r="D836">
        <v>12560</v>
      </c>
    </row>
    <row r="837" spans="1:4">
      <c r="A837" t="s">
        <v>3946</v>
      </c>
      <c r="B837" t="s">
        <v>1349</v>
      </c>
      <c r="C837">
        <v>2000006810</v>
      </c>
      <c r="D837">
        <v>12540</v>
      </c>
    </row>
    <row r="838" spans="1:4">
      <c r="A838" t="s">
        <v>6010</v>
      </c>
      <c r="B838" t="s">
        <v>1349</v>
      </c>
      <c r="C838">
        <v>314750</v>
      </c>
      <c r="D838">
        <v>12540</v>
      </c>
    </row>
    <row r="839" spans="1:4">
      <c r="A839" t="s">
        <v>464</v>
      </c>
      <c r="B839" t="s">
        <v>1349</v>
      </c>
      <c r="C839">
        <v>201430</v>
      </c>
      <c r="D839">
        <v>12530</v>
      </c>
    </row>
    <row r="840" spans="1:4">
      <c r="A840" t="s">
        <v>3946</v>
      </c>
      <c r="B840" t="s">
        <v>1349</v>
      </c>
      <c r="C840">
        <v>2000006800</v>
      </c>
      <c r="D840">
        <v>12530</v>
      </c>
    </row>
    <row r="841" spans="1:4">
      <c r="A841" t="s">
        <v>464</v>
      </c>
      <c r="B841" t="s">
        <v>1349</v>
      </c>
      <c r="C841">
        <v>201420</v>
      </c>
      <c r="D841">
        <v>12490</v>
      </c>
    </row>
    <row r="842" spans="1:4">
      <c r="A842" t="s">
        <v>464</v>
      </c>
      <c r="B842" t="s">
        <v>1349</v>
      </c>
      <c r="C842">
        <v>201380</v>
      </c>
      <c r="D842">
        <v>12480</v>
      </c>
    </row>
    <row r="843" spans="1:4">
      <c r="A843" t="s">
        <v>464</v>
      </c>
      <c r="B843" t="s">
        <v>1349</v>
      </c>
      <c r="C843">
        <v>201330</v>
      </c>
      <c r="D843">
        <v>12470</v>
      </c>
    </row>
    <row r="844" spans="1:4">
      <c r="A844" t="s">
        <v>464</v>
      </c>
      <c r="B844" t="s">
        <v>1349</v>
      </c>
      <c r="C844">
        <v>201390</v>
      </c>
      <c r="D844">
        <v>12460</v>
      </c>
    </row>
    <row r="845" spans="1:4">
      <c r="A845" t="s">
        <v>3946</v>
      </c>
      <c r="B845" t="s">
        <v>1349</v>
      </c>
      <c r="C845">
        <v>2000006769</v>
      </c>
      <c r="D845">
        <v>12450</v>
      </c>
    </row>
    <row r="846" spans="1:4">
      <c r="A846" t="s">
        <v>6010</v>
      </c>
      <c r="B846" t="s">
        <v>1349</v>
      </c>
      <c r="C846">
        <v>314710</v>
      </c>
      <c r="D846">
        <v>12450</v>
      </c>
    </row>
    <row r="847" spans="1:4">
      <c r="A847" t="s">
        <v>3946</v>
      </c>
      <c r="B847" t="s">
        <v>1349</v>
      </c>
      <c r="C847">
        <v>2000003200</v>
      </c>
      <c r="D847">
        <v>12440</v>
      </c>
    </row>
    <row r="848" spans="1:4">
      <c r="A848" t="s">
        <v>6010</v>
      </c>
      <c r="B848" t="s">
        <v>1349</v>
      </c>
      <c r="C848">
        <v>308750</v>
      </c>
      <c r="D848">
        <v>12440</v>
      </c>
    </row>
    <row r="849" spans="1:4">
      <c r="A849" t="s">
        <v>464</v>
      </c>
      <c r="B849" t="s">
        <v>1349</v>
      </c>
      <c r="C849">
        <v>200660</v>
      </c>
      <c r="D849">
        <v>12430</v>
      </c>
    </row>
    <row r="850" spans="1:4">
      <c r="A850" t="s">
        <v>464</v>
      </c>
      <c r="B850" t="s">
        <v>1349</v>
      </c>
      <c r="C850">
        <v>200780</v>
      </c>
      <c r="D850">
        <v>12430</v>
      </c>
    </row>
    <row r="851" spans="1:4">
      <c r="A851" t="s">
        <v>3946</v>
      </c>
      <c r="B851" t="s">
        <v>1349</v>
      </c>
      <c r="C851">
        <v>2000003190</v>
      </c>
      <c r="D851">
        <v>12430</v>
      </c>
    </row>
    <row r="852" spans="1:4">
      <c r="A852" t="s">
        <v>464</v>
      </c>
      <c r="B852" t="s">
        <v>1349</v>
      </c>
      <c r="C852">
        <v>201280</v>
      </c>
      <c r="D852">
        <v>12390</v>
      </c>
    </row>
    <row r="853" spans="1:4">
      <c r="A853" t="s">
        <v>464</v>
      </c>
      <c r="B853" t="s">
        <v>1349</v>
      </c>
      <c r="C853">
        <v>200400</v>
      </c>
      <c r="D853">
        <v>12370</v>
      </c>
    </row>
    <row r="854" spans="1:4">
      <c r="A854" t="s">
        <v>6010</v>
      </c>
      <c r="B854" t="s">
        <v>1349</v>
      </c>
      <c r="C854">
        <v>308650</v>
      </c>
      <c r="D854">
        <v>12370</v>
      </c>
    </row>
    <row r="855" spans="1:4">
      <c r="A855" t="s">
        <v>464</v>
      </c>
      <c r="B855" t="s">
        <v>1349</v>
      </c>
      <c r="C855">
        <v>200690</v>
      </c>
      <c r="D855">
        <v>12360</v>
      </c>
    </row>
    <row r="856" spans="1:4">
      <c r="A856" t="s">
        <v>464</v>
      </c>
      <c r="B856" t="s">
        <v>1349</v>
      </c>
      <c r="C856">
        <v>201290</v>
      </c>
      <c r="D856">
        <v>12360</v>
      </c>
    </row>
    <row r="857" spans="1:4">
      <c r="A857" t="s">
        <v>3946</v>
      </c>
      <c r="B857" t="s">
        <v>1349</v>
      </c>
      <c r="C857">
        <v>2000003080</v>
      </c>
      <c r="D857">
        <v>12360</v>
      </c>
    </row>
    <row r="858" spans="1:4">
      <c r="A858" t="s">
        <v>6010</v>
      </c>
      <c r="B858" t="s">
        <v>1349</v>
      </c>
      <c r="C858">
        <v>308780</v>
      </c>
      <c r="D858">
        <v>12360</v>
      </c>
    </row>
    <row r="859" spans="1:4">
      <c r="A859" t="s">
        <v>464</v>
      </c>
      <c r="B859" t="s">
        <v>1349</v>
      </c>
      <c r="C859">
        <v>200700</v>
      </c>
      <c r="D859">
        <v>12350</v>
      </c>
    </row>
    <row r="860" spans="1:4">
      <c r="A860" t="s">
        <v>464</v>
      </c>
      <c r="B860" t="s">
        <v>1349</v>
      </c>
      <c r="C860">
        <v>201300</v>
      </c>
      <c r="D860">
        <v>12350</v>
      </c>
    </row>
    <row r="861" spans="1:4">
      <c r="A861" t="s">
        <v>6010</v>
      </c>
      <c r="B861" t="s">
        <v>1349</v>
      </c>
      <c r="C861">
        <v>308790</v>
      </c>
      <c r="D861">
        <v>12350</v>
      </c>
    </row>
    <row r="862" spans="1:4">
      <c r="A862" t="s">
        <v>464</v>
      </c>
      <c r="B862" t="s">
        <v>1349</v>
      </c>
      <c r="C862">
        <v>200680</v>
      </c>
      <c r="D862">
        <v>12340</v>
      </c>
    </row>
    <row r="863" spans="1:4">
      <c r="A863" t="s">
        <v>464</v>
      </c>
      <c r="B863" t="s">
        <v>1349</v>
      </c>
      <c r="C863">
        <v>200740</v>
      </c>
      <c r="D863">
        <v>12340</v>
      </c>
    </row>
    <row r="864" spans="1:4">
      <c r="A864" t="s">
        <v>3946</v>
      </c>
      <c r="B864" t="s">
        <v>1349</v>
      </c>
      <c r="C864">
        <v>2000003050</v>
      </c>
      <c r="D864">
        <v>12340</v>
      </c>
    </row>
    <row r="865" spans="1:4">
      <c r="A865" t="s">
        <v>6010</v>
      </c>
      <c r="B865" t="s">
        <v>1349</v>
      </c>
      <c r="C865">
        <v>308770</v>
      </c>
      <c r="D865">
        <v>12340</v>
      </c>
    </row>
    <row r="866" spans="1:4">
      <c r="A866" t="s">
        <v>3061</v>
      </c>
      <c r="B866" t="s">
        <v>1349</v>
      </c>
      <c r="C866">
        <v>402280</v>
      </c>
      <c r="D866">
        <v>12340</v>
      </c>
    </row>
    <row r="867" spans="1:4">
      <c r="A867" t="s">
        <v>464</v>
      </c>
      <c r="B867" t="s">
        <v>1349</v>
      </c>
      <c r="C867">
        <v>200560</v>
      </c>
      <c r="D867">
        <v>12330</v>
      </c>
    </row>
    <row r="868" spans="1:4">
      <c r="A868" t="s">
        <v>3946</v>
      </c>
      <c r="B868" t="s">
        <v>1349</v>
      </c>
      <c r="C868">
        <v>2000003000</v>
      </c>
      <c r="D868">
        <v>12320</v>
      </c>
    </row>
    <row r="869" spans="1:4">
      <c r="A869" t="s">
        <v>464</v>
      </c>
      <c r="B869" t="s">
        <v>1349</v>
      </c>
      <c r="C869">
        <v>200530</v>
      </c>
      <c r="D869">
        <v>12310</v>
      </c>
    </row>
    <row r="870" spans="1:4">
      <c r="A870" t="s">
        <v>3946</v>
      </c>
      <c r="B870" t="s">
        <v>1349</v>
      </c>
      <c r="C870">
        <v>2000003090</v>
      </c>
      <c r="D870">
        <v>12310</v>
      </c>
    </row>
    <row r="871" spans="1:4">
      <c r="A871" t="s">
        <v>464</v>
      </c>
      <c r="B871" t="s">
        <v>1349</v>
      </c>
      <c r="C871">
        <v>200710</v>
      </c>
      <c r="D871">
        <v>12300</v>
      </c>
    </row>
    <row r="872" spans="1:4">
      <c r="A872" t="s">
        <v>464</v>
      </c>
      <c r="B872" t="s">
        <v>1349</v>
      </c>
      <c r="C872">
        <v>201340</v>
      </c>
      <c r="D872">
        <v>12300</v>
      </c>
    </row>
    <row r="873" spans="1:4">
      <c r="A873" t="s">
        <v>464</v>
      </c>
      <c r="B873" t="s">
        <v>1349</v>
      </c>
      <c r="C873">
        <v>200720</v>
      </c>
      <c r="D873">
        <v>12270</v>
      </c>
    </row>
    <row r="874" spans="1:4">
      <c r="A874" t="s">
        <v>464</v>
      </c>
      <c r="B874" t="s">
        <v>1349</v>
      </c>
      <c r="C874">
        <v>201350</v>
      </c>
      <c r="D874">
        <v>12270</v>
      </c>
    </row>
    <row r="875" spans="1:4">
      <c r="A875" t="s">
        <v>464</v>
      </c>
      <c r="B875" t="s">
        <v>1349</v>
      </c>
      <c r="C875">
        <v>200390</v>
      </c>
      <c r="D875">
        <v>12260</v>
      </c>
    </row>
    <row r="876" spans="1:4">
      <c r="A876" t="s">
        <v>3946</v>
      </c>
      <c r="B876" t="s">
        <v>1349</v>
      </c>
      <c r="C876">
        <v>2000025179</v>
      </c>
      <c r="D876">
        <v>12260</v>
      </c>
    </row>
    <row r="877" spans="1:4">
      <c r="A877" t="s">
        <v>6010</v>
      </c>
      <c r="B877" t="s">
        <v>1349</v>
      </c>
      <c r="C877">
        <v>308630</v>
      </c>
      <c r="D877">
        <v>12260</v>
      </c>
    </row>
    <row r="878" spans="1:4">
      <c r="A878" t="s">
        <v>6011</v>
      </c>
      <c r="B878" t="s">
        <v>1349</v>
      </c>
      <c r="C878">
        <v>147500</v>
      </c>
      <c r="D878">
        <v>12260</v>
      </c>
    </row>
    <row r="879" spans="1:4">
      <c r="A879" t="s">
        <v>3061</v>
      </c>
      <c r="B879" t="s">
        <v>1349</v>
      </c>
      <c r="C879">
        <v>402170</v>
      </c>
      <c r="D879">
        <v>12260</v>
      </c>
    </row>
    <row r="880" spans="1:4">
      <c r="A880" t="s">
        <v>464</v>
      </c>
      <c r="B880" t="s">
        <v>1349</v>
      </c>
      <c r="C880">
        <v>200410</v>
      </c>
      <c r="D880">
        <v>12150</v>
      </c>
    </row>
    <row r="881" spans="1:4">
      <c r="A881" t="s">
        <v>464</v>
      </c>
      <c r="B881" t="s">
        <v>1349</v>
      </c>
      <c r="C881">
        <v>200640</v>
      </c>
      <c r="D881">
        <v>12060</v>
      </c>
    </row>
    <row r="882" spans="1:4">
      <c r="A882" t="s">
        <v>3946</v>
      </c>
      <c r="B882" t="s">
        <v>1349</v>
      </c>
      <c r="C882">
        <v>2000001560</v>
      </c>
      <c r="D882">
        <v>12020</v>
      </c>
    </row>
    <row r="883" spans="1:4">
      <c r="A883" t="s">
        <v>3946</v>
      </c>
      <c r="B883" t="s">
        <v>1349</v>
      </c>
      <c r="C883">
        <v>2000003420</v>
      </c>
      <c r="D883">
        <v>12020</v>
      </c>
    </row>
    <row r="884" spans="1:4">
      <c r="A884" t="s">
        <v>3946</v>
      </c>
      <c r="B884" t="s">
        <v>1349</v>
      </c>
      <c r="C884">
        <v>2000003410</v>
      </c>
      <c r="D884">
        <v>12010</v>
      </c>
    </row>
    <row r="885" spans="1:4">
      <c r="A885" t="s">
        <v>464</v>
      </c>
      <c r="B885" t="s">
        <v>1349</v>
      </c>
      <c r="C885">
        <v>200460</v>
      </c>
      <c r="D885">
        <v>12000</v>
      </c>
    </row>
    <row r="886" spans="1:4">
      <c r="A886" t="s">
        <v>464</v>
      </c>
      <c r="B886" t="s">
        <v>1349</v>
      </c>
      <c r="C886">
        <v>200510</v>
      </c>
      <c r="D886">
        <v>11990</v>
      </c>
    </row>
    <row r="887" spans="1:4">
      <c r="A887" t="s">
        <v>464</v>
      </c>
      <c r="B887" t="s">
        <v>1349</v>
      </c>
      <c r="C887">
        <v>200450</v>
      </c>
      <c r="D887">
        <v>11960</v>
      </c>
    </row>
    <row r="888" spans="1:4">
      <c r="A888" t="s">
        <v>3946</v>
      </c>
      <c r="B888" t="s">
        <v>1349</v>
      </c>
      <c r="C888">
        <v>2000003275</v>
      </c>
      <c r="D888">
        <v>11960</v>
      </c>
    </row>
    <row r="889" spans="1:4">
      <c r="A889" t="s">
        <v>3946</v>
      </c>
      <c r="B889" t="s">
        <v>1349</v>
      </c>
      <c r="C889">
        <v>2000056530</v>
      </c>
      <c r="D889">
        <v>11940</v>
      </c>
    </row>
    <row r="890" spans="1:4">
      <c r="A890" t="s">
        <v>464</v>
      </c>
      <c r="B890" t="s">
        <v>1349</v>
      </c>
      <c r="C890">
        <v>200440</v>
      </c>
      <c r="D890">
        <v>11930</v>
      </c>
    </row>
    <row r="891" spans="1:4">
      <c r="A891" t="s">
        <v>3946</v>
      </c>
      <c r="B891" t="s">
        <v>1349</v>
      </c>
      <c r="C891">
        <v>2000001330</v>
      </c>
      <c r="D891">
        <v>11930</v>
      </c>
    </row>
    <row r="892" spans="1:4">
      <c r="A892" t="s">
        <v>3946</v>
      </c>
      <c r="B892" t="s">
        <v>1349</v>
      </c>
      <c r="C892">
        <v>2000003310</v>
      </c>
      <c r="D892">
        <v>11930</v>
      </c>
    </row>
    <row r="893" spans="1:4">
      <c r="A893" t="s">
        <v>464</v>
      </c>
      <c r="B893" t="s">
        <v>1349</v>
      </c>
      <c r="C893">
        <v>200430</v>
      </c>
      <c r="D893">
        <v>11920</v>
      </c>
    </row>
    <row r="894" spans="1:4">
      <c r="A894" t="s">
        <v>3946</v>
      </c>
      <c r="B894" t="s">
        <v>1349</v>
      </c>
      <c r="C894">
        <v>2000001320</v>
      </c>
      <c r="D894">
        <v>11920</v>
      </c>
    </row>
    <row r="895" spans="1:4">
      <c r="A895" t="s">
        <v>3946</v>
      </c>
      <c r="B895" t="s">
        <v>1349</v>
      </c>
      <c r="C895">
        <v>2000003300</v>
      </c>
      <c r="D895">
        <v>11920</v>
      </c>
    </row>
    <row r="896" spans="1:4">
      <c r="A896" t="s">
        <v>3946</v>
      </c>
      <c r="B896" t="s">
        <v>1349</v>
      </c>
      <c r="C896">
        <v>2000001260</v>
      </c>
      <c r="D896">
        <v>11860</v>
      </c>
    </row>
    <row r="897" spans="1:4">
      <c r="A897" t="s">
        <v>3946</v>
      </c>
      <c r="B897" t="s">
        <v>1349</v>
      </c>
      <c r="C897">
        <v>2000001309</v>
      </c>
      <c r="D897">
        <v>11850</v>
      </c>
    </row>
    <row r="898" spans="1:4">
      <c r="A898" t="s">
        <v>3946</v>
      </c>
      <c r="B898" t="s">
        <v>1349</v>
      </c>
      <c r="C898">
        <v>2000003299</v>
      </c>
      <c r="D898">
        <v>11850</v>
      </c>
    </row>
    <row r="899" spans="1:4">
      <c r="A899" t="s">
        <v>464</v>
      </c>
      <c r="B899" t="s">
        <v>1349</v>
      </c>
      <c r="C899">
        <v>202480</v>
      </c>
      <c r="D899">
        <v>11770</v>
      </c>
    </row>
    <row r="900" spans="1:4">
      <c r="A900" t="s">
        <v>464</v>
      </c>
      <c r="B900" t="s">
        <v>1349</v>
      </c>
      <c r="C900">
        <v>202470</v>
      </c>
      <c r="D900">
        <v>11760</v>
      </c>
    </row>
    <row r="901" spans="1:4">
      <c r="A901" t="s">
        <v>464</v>
      </c>
      <c r="B901" t="s">
        <v>1349</v>
      </c>
      <c r="C901">
        <v>202450</v>
      </c>
      <c r="D901">
        <v>11750</v>
      </c>
    </row>
    <row r="902" spans="1:4">
      <c r="A902" t="s">
        <v>464</v>
      </c>
      <c r="B902" t="s">
        <v>1349</v>
      </c>
      <c r="C902">
        <v>202440</v>
      </c>
      <c r="D902">
        <v>11740</v>
      </c>
    </row>
    <row r="903" spans="1:4">
      <c r="A903" t="s">
        <v>464</v>
      </c>
      <c r="B903" t="s">
        <v>1349</v>
      </c>
      <c r="C903">
        <v>202460</v>
      </c>
      <c r="D903">
        <v>11730</v>
      </c>
    </row>
    <row r="904" spans="1:4">
      <c r="A904" t="s">
        <v>464</v>
      </c>
      <c r="B904" t="s">
        <v>1349</v>
      </c>
      <c r="C904">
        <v>202430</v>
      </c>
      <c r="D904">
        <v>11720</v>
      </c>
    </row>
    <row r="905" spans="1:4">
      <c r="A905" t="s">
        <v>3061</v>
      </c>
      <c r="B905" t="s">
        <v>1349</v>
      </c>
      <c r="C905">
        <v>405950</v>
      </c>
      <c r="D905">
        <v>11710</v>
      </c>
    </row>
    <row r="906" spans="1:4">
      <c r="A906" t="s">
        <v>464</v>
      </c>
      <c r="B906" t="s">
        <v>1349</v>
      </c>
      <c r="C906">
        <v>202190</v>
      </c>
      <c r="D906">
        <v>11700</v>
      </c>
    </row>
    <row r="907" spans="1:4">
      <c r="A907" t="s">
        <v>3061</v>
      </c>
      <c r="B907" t="s">
        <v>1349</v>
      </c>
      <c r="C907">
        <v>405940</v>
      </c>
      <c r="D907">
        <v>11700</v>
      </c>
    </row>
    <row r="908" spans="1:4">
      <c r="A908" t="s">
        <v>464</v>
      </c>
      <c r="B908" t="s">
        <v>1349</v>
      </c>
      <c r="C908">
        <v>202140</v>
      </c>
      <c r="D908">
        <v>11690</v>
      </c>
    </row>
    <row r="909" spans="1:4">
      <c r="A909" t="s">
        <v>464</v>
      </c>
      <c r="B909" t="s">
        <v>1349</v>
      </c>
      <c r="C909">
        <v>202120</v>
      </c>
      <c r="D909">
        <v>11680</v>
      </c>
    </row>
    <row r="910" spans="1:4">
      <c r="A910" t="s">
        <v>464</v>
      </c>
      <c r="B910" t="s">
        <v>1349</v>
      </c>
      <c r="C910">
        <v>202170</v>
      </c>
      <c r="D910">
        <v>11670</v>
      </c>
    </row>
    <row r="911" spans="1:4">
      <c r="A911" t="s">
        <v>464</v>
      </c>
      <c r="B911" t="s">
        <v>1349</v>
      </c>
      <c r="C911">
        <v>202130</v>
      </c>
      <c r="D911">
        <v>11660</v>
      </c>
    </row>
    <row r="912" spans="1:4">
      <c r="A912" t="s">
        <v>464</v>
      </c>
      <c r="B912" t="s">
        <v>1349</v>
      </c>
      <c r="C912">
        <v>202150</v>
      </c>
      <c r="D912">
        <v>11650</v>
      </c>
    </row>
    <row r="913" spans="1:4">
      <c r="A913" t="s">
        <v>464</v>
      </c>
      <c r="B913" t="s">
        <v>1349</v>
      </c>
      <c r="C913">
        <v>202160</v>
      </c>
      <c r="D913">
        <v>11640</v>
      </c>
    </row>
    <row r="914" spans="1:4">
      <c r="A914" t="s">
        <v>464</v>
      </c>
      <c r="B914" t="s">
        <v>1349</v>
      </c>
      <c r="C914">
        <v>202110</v>
      </c>
      <c r="D914">
        <v>11630</v>
      </c>
    </row>
    <row r="915" spans="1:4">
      <c r="A915" t="s">
        <v>3061</v>
      </c>
      <c r="B915" t="s">
        <v>1349</v>
      </c>
      <c r="C915">
        <v>405900</v>
      </c>
      <c r="D915">
        <v>11630</v>
      </c>
    </row>
    <row r="916" spans="1:4">
      <c r="A916" t="s">
        <v>464</v>
      </c>
      <c r="B916" t="s">
        <v>1349</v>
      </c>
      <c r="C916">
        <v>202540</v>
      </c>
      <c r="D916">
        <v>11560</v>
      </c>
    </row>
    <row r="917" spans="1:4">
      <c r="A917" t="s">
        <v>464</v>
      </c>
      <c r="B917" t="s">
        <v>1349</v>
      </c>
      <c r="C917">
        <v>202520</v>
      </c>
      <c r="D917">
        <v>11550</v>
      </c>
    </row>
    <row r="918" spans="1:4">
      <c r="A918" t="s">
        <v>464</v>
      </c>
      <c r="B918" t="s">
        <v>1349</v>
      </c>
      <c r="C918">
        <v>202510</v>
      </c>
      <c r="D918">
        <v>11540</v>
      </c>
    </row>
    <row r="919" spans="1:4">
      <c r="A919" t="s">
        <v>464</v>
      </c>
      <c r="B919" t="s">
        <v>1349</v>
      </c>
      <c r="C919">
        <v>202500</v>
      </c>
      <c r="D919">
        <v>11530</v>
      </c>
    </row>
    <row r="920" spans="1:4">
      <c r="A920" t="s">
        <v>464</v>
      </c>
      <c r="B920" t="s">
        <v>1349</v>
      </c>
      <c r="C920">
        <v>202530</v>
      </c>
      <c r="D920">
        <v>11520</v>
      </c>
    </row>
    <row r="921" spans="1:4">
      <c r="A921" t="s">
        <v>464</v>
      </c>
      <c r="B921" t="s">
        <v>1349</v>
      </c>
      <c r="C921">
        <v>202490</v>
      </c>
      <c r="D921">
        <v>11510</v>
      </c>
    </row>
    <row r="922" spans="1:4">
      <c r="A922" t="s">
        <v>6011</v>
      </c>
      <c r="B922" t="s">
        <v>1349</v>
      </c>
      <c r="C922">
        <v>148535</v>
      </c>
      <c r="D922">
        <v>11480</v>
      </c>
    </row>
    <row r="923" spans="1:4">
      <c r="A923" t="s">
        <v>6011</v>
      </c>
      <c r="B923" t="s">
        <v>1349</v>
      </c>
      <c r="C923">
        <v>148540</v>
      </c>
      <c r="D923">
        <v>11470</v>
      </c>
    </row>
    <row r="924" spans="1:4">
      <c r="A924" t="s">
        <v>464</v>
      </c>
      <c r="B924" t="s">
        <v>1349</v>
      </c>
      <c r="C924">
        <v>203780</v>
      </c>
      <c r="D924">
        <v>11380</v>
      </c>
    </row>
    <row r="925" spans="1:4">
      <c r="A925" t="s">
        <v>464</v>
      </c>
      <c r="B925" t="s">
        <v>1349</v>
      </c>
      <c r="C925">
        <v>203770</v>
      </c>
      <c r="D925">
        <v>11370</v>
      </c>
    </row>
    <row r="926" spans="1:4">
      <c r="A926" t="s">
        <v>464</v>
      </c>
      <c r="B926" t="s">
        <v>1349</v>
      </c>
      <c r="C926">
        <v>203750</v>
      </c>
      <c r="D926">
        <v>11360</v>
      </c>
    </row>
    <row r="927" spans="1:4">
      <c r="A927" t="s">
        <v>464</v>
      </c>
      <c r="B927" t="s">
        <v>1349</v>
      </c>
      <c r="C927">
        <v>203740</v>
      </c>
      <c r="D927">
        <v>11350</v>
      </c>
    </row>
    <row r="928" spans="1:4">
      <c r="A928" t="s">
        <v>464</v>
      </c>
      <c r="B928" t="s">
        <v>1349</v>
      </c>
      <c r="C928">
        <v>203760</v>
      </c>
      <c r="D928">
        <v>11340</v>
      </c>
    </row>
    <row r="929" spans="1:4">
      <c r="A929" t="s">
        <v>464</v>
      </c>
      <c r="B929" t="s">
        <v>1349</v>
      </c>
      <c r="C929">
        <v>203730</v>
      </c>
      <c r="D929">
        <v>11330</v>
      </c>
    </row>
    <row r="930" spans="1:4">
      <c r="A930" t="s">
        <v>464</v>
      </c>
      <c r="B930" t="s">
        <v>1349</v>
      </c>
      <c r="C930">
        <v>203720</v>
      </c>
      <c r="D930">
        <v>11310</v>
      </c>
    </row>
    <row r="931" spans="1:4">
      <c r="A931" t="s">
        <v>464</v>
      </c>
      <c r="B931" t="s">
        <v>1349</v>
      </c>
      <c r="C931">
        <v>203690</v>
      </c>
      <c r="D931">
        <v>11300</v>
      </c>
    </row>
    <row r="932" spans="1:4">
      <c r="A932" t="s">
        <v>464</v>
      </c>
      <c r="B932" t="s">
        <v>1349</v>
      </c>
      <c r="C932">
        <v>203700</v>
      </c>
      <c r="D932">
        <v>11290</v>
      </c>
    </row>
    <row r="933" spans="1:4">
      <c r="A933" t="s">
        <v>6009</v>
      </c>
      <c r="B933" t="s">
        <v>1349</v>
      </c>
      <c r="C933">
        <v>100725</v>
      </c>
      <c r="D933">
        <v>11280</v>
      </c>
    </row>
    <row r="934" spans="1:4">
      <c r="A934" t="s">
        <v>464</v>
      </c>
      <c r="B934" t="s">
        <v>1349</v>
      </c>
      <c r="C934">
        <v>203680</v>
      </c>
      <c r="D934">
        <v>11280</v>
      </c>
    </row>
    <row r="935" spans="1:4">
      <c r="A935" t="s">
        <v>464</v>
      </c>
      <c r="B935" t="s">
        <v>1349</v>
      </c>
      <c r="C935">
        <v>203710</v>
      </c>
      <c r="D935">
        <v>11270</v>
      </c>
    </row>
    <row r="936" spans="1:4">
      <c r="A936" t="s">
        <v>464</v>
      </c>
      <c r="B936" t="s">
        <v>1349</v>
      </c>
      <c r="C936">
        <v>203670</v>
      </c>
      <c r="D936">
        <v>11260</v>
      </c>
    </row>
    <row r="937" spans="1:4">
      <c r="A937" t="s">
        <v>6009</v>
      </c>
      <c r="B937" t="s">
        <v>1349</v>
      </c>
      <c r="C937">
        <v>100705</v>
      </c>
      <c r="D937">
        <v>11250</v>
      </c>
    </row>
    <row r="938" spans="1:4">
      <c r="A938" t="s">
        <v>464</v>
      </c>
      <c r="B938" t="s">
        <v>1349</v>
      </c>
      <c r="C938">
        <v>203660</v>
      </c>
      <c r="D938">
        <v>11250</v>
      </c>
    </row>
    <row r="939" spans="1:4">
      <c r="A939" t="s">
        <v>3946</v>
      </c>
      <c r="B939" t="s">
        <v>1349</v>
      </c>
      <c r="C939">
        <v>2000001060</v>
      </c>
      <c r="D939">
        <v>11240</v>
      </c>
    </row>
    <row r="940" spans="1:4">
      <c r="A940" t="s">
        <v>464</v>
      </c>
      <c r="B940" t="s">
        <v>1349</v>
      </c>
      <c r="C940">
        <v>200990</v>
      </c>
      <c r="D940">
        <v>11230</v>
      </c>
    </row>
    <row r="941" spans="1:4">
      <c r="A941" t="s">
        <v>3946</v>
      </c>
      <c r="B941" t="s">
        <v>1349</v>
      </c>
      <c r="C941">
        <v>2000001050</v>
      </c>
      <c r="D941">
        <v>11230</v>
      </c>
    </row>
    <row r="942" spans="1:4">
      <c r="A942" t="s">
        <v>6010</v>
      </c>
      <c r="B942" t="s">
        <v>1349</v>
      </c>
      <c r="C942">
        <v>300420</v>
      </c>
      <c r="D942">
        <v>11230</v>
      </c>
    </row>
    <row r="943" spans="1:4">
      <c r="A943" t="s">
        <v>464</v>
      </c>
      <c r="B943" t="s">
        <v>1349</v>
      </c>
      <c r="C943">
        <v>200870</v>
      </c>
      <c r="D943">
        <v>11220</v>
      </c>
    </row>
    <row r="944" spans="1:4">
      <c r="A944" t="s">
        <v>464</v>
      </c>
      <c r="B944" t="s">
        <v>1349</v>
      </c>
      <c r="C944">
        <v>200880</v>
      </c>
      <c r="D944">
        <v>11210</v>
      </c>
    </row>
    <row r="945" spans="1:4">
      <c r="A945" t="s">
        <v>464</v>
      </c>
      <c r="B945" t="s">
        <v>1349</v>
      </c>
      <c r="C945">
        <v>200910</v>
      </c>
      <c r="D945">
        <v>11200</v>
      </c>
    </row>
    <row r="946" spans="1:4">
      <c r="A946" t="s">
        <v>3946</v>
      </c>
      <c r="B946" t="s">
        <v>1349</v>
      </c>
      <c r="C946">
        <v>2000001010</v>
      </c>
      <c r="D946">
        <v>11200</v>
      </c>
    </row>
    <row r="947" spans="1:4">
      <c r="A947" t="s">
        <v>464</v>
      </c>
      <c r="B947" t="s">
        <v>1349</v>
      </c>
      <c r="C947">
        <v>200920</v>
      </c>
      <c r="D947">
        <v>11190</v>
      </c>
    </row>
    <row r="948" spans="1:4">
      <c r="A948" t="s">
        <v>464</v>
      </c>
      <c r="B948" t="s">
        <v>1349</v>
      </c>
      <c r="C948">
        <v>200960</v>
      </c>
      <c r="D948">
        <v>11170</v>
      </c>
    </row>
    <row r="949" spans="1:4">
      <c r="A949" t="s">
        <v>464</v>
      </c>
      <c r="B949" t="s">
        <v>1349</v>
      </c>
      <c r="C949">
        <v>200890</v>
      </c>
      <c r="D949">
        <v>11160</v>
      </c>
    </row>
    <row r="950" spans="1:4">
      <c r="A950" t="s">
        <v>464</v>
      </c>
      <c r="B950" t="s">
        <v>1349</v>
      </c>
      <c r="C950">
        <v>200950</v>
      </c>
      <c r="D950">
        <v>11150</v>
      </c>
    </row>
    <row r="951" spans="1:4">
      <c r="A951" t="s">
        <v>3946</v>
      </c>
      <c r="B951" t="s">
        <v>1349</v>
      </c>
      <c r="C951">
        <v>2000000980</v>
      </c>
      <c r="D951">
        <v>11150</v>
      </c>
    </row>
    <row r="952" spans="1:4">
      <c r="A952" t="s">
        <v>464</v>
      </c>
      <c r="B952" t="s">
        <v>1349</v>
      </c>
      <c r="C952">
        <v>200860</v>
      </c>
      <c r="D952">
        <v>11140</v>
      </c>
    </row>
    <row r="953" spans="1:4">
      <c r="A953" t="s">
        <v>3946</v>
      </c>
      <c r="B953" t="s">
        <v>1349</v>
      </c>
      <c r="C953">
        <v>2000000999</v>
      </c>
      <c r="D953">
        <v>11140</v>
      </c>
    </row>
    <row r="954" spans="1:4">
      <c r="A954" t="s">
        <v>6010</v>
      </c>
      <c r="B954" t="s">
        <v>1349</v>
      </c>
      <c r="C954">
        <v>300380</v>
      </c>
      <c r="D954">
        <v>11140</v>
      </c>
    </row>
    <row r="955" spans="1:4">
      <c r="A955" t="s">
        <v>464</v>
      </c>
      <c r="B955" t="s">
        <v>1349</v>
      </c>
      <c r="C955">
        <v>204080</v>
      </c>
      <c r="D955">
        <v>11010</v>
      </c>
    </row>
    <row r="956" spans="1:4">
      <c r="A956" t="s">
        <v>464</v>
      </c>
      <c r="B956" t="s">
        <v>1349</v>
      </c>
      <c r="C956">
        <v>204060</v>
      </c>
      <c r="D956">
        <v>11000</v>
      </c>
    </row>
    <row r="957" spans="1:4">
      <c r="A957" t="s">
        <v>464</v>
      </c>
      <c r="B957" t="s">
        <v>1349</v>
      </c>
      <c r="C957">
        <v>204070</v>
      </c>
      <c r="D957">
        <v>10970</v>
      </c>
    </row>
    <row r="958" spans="1:4">
      <c r="A958" t="s">
        <v>464</v>
      </c>
      <c r="B958" t="s">
        <v>1349</v>
      </c>
      <c r="C958">
        <v>204050</v>
      </c>
      <c r="D958">
        <v>10960</v>
      </c>
    </row>
    <row r="959" spans="1:4">
      <c r="A959" t="s">
        <v>464</v>
      </c>
      <c r="B959" t="s">
        <v>1349</v>
      </c>
      <c r="C959">
        <v>204150</v>
      </c>
      <c r="D959">
        <v>10940</v>
      </c>
    </row>
    <row r="960" spans="1:4">
      <c r="A960" t="s">
        <v>464</v>
      </c>
      <c r="B960" t="s">
        <v>1349</v>
      </c>
      <c r="C960">
        <v>204140</v>
      </c>
      <c r="D960">
        <v>10930</v>
      </c>
    </row>
    <row r="961" spans="1:4">
      <c r="A961" t="s">
        <v>464</v>
      </c>
      <c r="B961" t="s">
        <v>1349</v>
      </c>
      <c r="C961">
        <v>204120</v>
      </c>
      <c r="D961">
        <v>10900</v>
      </c>
    </row>
    <row r="962" spans="1:4">
      <c r="A962" t="s">
        <v>464</v>
      </c>
      <c r="B962" t="s">
        <v>1349</v>
      </c>
      <c r="C962">
        <v>204100</v>
      </c>
      <c r="D962">
        <v>10890</v>
      </c>
    </row>
    <row r="963" spans="1:4">
      <c r="A963" t="s">
        <v>464</v>
      </c>
      <c r="B963" t="s">
        <v>1349</v>
      </c>
      <c r="C963">
        <v>204110</v>
      </c>
      <c r="D963">
        <v>10870</v>
      </c>
    </row>
    <row r="964" spans="1:4">
      <c r="A964" t="s">
        <v>464</v>
      </c>
      <c r="B964" t="s">
        <v>1349</v>
      </c>
      <c r="C964">
        <v>204130</v>
      </c>
      <c r="D964">
        <v>10860</v>
      </c>
    </row>
    <row r="965" spans="1:4">
      <c r="A965" t="s">
        <v>464</v>
      </c>
      <c r="B965" t="s">
        <v>1349</v>
      </c>
      <c r="C965">
        <v>204090</v>
      </c>
      <c r="D965">
        <v>10850</v>
      </c>
    </row>
    <row r="966" spans="1:4">
      <c r="A966" t="s">
        <v>464</v>
      </c>
      <c r="B966" t="s">
        <v>1349</v>
      </c>
      <c r="C966">
        <v>203300</v>
      </c>
      <c r="D966">
        <v>10830</v>
      </c>
    </row>
    <row r="967" spans="1:4">
      <c r="A967" t="s">
        <v>464</v>
      </c>
      <c r="B967" t="s">
        <v>1349</v>
      </c>
      <c r="C967">
        <v>203280</v>
      </c>
      <c r="D967">
        <v>10790</v>
      </c>
    </row>
    <row r="968" spans="1:4">
      <c r="A968" t="s">
        <v>464</v>
      </c>
      <c r="B968" t="s">
        <v>1349</v>
      </c>
      <c r="C968">
        <v>203260</v>
      </c>
      <c r="D968">
        <v>10780</v>
      </c>
    </row>
    <row r="969" spans="1:4">
      <c r="A969" t="s">
        <v>464</v>
      </c>
      <c r="B969" t="s">
        <v>1349</v>
      </c>
      <c r="C969">
        <v>203270</v>
      </c>
      <c r="D969">
        <v>10760</v>
      </c>
    </row>
    <row r="970" spans="1:4">
      <c r="A970" t="s">
        <v>464</v>
      </c>
      <c r="B970" t="s">
        <v>1349</v>
      </c>
      <c r="C970">
        <v>203290</v>
      </c>
      <c r="D970">
        <v>10750</v>
      </c>
    </row>
    <row r="971" spans="1:4">
      <c r="A971" t="s">
        <v>464</v>
      </c>
      <c r="B971" t="s">
        <v>1349</v>
      </c>
      <c r="C971">
        <v>203250</v>
      </c>
      <c r="D971">
        <v>10740</v>
      </c>
    </row>
    <row r="972" spans="1:4">
      <c r="A972" t="s">
        <v>464</v>
      </c>
      <c r="B972" t="s">
        <v>1349</v>
      </c>
      <c r="C972">
        <v>203850</v>
      </c>
      <c r="D972">
        <v>10720</v>
      </c>
    </row>
    <row r="973" spans="1:4">
      <c r="A973" t="s">
        <v>464</v>
      </c>
      <c r="B973" t="s">
        <v>1349</v>
      </c>
      <c r="C973">
        <v>203830</v>
      </c>
      <c r="D973">
        <v>10710</v>
      </c>
    </row>
    <row r="974" spans="1:4">
      <c r="A974" t="s">
        <v>464</v>
      </c>
      <c r="B974" t="s">
        <v>1349</v>
      </c>
      <c r="C974">
        <v>203840</v>
      </c>
      <c r="D974">
        <v>10700</v>
      </c>
    </row>
    <row r="975" spans="1:4">
      <c r="A975" t="s">
        <v>464</v>
      </c>
      <c r="B975" t="s">
        <v>1349</v>
      </c>
      <c r="C975">
        <v>203800</v>
      </c>
      <c r="D975">
        <v>10690</v>
      </c>
    </row>
    <row r="976" spans="1:4">
      <c r="A976" t="s">
        <v>464</v>
      </c>
      <c r="B976" t="s">
        <v>1349</v>
      </c>
      <c r="C976">
        <v>203820</v>
      </c>
      <c r="D976">
        <v>10680</v>
      </c>
    </row>
    <row r="977" spans="1:4">
      <c r="A977" t="s">
        <v>464</v>
      </c>
      <c r="B977" t="s">
        <v>1349</v>
      </c>
      <c r="C977">
        <v>203810</v>
      </c>
      <c r="D977">
        <v>10670</v>
      </c>
    </row>
    <row r="978" spans="1:4">
      <c r="A978" t="s">
        <v>464</v>
      </c>
      <c r="B978" t="s">
        <v>1349</v>
      </c>
      <c r="C978">
        <v>203790</v>
      </c>
      <c r="D978">
        <v>10660</v>
      </c>
    </row>
    <row r="979" spans="1:4">
      <c r="A979" t="s">
        <v>464</v>
      </c>
      <c r="B979" t="s">
        <v>1349</v>
      </c>
      <c r="C979">
        <v>204040</v>
      </c>
      <c r="D979">
        <v>10640</v>
      </c>
    </row>
    <row r="980" spans="1:4">
      <c r="A980" t="s">
        <v>464</v>
      </c>
      <c r="B980" t="s">
        <v>1349</v>
      </c>
      <c r="C980">
        <v>203900</v>
      </c>
      <c r="D980">
        <v>10630</v>
      </c>
    </row>
    <row r="981" spans="1:4">
      <c r="A981" t="s">
        <v>464</v>
      </c>
      <c r="B981" t="s">
        <v>1349</v>
      </c>
      <c r="C981">
        <v>203950</v>
      </c>
      <c r="D981">
        <v>10620</v>
      </c>
    </row>
    <row r="982" spans="1:4">
      <c r="A982" t="s">
        <v>464</v>
      </c>
      <c r="B982" t="s">
        <v>1349</v>
      </c>
      <c r="C982">
        <v>204020</v>
      </c>
      <c r="D982">
        <v>10610</v>
      </c>
    </row>
    <row r="983" spans="1:4">
      <c r="A983" t="s">
        <v>464</v>
      </c>
      <c r="B983" t="s">
        <v>1349</v>
      </c>
      <c r="C983">
        <v>203980</v>
      </c>
      <c r="D983">
        <v>10600</v>
      </c>
    </row>
    <row r="984" spans="1:4">
      <c r="A984" t="s">
        <v>464</v>
      </c>
      <c r="B984" t="s">
        <v>1349</v>
      </c>
      <c r="C984">
        <v>203910</v>
      </c>
      <c r="D984">
        <v>10590</v>
      </c>
    </row>
    <row r="985" spans="1:4">
      <c r="A985" t="s">
        <v>464</v>
      </c>
      <c r="B985" t="s">
        <v>1349</v>
      </c>
      <c r="C985">
        <v>203970</v>
      </c>
      <c r="D985">
        <v>10580</v>
      </c>
    </row>
    <row r="986" spans="1:4">
      <c r="A986" t="s">
        <v>464</v>
      </c>
      <c r="B986" t="s">
        <v>1349</v>
      </c>
      <c r="C986">
        <v>203890</v>
      </c>
      <c r="D986">
        <v>10570</v>
      </c>
    </row>
    <row r="987" spans="1:4">
      <c r="A987" t="s">
        <v>464</v>
      </c>
      <c r="B987" t="s">
        <v>1349</v>
      </c>
      <c r="C987">
        <v>203930</v>
      </c>
      <c r="D987">
        <v>10560</v>
      </c>
    </row>
    <row r="988" spans="1:4">
      <c r="A988" t="s">
        <v>464</v>
      </c>
      <c r="B988" t="s">
        <v>1349</v>
      </c>
      <c r="C988">
        <v>203940</v>
      </c>
      <c r="D988">
        <v>10550</v>
      </c>
    </row>
    <row r="989" spans="1:4">
      <c r="A989" t="s">
        <v>464</v>
      </c>
      <c r="B989" t="s">
        <v>1349</v>
      </c>
      <c r="C989">
        <v>204030</v>
      </c>
      <c r="D989">
        <v>10540</v>
      </c>
    </row>
    <row r="990" spans="1:4">
      <c r="A990" t="s">
        <v>464</v>
      </c>
      <c r="B990" t="s">
        <v>1349</v>
      </c>
      <c r="C990">
        <v>203870</v>
      </c>
      <c r="D990">
        <v>10530</v>
      </c>
    </row>
    <row r="991" spans="1:4">
      <c r="A991" t="s">
        <v>464</v>
      </c>
      <c r="B991" t="s">
        <v>1349</v>
      </c>
      <c r="C991">
        <v>203880</v>
      </c>
      <c r="D991">
        <v>10520</v>
      </c>
    </row>
    <row r="992" spans="1:4">
      <c r="A992" t="s">
        <v>464</v>
      </c>
      <c r="B992" t="s">
        <v>1349</v>
      </c>
      <c r="C992">
        <v>204000</v>
      </c>
      <c r="D992">
        <v>10510</v>
      </c>
    </row>
    <row r="993" spans="1:4">
      <c r="A993" t="s">
        <v>464</v>
      </c>
      <c r="B993" t="s">
        <v>1349</v>
      </c>
      <c r="C993">
        <v>204010</v>
      </c>
      <c r="D993">
        <v>10500</v>
      </c>
    </row>
    <row r="994" spans="1:4">
      <c r="A994" t="s">
        <v>464</v>
      </c>
      <c r="B994" t="s">
        <v>1349</v>
      </c>
      <c r="C994">
        <v>203960</v>
      </c>
      <c r="D994">
        <v>10490</v>
      </c>
    </row>
    <row r="995" spans="1:4">
      <c r="A995" t="s">
        <v>464</v>
      </c>
      <c r="B995" t="s">
        <v>1349</v>
      </c>
      <c r="C995">
        <v>203860</v>
      </c>
      <c r="D995">
        <v>10480</v>
      </c>
    </row>
    <row r="996" spans="1:4">
      <c r="A996" t="s">
        <v>3061</v>
      </c>
      <c r="B996" t="s">
        <v>1349</v>
      </c>
      <c r="C996">
        <v>400120</v>
      </c>
      <c r="D996">
        <v>10250</v>
      </c>
    </row>
    <row r="997" spans="1:4">
      <c r="A997" t="s">
        <v>3061</v>
      </c>
      <c r="B997" t="s">
        <v>1349</v>
      </c>
      <c r="C997">
        <v>400110</v>
      </c>
      <c r="D997">
        <v>10240</v>
      </c>
    </row>
    <row r="998" spans="1:4">
      <c r="A998" t="s">
        <v>464</v>
      </c>
      <c r="B998" t="s">
        <v>1349</v>
      </c>
      <c r="C998">
        <v>201040</v>
      </c>
      <c r="D998">
        <v>10230</v>
      </c>
    </row>
    <row r="999" spans="1:4">
      <c r="A999" t="s">
        <v>464</v>
      </c>
      <c r="B999" t="s">
        <v>1349</v>
      </c>
      <c r="C999">
        <v>201130</v>
      </c>
      <c r="D999">
        <v>10220</v>
      </c>
    </row>
    <row r="1000" spans="1:4">
      <c r="A1000" t="s">
        <v>464</v>
      </c>
      <c r="B1000" t="s">
        <v>1349</v>
      </c>
      <c r="C1000">
        <v>201160</v>
      </c>
      <c r="D1000">
        <v>10210</v>
      </c>
    </row>
    <row r="1001" spans="1:4">
      <c r="A1001" t="s">
        <v>464</v>
      </c>
      <c r="B1001" t="s">
        <v>1349</v>
      </c>
      <c r="C1001">
        <v>201240</v>
      </c>
      <c r="D1001">
        <v>10200</v>
      </c>
    </row>
    <row r="1002" spans="1:4">
      <c r="A1002" t="s">
        <v>464</v>
      </c>
      <c r="B1002" t="s">
        <v>1349</v>
      </c>
      <c r="C1002">
        <v>201110</v>
      </c>
      <c r="D1002">
        <v>10190</v>
      </c>
    </row>
    <row r="1003" spans="1:4">
      <c r="A1003" t="s">
        <v>464</v>
      </c>
      <c r="B1003" t="s">
        <v>1349</v>
      </c>
      <c r="C1003">
        <v>201140</v>
      </c>
      <c r="D1003">
        <v>10180</v>
      </c>
    </row>
    <row r="1004" spans="1:4">
      <c r="A1004" t="s">
        <v>464</v>
      </c>
      <c r="B1004" s="7" t="s">
        <v>1349</v>
      </c>
      <c r="C1004">
        <v>201230</v>
      </c>
      <c r="D1004">
        <v>10170</v>
      </c>
    </row>
    <row r="1005" spans="1:4">
      <c r="A1005" t="s">
        <v>3061</v>
      </c>
      <c r="B1005" s="7" t="s">
        <v>1349</v>
      </c>
      <c r="C1005">
        <v>400000</v>
      </c>
      <c r="D1005">
        <v>10160</v>
      </c>
    </row>
    <row r="1006" spans="1:4">
      <c r="A1006" t="s">
        <v>3946</v>
      </c>
      <c r="B1006" s="7" t="s">
        <v>1349</v>
      </c>
      <c r="C1006">
        <v>2000000870</v>
      </c>
      <c r="D1006">
        <v>10150</v>
      </c>
    </row>
    <row r="1007" spans="1:4">
      <c r="A1007" t="s">
        <v>6010</v>
      </c>
      <c r="B1007" s="7" t="s">
        <v>1349</v>
      </c>
      <c r="C1007">
        <v>300280</v>
      </c>
      <c r="D1007">
        <v>10150</v>
      </c>
    </row>
    <row r="1008" spans="1:4">
      <c r="A1008" t="s">
        <v>464</v>
      </c>
      <c r="B1008" s="7" t="s">
        <v>1349</v>
      </c>
      <c r="C1008">
        <v>201260</v>
      </c>
      <c r="D1008">
        <v>10140</v>
      </c>
    </row>
    <row r="1009" spans="1:4">
      <c r="A1009" t="s">
        <v>3946</v>
      </c>
      <c r="B1009" s="7" t="s">
        <v>1349</v>
      </c>
      <c r="C1009">
        <v>2000000860</v>
      </c>
      <c r="D1009">
        <v>10140</v>
      </c>
    </row>
    <row r="1010" spans="1:4">
      <c r="A1010" t="s">
        <v>6010</v>
      </c>
      <c r="B1010" s="7" t="s">
        <v>1349</v>
      </c>
      <c r="C1010">
        <v>300270</v>
      </c>
      <c r="D1010">
        <v>10140</v>
      </c>
    </row>
    <row r="1011" spans="1:4">
      <c r="A1011" t="s">
        <v>464</v>
      </c>
      <c r="B1011" s="7" t="s">
        <v>1349</v>
      </c>
      <c r="C1011">
        <v>201080</v>
      </c>
      <c r="D1011">
        <v>10130</v>
      </c>
    </row>
    <row r="1012" spans="1:4">
      <c r="A1012" t="s">
        <v>464</v>
      </c>
      <c r="B1012" t="s">
        <v>1349</v>
      </c>
      <c r="C1012">
        <v>201200</v>
      </c>
      <c r="D1012">
        <v>10120</v>
      </c>
    </row>
    <row r="1013" spans="1:4">
      <c r="A1013" t="s">
        <v>464</v>
      </c>
      <c r="B1013" s="7" t="s">
        <v>1349</v>
      </c>
      <c r="C1013">
        <v>201020</v>
      </c>
      <c r="D1013">
        <v>10110</v>
      </c>
    </row>
    <row r="1014" spans="1:4">
      <c r="A1014" t="s">
        <v>3946</v>
      </c>
      <c r="B1014" s="7" t="s">
        <v>1349</v>
      </c>
      <c r="C1014">
        <v>2000000810</v>
      </c>
      <c r="D1014">
        <v>10110</v>
      </c>
    </row>
    <row r="1015" spans="1:4">
      <c r="A1015" t="s">
        <v>6010</v>
      </c>
      <c r="B1015" s="7" t="s">
        <v>1349</v>
      </c>
      <c r="C1015">
        <v>300200</v>
      </c>
      <c r="D1015">
        <v>10110</v>
      </c>
    </row>
    <row r="1016" spans="1:4">
      <c r="A1016" t="s">
        <v>464</v>
      </c>
      <c r="B1016" t="s">
        <v>1349</v>
      </c>
      <c r="C1016">
        <v>201010</v>
      </c>
      <c r="D1016">
        <v>10100</v>
      </c>
    </row>
    <row r="1017" spans="1:4">
      <c r="A1017" t="s">
        <v>3946</v>
      </c>
      <c r="B1017" t="s">
        <v>1349</v>
      </c>
      <c r="C1017">
        <v>2000000790</v>
      </c>
      <c r="D1017">
        <v>10100</v>
      </c>
    </row>
    <row r="1018" spans="1:4">
      <c r="A1018" t="s">
        <v>464</v>
      </c>
      <c r="B1018" s="7" t="s">
        <v>1349</v>
      </c>
      <c r="C1018">
        <v>201250</v>
      </c>
      <c r="D1018">
        <v>10090</v>
      </c>
    </row>
    <row r="1019" spans="1:4">
      <c r="A1019" t="s">
        <v>3946</v>
      </c>
      <c r="B1019" s="7" t="s">
        <v>1349</v>
      </c>
      <c r="C1019">
        <v>2000000840</v>
      </c>
      <c r="D1019">
        <v>10090</v>
      </c>
    </row>
    <row r="1020" spans="1:4">
      <c r="A1020" t="s">
        <v>6010</v>
      </c>
      <c r="B1020" s="7" t="s">
        <v>1349</v>
      </c>
      <c r="C1020">
        <v>300240</v>
      </c>
      <c r="D1020">
        <v>10090</v>
      </c>
    </row>
    <row r="1021" spans="1:4">
      <c r="A1021" t="s">
        <v>464</v>
      </c>
      <c r="B1021" t="s">
        <v>1349</v>
      </c>
      <c r="C1021">
        <v>201060</v>
      </c>
      <c r="D1021">
        <v>10080</v>
      </c>
    </row>
    <row r="1022" spans="1:4">
      <c r="A1022" t="s">
        <v>464</v>
      </c>
      <c r="B1022" s="7" t="s">
        <v>1349</v>
      </c>
      <c r="C1022">
        <v>201030</v>
      </c>
      <c r="D1022">
        <v>10070</v>
      </c>
    </row>
    <row r="1023" spans="1:4">
      <c r="A1023" t="s">
        <v>464</v>
      </c>
      <c r="B1023" s="7" t="s">
        <v>1349</v>
      </c>
      <c r="C1023">
        <v>201090</v>
      </c>
      <c r="D1023">
        <v>10060</v>
      </c>
    </row>
    <row r="1024" spans="1:4">
      <c r="A1024" t="s">
        <v>464</v>
      </c>
      <c r="B1024" s="7" t="s">
        <v>1349</v>
      </c>
      <c r="C1024">
        <v>201050</v>
      </c>
      <c r="D1024">
        <v>10040</v>
      </c>
    </row>
    <row r="1025" spans="1:4">
      <c r="A1025" t="s">
        <v>3946</v>
      </c>
      <c r="B1025" s="7" t="s">
        <v>1349</v>
      </c>
      <c r="C1025">
        <v>2000000740</v>
      </c>
      <c r="D1025">
        <v>10040</v>
      </c>
    </row>
    <row r="1026" spans="1:4">
      <c r="A1026" t="s">
        <v>6010</v>
      </c>
      <c r="B1026" s="7" t="s">
        <v>1349</v>
      </c>
      <c r="C1026">
        <v>300190</v>
      </c>
      <c r="D1026">
        <v>10040</v>
      </c>
    </row>
    <row r="1027" spans="1:4">
      <c r="A1027" t="s">
        <v>464</v>
      </c>
      <c r="B1027" s="7" t="s">
        <v>1349</v>
      </c>
      <c r="C1027">
        <v>201190</v>
      </c>
      <c r="D1027">
        <v>10030</v>
      </c>
    </row>
    <row r="1028" spans="1:4">
      <c r="A1028" t="s">
        <v>3946</v>
      </c>
      <c r="B1028" s="7" t="s">
        <v>1349</v>
      </c>
      <c r="C1028">
        <v>2000000720</v>
      </c>
      <c r="D1028">
        <v>10030</v>
      </c>
    </row>
    <row r="1029" spans="1:4">
      <c r="A1029" t="s">
        <v>6010</v>
      </c>
      <c r="B1029" s="7" t="s">
        <v>1349</v>
      </c>
      <c r="C1029">
        <v>300220</v>
      </c>
      <c r="D1029">
        <v>10030</v>
      </c>
    </row>
    <row r="1030" spans="1:4">
      <c r="A1030" t="s">
        <v>464</v>
      </c>
      <c r="B1030" s="7" t="s">
        <v>1349</v>
      </c>
      <c r="C1030">
        <v>201180</v>
      </c>
      <c r="D1030">
        <v>10020</v>
      </c>
    </row>
    <row r="1031" spans="1:4">
      <c r="A1031" t="s">
        <v>464</v>
      </c>
      <c r="B1031" s="7" t="s">
        <v>1349</v>
      </c>
      <c r="C1031">
        <v>201070</v>
      </c>
      <c r="D1031">
        <v>10010</v>
      </c>
    </row>
    <row r="1032" spans="1:4">
      <c r="A1032" t="s">
        <v>464</v>
      </c>
      <c r="B1032" s="7" t="s">
        <v>1349</v>
      </c>
      <c r="C1032">
        <v>201000</v>
      </c>
      <c r="D1032">
        <v>10000</v>
      </c>
    </row>
    <row r="1033" spans="1:4">
      <c r="A1033" t="s">
        <v>3946</v>
      </c>
      <c r="B1033" s="7" t="s">
        <v>1349</v>
      </c>
      <c r="C1033">
        <v>2000000739</v>
      </c>
      <c r="D1033">
        <v>10000</v>
      </c>
    </row>
    <row r="1034" spans="1:4">
      <c r="A1034" t="s">
        <v>6010</v>
      </c>
      <c r="B1034" s="7" t="s">
        <v>1349</v>
      </c>
      <c r="C1034">
        <v>300160</v>
      </c>
      <c r="D1034">
        <v>10000</v>
      </c>
    </row>
    <row r="1035" spans="1:4">
      <c r="A1035" t="s">
        <v>464</v>
      </c>
      <c r="B1035" t="s">
        <v>902</v>
      </c>
      <c r="C1035">
        <v>200290</v>
      </c>
      <c r="D1035">
        <v>600</v>
      </c>
    </row>
    <row r="1036" spans="1:4">
      <c r="A1036" t="s">
        <v>464</v>
      </c>
      <c r="B1036" t="s">
        <v>902</v>
      </c>
      <c r="C1036">
        <v>200320</v>
      </c>
      <c r="D1036">
        <v>600</v>
      </c>
    </row>
    <row r="1037" spans="1:4">
      <c r="A1037" t="s">
        <v>464</v>
      </c>
      <c r="B1037" t="s">
        <v>902</v>
      </c>
      <c r="C1037">
        <v>200310</v>
      </c>
      <c r="D1037">
        <v>530</v>
      </c>
    </row>
    <row r="1038" spans="1:4">
      <c r="A1038" t="s">
        <v>464</v>
      </c>
      <c r="B1038" t="s">
        <v>902</v>
      </c>
      <c r="C1038">
        <v>200180</v>
      </c>
      <c r="D1038">
        <v>520</v>
      </c>
    </row>
    <row r="1039" spans="1:4">
      <c r="A1039" t="s">
        <v>464</v>
      </c>
      <c r="B1039" t="s">
        <v>902</v>
      </c>
      <c r="C1039">
        <v>200050</v>
      </c>
      <c r="D1039">
        <v>511</v>
      </c>
    </row>
    <row r="1040" spans="1:4">
      <c r="A1040" t="s">
        <v>6009</v>
      </c>
      <c r="B1040" t="s">
        <v>902</v>
      </c>
      <c r="C1040">
        <v>101190</v>
      </c>
      <c r="D1040">
        <v>510</v>
      </c>
    </row>
    <row r="1041" spans="1:4">
      <c r="A1041" t="s">
        <v>464</v>
      </c>
      <c r="B1041" t="s">
        <v>902</v>
      </c>
      <c r="C1041">
        <v>200060</v>
      </c>
      <c r="D1041">
        <v>510</v>
      </c>
    </row>
    <row r="1042" spans="1:4">
      <c r="A1042" t="s">
        <v>464</v>
      </c>
      <c r="B1042" t="s">
        <v>902</v>
      </c>
      <c r="C1042">
        <v>200220</v>
      </c>
      <c r="D1042">
        <v>503</v>
      </c>
    </row>
    <row r="1043" spans="1:4">
      <c r="A1043" t="s">
        <v>3061</v>
      </c>
      <c r="B1043" t="s">
        <v>902</v>
      </c>
      <c r="C1043">
        <v>400450</v>
      </c>
      <c r="D1043">
        <v>503</v>
      </c>
    </row>
    <row r="1044" spans="1:4">
      <c r="A1044" t="s">
        <v>6012</v>
      </c>
      <c r="B1044" t="s">
        <v>902</v>
      </c>
      <c r="C1044">
        <v>100058</v>
      </c>
      <c r="D1044">
        <v>502</v>
      </c>
    </row>
    <row r="1045" spans="1:4">
      <c r="A1045" t="s">
        <v>464</v>
      </c>
      <c r="B1045" t="s">
        <v>902</v>
      </c>
      <c r="C1045">
        <v>200010</v>
      </c>
      <c r="D1045">
        <v>421</v>
      </c>
    </row>
    <row r="1046" spans="1:4">
      <c r="A1046" t="s">
        <v>6010</v>
      </c>
      <c r="B1046" t="s">
        <v>902</v>
      </c>
      <c r="C1046">
        <v>300020</v>
      </c>
      <c r="D1046">
        <v>421</v>
      </c>
    </row>
    <row r="1047" spans="1:4">
      <c r="A1047" t="s">
        <v>3061</v>
      </c>
      <c r="B1047" t="s">
        <v>902</v>
      </c>
      <c r="C1047">
        <v>400000</v>
      </c>
      <c r="D1047">
        <v>421</v>
      </c>
    </row>
    <row r="1048" spans="1:4">
      <c r="A1048" t="s">
        <v>464</v>
      </c>
      <c r="B1048" t="s">
        <v>902</v>
      </c>
      <c r="C1048">
        <v>200010</v>
      </c>
      <c r="D1048">
        <v>420</v>
      </c>
    </row>
    <row r="1049" spans="1:4">
      <c r="A1049" t="s">
        <v>3946</v>
      </c>
      <c r="B1049" t="s">
        <v>902</v>
      </c>
      <c r="C1049">
        <v>2000000040</v>
      </c>
      <c r="D1049">
        <v>420</v>
      </c>
    </row>
    <row r="1050" spans="1:4">
      <c r="A1050" t="s">
        <v>6010</v>
      </c>
      <c r="B1050" t="s">
        <v>902</v>
      </c>
      <c r="C1050">
        <v>300020</v>
      </c>
      <c r="D1050">
        <v>420</v>
      </c>
    </row>
    <row r="1051" spans="1:4">
      <c r="A1051" t="s">
        <v>464</v>
      </c>
      <c r="B1051" t="s">
        <v>902</v>
      </c>
      <c r="C1051">
        <v>200350</v>
      </c>
      <c r="D1051">
        <v>412</v>
      </c>
    </row>
    <row r="1052" spans="1:4">
      <c r="A1052" t="s">
        <v>464</v>
      </c>
      <c r="B1052" t="s">
        <v>902</v>
      </c>
      <c r="C1052">
        <v>200340</v>
      </c>
      <c r="D1052">
        <v>411</v>
      </c>
    </row>
    <row r="1053" spans="1:4">
      <c r="A1053" t="s">
        <v>464</v>
      </c>
      <c r="B1053" t="s">
        <v>902</v>
      </c>
      <c r="C1053">
        <v>200330</v>
      </c>
      <c r="D1053">
        <v>410</v>
      </c>
    </row>
    <row r="1054" spans="1:4">
      <c r="A1054" t="s">
        <v>464</v>
      </c>
      <c r="B1054" t="s">
        <v>902</v>
      </c>
      <c r="C1054">
        <v>200020</v>
      </c>
      <c r="D1054">
        <v>402</v>
      </c>
    </row>
    <row r="1055" spans="1:4">
      <c r="A1055" t="s">
        <v>464</v>
      </c>
      <c r="B1055" t="s">
        <v>902</v>
      </c>
      <c r="C1055">
        <v>200030</v>
      </c>
      <c r="D1055">
        <v>401</v>
      </c>
    </row>
    <row r="1056" spans="1:4">
      <c r="A1056" t="s">
        <v>464</v>
      </c>
      <c r="B1056" t="s">
        <v>902</v>
      </c>
      <c r="C1056">
        <v>200040</v>
      </c>
      <c r="D1056">
        <v>400</v>
      </c>
    </row>
    <row r="1057" spans="1:4">
      <c r="A1057" t="s">
        <v>3946</v>
      </c>
      <c r="B1057" t="s">
        <v>902</v>
      </c>
      <c r="C1057">
        <v>2000000060</v>
      </c>
      <c r="D1057">
        <v>400</v>
      </c>
    </row>
    <row r="1058" spans="1:4">
      <c r="A1058" t="s">
        <v>6010</v>
      </c>
      <c r="B1058" t="s">
        <v>902</v>
      </c>
      <c r="C1058">
        <v>300040</v>
      </c>
      <c r="D1058">
        <v>400</v>
      </c>
    </row>
    <row r="1059" spans="1:4">
      <c r="A1059" t="s">
        <v>6013</v>
      </c>
      <c r="B1059" t="s">
        <v>902</v>
      </c>
      <c r="C1059">
        <v>101198</v>
      </c>
      <c r="D1059">
        <v>398</v>
      </c>
    </row>
    <row r="1060" spans="1:4">
      <c r="A1060" t="s">
        <v>464</v>
      </c>
      <c r="B1060" t="s">
        <v>902</v>
      </c>
      <c r="C1060">
        <v>200090</v>
      </c>
      <c r="D1060">
        <v>391</v>
      </c>
    </row>
    <row r="1061" spans="1:4">
      <c r="A1061" t="s">
        <v>3946</v>
      </c>
      <c r="B1061" t="s">
        <v>902</v>
      </c>
      <c r="C1061">
        <v>2000003993</v>
      </c>
      <c r="D1061">
        <v>391</v>
      </c>
    </row>
    <row r="1062" spans="1:4">
      <c r="A1062" t="s">
        <v>464</v>
      </c>
      <c r="B1062" t="s">
        <v>902</v>
      </c>
      <c r="C1062">
        <v>200120</v>
      </c>
      <c r="D1062">
        <v>350</v>
      </c>
    </row>
    <row r="1063" spans="1:4">
      <c r="A1063" t="s">
        <v>6012</v>
      </c>
      <c r="B1063" t="s">
        <v>902</v>
      </c>
      <c r="C1063">
        <v>100026</v>
      </c>
      <c r="D1063">
        <v>350</v>
      </c>
    </row>
    <row r="1064" spans="1:4">
      <c r="A1064" t="s">
        <v>3946</v>
      </c>
      <c r="B1064" t="s">
        <v>902</v>
      </c>
      <c r="C1064">
        <v>2000000480</v>
      </c>
      <c r="D1064">
        <v>340</v>
      </c>
    </row>
    <row r="1065" spans="1:4">
      <c r="A1065" t="s">
        <v>3946</v>
      </c>
      <c r="B1065" t="s">
        <v>902</v>
      </c>
      <c r="C1065">
        <v>2000002910</v>
      </c>
      <c r="D1065">
        <v>333</v>
      </c>
    </row>
    <row r="1066" spans="1:4">
      <c r="A1066" t="s">
        <v>6012</v>
      </c>
      <c r="B1066" t="s">
        <v>902</v>
      </c>
      <c r="C1066">
        <v>100112</v>
      </c>
      <c r="D1066">
        <v>333</v>
      </c>
    </row>
    <row r="1067" spans="1:4">
      <c r="A1067" t="s">
        <v>3061</v>
      </c>
      <c r="B1067" t="s">
        <v>902</v>
      </c>
      <c r="C1067">
        <v>400270</v>
      </c>
      <c r="D1067">
        <v>333</v>
      </c>
    </row>
    <row r="1068" spans="1:4">
      <c r="A1068" t="s">
        <v>3946</v>
      </c>
      <c r="B1068" t="s">
        <v>902</v>
      </c>
      <c r="C1068">
        <v>2000000830</v>
      </c>
      <c r="D1068">
        <v>332</v>
      </c>
    </row>
    <row r="1069" spans="1:4">
      <c r="A1069" t="s">
        <v>6010</v>
      </c>
      <c r="B1069" t="s">
        <v>902</v>
      </c>
      <c r="C1069">
        <v>301430</v>
      </c>
      <c r="D1069">
        <v>332</v>
      </c>
    </row>
    <row r="1070" spans="1:4">
      <c r="A1070" t="s">
        <v>3061</v>
      </c>
      <c r="B1070" t="s">
        <v>902</v>
      </c>
      <c r="C1070">
        <v>400260</v>
      </c>
      <c r="D1070">
        <v>332</v>
      </c>
    </row>
    <row r="1071" spans="1:4">
      <c r="A1071" t="s">
        <v>3946</v>
      </c>
      <c r="B1071" t="s">
        <v>902</v>
      </c>
      <c r="C1071">
        <v>2000000820</v>
      </c>
      <c r="D1071">
        <v>331</v>
      </c>
    </row>
    <row r="1072" spans="1:4">
      <c r="A1072" t="s">
        <v>6010</v>
      </c>
      <c r="B1072" t="s">
        <v>902</v>
      </c>
      <c r="C1072">
        <v>301420</v>
      </c>
      <c r="D1072">
        <v>331</v>
      </c>
    </row>
    <row r="1073" spans="1:4">
      <c r="A1073" t="s">
        <v>3061</v>
      </c>
      <c r="B1073" t="s">
        <v>902</v>
      </c>
      <c r="C1073">
        <v>400250</v>
      </c>
      <c r="D1073">
        <v>331</v>
      </c>
    </row>
    <row r="1074" spans="1:4">
      <c r="A1074" t="s">
        <v>464</v>
      </c>
      <c r="B1074" t="s">
        <v>902</v>
      </c>
      <c r="C1074">
        <v>200100</v>
      </c>
      <c r="D1074">
        <v>322</v>
      </c>
    </row>
    <row r="1075" spans="1:4">
      <c r="A1075" t="s">
        <v>464</v>
      </c>
      <c r="B1075" t="s">
        <v>902</v>
      </c>
      <c r="C1075">
        <v>200110</v>
      </c>
      <c r="D1075">
        <v>321</v>
      </c>
    </row>
    <row r="1076" spans="1:4">
      <c r="A1076" t="s">
        <v>3946</v>
      </c>
      <c r="B1076" t="s">
        <v>902</v>
      </c>
      <c r="C1076">
        <v>2000000170</v>
      </c>
      <c r="D1076">
        <v>321</v>
      </c>
    </row>
    <row r="1077" spans="1:4">
      <c r="A1077" t="s">
        <v>6010</v>
      </c>
      <c r="B1077" t="s">
        <v>902</v>
      </c>
      <c r="C1077">
        <v>300220</v>
      </c>
      <c r="D1077">
        <v>321</v>
      </c>
    </row>
    <row r="1078" spans="1:4">
      <c r="A1078" t="s">
        <v>3061</v>
      </c>
      <c r="B1078" t="s">
        <v>902</v>
      </c>
      <c r="C1078">
        <v>400150</v>
      </c>
      <c r="D1078">
        <v>321</v>
      </c>
    </row>
    <row r="1079" spans="1:4">
      <c r="A1079" t="s">
        <v>464</v>
      </c>
      <c r="B1079" t="s">
        <v>902</v>
      </c>
      <c r="C1079">
        <v>200160</v>
      </c>
      <c r="D1079">
        <v>320</v>
      </c>
    </row>
    <row r="1080" spans="1:4">
      <c r="A1080" t="s">
        <v>3946</v>
      </c>
      <c r="B1080" t="s">
        <v>902</v>
      </c>
      <c r="C1080">
        <v>2000002040</v>
      </c>
      <c r="D1080">
        <v>320</v>
      </c>
    </row>
    <row r="1081" spans="1:4">
      <c r="A1081" t="s">
        <v>6010</v>
      </c>
      <c r="B1081" t="s">
        <v>902</v>
      </c>
      <c r="C1081">
        <v>300720</v>
      </c>
      <c r="D1081">
        <v>320</v>
      </c>
    </row>
    <row r="1082" spans="1:4">
      <c r="A1082" t="s">
        <v>6010</v>
      </c>
      <c r="B1082" t="s">
        <v>902</v>
      </c>
      <c r="C1082">
        <v>302950</v>
      </c>
      <c r="D1082">
        <v>320</v>
      </c>
    </row>
    <row r="1083" spans="1:4">
      <c r="A1083" t="s">
        <v>3061</v>
      </c>
      <c r="B1083" t="s">
        <v>902</v>
      </c>
      <c r="C1083">
        <v>400340</v>
      </c>
      <c r="D1083">
        <v>320</v>
      </c>
    </row>
    <row r="1084" spans="1:4">
      <c r="A1084" t="s">
        <v>464</v>
      </c>
      <c r="B1084" t="s">
        <v>902</v>
      </c>
      <c r="C1084">
        <v>200280</v>
      </c>
      <c r="D1084">
        <v>318</v>
      </c>
    </row>
    <row r="1085" spans="1:4">
      <c r="A1085" t="s">
        <v>3946</v>
      </c>
      <c r="B1085" t="s">
        <v>902</v>
      </c>
      <c r="C1085">
        <v>2000004281</v>
      </c>
      <c r="D1085">
        <v>318</v>
      </c>
    </row>
    <row r="1086" spans="1:4">
      <c r="A1086" t="s">
        <v>6010</v>
      </c>
      <c r="B1086" t="s">
        <v>902</v>
      </c>
      <c r="C1086">
        <v>301380</v>
      </c>
      <c r="D1086">
        <v>318</v>
      </c>
    </row>
    <row r="1087" spans="1:4">
      <c r="A1087" t="s">
        <v>6010</v>
      </c>
      <c r="B1087" t="s">
        <v>902</v>
      </c>
      <c r="C1087">
        <v>302560</v>
      </c>
      <c r="D1087">
        <v>318</v>
      </c>
    </row>
    <row r="1088" spans="1:4">
      <c r="A1088" t="s">
        <v>3061</v>
      </c>
      <c r="B1088" t="s">
        <v>902</v>
      </c>
      <c r="C1088">
        <v>400210</v>
      </c>
      <c r="D1088">
        <v>318</v>
      </c>
    </row>
    <row r="1089" spans="1:4">
      <c r="A1089" t="s">
        <v>3061</v>
      </c>
      <c r="B1089" t="s">
        <v>902</v>
      </c>
      <c r="C1089">
        <v>400310</v>
      </c>
      <c r="D1089">
        <v>318</v>
      </c>
    </row>
    <row r="1090" spans="1:4">
      <c r="A1090" t="s">
        <v>3946</v>
      </c>
      <c r="B1090" t="s">
        <v>902</v>
      </c>
      <c r="C1090">
        <v>2000000790</v>
      </c>
      <c r="D1090">
        <v>317</v>
      </c>
    </row>
    <row r="1091" spans="1:4">
      <c r="A1091" t="s">
        <v>464</v>
      </c>
      <c r="B1091" t="s">
        <v>902</v>
      </c>
      <c r="C1091">
        <v>200280</v>
      </c>
      <c r="D1091">
        <v>316</v>
      </c>
    </row>
    <row r="1092" spans="1:4">
      <c r="A1092" t="s">
        <v>3946</v>
      </c>
      <c r="B1092" t="s">
        <v>902</v>
      </c>
      <c r="C1092">
        <v>2000001570</v>
      </c>
      <c r="D1092">
        <v>316</v>
      </c>
    </row>
    <row r="1093" spans="1:4">
      <c r="A1093" t="s">
        <v>6010</v>
      </c>
      <c r="B1093" t="s">
        <v>902</v>
      </c>
      <c r="C1093">
        <v>301380</v>
      </c>
      <c r="D1093">
        <v>316</v>
      </c>
    </row>
    <row r="1094" spans="1:4">
      <c r="A1094" t="s">
        <v>6012</v>
      </c>
      <c r="B1094" t="s">
        <v>902</v>
      </c>
      <c r="C1094">
        <v>100103</v>
      </c>
      <c r="D1094">
        <v>316</v>
      </c>
    </row>
    <row r="1095" spans="1:4">
      <c r="A1095" t="s">
        <v>6012</v>
      </c>
      <c r="B1095" t="s">
        <v>902</v>
      </c>
      <c r="C1095">
        <v>100107</v>
      </c>
      <c r="D1095">
        <v>316</v>
      </c>
    </row>
    <row r="1096" spans="1:4">
      <c r="A1096" t="s">
        <v>3061</v>
      </c>
      <c r="B1096" t="s">
        <v>902</v>
      </c>
      <c r="C1096">
        <v>400210</v>
      </c>
      <c r="D1096">
        <v>316</v>
      </c>
    </row>
    <row r="1097" spans="1:4">
      <c r="A1097" t="s">
        <v>464</v>
      </c>
      <c r="B1097" t="s">
        <v>902</v>
      </c>
      <c r="C1097">
        <v>200410</v>
      </c>
      <c r="D1097">
        <v>314</v>
      </c>
    </row>
    <row r="1098" spans="1:4">
      <c r="A1098" t="s">
        <v>464</v>
      </c>
      <c r="B1098" t="s">
        <v>902</v>
      </c>
      <c r="C1098">
        <v>200400</v>
      </c>
      <c r="D1098">
        <v>313</v>
      </c>
    </row>
    <row r="1099" spans="1:4">
      <c r="A1099" t="s">
        <v>3946</v>
      </c>
      <c r="B1099" t="s">
        <v>902</v>
      </c>
      <c r="C1099">
        <v>2000000240</v>
      </c>
      <c r="D1099">
        <v>312</v>
      </c>
    </row>
    <row r="1100" spans="1:4">
      <c r="A1100" t="s">
        <v>464</v>
      </c>
      <c r="B1100" t="s">
        <v>902</v>
      </c>
      <c r="C1100">
        <v>200390</v>
      </c>
      <c r="D1100">
        <v>311</v>
      </c>
    </row>
    <row r="1101" spans="1:4">
      <c r="A1101" t="s">
        <v>3946</v>
      </c>
      <c r="B1101" t="s">
        <v>902</v>
      </c>
      <c r="C1101">
        <v>2000002110</v>
      </c>
      <c r="D1101">
        <v>311</v>
      </c>
    </row>
    <row r="1102" spans="1:4">
      <c r="A1102" t="s">
        <v>6010</v>
      </c>
      <c r="B1102" t="s">
        <v>902</v>
      </c>
      <c r="C1102">
        <v>303110</v>
      </c>
      <c r="D1102">
        <v>311</v>
      </c>
    </row>
    <row r="1103" spans="1:4">
      <c r="A1103" t="s">
        <v>3061</v>
      </c>
      <c r="B1103" t="s">
        <v>902</v>
      </c>
      <c r="C1103">
        <v>400350</v>
      </c>
      <c r="D1103">
        <v>311</v>
      </c>
    </row>
    <row r="1104" spans="1:4">
      <c r="A1104" t="s">
        <v>464</v>
      </c>
      <c r="B1104" t="s">
        <v>902</v>
      </c>
      <c r="C1104">
        <v>200080</v>
      </c>
      <c r="D1104">
        <v>310</v>
      </c>
    </row>
    <row r="1105" spans="1:4">
      <c r="A1105" t="s">
        <v>3946</v>
      </c>
      <c r="B1105" t="s">
        <v>902</v>
      </c>
      <c r="C1105">
        <v>2000000160</v>
      </c>
      <c r="D1105">
        <v>310</v>
      </c>
    </row>
    <row r="1106" spans="1:4">
      <c r="A1106" t="s">
        <v>6010</v>
      </c>
      <c r="B1106" t="s">
        <v>902</v>
      </c>
      <c r="C1106">
        <v>300190</v>
      </c>
      <c r="D1106">
        <v>310</v>
      </c>
    </row>
    <row r="1107" spans="1:4">
      <c r="A1107" t="s">
        <v>3061</v>
      </c>
      <c r="B1107" t="s">
        <v>902</v>
      </c>
      <c r="C1107">
        <v>400140</v>
      </c>
      <c r="D1107">
        <v>310</v>
      </c>
    </row>
    <row r="1108" spans="1:4">
      <c r="A1108" t="s">
        <v>464</v>
      </c>
      <c r="B1108" t="s">
        <v>902</v>
      </c>
      <c r="C1108">
        <v>200000</v>
      </c>
      <c r="D1108">
        <v>303</v>
      </c>
    </row>
    <row r="1109" spans="1:4">
      <c r="A1109" t="s">
        <v>464</v>
      </c>
      <c r="B1109" t="s">
        <v>902</v>
      </c>
      <c r="C1109">
        <v>200170</v>
      </c>
      <c r="D1109">
        <v>301</v>
      </c>
    </row>
    <row r="1110" spans="1:4">
      <c r="A1110" t="s">
        <v>464</v>
      </c>
      <c r="B1110" t="s">
        <v>902</v>
      </c>
      <c r="C1110">
        <v>200260</v>
      </c>
      <c r="D1110">
        <v>300</v>
      </c>
    </row>
    <row r="1111" spans="1:4">
      <c r="A1111" t="s">
        <v>3946</v>
      </c>
      <c r="B1111" t="s">
        <v>902</v>
      </c>
      <c r="C1111">
        <v>2000000780</v>
      </c>
      <c r="D1111">
        <v>300</v>
      </c>
    </row>
    <row r="1112" spans="1:4">
      <c r="A1112" t="s">
        <v>6010</v>
      </c>
      <c r="B1112" t="s">
        <v>902</v>
      </c>
      <c r="C1112">
        <v>301370</v>
      </c>
      <c r="D1112">
        <v>300</v>
      </c>
    </row>
    <row r="1113" spans="1:4">
      <c r="A1113" t="s">
        <v>6012</v>
      </c>
      <c r="B1113" t="s">
        <v>902</v>
      </c>
      <c r="C1113">
        <v>100077</v>
      </c>
      <c r="D1113">
        <v>300</v>
      </c>
    </row>
    <row r="1114" spans="1:4">
      <c r="A1114" t="s">
        <v>6012</v>
      </c>
      <c r="B1114" t="s">
        <v>902</v>
      </c>
      <c r="C1114">
        <v>100097</v>
      </c>
      <c r="D1114">
        <v>300</v>
      </c>
    </row>
    <row r="1115" spans="1:4">
      <c r="A1115" t="s">
        <v>3061</v>
      </c>
      <c r="B1115" t="s">
        <v>902</v>
      </c>
      <c r="C1115">
        <v>400200</v>
      </c>
      <c r="D1115">
        <v>300</v>
      </c>
    </row>
    <row r="1116" spans="1:4">
      <c r="A1116" t="s">
        <v>464</v>
      </c>
      <c r="B1116" t="s">
        <v>902</v>
      </c>
      <c r="C1116">
        <v>200250</v>
      </c>
      <c r="D1116">
        <v>209</v>
      </c>
    </row>
    <row r="1117" spans="1:4">
      <c r="A1117" t="s">
        <v>464</v>
      </c>
      <c r="B1117" t="s">
        <v>902</v>
      </c>
      <c r="C1117">
        <v>200230</v>
      </c>
      <c r="D1117">
        <v>201</v>
      </c>
    </row>
    <row r="1118" spans="1:4">
      <c r="A1118" t="s">
        <v>464</v>
      </c>
      <c r="B1118" t="s">
        <v>902</v>
      </c>
      <c r="C1118">
        <v>200240</v>
      </c>
      <c r="D1118">
        <v>200</v>
      </c>
    </row>
    <row r="1119" spans="1:4">
      <c r="A1119" t="s">
        <v>6012</v>
      </c>
      <c r="B1119" t="s">
        <v>902</v>
      </c>
      <c r="C1119">
        <v>100101</v>
      </c>
      <c r="D1119">
        <v>200</v>
      </c>
    </row>
    <row r="1120" spans="1:4">
      <c r="A1120" t="s">
        <v>464</v>
      </c>
      <c r="B1120" t="s">
        <v>902</v>
      </c>
      <c r="C1120">
        <v>200380</v>
      </c>
      <c r="D1120">
        <v>120</v>
      </c>
    </row>
    <row r="1121" spans="1:4">
      <c r="A1121" t="s">
        <v>3946</v>
      </c>
      <c r="B1121" t="s">
        <v>902</v>
      </c>
      <c r="C1121">
        <v>2000001870</v>
      </c>
      <c r="D1121">
        <v>120</v>
      </c>
    </row>
    <row r="1122" spans="1:4">
      <c r="A1122" t="s">
        <v>6010</v>
      </c>
      <c r="B1122" t="s">
        <v>902</v>
      </c>
      <c r="C1122">
        <v>302620</v>
      </c>
      <c r="D1122">
        <v>120</v>
      </c>
    </row>
    <row r="1123" spans="1:4">
      <c r="A1123" t="s">
        <v>464</v>
      </c>
      <c r="B1123" t="s">
        <v>902</v>
      </c>
      <c r="C1123">
        <v>200210</v>
      </c>
      <c r="D1123">
        <v>102</v>
      </c>
    </row>
    <row r="1124" spans="1:4">
      <c r="A1124" t="s">
        <v>3946</v>
      </c>
      <c r="B1124" t="s">
        <v>902</v>
      </c>
      <c r="C1124">
        <v>2000000590</v>
      </c>
      <c r="D1124">
        <v>102</v>
      </c>
    </row>
    <row r="1125" spans="1:4">
      <c r="A1125" t="s">
        <v>6010</v>
      </c>
      <c r="B1125" t="s">
        <v>902</v>
      </c>
      <c r="C1125">
        <v>301230</v>
      </c>
      <c r="D1125">
        <v>102</v>
      </c>
    </row>
    <row r="1126" spans="1:4">
      <c r="A1126" t="s">
        <v>3061</v>
      </c>
      <c r="B1126" t="s">
        <v>902</v>
      </c>
      <c r="C1126">
        <v>400100</v>
      </c>
      <c r="D1126">
        <v>102</v>
      </c>
    </row>
    <row r="1127" spans="1:4">
      <c r="A1127" t="s">
        <v>464</v>
      </c>
      <c r="B1127" t="s">
        <v>902</v>
      </c>
      <c r="C1127">
        <v>200210</v>
      </c>
      <c r="D1127">
        <v>101</v>
      </c>
    </row>
    <row r="1128" spans="1:4">
      <c r="A1128" t="s">
        <v>3946</v>
      </c>
      <c r="B1128" t="s">
        <v>902</v>
      </c>
      <c r="C1128">
        <v>2000000590</v>
      </c>
      <c r="D1128">
        <v>101</v>
      </c>
    </row>
    <row r="1129" spans="1:4">
      <c r="A1129" t="s">
        <v>6010</v>
      </c>
      <c r="B1129" t="s">
        <v>902</v>
      </c>
      <c r="C1129">
        <v>301230</v>
      </c>
      <c r="D1129">
        <v>101</v>
      </c>
    </row>
    <row r="1130" spans="1:4">
      <c r="A1130" t="s">
        <v>464</v>
      </c>
      <c r="B1130" t="s">
        <v>902</v>
      </c>
      <c r="C1130">
        <v>200150</v>
      </c>
      <c r="D1130">
        <v>100</v>
      </c>
    </row>
    <row r="1131" spans="1:4">
      <c r="A1131" t="s">
        <v>464</v>
      </c>
      <c r="B1131" t="s">
        <v>902</v>
      </c>
      <c r="C1131">
        <v>200300</v>
      </c>
      <c r="D1131">
        <v>100</v>
      </c>
    </row>
    <row r="1132" spans="1:4">
      <c r="A1132" t="s">
        <v>3946</v>
      </c>
      <c r="B1132" t="s">
        <v>902</v>
      </c>
      <c r="C1132">
        <v>2000000280</v>
      </c>
      <c r="D1132">
        <v>100</v>
      </c>
    </row>
    <row r="1133" spans="1:4">
      <c r="A1133" t="s">
        <v>6010</v>
      </c>
      <c r="B1133" t="s">
        <v>902</v>
      </c>
      <c r="C1133">
        <v>300710</v>
      </c>
      <c r="D1133">
        <v>100</v>
      </c>
    </row>
    <row r="1134" spans="1:4">
      <c r="A1134" t="s">
        <v>6012</v>
      </c>
      <c r="B1134" t="s">
        <v>902</v>
      </c>
      <c r="C1134">
        <v>100037</v>
      </c>
      <c r="D1134">
        <v>100</v>
      </c>
    </row>
    <row r="1135" spans="1:4">
      <c r="A1135" t="s">
        <v>6012</v>
      </c>
      <c r="B1135" t="s">
        <v>902</v>
      </c>
      <c r="C1135">
        <v>100138</v>
      </c>
      <c r="D1135">
        <v>100</v>
      </c>
    </row>
    <row r="1136" spans="1:4">
      <c r="A1136" t="s">
        <v>6010</v>
      </c>
      <c r="B1136" t="s">
        <v>902</v>
      </c>
      <c r="C1136">
        <v>303230</v>
      </c>
      <c r="D1136">
        <v>84</v>
      </c>
    </row>
    <row r="1137" spans="1:4">
      <c r="A1137" t="s">
        <v>3946</v>
      </c>
      <c r="B1137" t="s">
        <v>902</v>
      </c>
      <c r="C1137">
        <v>2000002923</v>
      </c>
      <c r="D1137">
        <v>82</v>
      </c>
    </row>
    <row r="1138" spans="1:4">
      <c r="A1138" t="s">
        <v>3946</v>
      </c>
      <c r="B1138" t="s">
        <v>902</v>
      </c>
      <c r="C1138">
        <v>2000003070</v>
      </c>
      <c r="D1138">
        <v>80</v>
      </c>
    </row>
    <row r="1139" spans="1:4">
      <c r="A1139" t="s">
        <v>3946</v>
      </c>
      <c r="B1139" t="s">
        <v>902</v>
      </c>
      <c r="C1139">
        <v>2000005330</v>
      </c>
      <c r="D1139">
        <v>78</v>
      </c>
    </row>
    <row r="1140" spans="1:4">
      <c r="A1140" t="s">
        <v>3946</v>
      </c>
      <c r="B1140" t="s">
        <v>902</v>
      </c>
      <c r="C1140">
        <v>2000001940</v>
      </c>
      <c r="D1140">
        <v>76</v>
      </c>
    </row>
    <row r="1141" spans="1:4">
      <c r="A1141" t="s">
        <v>6010</v>
      </c>
      <c r="B1141" t="s">
        <v>902</v>
      </c>
      <c r="C1141">
        <v>302910</v>
      </c>
      <c r="D1141">
        <v>76</v>
      </c>
    </row>
    <row r="1142" spans="1:4">
      <c r="A1142" t="s">
        <v>3946</v>
      </c>
      <c r="B1142" t="s">
        <v>902</v>
      </c>
      <c r="C1142">
        <v>2000001930</v>
      </c>
      <c r="D1142">
        <v>74</v>
      </c>
    </row>
    <row r="1143" spans="1:4">
      <c r="A1143" t="s">
        <v>6010</v>
      </c>
      <c r="B1143" t="s">
        <v>902</v>
      </c>
      <c r="C1143">
        <v>302900</v>
      </c>
      <c r="D1143">
        <v>74</v>
      </c>
    </row>
    <row r="1144" spans="1:4">
      <c r="A1144" t="s">
        <v>3946</v>
      </c>
      <c r="B1144" t="s">
        <v>902</v>
      </c>
      <c r="C1144">
        <v>2000001920</v>
      </c>
      <c r="D1144">
        <v>72</v>
      </c>
    </row>
    <row r="1145" spans="1:4">
      <c r="A1145" t="s">
        <v>6010</v>
      </c>
      <c r="B1145" t="s">
        <v>902</v>
      </c>
      <c r="C1145">
        <v>302890</v>
      </c>
      <c r="D1145">
        <v>72</v>
      </c>
    </row>
    <row r="1146" spans="1:4">
      <c r="A1146" t="s">
        <v>3946</v>
      </c>
      <c r="B1146" t="s">
        <v>902</v>
      </c>
      <c r="C1146">
        <v>2000005320</v>
      </c>
      <c r="D1146">
        <v>70</v>
      </c>
    </row>
    <row r="1147" spans="1:4">
      <c r="A1147" t="s">
        <v>3946</v>
      </c>
      <c r="B1147" t="s">
        <v>902</v>
      </c>
      <c r="C1147">
        <v>2000005310</v>
      </c>
      <c r="D1147">
        <v>68</v>
      </c>
    </row>
    <row r="1148" spans="1:4">
      <c r="A1148" t="s">
        <v>3946</v>
      </c>
      <c r="B1148" t="s">
        <v>902</v>
      </c>
      <c r="C1148">
        <v>2000004410</v>
      </c>
      <c r="D1148">
        <v>66</v>
      </c>
    </row>
    <row r="1149" spans="1:4">
      <c r="A1149" t="s">
        <v>6010</v>
      </c>
      <c r="B1149" t="s">
        <v>902</v>
      </c>
      <c r="C1149">
        <v>302840</v>
      </c>
      <c r="D1149">
        <v>66</v>
      </c>
    </row>
    <row r="1150" spans="1:4">
      <c r="A1150" t="s">
        <v>3061</v>
      </c>
      <c r="B1150" t="s">
        <v>902</v>
      </c>
      <c r="C1150">
        <v>400540</v>
      </c>
      <c r="D1150">
        <v>66</v>
      </c>
    </row>
    <row r="1151" spans="1:4">
      <c r="A1151" t="s">
        <v>3946</v>
      </c>
      <c r="B1151" t="s">
        <v>902</v>
      </c>
      <c r="C1151">
        <v>2000001830</v>
      </c>
      <c r="D1151">
        <v>64</v>
      </c>
    </row>
    <row r="1152" spans="1:4">
      <c r="A1152" t="s">
        <v>3946</v>
      </c>
      <c r="B1152" t="s">
        <v>902</v>
      </c>
      <c r="C1152">
        <v>2000005290</v>
      </c>
      <c r="D1152">
        <v>62</v>
      </c>
    </row>
    <row r="1153" spans="1:4">
      <c r="A1153" t="s">
        <v>3946</v>
      </c>
      <c r="B1153" t="s">
        <v>902</v>
      </c>
      <c r="C1153">
        <v>2000005280</v>
      </c>
      <c r="D1153">
        <v>60</v>
      </c>
    </row>
    <row r="1154" spans="1:4">
      <c r="A1154" t="s">
        <v>3946</v>
      </c>
      <c r="B1154" t="s">
        <v>902</v>
      </c>
      <c r="C1154">
        <v>2000005270</v>
      </c>
      <c r="D1154">
        <v>58</v>
      </c>
    </row>
    <row r="1155" spans="1:4">
      <c r="A1155" t="s">
        <v>3946</v>
      </c>
      <c r="B1155" t="s">
        <v>902</v>
      </c>
      <c r="C1155">
        <v>2000005260</v>
      </c>
      <c r="D1155">
        <v>56</v>
      </c>
    </row>
    <row r="1156" spans="1:4">
      <c r="A1156" t="s">
        <v>3946</v>
      </c>
      <c r="B1156" t="s">
        <v>902</v>
      </c>
      <c r="C1156">
        <v>2000005331</v>
      </c>
      <c r="D1156">
        <v>54</v>
      </c>
    </row>
    <row r="1157" spans="1:4">
      <c r="A1157" t="s">
        <v>3946</v>
      </c>
      <c r="B1157" t="s">
        <v>902</v>
      </c>
      <c r="C1157">
        <v>2000005332</v>
      </c>
      <c r="D1157">
        <v>52</v>
      </c>
    </row>
    <row r="1158" spans="1:4">
      <c r="A1158" t="s">
        <v>3946</v>
      </c>
      <c r="B1158" t="s">
        <v>902</v>
      </c>
      <c r="C1158">
        <v>2000004290</v>
      </c>
      <c r="D1158">
        <v>50</v>
      </c>
    </row>
    <row r="1159" spans="1:4">
      <c r="A1159" t="s">
        <v>3946</v>
      </c>
      <c r="B1159" t="s">
        <v>902</v>
      </c>
      <c r="C1159">
        <v>2000005250</v>
      </c>
      <c r="D1159">
        <v>48</v>
      </c>
    </row>
    <row r="1160" spans="1:4">
      <c r="A1160" t="s">
        <v>3946</v>
      </c>
      <c r="B1160" t="s">
        <v>902</v>
      </c>
      <c r="C1160">
        <v>2000005240</v>
      </c>
      <c r="D1160">
        <v>46</v>
      </c>
    </row>
    <row r="1161" spans="1:4">
      <c r="A1161" t="s">
        <v>3946</v>
      </c>
      <c r="B1161" t="s">
        <v>902</v>
      </c>
      <c r="C1161">
        <v>2000005210</v>
      </c>
      <c r="D1161">
        <v>44</v>
      </c>
    </row>
    <row r="1162" spans="1:4">
      <c r="A1162" t="s">
        <v>3946</v>
      </c>
      <c r="B1162" s="7" t="s">
        <v>902</v>
      </c>
      <c r="C1162">
        <v>2000005200</v>
      </c>
      <c r="D1162">
        <v>40</v>
      </c>
    </row>
    <row r="1163" spans="1:4">
      <c r="A1163" t="s">
        <v>3946</v>
      </c>
      <c r="B1163" t="s">
        <v>902</v>
      </c>
      <c r="C1163">
        <v>2000005190</v>
      </c>
      <c r="D1163">
        <v>39</v>
      </c>
    </row>
    <row r="1164" spans="1:4">
      <c r="A1164" t="s">
        <v>3946</v>
      </c>
      <c r="B1164" t="s">
        <v>902</v>
      </c>
      <c r="C1164">
        <v>2000005180</v>
      </c>
      <c r="D1164">
        <v>38</v>
      </c>
    </row>
    <row r="1165" spans="1:4">
      <c r="A1165" t="s">
        <v>3946</v>
      </c>
      <c r="B1165" t="s">
        <v>902</v>
      </c>
      <c r="C1165">
        <v>2000004340</v>
      </c>
      <c r="D1165">
        <v>37</v>
      </c>
    </row>
    <row r="1166" spans="1:4">
      <c r="A1166" t="s">
        <v>3946</v>
      </c>
      <c r="B1166" t="s">
        <v>902</v>
      </c>
      <c r="C1166">
        <v>2000005160</v>
      </c>
      <c r="D1166">
        <v>36</v>
      </c>
    </row>
    <row r="1167" spans="1:4">
      <c r="A1167" t="s">
        <v>3946</v>
      </c>
      <c r="B1167" t="s">
        <v>902</v>
      </c>
      <c r="C1167">
        <v>2000005150</v>
      </c>
      <c r="D1167">
        <v>35</v>
      </c>
    </row>
    <row r="1168" spans="1:4">
      <c r="A1168" t="s">
        <v>3946</v>
      </c>
      <c r="B1168" t="s">
        <v>902</v>
      </c>
      <c r="C1168">
        <v>2000004360</v>
      </c>
      <c r="D1168">
        <v>34</v>
      </c>
    </row>
    <row r="1169" spans="1:4">
      <c r="A1169" t="s">
        <v>3946</v>
      </c>
      <c r="B1169" t="s">
        <v>902</v>
      </c>
      <c r="C1169">
        <v>2000004370</v>
      </c>
      <c r="D1169">
        <v>33</v>
      </c>
    </row>
    <row r="1170" spans="1:4">
      <c r="A1170" t="s">
        <v>3946</v>
      </c>
      <c r="B1170" t="s">
        <v>902</v>
      </c>
      <c r="C1170">
        <v>2000004350</v>
      </c>
      <c r="D1170">
        <v>32</v>
      </c>
    </row>
    <row r="1171" spans="1:4">
      <c r="A1171" t="s">
        <v>3946</v>
      </c>
      <c r="B1171" t="s">
        <v>902</v>
      </c>
      <c r="C1171">
        <v>2000004330</v>
      </c>
      <c r="D1171">
        <v>31</v>
      </c>
    </row>
    <row r="1172" spans="1:4">
      <c r="A1172" t="s">
        <v>6012</v>
      </c>
      <c r="B1172" t="s">
        <v>902</v>
      </c>
      <c r="C1172">
        <v>100136</v>
      </c>
      <c r="D1172">
        <v>31</v>
      </c>
    </row>
    <row r="1173" spans="1:4">
      <c r="A1173" t="s">
        <v>3946</v>
      </c>
      <c r="B1173" t="s">
        <v>902</v>
      </c>
      <c r="C1173">
        <v>2000004400</v>
      </c>
      <c r="D1173">
        <v>30</v>
      </c>
    </row>
    <row r="1174" spans="1:4">
      <c r="A1174" t="s">
        <v>3946</v>
      </c>
      <c r="B1174" t="s">
        <v>902</v>
      </c>
      <c r="C1174">
        <v>2000005140</v>
      </c>
      <c r="D1174">
        <v>27</v>
      </c>
    </row>
    <row r="1175" spans="1:4">
      <c r="A1175" t="s">
        <v>6009</v>
      </c>
      <c r="B1175" t="s">
        <v>902</v>
      </c>
      <c r="C1175">
        <v>100757</v>
      </c>
      <c r="D1175">
        <v>26</v>
      </c>
    </row>
    <row r="1176" spans="1:4">
      <c r="A1176" t="s">
        <v>3946</v>
      </c>
      <c r="B1176" t="s">
        <v>902</v>
      </c>
      <c r="C1176">
        <v>2000005100</v>
      </c>
      <c r="D1176">
        <v>26</v>
      </c>
    </row>
    <row r="1177" spans="1:4">
      <c r="A1177" t="s">
        <v>3946</v>
      </c>
      <c r="B1177" t="s">
        <v>902</v>
      </c>
      <c r="C1177">
        <v>2000005080</v>
      </c>
      <c r="D1177">
        <v>25</v>
      </c>
    </row>
    <row r="1178" spans="1:4">
      <c r="A1178" t="s">
        <v>3946</v>
      </c>
      <c r="B1178" t="s">
        <v>902</v>
      </c>
      <c r="C1178">
        <v>2000005070</v>
      </c>
      <c r="D1178">
        <v>24</v>
      </c>
    </row>
    <row r="1179" spans="1:4">
      <c r="A1179" t="s">
        <v>3946</v>
      </c>
      <c r="B1179" t="s">
        <v>902</v>
      </c>
      <c r="C1179">
        <v>2000005060</v>
      </c>
      <c r="D1179">
        <v>23</v>
      </c>
    </row>
    <row r="1180" spans="1:4">
      <c r="A1180" t="s">
        <v>3946</v>
      </c>
      <c r="B1180" t="s">
        <v>902</v>
      </c>
      <c r="C1180">
        <v>2000004390</v>
      </c>
      <c r="D1180">
        <v>22</v>
      </c>
    </row>
    <row r="1181" spans="1:4">
      <c r="A1181" t="s">
        <v>3946</v>
      </c>
      <c r="B1181" t="s">
        <v>902</v>
      </c>
      <c r="C1181">
        <v>2000005050</v>
      </c>
      <c r="D1181">
        <v>21</v>
      </c>
    </row>
    <row r="1182" spans="1:4">
      <c r="A1182" t="s">
        <v>3946</v>
      </c>
      <c r="B1182" t="s">
        <v>902</v>
      </c>
      <c r="C1182">
        <v>2000004380</v>
      </c>
      <c r="D1182">
        <v>20</v>
      </c>
    </row>
    <row r="1183" spans="1:4">
      <c r="A1183" t="s">
        <v>3946</v>
      </c>
      <c r="B1183" t="s">
        <v>902</v>
      </c>
      <c r="C1183">
        <v>2000000340</v>
      </c>
      <c r="D1183">
        <v>15</v>
      </c>
    </row>
    <row r="1184" spans="1:4">
      <c r="A1184" t="s">
        <v>464</v>
      </c>
      <c r="B1184" t="s">
        <v>902</v>
      </c>
      <c r="C1184">
        <v>200130</v>
      </c>
      <c r="D1184">
        <v>14</v>
      </c>
    </row>
    <row r="1185" spans="1:4">
      <c r="A1185" t="s">
        <v>464</v>
      </c>
      <c r="B1185" t="s">
        <v>902</v>
      </c>
      <c r="C1185">
        <v>200140</v>
      </c>
      <c r="D1185">
        <v>13</v>
      </c>
    </row>
    <row r="1186" spans="1:4">
      <c r="A1186" t="s">
        <v>3946</v>
      </c>
      <c r="B1186" t="s">
        <v>902</v>
      </c>
      <c r="C1186">
        <v>2000000320</v>
      </c>
      <c r="D1186">
        <v>13</v>
      </c>
    </row>
    <row r="1187" spans="1:4">
      <c r="A1187" t="s">
        <v>6010</v>
      </c>
      <c r="B1187" t="s">
        <v>902</v>
      </c>
      <c r="C1187">
        <v>300610</v>
      </c>
      <c r="D1187">
        <v>13</v>
      </c>
    </row>
    <row r="1188" spans="1:4">
      <c r="A1188" t="s">
        <v>3946</v>
      </c>
      <c r="B1188" t="s">
        <v>902</v>
      </c>
      <c r="C1188">
        <v>2000004520</v>
      </c>
      <c r="D1188">
        <v>12</v>
      </c>
    </row>
    <row r="1189" spans="1:4">
      <c r="A1189" t="s">
        <v>3946</v>
      </c>
      <c r="B1189" t="s">
        <v>902</v>
      </c>
      <c r="C1189">
        <v>2000004510</v>
      </c>
      <c r="D1189">
        <v>11</v>
      </c>
    </row>
    <row r="1190" spans="1:4">
      <c r="A1190" t="s">
        <v>3946</v>
      </c>
      <c r="B1190" t="s">
        <v>902</v>
      </c>
      <c r="C1190">
        <v>2000004500</v>
      </c>
      <c r="D1190">
        <v>10</v>
      </c>
    </row>
    <row r="1191" spans="1:4">
      <c r="A1191" t="s">
        <v>6010</v>
      </c>
      <c r="B1191" t="s">
        <v>902</v>
      </c>
      <c r="C1191">
        <v>300340</v>
      </c>
      <c r="D1191">
        <v>7</v>
      </c>
    </row>
    <row r="1192" spans="1:4">
      <c r="A1192" t="s">
        <v>6010</v>
      </c>
      <c r="B1192" t="s">
        <v>902</v>
      </c>
      <c r="C1192">
        <v>300330</v>
      </c>
      <c r="D1192">
        <v>6</v>
      </c>
    </row>
    <row r="1193" spans="1:4">
      <c r="A1193" t="s">
        <v>6010</v>
      </c>
      <c r="B1193" t="s">
        <v>902</v>
      </c>
      <c r="C1193">
        <v>300320</v>
      </c>
      <c r="D1193">
        <v>5</v>
      </c>
    </row>
    <row r="1194" spans="1:4">
      <c r="A1194" t="s">
        <v>6010</v>
      </c>
      <c r="B1194" t="s">
        <v>902</v>
      </c>
      <c r="C1194">
        <v>300310</v>
      </c>
      <c r="D1194">
        <v>4</v>
      </c>
    </row>
    <row r="1195" spans="1:4">
      <c r="A1195" t="s">
        <v>6010</v>
      </c>
      <c r="B1195" t="s">
        <v>902</v>
      </c>
      <c r="C1195">
        <v>300320</v>
      </c>
      <c r="D1195">
        <v>4</v>
      </c>
    </row>
    <row r="1196" spans="1:4">
      <c r="A1196" t="s">
        <v>3061</v>
      </c>
      <c r="B1196" t="s">
        <v>902</v>
      </c>
      <c r="C1196">
        <v>400940</v>
      </c>
      <c r="D1196">
        <v>4</v>
      </c>
    </row>
    <row r="1197" spans="1:4">
      <c r="A1197" t="s">
        <v>3946</v>
      </c>
      <c r="B1197" t="s">
        <v>902</v>
      </c>
      <c r="C1197">
        <v>2000005110</v>
      </c>
      <c r="D1197">
        <v>2</v>
      </c>
    </row>
    <row r="1198" spans="1:4">
      <c r="A1198" t="s">
        <v>3946</v>
      </c>
      <c r="B1198" t="s">
        <v>902</v>
      </c>
      <c r="C1198">
        <v>2000000500</v>
      </c>
      <c r="D1198">
        <v>1</v>
      </c>
    </row>
    <row r="1199" spans="1:4">
      <c r="A1199" t="s">
        <v>3946</v>
      </c>
      <c r="B1199" t="s">
        <v>902</v>
      </c>
      <c r="C1199">
        <v>2000005130</v>
      </c>
      <c r="D1199">
        <v>1</v>
      </c>
    </row>
    <row r="1200" spans="1:4">
      <c r="A1200" t="s">
        <v>6010</v>
      </c>
      <c r="B1200" t="s">
        <v>902</v>
      </c>
      <c r="C1200">
        <v>300900</v>
      </c>
      <c r="D1200">
        <v>1</v>
      </c>
    </row>
    <row r="1201" spans="1:4">
      <c r="A1201" t="s">
        <v>3946</v>
      </c>
      <c r="B1201" t="s">
        <v>902</v>
      </c>
      <c r="C1201">
        <v>2000005120</v>
      </c>
      <c r="D1201">
        <v>0</v>
      </c>
    </row>
    <row r="1202" spans="1:4">
      <c r="A1202" t="s">
        <v>1475</v>
      </c>
      <c r="B1202" t="s">
        <v>902</v>
      </c>
      <c r="C1202">
        <v>415120</v>
      </c>
      <c r="D1202">
        <v>0</v>
      </c>
    </row>
    <row r="1203" spans="1:4">
      <c r="A1203" t="s">
        <v>1475</v>
      </c>
      <c r="B1203" t="s">
        <v>902</v>
      </c>
      <c r="C1203">
        <v>400650</v>
      </c>
      <c r="D1203">
        <v>1</v>
      </c>
    </row>
    <row r="1204" spans="1:4">
      <c r="A1204" t="s">
        <v>1475</v>
      </c>
      <c r="B1204" t="s">
        <v>902</v>
      </c>
      <c r="C1204">
        <v>400640</v>
      </c>
      <c r="D1204">
        <v>2</v>
      </c>
    </row>
    <row r="1205" spans="1:4">
      <c r="A1205" t="s">
        <v>1475</v>
      </c>
      <c r="B1205" t="s">
        <v>902</v>
      </c>
      <c r="C1205">
        <v>400600</v>
      </c>
      <c r="D1205">
        <v>4</v>
      </c>
    </row>
    <row r="1206" spans="1:4">
      <c r="A1206" t="s">
        <v>1475</v>
      </c>
      <c r="B1206" t="s">
        <v>902</v>
      </c>
      <c r="C1206">
        <v>400940</v>
      </c>
      <c r="D1206">
        <v>5</v>
      </c>
    </row>
    <row r="1207" spans="1:4">
      <c r="A1207" t="s">
        <v>1475</v>
      </c>
      <c r="B1207" t="s">
        <v>902</v>
      </c>
      <c r="C1207">
        <v>400610</v>
      </c>
      <c r="D1207">
        <v>6</v>
      </c>
    </row>
    <row r="1208" spans="1:4">
      <c r="A1208" t="s">
        <v>1475</v>
      </c>
      <c r="B1208" t="s">
        <v>902</v>
      </c>
      <c r="C1208">
        <v>400620</v>
      </c>
      <c r="D1208">
        <v>7</v>
      </c>
    </row>
    <row r="1209" spans="1:4">
      <c r="A1209" t="s">
        <v>1475</v>
      </c>
      <c r="B1209" t="s">
        <v>902</v>
      </c>
      <c r="C1209">
        <v>414300</v>
      </c>
      <c r="D1209">
        <v>8</v>
      </c>
    </row>
    <row r="1210" spans="1:4">
      <c r="A1210" t="s">
        <v>1475</v>
      </c>
      <c r="B1210" t="s">
        <v>902</v>
      </c>
      <c r="C1210">
        <v>414310</v>
      </c>
      <c r="D1210">
        <v>9</v>
      </c>
    </row>
    <row r="1211" spans="1:4">
      <c r="A1211" t="s">
        <v>1475</v>
      </c>
      <c r="B1211" t="s">
        <v>902</v>
      </c>
      <c r="C1211">
        <v>414500</v>
      </c>
      <c r="D1211">
        <v>10</v>
      </c>
    </row>
    <row r="1212" spans="1:4">
      <c r="A1212" t="s">
        <v>1475</v>
      </c>
      <c r="B1212" t="s">
        <v>902</v>
      </c>
      <c r="C1212">
        <v>414510</v>
      </c>
      <c r="D1212">
        <v>11</v>
      </c>
    </row>
    <row r="1213" spans="1:4">
      <c r="A1213" t="s">
        <v>1475</v>
      </c>
      <c r="B1213" t="s">
        <v>902</v>
      </c>
      <c r="C1213">
        <v>414520</v>
      </c>
      <c r="D1213">
        <v>12</v>
      </c>
    </row>
    <row r="1214" spans="1:4">
      <c r="A1214" t="s">
        <v>1475</v>
      </c>
      <c r="B1214" t="s">
        <v>902</v>
      </c>
      <c r="C1214">
        <v>400630</v>
      </c>
      <c r="D1214">
        <v>13</v>
      </c>
    </row>
    <row r="1215" spans="1:4">
      <c r="A1215" t="s">
        <v>1475</v>
      </c>
      <c r="B1215" t="s">
        <v>902</v>
      </c>
      <c r="C1215">
        <v>200630</v>
      </c>
      <c r="D1215">
        <v>14</v>
      </c>
    </row>
    <row r="1216" spans="1:4">
      <c r="A1216" t="s">
        <v>1475</v>
      </c>
      <c r="B1216" t="s">
        <v>902</v>
      </c>
      <c r="C1216">
        <v>410340</v>
      </c>
      <c r="D1216">
        <v>15</v>
      </c>
    </row>
    <row r="1217" spans="1:4">
      <c r="A1217" t="s">
        <v>1475</v>
      </c>
      <c r="B1217" t="s">
        <v>902</v>
      </c>
      <c r="C1217">
        <v>414380</v>
      </c>
      <c r="D1217">
        <v>20</v>
      </c>
    </row>
    <row r="1218" spans="1:4">
      <c r="A1218" t="s">
        <v>1475</v>
      </c>
      <c r="B1218" t="s">
        <v>902</v>
      </c>
      <c r="C1218">
        <v>415050</v>
      </c>
      <c r="D1218">
        <v>21</v>
      </c>
    </row>
    <row r="1219" spans="1:4">
      <c r="A1219" t="s">
        <v>1475</v>
      </c>
      <c r="B1219" t="s">
        <v>902</v>
      </c>
      <c r="C1219">
        <v>414390</v>
      </c>
      <c r="D1219">
        <v>22</v>
      </c>
    </row>
    <row r="1220" spans="1:4">
      <c r="A1220" t="s">
        <v>1475</v>
      </c>
      <c r="B1220" t="s">
        <v>902</v>
      </c>
      <c r="C1220">
        <v>415060</v>
      </c>
      <c r="D1220">
        <v>23</v>
      </c>
    </row>
    <row r="1221" spans="1:4">
      <c r="A1221" t="s">
        <v>1475</v>
      </c>
      <c r="B1221" t="s">
        <v>902</v>
      </c>
      <c r="C1221">
        <v>415070</v>
      </c>
      <c r="D1221">
        <v>24</v>
      </c>
    </row>
    <row r="1222" spans="1:4">
      <c r="A1222" t="s">
        <v>1475</v>
      </c>
      <c r="B1222" t="s">
        <v>902</v>
      </c>
      <c r="C1222">
        <v>415080</v>
      </c>
      <c r="D1222">
        <v>25</v>
      </c>
    </row>
    <row r="1223" spans="1:4">
      <c r="A1223" t="s">
        <v>1475</v>
      </c>
      <c r="B1223" t="s">
        <v>902</v>
      </c>
      <c r="C1223">
        <v>415100</v>
      </c>
      <c r="D1223">
        <v>26</v>
      </c>
    </row>
    <row r="1224" spans="1:4">
      <c r="A1224" t="s">
        <v>1475</v>
      </c>
      <c r="B1224" t="s">
        <v>902</v>
      </c>
      <c r="C1224">
        <v>415140</v>
      </c>
      <c r="D1224">
        <v>27</v>
      </c>
    </row>
    <row r="1225" spans="1:4">
      <c r="A1225" t="s">
        <v>1475</v>
      </c>
      <c r="B1225" t="s">
        <v>902</v>
      </c>
      <c r="C1225">
        <v>414400</v>
      </c>
      <c r="D1225">
        <v>30</v>
      </c>
    </row>
    <row r="1226" spans="1:4">
      <c r="A1226" t="s">
        <v>1475</v>
      </c>
      <c r="B1226" t="s">
        <v>902</v>
      </c>
      <c r="C1226">
        <v>414330</v>
      </c>
      <c r="D1226">
        <v>31</v>
      </c>
    </row>
    <row r="1227" spans="1:4">
      <c r="A1227" t="s">
        <v>1475</v>
      </c>
      <c r="B1227" t="s">
        <v>902</v>
      </c>
      <c r="C1227">
        <v>414350</v>
      </c>
      <c r="D1227">
        <v>32</v>
      </c>
    </row>
    <row r="1228" spans="1:4">
      <c r="A1228" t="s">
        <v>1475</v>
      </c>
      <c r="B1228" t="s">
        <v>902</v>
      </c>
      <c r="C1228">
        <v>414370</v>
      </c>
      <c r="D1228">
        <v>33</v>
      </c>
    </row>
    <row r="1229" spans="1:4">
      <c r="A1229" t="s">
        <v>1475</v>
      </c>
      <c r="B1229" t="s">
        <v>902</v>
      </c>
      <c r="C1229">
        <v>414360</v>
      </c>
      <c r="D1229">
        <v>34</v>
      </c>
    </row>
    <row r="1230" spans="1:4">
      <c r="A1230" t="s">
        <v>1475</v>
      </c>
      <c r="B1230" t="s">
        <v>902</v>
      </c>
      <c r="C1230">
        <v>415150</v>
      </c>
      <c r="D1230">
        <v>35</v>
      </c>
    </row>
    <row r="1231" spans="1:4">
      <c r="A1231" t="s">
        <v>1475</v>
      </c>
      <c r="B1231" t="s">
        <v>902</v>
      </c>
      <c r="C1231">
        <v>415160</v>
      </c>
      <c r="D1231">
        <v>36</v>
      </c>
    </row>
    <row r="1232" spans="1:4">
      <c r="A1232" t="s">
        <v>1475</v>
      </c>
      <c r="B1232" t="s">
        <v>902</v>
      </c>
      <c r="C1232">
        <v>414340</v>
      </c>
      <c r="D1232">
        <v>37</v>
      </c>
    </row>
    <row r="1233" spans="1:4">
      <c r="A1233" t="s">
        <v>1475</v>
      </c>
      <c r="B1233" t="s">
        <v>902</v>
      </c>
      <c r="C1233">
        <v>415180</v>
      </c>
      <c r="D1233">
        <v>38</v>
      </c>
    </row>
    <row r="1234" spans="1:4">
      <c r="A1234" t="s">
        <v>1475</v>
      </c>
      <c r="B1234" t="s">
        <v>902</v>
      </c>
      <c r="C1234">
        <v>415190</v>
      </c>
      <c r="D1234">
        <v>39</v>
      </c>
    </row>
    <row r="1235" spans="1:4">
      <c r="A1235" t="s">
        <v>1475</v>
      </c>
      <c r="B1235" t="s">
        <v>902</v>
      </c>
      <c r="C1235">
        <v>415200</v>
      </c>
      <c r="D1235">
        <v>40</v>
      </c>
    </row>
    <row r="1236" spans="1:4">
      <c r="A1236" t="s">
        <v>1475</v>
      </c>
      <c r="B1236" t="s">
        <v>902</v>
      </c>
      <c r="C1236">
        <v>201140</v>
      </c>
      <c r="D1236">
        <v>42</v>
      </c>
    </row>
    <row r="1237" spans="1:4">
      <c r="A1237" t="s">
        <v>1475</v>
      </c>
      <c r="B1237" t="s">
        <v>902</v>
      </c>
      <c r="C1237">
        <v>415210</v>
      </c>
      <c r="D1237">
        <v>44</v>
      </c>
    </row>
    <row r="1238" spans="1:4">
      <c r="A1238" t="s">
        <v>1475</v>
      </c>
      <c r="B1238" t="s">
        <v>902</v>
      </c>
      <c r="C1238">
        <v>415240</v>
      </c>
      <c r="D1238">
        <v>46</v>
      </c>
    </row>
    <row r="1239" spans="1:4">
      <c r="A1239" t="s">
        <v>1475</v>
      </c>
      <c r="B1239" t="s">
        <v>902</v>
      </c>
      <c r="C1239">
        <v>415250</v>
      </c>
      <c r="D1239">
        <v>48</v>
      </c>
    </row>
    <row r="1240" spans="1:4">
      <c r="A1240" t="s">
        <v>1475</v>
      </c>
      <c r="B1240" t="s">
        <v>902</v>
      </c>
      <c r="C1240">
        <v>414290</v>
      </c>
      <c r="D1240">
        <v>50</v>
      </c>
    </row>
    <row r="1241" spans="1:4">
      <c r="A1241" t="s">
        <v>1475</v>
      </c>
      <c r="B1241" t="s">
        <v>902</v>
      </c>
      <c r="C1241">
        <v>415332</v>
      </c>
      <c r="D1241">
        <v>52</v>
      </c>
    </row>
    <row r="1242" spans="1:4">
      <c r="A1242" t="s">
        <v>1475</v>
      </c>
      <c r="B1242" t="s">
        <v>902</v>
      </c>
      <c r="C1242">
        <v>415331</v>
      </c>
      <c r="D1242">
        <v>54</v>
      </c>
    </row>
    <row r="1243" spans="1:4">
      <c r="A1243" t="s">
        <v>1475</v>
      </c>
      <c r="B1243" t="s">
        <v>902</v>
      </c>
      <c r="C1243">
        <v>415260</v>
      </c>
      <c r="D1243">
        <v>56</v>
      </c>
    </row>
    <row r="1244" spans="1:4">
      <c r="A1244" t="s">
        <v>1475</v>
      </c>
      <c r="B1244" t="s">
        <v>902</v>
      </c>
      <c r="C1244">
        <v>415270</v>
      </c>
      <c r="D1244">
        <v>58</v>
      </c>
    </row>
    <row r="1245" spans="1:4">
      <c r="A1245" t="s">
        <v>1475</v>
      </c>
      <c r="B1245" t="s">
        <v>902</v>
      </c>
      <c r="C1245">
        <v>415280</v>
      </c>
      <c r="D1245">
        <v>60</v>
      </c>
    </row>
    <row r="1246" spans="1:4">
      <c r="A1246" t="s">
        <v>1475</v>
      </c>
      <c r="B1246" t="s">
        <v>902</v>
      </c>
      <c r="C1246">
        <v>415290</v>
      </c>
      <c r="D1246">
        <v>62</v>
      </c>
    </row>
    <row r="1247" spans="1:4">
      <c r="A1247" t="s">
        <v>1475</v>
      </c>
      <c r="B1247" t="s">
        <v>902</v>
      </c>
      <c r="C1247">
        <v>411830</v>
      </c>
      <c r="D1247">
        <v>64</v>
      </c>
    </row>
    <row r="1248" spans="1:4">
      <c r="A1248" t="s">
        <v>1475</v>
      </c>
      <c r="B1248" t="s">
        <v>902</v>
      </c>
      <c r="C1248">
        <v>414410</v>
      </c>
      <c r="D1248">
        <v>66</v>
      </c>
    </row>
    <row r="1249" spans="1:4">
      <c r="A1249" t="s">
        <v>1475</v>
      </c>
      <c r="B1249" t="s">
        <v>902</v>
      </c>
      <c r="C1249">
        <v>415310</v>
      </c>
      <c r="D1249">
        <v>68</v>
      </c>
    </row>
    <row r="1250" spans="1:4">
      <c r="A1250" t="s">
        <v>1475</v>
      </c>
      <c r="B1250" t="s">
        <v>902</v>
      </c>
      <c r="C1250">
        <v>415320</v>
      </c>
      <c r="D1250">
        <v>70</v>
      </c>
    </row>
    <row r="1251" spans="1:4">
      <c r="A1251" t="s">
        <v>1475</v>
      </c>
      <c r="B1251" t="s">
        <v>902</v>
      </c>
      <c r="C1251">
        <v>400700</v>
      </c>
      <c r="D1251">
        <v>72</v>
      </c>
    </row>
    <row r="1252" spans="1:4">
      <c r="A1252" t="s">
        <v>1475</v>
      </c>
      <c r="B1252" t="s">
        <v>902</v>
      </c>
      <c r="C1252">
        <v>400710</v>
      </c>
      <c r="D1252">
        <v>74</v>
      </c>
    </row>
    <row r="1253" spans="1:4">
      <c r="A1253" t="s">
        <v>1475</v>
      </c>
      <c r="B1253" t="s">
        <v>902</v>
      </c>
      <c r="C1253">
        <v>400720</v>
      </c>
      <c r="D1253">
        <v>76</v>
      </c>
    </row>
    <row r="1254" spans="1:4">
      <c r="A1254" t="s">
        <v>1475</v>
      </c>
      <c r="B1254" t="s">
        <v>902</v>
      </c>
      <c r="C1254">
        <v>415330</v>
      </c>
      <c r="D1254">
        <v>78</v>
      </c>
    </row>
    <row r="1255" spans="1:4">
      <c r="A1255" t="s">
        <v>1475</v>
      </c>
      <c r="B1255" t="s">
        <v>902</v>
      </c>
      <c r="C1255">
        <v>413070</v>
      </c>
      <c r="D1255">
        <v>80</v>
      </c>
    </row>
    <row r="1256" spans="1:4">
      <c r="A1256" t="s">
        <v>1475</v>
      </c>
      <c r="B1256" t="s">
        <v>902</v>
      </c>
      <c r="C1256">
        <v>412923</v>
      </c>
      <c r="D1256">
        <v>82</v>
      </c>
    </row>
    <row r="1257" spans="1:4">
      <c r="A1257" t="s">
        <v>1475</v>
      </c>
      <c r="B1257" t="s">
        <v>902</v>
      </c>
      <c r="C1257">
        <v>400950</v>
      </c>
      <c r="D1257">
        <v>84</v>
      </c>
    </row>
    <row r="1258" spans="1:4">
      <c r="A1258" t="s">
        <v>1475</v>
      </c>
      <c r="B1258" t="s">
        <v>902</v>
      </c>
      <c r="C1258">
        <v>400060</v>
      </c>
      <c r="D1258">
        <v>100</v>
      </c>
    </row>
    <row r="1259" spans="1:4">
      <c r="A1259" t="s">
        <v>1475</v>
      </c>
      <c r="B1259" t="s">
        <v>902</v>
      </c>
      <c r="C1259">
        <v>400100</v>
      </c>
      <c r="D1259">
        <v>101</v>
      </c>
    </row>
    <row r="1260" spans="1:4">
      <c r="A1260" t="s">
        <v>1475</v>
      </c>
      <c r="B1260" t="s">
        <v>902</v>
      </c>
      <c r="C1260">
        <v>201280</v>
      </c>
      <c r="D1260">
        <v>102</v>
      </c>
    </row>
    <row r="1261" spans="1:4">
      <c r="A1261" t="s">
        <v>1475</v>
      </c>
      <c r="B1261" t="s">
        <v>902</v>
      </c>
      <c r="C1261">
        <v>400030</v>
      </c>
      <c r="D1261">
        <v>110</v>
      </c>
    </row>
    <row r="1262" spans="1:4">
      <c r="A1262" t="s">
        <v>1475</v>
      </c>
      <c r="B1262" t="s">
        <v>902</v>
      </c>
      <c r="C1262">
        <v>201270</v>
      </c>
      <c r="D1262">
        <v>111</v>
      </c>
    </row>
    <row r="1263" spans="1:4">
      <c r="A1263" t="s">
        <v>1475</v>
      </c>
      <c r="B1263" t="s">
        <v>902</v>
      </c>
      <c r="C1263">
        <v>201250</v>
      </c>
      <c r="D1263">
        <v>112</v>
      </c>
    </row>
    <row r="1264" spans="1:4">
      <c r="A1264" t="s">
        <v>1475</v>
      </c>
      <c r="B1264" t="s">
        <v>902</v>
      </c>
      <c r="C1264">
        <v>201260</v>
      </c>
      <c r="D1264">
        <v>113</v>
      </c>
    </row>
    <row r="1265" spans="1:4">
      <c r="A1265" t="s">
        <v>1475</v>
      </c>
      <c r="B1265" t="s">
        <v>902</v>
      </c>
      <c r="C1265">
        <v>201160</v>
      </c>
      <c r="D1265">
        <v>114</v>
      </c>
    </row>
    <row r="1266" spans="1:4">
      <c r="A1266" t="s">
        <v>1475</v>
      </c>
      <c r="B1266" t="s">
        <v>902</v>
      </c>
      <c r="C1266">
        <v>400130</v>
      </c>
      <c r="D1266">
        <v>120</v>
      </c>
    </row>
    <row r="1267" spans="1:4">
      <c r="A1267" t="s">
        <v>1475</v>
      </c>
      <c r="B1267" t="s">
        <v>902</v>
      </c>
      <c r="C1267">
        <v>200990</v>
      </c>
      <c r="D1267">
        <v>121</v>
      </c>
    </row>
    <row r="1268" spans="1:4">
      <c r="A1268" t="s">
        <v>1475</v>
      </c>
      <c r="B1268" t="s">
        <v>902</v>
      </c>
      <c r="C1268">
        <v>415325</v>
      </c>
      <c r="D1268">
        <v>130</v>
      </c>
    </row>
    <row r="1269" spans="1:4">
      <c r="A1269" t="s">
        <v>1475</v>
      </c>
      <c r="B1269" t="s">
        <v>902</v>
      </c>
      <c r="C1269">
        <v>201180</v>
      </c>
      <c r="D1269">
        <v>131</v>
      </c>
    </row>
    <row r="1270" spans="1:4">
      <c r="A1270" t="s">
        <v>1475</v>
      </c>
      <c r="B1270" t="s">
        <v>902</v>
      </c>
      <c r="C1270">
        <v>201320</v>
      </c>
      <c r="D1270">
        <v>132</v>
      </c>
    </row>
    <row r="1271" spans="1:4">
      <c r="A1271" t="s">
        <v>1475</v>
      </c>
      <c r="B1271" t="s">
        <v>902</v>
      </c>
      <c r="C1271">
        <v>200740</v>
      </c>
      <c r="D1271">
        <v>200</v>
      </c>
    </row>
    <row r="1272" spans="1:4">
      <c r="A1272" t="s">
        <v>1475</v>
      </c>
      <c r="B1272" t="s">
        <v>902</v>
      </c>
      <c r="C1272">
        <v>200730</v>
      </c>
      <c r="D1272">
        <v>201</v>
      </c>
    </row>
    <row r="1273" spans="1:4">
      <c r="A1273" t="s">
        <v>1475</v>
      </c>
      <c r="B1273" t="s">
        <v>902</v>
      </c>
      <c r="C1273">
        <v>201010</v>
      </c>
      <c r="D1273">
        <v>206</v>
      </c>
    </row>
    <row r="1274" spans="1:4">
      <c r="A1274" t="s">
        <v>1475</v>
      </c>
      <c r="B1274" t="s">
        <v>902</v>
      </c>
      <c r="C1274">
        <v>201050</v>
      </c>
      <c r="D1274">
        <v>207</v>
      </c>
    </row>
    <row r="1275" spans="1:4">
      <c r="A1275" t="s">
        <v>1475</v>
      </c>
      <c r="B1275" t="s">
        <v>902</v>
      </c>
      <c r="C1275">
        <v>201040</v>
      </c>
      <c r="D1275">
        <v>208</v>
      </c>
    </row>
    <row r="1276" spans="1:4">
      <c r="A1276" t="s">
        <v>1475</v>
      </c>
      <c r="B1276" t="s">
        <v>902</v>
      </c>
      <c r="C1276">
        <v>200750</v>
      </c>
      <c r="D1276">
        <v>209</v>
      </c>
    </row>
    <row r="1277" spans="1:4">
      <c r="A1277" t="s">
        <v>1475</v>
      </c>
      <c r="B1277" t="s">
        <v>902</v>
      </c>
      <c r="C1277">
        <v>400200</v>
      </c>
      <c r="D1277">
        <v>300</v>
      </c>
    </row>
    <row r="1278" spans="1:4">
      <c r="A1278" t="s">
        <v>1475</v>
      </c>
      <c r="B1278" t="s">
        <v>902</v>
      </c>
      <c r="C1278">
        <v>200670</v>
      </c>
      <c r="D1278">
        <v>301</v>
      </c>
    </row>
    <row r="1279" spans="1:4">
      <c r="A1279" t="s">
        <v>1475</v>
      </c>
      <c r="B1279" t="s">
        <v>902</v>
      </c>
      <c r="C1279">
        <v>200770</v>
      </c>
      <c r="D1279">
        <v>302</v>
      </c>
    </row>
    <row r="1280" spans="1:4">
      <c r="A1280" t="s">
        <v>1475</v>
      </c>
      <c r="B1280" t="s">
        <v>902</v>
      </c>
      <c r="C1280">
        <v>200500</v>
      </c>
      <c r="D1280">
        <v>303</v>
      </c>
    </row>
    <row r="1281" spans="1:4">
      <c r="A1281" t="s">
        <v>1475</v>
      </c>
      <c r="B1281" t="s">
        <v>902</v>
      </c>
      <c r="C1281">
        <v>400140</v>
      </c>
      <c r="D1281">
        <v>310</v>
      </c>
    </row>
    <row r="1282" spans="1:4">
      <c r="A1282" t="s">
        <v>1475</v>
      </c>
      <c r="B1282" t="s">
        <v>902</v>
      </c>
      <c r="C1282">
        <v>400350</v>
      </c>
      <c r="D1282">
        <v>311</v>
      </c>
    </row>
    <row r="1283" spans="1:4">
      <c r="A1283" t="s">
        <v>1475</v>
      </c>
      <c r="B1283" t="s">
        <v>902</v>
      </c>
      <c r="C1283">
        <v>400160</v>
      </c>
      <c r="D1283">
        <v>312</v>
      </c>
    </row>
    <row r="1284" spans="1:4">
      <c r="A1284" t="s">
        <v>1475</v>
      </c>
      <c r="B1284" t="s">
        <v>902</v>
      </c>
      <c r="C1284">
        <v>200900</v>
      </c>
      <c r="D1284">
        <v>313</v>
      </c>
    </row>
    <row r="1285" spans="1:4">
      <c r="A1285" t="s">
        <v>1475</v>
      </c>
      <c r="B1285" t="s">
        <v>902</v>
      </c>
      <c r="C1285">
        <v>200910</v>
      </c>
      <c r="D1285">
        <v>314</v>
      </c>
    </row>
    <row r="1286" spans="1:4">
      <c r="A1286" t="s">
        <v>1475</v>
      </c>
      <c r="B1286" t="s">
        <v>902</v>
      </c>
      <c r="C1286">
        <v>201220</v>
      </c>
      <c r="D1286">
        <v>315</v>
      </c>
    </row>
    <row r="1287" spans="1:4">
      <c r="A1287" t="s">
        <v>1475</v>
      </c>
      <c r="B1287" t="s">
        <v>902</v>
      </c>
      <c r="C1287">
        <v>400210</v>
      </c>
      <c r="D1287">
        <v>316</v>
      </c>
    </row>
    <row r="1288" spans="1:4">
      <c r="A1288" t="s">
        <v>1475</v>
      </c>
      <c r="B1288" t="s">
        <v>902</v>
      </c>
      <c r="C1288">
        <v>201230</v>
      </c>
      <c r="D1288">
        <v>317</v>
      </c>
    </row>
    <row r="1289" spans="1:4">
      <c r="A1289" t="s">
        <v>1475</v>
      </c>
      <c r="B1289" t="s">
        <v>902</v>
      </c>
      <c r="C1289">
        <v>400310</v>
      </c>
      <c r="D1289">
        <v>318</v>
      </c>
    </row>
    <row r="1290" spans="1:4">
      <c r="A1290" t="s">
        <v>1475</v>
      </c>
      <c r="B1290" t="s">
        <v>902</v>
      </c>
      <c r="C1290">
        <v>400190</v>
      </c>
      <c r="D1290">
        <v>320</v>
      </c>
    </row>
    <row r="1291" spans="1:4">
      <c r="A1291" t="s">
        <v>1475</v>
      </c>
      <c r="B1291" t="s">
        <v>902</v>
      </c>
      <c r="C1291">
        <v>400150</v>
      </c>
      <c r="D1291">
        <v>321</v>
      </c>
    </row>
    <row r="1292" spans="1:4">
      <c r="A1292" t="s">
        <v>1475</v>
      </c>
      <c r="B1292" t="s">
        <v>902</v>
      </c>
      <c r="C1292">
        <v>200600</v>
      </c>
      <c r="D1292">
        <v>322</v>
      </c>
    </row>
    <row r="1293" spans="1:4">
      <c r="A1293" t="s">
        <v>1475</v>
      </c>
      <c r="B1293" t="s">
        <v>902</v>
      </c>
      <c r="C1293">
        <v>201060</v>
      </c>
      <c r="D1293">
        <v>323</v>
      </c>
    </row>
    <row r="1294" spans="1:4">
      <c r="A1294" t="s">
        <v>1475</v>
      </c>
      <c r="B1294" t="s">
        <v>902</v>
      </c>
      <c r="C1294">
        <v>410829</v>
      </c>
      <c r="D1294">
        <v>330</v>
      </c>
    </row>
    <row r="1295" spans="1:4">
      <c r="A1295" t="s">
        <v>1475</v>
      </c>
      <c r="B1295" t="s">
        <v>902</v>
      </c>
      <c r="C1295">
        <v>410820</v>
      </c>
      <c r="D1295">
        <v>331</v>
      </c>
    </row>
    <row r="1296" spans="1:4">
      <c r="A1296" t="s">
        <v>1475</v>
      </c>
      <c r="B1296" t="s">
        <v>902</v>
      </c>
      <c r="C1296">
        <v>410830</v>
      </c>
      <c r="D1296">
        <v>332</v>
      </c>
    </row>
    <row r="1297" spans="1:4">
      <c r="A1297" t="s">
        <v>1475</v>
      </c>
      <c r="B1297" t="s">
        <v>902</v>
      </c>
      <c r="C1297">
        <v>412910</v>
      </c>
      <c r="D1297">
        <v>333</v>
      </c>
    </row>
    <row r="1298" spans="1:4">
      <c r="A1298" t="s">
        <v>1475</v>
      </c>
      <c r="B1298" t="s">
        <v>902</v>
      </c>
      <c r="C1298">
        <v>410480</v>
      </c>
      <c r="D1298">
        <v>340</v>
      </c>
    </row>
    <row r="1299" spans="1:4">
      <c r="A1299" t="s">
        <v>1475</v>
      </c>
      <c r="B1299" t="s">
        <v>902</v>
      </c>
      <c r="C1299">
        <v>400003</v>
      </c>
      <c r="D1299">
        <v>341</v>
      </c>
    </row>
    <row r="1300" spans="1:4">
      <c r="A1300" t="s">
        <v>1475</v>
      </c>
      <c r="B1300" t="s">
        <v>902</v>
      </c>
      <c r="C1300">
        <v>200620</v>
      </c>
      <c r="D1300">
        <v>350</v>
      </c>
    </row>
    <row r="1301" spans="1:4">
      <c r="A1301" t="s">
        <v>1475</v>
      </c>
      <c r="B1301" t="s">
        <v>902</v>
      </c>
      <c r="C1301">
        <v>400002</v>
      </c>
      <c r="D1301">
        <v>390</v>
      </c>
    </row>
    <row r="1302" spans="1:4">
      <c r="A1302" t="s">
        <v>1475</v>
      </c>
      <c r="B1302" t="s">
        <v>902</v>
      </c>
      <c r="C1302">
        <v>200590</v>
      </c>
      <c r="D1302">
        <v>391</v>
      </c>
    </row>
    <row r="1303" spans="1:4">
      <c r="A1303" t="s">
        <v>1475</v>
      </c>
      <c r="B1303" t="s">
        <v>902</v>
      </c>
      <c r="C1303">
        <v>201290</v>
      </c>
      <c r="D1303">
        <v>392</v>
      </c>
    </row>
    <row r="1304" spans="1:4">
      <c r="A1304" t="s">
        <v>1475</v>
      </c>
      <c r="B1304" t="s">
        <v>902</v>
      </c>
      <c r="C1304">
        <v>201300</v>
      </c>
      <c r="D1304">
        <v>393</v>
      </c>
    </row>
    <row r="1305" spans="1:4">
      <c r="A1305" t="s">
        <v>1475</v>
      </c>
      <c r="B1305" t="s">
        <v>902</v>
      </c>
      <c r="C1305">
        <v>400004</v>
      </c>
      <c r="D1305">
        <v>394</v>
      </c>
    </row>
    <row r="1306" spans="1:4">
      <c r="A1306" t="s">
        <v>1475</v>
      </c>
      <c r="B1306" t="s">
        <v>902</v>
      </c>
      <c r="C1306">
        <v>201090</v>
      </c>
      <c r="D1306">
        <v>395</v>
      </c>
    </row>
    <row r="1307" spans="1:4">
      <c r="A1307" t="s">
        <v>1475</v>
      </c>
      <c r="B1307" t="s">
        <v>902</v>
      </c>
      <c r="C1307">
        <v>201240</v>
      </c>
      <c r="D1307">
        <v>396</v>
      </c>
    </row>
    <row r="1308" spans="1:4">
      <c r="A1308" t="s">
        <v>1475</v>
      </c>
      <c r="B1308" t="s">
        <v>902</v>
      </c>
      <c r="C1308">
        <v>201241</v>
      </c>
      <c r="D1308">
        <v>397</v>
      </c>
    </row>
    <row r="1309" spans="1:4">
      <c r="A1309" t="s">
        <v>1475</v>
      </c>
      <c r="B1309" t="s">
        <v>902</v>
      </c>
      <c r="C1309">
        <v>201080</v>
      </c>
      <c r="D1309">
        <v>398</v>
      </c>
    </row>
    <row r="1310" spans="1:4">
      <c r="A1310" t="s">
        <v>1475</v>
      </c>
      <c r="B1310" t="s">
        <v>902</v>
      </c>
      <c r="C1310">
        <v>400020</v>
      </c>
      <c r="D1310">
        <v>400</v>
      </c>
    </row>
    <row r="1311" spans="1:4">
      <c r="A1311" t="s">
        <v>1475</v>
      </c>
      <c r="B1311" t="s">
        <v>902</v>
      </c>
      <c r="C1311">
        <v>200530</v>
      </c>
      <c r="D1311">
        <v>401</v>
      </c>
    </row>
    <row r="1312" spans="1:4">
      <c r="A1312" t="s">
        <v>1475</v>
      </c>
      <c r="B1312" t="s">
        <v>902</v>
      </c>
      <c r="C1312">
        <v>200520</v>
      </c>
      <c r="D1312">
        <v>402</v>
      </c>
    </row>
    <row r="1313" spans="1:4">
      <c r="A1313" t="s">
        <v>1475</v>
      </c>
      <c r="B1313" t="s">
        <v>902</v>
      </c>
      <c r="C1313">
        <v>200970</v>
      </c>
      <c r="D1313">
        <v>403</v>
      </c>
    </row>
    <row r="1314" spans="1:4">
      <c r="A1314" t="s">
        <v>1475</v>
      </c>
      <c r="B1314" t="s">
        <v>902</v>
      </c>
      <c r="C1314">
        <v>200930</v>
      </c>
      <c r="D1314">
        <v>404</v>
      </c>
    </row>
    <row r="1315" spans="1:4">
      <c r="A1315" t="s">
        <v>1475</v>
      </c>
      <c r="B1315" t="s">
        <v>902</v>
      </c>
      <c r="C1315">
        <v>200940</v>
      </c>
      <c r="D1315">
        <v>405</v>
      </c>
    </row>
    <row r="1316" spans="1:4">
      <c r="A1316" t="s">
        <v>1475</v>
      </c>
      <c r="B1316" t="s">
        <v>902</v>
      </c>
      <c r="C1316">
        <v>200980</v>
      </c>
      <c r="D1316">
        <v>406</v>
      </c>
    </row>
    <row r="1317" spans="1:4">
      <c r="A1317" t="s">
        <v>1475</v>
      </c>
      <c r="B1317" t="s">
        <v>902</v>
      </c>
      <c r="C1317">
        <v>200960</v>
      </c>
      <c r="D1317">
        <v>407</v>
      </c>
    </row>
    <row r="1318" spans="1:4">
      <c r="A1318" t="s">
        <v>1475</v>
      </c>
      <c r="B1318" t="s">
        <v>902</v>
      </c>
      <c r="C1318">
        <v>200950</v>
      </c>
      <c r="D1318">
        <v>408</v>
      </c>
    </row>
    <row r="1319" spans="1:4">
      <c r="A1319" t="s">
        <v>1475</v>
      </c>
      <c r="B1319" t="s">
        <v>902</v>
      </c>
      <c r="C1319">
        <v>200830</v>
      </c>
      <c r="D1319">
        <v>410</v>
      </c>
    </row>
    <row r="1320" spans="1:4">
      <c r="A1320" t="s">
        <v>1475</v>
      </c>
      <c r="B1320" t="s">
        <v>902</v>
      </c>
      <c r="C1320">
        <v>200840</v>
      </c>
      <c r="D1320">
        <v>411</v>
      </c>
    </row>
    <row r="1321" spans="1:4">
      <c r="A1321" t="s">
        <v>1475</v>
      </c>
      <c r="B1321" t="s">
        <v>902</v>
      </c>
      <c r="C1321">
        <v>200850</v>
      </c>
      <c r="D1321">
        <v>412</v>
      </c>
    </row>
    <row r="1322" spans="1:4">
      <c r="A1322" t="s">
        <v>1475</v>
      </c>
      <c r="B1322" t="s">
        <v>902</v>
      </c>
      <c r="C1322">
        <v>400000</v>
      </c>
      <c r="D1322">
        <v>420</v>
      </c>
    </row>
    <row r="1323" spans="1:4">
      <c r="A1323" t="s">
        <v>1475</v>
      </c>
      <c r="B1323" t="s">
        <v>902</v>
      </c>
      <c r="C1323">
        <v>400001</v>
      </c>
      <c r="D1323">
        <v>421</v>
      </c>
    </row>
    <row r="1324" spans="1:4">
      <c r="A1324" t="s">
        <v>1475</v>
      </c>
      <c r="B1324" t="s">
        <v>902</v>
      </c>
      <c r="C1324">
        <v>400040</v>
      </c>
      <c r="D1324">
        <v>500</v>
      </c>
    </row>
    <row r="1325" spans="1:4">
      <c r="A1325" t="s">
        <v>1475</v>
      </c>
      <c r="B1325" t="s">
        <v>902</v>
      </c>
      <c r="C1325">
        <v>400120</v>
      </c>
      <c r="D1325">
        <v>501</v>
      </c>
    </row>
    <row r="1326" spans="1:4">
      <c r="A1326" t="s">
        <v>1475</v>
      </c>
      <c r="B1326" t="s">
        <v>902</v>
      </c>
      <c r="C1326">
        <v>201150</v>
      </c>
      <c r="D1326">
        <v>502</v>
      </c>
    </row>
    <row r="1327" spans="1:4">
      <c r="A1327" t="s">
        <v>1475</v>
      </c>
      <c r="B1327" t="s">
        <v>902</v>
      </c>
      <c r="C1327">
        <v>200720</v>
      </c>
      <c r="D1327">
        <v>503</v>
      </c>
    </row>
    <row r="1328" spans="1:4">
      <c r="A1328" t="s">
        <v>1475</v>
      </c>
      <c r="B1328" t="s">
        <v>902</v>
      </c>
      <c r="C1328">
        <v>200560</v>
      </c>
      <c r="D1328">
        <v>510</v>
      </c>
    </row>
    <row r="1329" spans="1:4">
      <c r="A1329" t="s">
        <v>1475</v>
      </c>
      <c r="B1329" t="s">
        <v>902</v>
      </c>
      <c r="C1329">
        <v>200550</v>
      </c>
      <c r="D1329">
        <v>511</v>
      </c>
    </row>
    <row r="1330" spans="1:4">
      <c r="A1330" t="s">
        <v>1475</v>
      </c>
      <c r="B1330" t="s">
        <v>902</v>
      </c>
      <c r="C1330">
        <v>200680</v>
      </c>
      <c r="D1330">
        <v>520</v>
      </c>
    </row>
    <row r="1331" spans="1:4">
      <c r="A1331" t="s">
        <v>1475</v>
      </c>
      <c r="B1331" t="s">
        <v>902</v>
      </c>
      <c r="C1331">
        <v>201130</v>
      </c>
      <c r="D1331">
        <v>521</v>
      </c>
    </row>
    <row r="1332" spans="1:4">
      <c r="A1332" t="s">
        <v>1475</v>
      </c>
      <c r="B1332" t="s">
        <v>902</v>
      </c>
      <c r="C1332">
        <v>200810</v>
      </c>
      <c r="D1332">
        <v>530</v>
      </c>
    </row>
    <row r="1333" spans="1:4">
      <c r="A1333" t="s">
        <v>1475</v>
      </c>
      <c r="B1333" t="s">
        <v>902</v>
      </c>
      <c r="C1333">
        <v>200790</v>
      </c>
      <c r="D1333">
        <v>600</v>
      </c>
    </row>
    <row r="1334" spans="1:4">
      <c r="A1334" t="s">
        <v>1475</v>
      </c>
      <c r="B1334" t="s">
        <v>902</v>
      </c>
      <c r="C1334">
        <v>201110</v>
      </c>
      <c r="D1334">
        <v>601</v>
      </c>
    </row>
    <row r="1335" spans="1:4">
      <c r="A1335" t="s">
        <v>1475</v>
      </c>
      <c r="B1335" t="s">
        <v>902</v>
      </c>
      <c r="C1335">
        <v>201310</v>
      </c>
      <c r="D1335">
        <v>602</v>
      </c>
    </row>
    <row r="1336" spans="1:4">
      <c r="A1336" t="s">
        <v>1475</v>
      </c>
      <c r="B1336" t="s">
        <v>902</v>
      </c>
      <c r="C1336">
        <v>201100</v>
      </c>
      <c r="D1336">
        <v>603</v>
      </c>
    </row>
    <row r="1337" spans="1:4">
      <c r="A1337" t="s">
        <v>1475</v>
      </c>
      <c r="B1337" t="s">
        <v>902</v>
      </c>
      <c r="C1337">
        <v>201120</v>
      </c>
      <c r="D1337">
        <v>604</v>
      </c>
    </row>
    <row r="1338" spans="1:4">
      <c r="A1338" t="s">
        <v>1475</v>
      </c>
      <c r="B1338" t="s">
        <v>902</v>
      </c>
      <c r="C1338">
        <v>400110</v>
      </c>
      <c r="D1338">
        <v>700</v>
      </c>
    </row>
    <row r="1339" spans="1:4">
      <c r="A1339" t="s">
        <v>1475</v>
      </c>
      <c r="B1339" t="s">
        <v>902</v>
      </c>
      <c r="C1339">
        <v>400050</v>
      </c>
      <c r="D1339">
        <v>701</v>
      </c>
    </row>
    <row r="1340" spans="1:4">
      <c r="A1340" t="s">
        <v>1475</v>
      </c>
      <c r="B1340" t="s">
        <v>902</v>
      </c>
      <c r="C1340">
        <v>201200</v>
      </c>
      <c r="D1340">
        <v>702</v>
      </c>
    </row>
    <row r="1341" spans="1:4">
      <c r="A1341" t="s">
        <v>1475</v>
      </c>
      <c r="B1341" t="s">
        <v>902</v>
      </c>
      <c r="C1341">
        <v>302000</v>
      </c>
      <c r="D1341">
        <v>703</v>
      </c>
    </row>
    <row r="1342" spans="1:4">
      <c r="A1342" t="s">
        <v>1475</v>
      </c>
      <c r="B1342" t="s">
        <v>902</v>
      </c>
      <c r="C1342">
        <v>302010</v>
      </c>
      <c r="D1342">
        <v>704</v>
      </c>
    </row>
    <row r="1343" spans="1:4">
      <c r="A1343" t="s">
        <v>1475</v>
      </c>
      <c r="B1343" t="s">
        <v>902</v>
      </c>
      <c r="C1343">
        <v>201330</v>
      </c>
      <c r="D1343">
        <v>705</v>
      </c>
    </row>
    <row r="1344" spans="1:4">
      <c r="A1344" t="s">
        <v>1475</v>
      </c>
      <c r="B1344" t="s">
        <v>902</v>
      </c>
      <c r="C1344">
        <v>301980</v>
      </c>
      <c r="D1344">
        <v>706</v>
      </c>
    </row>
    <row r="1345" spans="1:4">
      <c r="A1345" t="s">
        <v>1475</v>
      </c>
      <c r="B1345" t="s">
        <v>902</v>
      </c>
      <c r="C1345">
        <v>302020</v>
      </c>
      <c r="D1345">
        <v>707</v>
      </c>
    </row>
    <row r="1346" spans="1:4">
      <c r="A1346" t="s">
        <v>1475</v>
      </c>
      <c r="B1346" t="s">
        <v>902</v>
      </c>
      <c r="C1346">
        <v>302030</v>
      </c>
      <c r="D1346">
        <v>708</v>
      </c>
    </row>
    <row r="1347" spans="1:4">
      <c r="A1347" t="s">
        <v>1475</v>
      </c>
      <c r="B1347" t="s">
        <v>902</v>
      </c>
      <c r="C1347">
        <v>201340</v>
      </c>
      <c r="D1347">
        <v>709</v>
      </c>
    </row>
    <row r="1348" spans="1:4">
      <c r="A1348" t="s">
        <v>1475</v>
      </c>
      <c r="B1348" t="s">
        <v>902</v>
      </c>
      <c r="C1348">
        <v>201210</v>
      </c>
      <c r="D1348">
        <v>710</v>
      </c>
    </row>
    <row r="1349" spans="1:4">
      <c r="A1349" t="s">
        <v>1475</v>
      </c>
      <c r="B1349" t="s">
        <v>902</v>
      </c>
      <c r="C1349">
        <v>302040</v>
      </c>
      <c r="D1349">
        <v>711</v>
      </c>
    </row>
    <row r="1350" spans="1:4">
      <c r="A1350" t="s">
        <v>1475</v>
      </c>
      <c r="B1350" t="s">
        <v>1349</v>
      </c>
      <c r="C1350">
        <v>400000</v>
      </c>
      <c r="D1350">
        <v>10000</v>
      </c>
    </row>
    <row r="1351" spans="1:4">
      <c r="A1351" t="s">
        <v>1475</v>
      </c>
      <c r="B1351" t="s">
        <v>1349</v>
      </c>
      <c r="C1351">
        <v>206070</v>
      </c>
      <c r="D1351">
        <v>10010</v>
      </c>
    </row>
    <row r="1352" spans="1:4">
      <c r="A1352" t="s">
        <v>1475</v>
      </c>
      <c r="B1352" t="s">
        <v>1349</v>
      </c>
      <c r="C1352">
        <v>206180</v>
      </c>
      <c r="D1352">
        <v>10020</v>
      </c>
    </row>
    <row r="1353" spans="1:4">
      <c r="A1353" t="s">
        <v>1475</v>
      </c>
      <c r="B1353" t="s">
        <v>1349</v>
      </c>
      <c r="C1353">
        <v>400050</v>
      </c>
      <c r="D1353">
        <v>10030</v>
      </c>
    </row>
    <row r="1354" spans="1:4">
      <c r="A1354" t="s">
        <v>1475</v>
      </c>
      <c r="B1354" t="s">
        <v>1349</v>
      </c>
      <c r="C1354">
        <v>400010</v>
      </c>
      <c r="D1354">
        <v>10040</v>
      </c>
    </row>
    <row r="1355" spans="1:4">
      <c r="A1355" t="s">
        <v>1475</v>
      </c>
      <c r="B1355" t="s">
        <v>1349</v>
      </c>
      <c r="C1355">
        <v>206090</v>
      </c>
      <c r="D1355">
        <v>10050</v>
      </c>
    </row>
    <row r="1356" spans="1:4">
      <c r="A1356" t="s">
        <v>1475</v>
      </c>
      <c r="B1356" t="s">
        <v>1349</v>
      </c>
      <c r="C1356">
        <v>400100</v>
      </c>
      <c r="D1356">
        <v>10060</v>
      </c>
    </row>
    <row r="1357" spans="1:4">
      <c r="A1357" t="s">
        <v>1475</v>
      </c>
      <c r="B1357" t="s">
        <v>1349</v>
      </c>
      <c r="C1357">
        <v>206030</v>
      </c>
      <c r="D1357">
        <v>10070</v>
      </c>
    </row>
    <row r="1358" spans="1:4">
      <c r="A1358" t="s">
        <v>1475</v>
      </c>
      <c r="B1358" t="s">
        <v>1349</v>
      </c>
      <c r="C1358">
        <v>400030</v>
      </c>
      <c r="D1358">
        <v>10080</v>
      </c>
    </row>
    <row r="1359" spans="1:4">
      <c r="A1359" t="s">
        <v>1475</v>
      </c>
      <c r="B1359" t="s">
        <v>1349</v>
      </c>
      <c r="C1359">
        <v>400070</v>
      </c>
      <c r="D1359">
        <v>10090</v>
      </c>
    </row>
    <row r="1360" spans="1:4">
      <c r="A1360" t="s">
        <v>1475</v>
      </c>
      <c r="B1360" t="s">
        <v>1349</v>
      </c>
      <c r="C1360">
        <v>206010</v>
      </c>
      <c r="D1360">
        <v>10100</v>
      </c>
    </row>
    <row r="1361" spans="1:4">
      <c r="A1361" t="s">
        <v>1475</v>
      </c>
      <c r="B1361" t="s">
        <v>1349</v>
      </c>
      <c r="C1361">
        <v>400040</v>
      </c>
      <c r="D1361">
        <v>10110</v>
      </c>
    </row>
    <row r="1362" spans="1:4">
      <c r="A1362" t="s">
        <v>1475</v>
      </c>
      <c r="B1362" t="s">
        <v>1349</v>
      </c>
      <c r="C1362">
        <v>206200</v>
      </c>
      <c r="D1362">
        <v>10120</v>
      </c>
    </row>
    <row r="1363" spans="1:4">
      <c r="A1363" t="s">
        <v>1475</v>
      </c>
      <c r="B1363" t="s">
        <v>1349</v>
      </c>
      <c r="C1363">
        <v>206080</v>
      </c>
      <c r="D1363">
        <v>10130</v>
      </c>
    </row>
    <row r="1364" spans="1:4">
      <c r="A1364" t="s">
        <v>1475</v>
      </c>
      <c r="B1364" t="s">
        <v>1349</v>
      </c>
      <c r="C1364">
        <v>400110</v>
      </c>
      <c r="D1364">
        <v>10140</v>
      </c>
    </row>
    <row r="1365" spans="1:4">
      <c r="A1365" t="s">
        <v>1475</v>
      </c>
      <c r="B1365" t="s">
        <v>1349</v>
      </c>
      <c r="C1365">
        <v>400120</v>
      </c>
      <c r="D1365">
        <v>10150</v>
      </c>
    </row>
    <row r="1366" spans="1:4">
      <c r="A1366" t="s">
        <v>1475</v>
      </c>
      <c r="B1366" t="s">
        <v>1349</v>
      </c>
      <c r="C1366">
        <v>211700</v>
      </c>
      <c r="D1366">
        <v>10160</v>
      </c>
    </row>
    <row r="1367" spans="1:4">
      <c r="A1367" t="s">
        <v>1475</v>
      </c>
      <c r="B1367" t="s">
        <v>1349</v>
      </c>
      <c r="C1367">
        <v>206230</v>
      </c>
      <c r="D1367">
        <v>10170</v>
      </c>
    </row>
    <row r="1368" spans="1:4">
      <c r="A1368" t="s">
        <v>1475</v>
      </c>
      <c r="B1368" t="s">
        <v>1349</v>
      </c>
      <c r="C1368">
        <v>206140</v>
      </c>
      <c r="D1368">
        <v>10180</v>
      </c>
    </row>
    <row r="1369" spans="1:4">
      <c r="A1369" t="s">
        <v>1475</v>
      </c>
      <c r="B1369" t="s">
        <v>1349</v>
      </c>
      <c r="C1369">
        <v>206110</v>
      </c>
      <c r="D1369">
        <v>10190</v>
      </c>
    </row>
    <row r="1370" spans="1:4">
      <c r="A1370" t="s">
        <v>1475</v>
      </c>
      <c r="B1370" t="s">
        <v>1349</v>
      </c>
      <c r="C1370">
        <v>206240</v>
      </c>
      <c r="D1370">
        <v>10200</v>
      </c>
    </row>
    <row r="1371" spans="1:4">
      <c r="A1371" t="s">
        <v>1475</v>
      </c>
      <c r="B1371" t="s">
        <v>1349</v>
      </c>
      <c r="C1371">
        <v>206160</v>
      </c>
      <c r="D1371">
        <v>10210</v>
      </c>
    </row>
    <row r="1372" spans="1:4">
      <c r="A1372" t="s">
        <v>1475</v>
      </c>
      <c r="B1372" t="s">
        <v>1349</v>
      </c>
      <c r="C1372">
        <v>206130</v>
      </c>
      <c r="D1372">
        <v>10220</v>
      </c>
    </row>
    <row r="1373" spans="1:4">
      <c r="A1373" t="s">
        <v>1475</v>
      </c>
      <c r="B1373" t="s">
        <v>1349</v>
      </c>
      <c r="C1373">
        <v>206040</v>
      </c>
      <c r="D1373">
        <v>10230</v>
      </c>
    </row>
    <row r="1374" spans="1:4">
      <c r="A1374" t="s">
        <v>1475</v>
      </c>
      <c r="B1374" t="s">
        <v>1349</v>
      </c>
      <c r="C1374">
        <v>211710</v>
      </c>
      <c r="D1374">
        <v>10240</v>
      </c>
    </row>
    <row r="1375" spans="1:4">
      <c r="A1375" t="s">
        <v>1475</v>
      </c>
      <c r="B1375" t="s">
        <v>1349</v>
      </c>
      <c r="C1375">
        <v>212200</v>
      </c>
      <c r="D1375">
        <v>10250</v>
      </c>
    </row>
    <row r="1376" spans="1:4">
      <c r="A1376" t="s">
        <v>1475</v>
      </c>
      <c r="B1376" t="s">
        <v>1349</v>
      </c>
      <c r="C1376">
        <v>209870</v>
      </c>
      <c r="D1376">
        <v>10260</v>
      </c>
    </row>
    <row r="1377" spans="1:4">
      <c r="A1377" t="s">
        <v>1475</v>
      </c>
      <c r="B1377" t="s">
        <v>1349</v>
      </c>
      <c r="C1377">
        <v>209880</v>
      </c>
      <c r="D1377">
        <v>10270</v>
      </c>
    </row>
    <row r="1378" spans="1:4">
      <c r="A1378" t="s">
        <v>1475</v>
      </c>
      <c r="B1378" t="s">
        <v>1349</v>
      </c>
      <c r="C1378">
        <v>209890</v>
      </c>
      <c r="D1378">
        <v>10280</v>
      </c>
    </row>
    <row r="1379" spans="1:4">
      <c r="A1379" t="s">
        <v>1475</v>
      </c>
      <c r="B1379" t="s">
        <v>1349</v>
      </c>
      <c r="C1379">
        <v>209900</v>
      </c>
      <c r="D1379">
        <v>10290</v>
      </c>
    </row>
    <row r="1380" spans="1:4">
      <c r="A1380" t="s">
        <v>1475</v>
      </c>
      <c r="B1380" t="s">
        <v>1349</v>
      </c>
      <c r="C1380">
        <v>210832</v>
      </c>
      <c r="D1380">
        <v>10300</v>
      </c>
    </row>
    <row r="1381" spans="1:4">
      <c r="A1381" t="s">
        <v>1475</v>
      </c>
      <c r="B1381" t="s">
        <v>1349</v>
      </c>
      <c r="C1381">
        <v>209910</v>
      </c>
      <c r="D1381">
        <v>10310</v>
      </c>
    </row>
    <row r="1382" spans="1:4">
      <c r="A1382" t="s">
        <v>1475</v>
      </c>
      <c r="B1382" t="s">
        <v>1349</v>
      </c>
      <c r="C1382">
        <v>209920</v>
      </c>
      <c r="D1382">
        <v>10320</v>
      </c>
    </row>
    <row r="1383" spans="1:4">
      <c r="A1383" t="s">
        <v>1475</v>
      </c>
      <c r="B1383" t="s">
        <v>1349</v>
      </c>
      <c r="C1383">
        <v>209940</v>
      </c>
      <c r="D1383">
        <v>10330</v>
      </c>
    </row>
    <row r="1384" spans="1:4">
      <c r="A1384" t="s">
        <v>1475</v>
      </c>
      <c r="B1384" t="s">
        <v>1349</v>
      </c>
      <c r="C1384">
        <v>209930</v>
      </c>
      <c r="D1384">
        <v>10340</v>
      </c>
    </row>
    <row r="1385" spans="1:4">
      <c r="A1385" t="s">
        <v>1475</v>
      </c>
      <c r="B1385" t="s">
        <v>1349</v>
      </c>
      <c r="C1385">
        <v>209950</v>
      </c>
      <c r="D1385">
        <v>10350</v>
      </c>
    </row>
    <row r="1386" spans="1:4">
      <c r="A1386" t="s">
        <v>1475</v>
      </c>
      <c r="B1386" t="s">
        <v>1349</v>
      </c>
      <c r="C1386">
        <v>210840</v>
      </c>
      <c r="D1386">
        <v>10360</v>
      </c>
    </row>
    <row r="1387" spans="1:4">
      <c r="A1387" t="s">
        <v>1475</v>
      </c>
      <c r="B1387" t="s">
        <v>1349</v>
      </c>
      <c r="C1387">
        <v>209960</v>
      </c>
      <c r="D1387">
        <v>10370</v>
      </c>
    </row>
    <row r="1388" spans="1:4">
      <c r="A1388" t="s">
        <v>1475</v>
      </c>
      <c r="B1388" t="s">
        <v>1349</v>
      </c>
      <c r="C1388">
        <v>209970</v>
      </c>
      <c r="D1388">
        <v>10380</v>
      </c>
    </row>
    <row r="1389" spans="1:4">
      <c r="A1389" t="s">
        <v>1475</v>
      </c>
      <c r="B1389" t="s">
        <v>1349</v>
      </c>
      <c r="C1389">
        <v>209980</v>
      </c>
      <c r="D1389">
        <v>10390</v>
      </c>
    </row>
    <row r="1390" spans="1:4">
      <c r="A1390" t="s">
        <v>1475</v>
      </c>
      <c r="B1390" t="s">
        <v>1349</v>
      </c>
      <c r="C1390">
        <v>209990</v>
      </c>
      <c r="D1390">
        <v>10400</v>
      </c>
    </row>
    <row r="1391" spans="1:4">
      <c r="A1391" t="s">
        <v>1475</v>
      </c>
      <c r="B1391" s="7" t="s">
        <v>1349</v>
      </c>
      <c r="C1391">
        <v>210860</v>
      </c>
      <c r="D1391">
        <v>10410</v>
      </c>
    </row>
    <row r="1392" spans="1:4">
      <c r="A1392" t="s">
        <v>1475</v>
      </c>
      <c r="B1392" t="s">
        <v>1349</v>
      </c>
      <c r="C1392">
        <v>209690</v>
      </c>
      <c r="D1392">
        <v>10420</v>
      </c>
    </row>
    <row r="1393" spans="1:4">
      <c r="A1393" t="s">
        <v>1475</v>
      </c>
      <c r="B1393" t="s">
        <v>1349</v>
      </c>
      <c r="C1393">
        <v>209700</v>
      </c>
      <c r="D1393">
        <v>10430</v>
      </c>
    </row>
    <row r="1394" spans="1:4">
      <c r="A1394" t="s">
        <v>1475</v>
      </c>
      <c r="B1394" t="s">
        <v>1349</v>
      </c>
      <c r="C1394">
        <v>209720</v>
      </c>
      <c r="D1394">
        <v>10440</v>
      </c>
    </row>
    <row r="1395" spans="1:4">
      <c r="A1395" t="s">
        <v>1475</v>
      </c>
      <c r="B1395" t="s">
        <v>1349</v>
      </c>
      <c r="C1395">
        <v>209710</v>
      </c>
      <c r="D1395">
        <v>10450</v>
      </c>
    </row>
    <row r="1396" spans="1:4">
      <c r="A1396" t="s">
        <v>1475</v>
      </c>
      <c r="B1396" t="s">
        <v>1349</v>
      </c>
      <c r="C1396">
        <v>209730</v>
      </c>
      <c r="D1396">
        <v>10460</v>
      </c>
    </row>
    <row r="1397" spans="1:4">
      <c r="A1397" t="s">
        <v>1475</v>
      </c>
      <c r="B1397" t="s">
        <v>1349</v>
      </c>
      <c r="C1397">
        <v>210870</v>
      </c>
      <c r="D1397">
        <v>10470</v>
      </c>
    </row>
    <row r="1398" spans="1:4">
      <c r="A1398" t="s">
        <v>1475</v>
      </c>
      <c r="B1398" t="s">
        <v>1349</v>
      </c>
      <c r="C1398">
        <v>208860</v>
      </c>
      <c r="D1398">
        <v>10480</v>
      </c>
    </row>
    <row r="1399" spans="1:4">
      <c r="A1399" t="s">
        <v>1475</v>
      </c>
      <c r="B1399" t="s">
        <v>1349</v>
      </c>
      <c r="C1399">
        <v>208960</v>
      </c>
      <c r="D1399">
        <v>10490</v>
      </c>
    </row>
    <row r="1400" spans="1:4">
      <c r="A1400" t="s">
        <v>1475</v>
      </c>
      <c r="B1400" t="s">
        <v>1349</v>
      </c>
      <c r="C1400">
        <v>209010</v>
      </c>
      <c r="D1400">
        <v>10500</v>
      </c>
    </row>
    <row r="1401" spans="1:4">
      <c r="A1401" t="s">
        <v>1475</v>
      </c>
      <c r="B1401" t="s">
        <v>1349</v>
      </c>
      <c r="C1401">
        <v>209000</v>
      </c>
      <c r="D1401">
        <v>10510</v>
      </c>
    </row>
    <row r="1402" spans="1:4">
      <c r="A1402" t="s">
        <v>1475</v>
      </c>
      <c r="B1402" t="s">
        <v>1349</v>
      </c>
      <c r="C1402">
        <v>208880</v>
      </c>
      <c r="D1402">
        <v>10520</v>
      </c>
    </row>
    <row r="1403" spans="1:4">
      <c r="A1403" t="s">
        <v>1475</v>
      </c>
      <c r="B1403" t="s">
        <v>1349</v>
      </c>
      <c r="C1403">
        <v>208870</v>
      </c>
      <c r="D1403">
        <v>10530</v>
      </c>
    </row>
    <row r="1404" spans="1:4">
      <c r="A1404" t="s">
        <v>1475</v>
      </c>
      <c r="B1404" t="s">
        <v>1349</v>
      </c>
      <c r="C1404">
        <v>209030</v>
      </c>
      <c r="D1404">
        <v>10540</v>
      </c>
    </row>
    <row r="1405" spans="1:4">
      <c r="A1405" t="s">
        <v>1475</v>
      </c>
      <c r="B1405" t="s">
        <v>1349</v>
      </c>
      <c r="C1405">
        <v>208940</v>
      </c>
      <c r="D1405">
        <v>10550</v>
      </c>
    </row>
    <row r="1406" spans="1:4">
      <c r="A1406" t="s">
        <v>1475</v>
      </c>
      <c r="B1406" t="s">
        <v>1349</v>
      </c>
      <c r="C1406">
        <v>208930</v>
      </c>
      <c r="D1406">
        <v>10560</v>
      </c>
    </row>
    <row r="1407" spans="1:4">
      <c r="A1407" t="s">
        <v>1475</v>
      </c>
      <c r="B1407" t="s">
        <v>1349</v>
      </c>
      <c r="C1407">
        <v>208890</v>
      </c>
      <c r="D1407">
        <v>10570</v>
      </c>
    </row>
    <row r="1408" spans="1:4">
      <c r="A1408" t="s">
        <v>1475</v>
      </c>
      <c r="B1408" t="s">
        <v>1349</v>
      </c>
      <c r="C1408">
        <v>208970</v>
      </c>
      <c r="D1408">
        <v>10580</v>
      </c>
    </row>
    <row r="1409" spans="1:4">
      <c r="A1409" t="s">
        <v>1475</v>
      </c>
      <c r="B1409" t="s">
        <v>1349</v>
      </c>
      <c r="C1409">
        <v>208910</v>
      </c>
      <c r="D1409">
        <v>10590</v>
      </c>
    </row>
    <row r="1410" spans="1:4">
      <c r="A1410" t="s">
        <v>1475</v>
      </c>
      <c r="B1410" s="7" t="s">
        <v>1349</v>
      </c>
      <c r="C1410">
        <v>208980</v>
      </c>
      <c r="D1410">
        <v>10600</v>
      </c>
    </row>
    <row r="1411" spans="1:4">
      <c r="A1411" t="s">
        <v>1475</v>
      </c>
      <c r="B1411" t="s">
        <v>1349</v>
      </c>
      <c r="C1411">
        <v>209020</v>
      </c>
      <c r="D1411">
        <v>10610</v>
      </c>
    </row>
    <row r="1412" spans="1:4">
      <c r="A1412" t="s">
        <v>1475</v>
      </c>
      <c r="B1412" t="s">
        <v>1349</v>
      </c>
      <c r="C1412">
        <v>208950</v>
      </c>
      <c r="D1412">
        <v>10620</v>
      </c>
    </row>
    <row r="1413" spans="1:4">
      <c r="A1413" t="s">
        <v>1475</v>
      </c>
      <c r="B1413" t="s">
        <v>1349</v>
      </c>
      <c r="C1413">
        <v>208900</v>
      </c>
      <c r="D1413">
        <v>10630</v>
      </c>
    </row>
    <row r="1414" spans="1:4">
      <c r="A1414" t="s">
        <v>1475</v>
      </c>
      <c r="B1414" t="s">
        <v>1349</v>
      </c>
      <c r="C1414">
        <v>209040</v>
      </c>
      <c r="D1414">
        <v>10640</v>
      </c>
    </row>
    <row r="1415" spans="1:4">
      <c r="A1415" t="s">
        <v>1475</v>
      </c>
      <c r="B1415" t="s">
        <v>1349</v>
      </c>
      <c r="C1415">
        <v>210880</v>
      </c>
      <c r="D1415">
        <v>10650</v>
      </c>
    </row>
    <row r="1416" spans="1:4">
      <c r="A1416" t="s">
        <v>1475</v>
      </c>
      <c r="B1416" t="s">
        <v>1349</v>
      </c>
      <c r="C1416">
        <v>208790</v>
      </c>
      <c r="D1416">
        <v>10660</v>
      </c>
    </row>
    <row r="1417" spans="1:4">
      <c r="A1417" t="s">
        <v>1475</v>
      </c>
      <c r="B1417" t="s">
        <v>1349</v>
      </c>
      <c r="C1417">
        <v>208810</v>
      </c>
      <c r="D1417">
        <v>10670</v>
      </c>
    </row>
    <row r="1418" spans="1:4">
      <c r="A1418" t="s">
        <v>1475</v>
      </c>
      <c r="B1418" t="s">
        <v>1349</v>
      </c>
      <c r="C1418">
        <v>208820</v>
      </c>
      <c r="D1418">
        <v>10680</v>
      </c>
    </row>
    <row r="1419" spans="1:4">
      <c r="A1419" t="s">
        <v>1475</v>
      </c>
      <c r="B1419" t="s">
        <v>1349</v>
      </c>
      <c r="C1419">
        <v>208800</v>
      </c>
      <c r="D1419">
        <v>10690</v>
      </c>
    </row>
    <row r="1420" spans="1:4">
      <c r="A1420" t="s">
        <v>1475</v>
      </c>
      <c r="B1420" t="s">
        <v>1349</v>
      </c>
      <c r="C1420">
        <v>208840</v>
      </c>
      <c r="D1420">
        <v>10700</v>
      </c>
    </row>
    <row r="1421" spans="1:4">
      <c r="A1421" t="s">
        <v>1475</v>
      </c>
      <c r="B1421" t="s">
        <v>1349</v>
      </c>
      <c r="C1421">
        <v>208830</v>
      </c>
      <c r="D1421">
        <v>10710</v>
      </c>
    </row>
    <row r="1422" spans="1:4">
      <c r="A1422" t="s">
        <v>1475</v>
      </c>
      <c r="B1422" t="s">
        <v>1349</v>
      </c>
      <c r="C1422">
        <v>208850</v>
      </c>
      <c r="D1422">
        <v>10720</v>
      </c>
    </row>
    <row r="1423" spans="1:4">
      <c r="A1423" t="s">
        <v>1475</v>
      </c>
      <c r="B1423" t="s">
        <v>1349</v>
      </c>
      <c r="C1423">
        <v>210890</v>
      </c>
      <c r="D1423">
        <v>10730</v>
      </c>
    </row>
    <row r="1424" spans="1:4">
      <c r="A1424" t="s">
        <v>1475</v>
      </c>
      <c r="B1424" t="s">
        <v>1349</v>
      </c>
      <c r="C1424">
        <v>208250</v>
      </c>
      <c r="D1424">
        <v>10740</v>
      </c>
    </row>
    <row r="1425" spans="1:4">
      <c r="A1425" t="s">
        <v>1475</v>
      </c>
      <c r="B1425" t="s">
        <v>1349</v>
      </c>
      <c r="C1425">
        <v>208290</v>
      </c>
      <c r="D1425">
        <v>10750</v>
      </c>
    </row>
    <row r="1426" spans="1:4">
      <c r="A1426" t="s">
        <v>1475</v>
      </c>
      <c r="B1426" t="s">
        <v>1349</v>
      </c>
      <c r="C1426">
        <v>208270</v>
      </c>
      <c r="D1426">
        <v>10760</v>
      </c>
    </row>
    <row r="1427" spans="1:4">
      <c r="A1427" t="s">
        <v>1475</v>
      </c>
      <c r="B1427" t="s">
        <v>1349</v>
      </c>
      <c r="C1427">
        <v>208261</v>
      </c>
      <c r="D1427">
        <v>10770</v>
      </c>
    </row>
    <row r="1428" spans="1:4">
      <c r="A1428" t="s">
        <v>1475</v>
      </c>
      <c r="B1428" t="s">
        <v>1349</v>
      </c>
      <c r="C1428">
        <v>208260</v>
      </c>
      <c r="D1428">
        <v>10780</v>
      </c>
    </row>
    <row r="1429" spans="1:4">
      <c r="A1429" t="s">
        <v>1475</v>
      </c>
      <c r="B1429" t="s">
        <v>1349</v>
      </c>
      <c r="C1429">
        <v>208280</v>
      </c>
      <c r="D1429">
        <v>10790</v>
      </c>
    </row>
    <row r="1430" spans="1:4">
      <c r="A1430" t="s">
        <v>1475</v>
      </c>
      <c r="B1430" t="s">
        <v>1349</v>
      </c>
      <c r="C1430">
        <v>208249</v>
      </c>
      <c r="D1430">
        <v>10800</v>
      </c>
    </row>
    <row r="1431" spans="1:4">
      <c r="A1431" t="s">
        <v>1475</v>
      </c>
      <c r="B1431" t="s">
        <v>1349</v>
      </c>
      <c r="C1431">
        <v>211831</v>
      </c>
      <c r="D1431">
        <v>10810</v>
      </c>
    </row>
    <row r="1432" spans="1:4">
      <c r="A1432" t="s">
        <v>1475</v>
      </c>
      <c r="B1432" t="s">
        <v>1349</v>
      </c>
      <c r="C1432">
        <v>211841</v>
      </c>
      <c r="D1432">
        <v>10820</v>
      </c>
    </row>
    <row r="1433" spans="1:4">
      <c r="A1433" t="s">
        <v>1475</v>
      </c>
      <c r="B1433" t="s">
        <v>1349</v>
      </c>
      <c r="C1433">
        <v>208300</v>
      </c>
      <c r="D1433">
        <v>10830</v>
      </c>
    </row>
    <row r="1434" spans="1:4">
      <c r="A1434" t="s">
        <v>1475</v>
      </c>
      <c r="B1434" t="s">
        <v>1349</v>
      </c>
      <c r="C1434">
        <v>210900</v>
      </c>
      <c r="D1434">
        <v>10840</v>
      </c>
    </row>
    <row r="1435" spans="1:4">
      <c r="A1435" t="s">
        <v>1475</v>
      </c>
      <c r="B1435" t="s">
        <v>1349</v>
      </c>
      <c r="C1435">
        <v>209090</v>
      </c>
      <c r="D1435">
        <v>10850</v>
      </c>
    </row>
    <row r="1436" spans="1:4">
      <c r="A1436" t="s">
        <v>1475</v>
      </c>
      <c r="B1436" t="s">
        <v>1349</v>
      </c>
      <c r="C1436">
        <v>209130</v>
      </c>
      <c r="D1436">
        <v>10860</v>
      </c>
    </row>
    <row r="1437" spans="1:4">
      <c r="A1437" t="s">
        <v>1475</v>
      </c>
      <c r="B1437" t="s">
        <v>1349</v>
      </c>
      <c r="C1437">
        <v>209110</v>
      </c>
      <c r="D1437">
        <v>10870</v>
      </c>
    </row>
    <row r="1438" spans="1:4">
      <c r="A1438" t="s">
        <v>1475</v>
      </c>
      <c r="B1438" t="s">
        <v>1349</v>
      </c>
      <c r="C1438">
        <v>209101</v>
      </c>
      <c r="D1438">
        <v>10880</v>
      </c>
    </row>
    <row r="1439" spans="1:4">
      <c r="A1439" t="s">
        <v>1475</v>
      </c>
      <c r="B1439" t="s">
        <v>1349</v>
      </c>
      <c r="C1439">
        <v>209100</v>
      </c>
      <c r="D1439">
        <v>10890</v>
      </c>
    </row>
    <row r="1440" spans="1:4">
      <c r="A1440" t="s">
        <v>1475</v>
      </c>
      <c r="B1440" t="s">
        <v>1349</v>
      </c>
      <c r="C1440">
        <v>209120</v>
      </c>
      <c r="D1440">
        <v>10900</v>
      </c>
    </row>
    <row r="1441" spans="1:4">
      <c r="A1441" t="s">
        <v>1475</v>
      </c>
      <c r="B1441" t="s">
        <v>1349</v>
      </c>
      <c r="C1441">
        <v>209089</v>
      </c>
      <c r="D1441">
        <v>10910</v>
      </c>
    </row>
    <row r="1442" spans="1:4">
      <c r="A1442" t="s">
        <v>1475</v>
      </c>
      <c r="B1442" t="s">
        <v>1349</v>
      </c>
      <c r="C1442">
        <v>211851</v>
      </c>
      <c r="D1442">
        <v>10920</v>
      </c>
    </row>
    <row r="1443" spans="1:4">
      <c r="A1443" t="s">
        <v>1475</v>
      </c>
      <c r="B1443" t="s">
        <v>1349</v>
      </c>
      <c r="C1443">
        <v>209140</v>
      </c>
      <c r="D1443">
        <v>10930</v>
      </c>
    </row>
    <row r="1444" spans="1:4">
      <c r="A1444" t="s">
        <v>1475</v>
      </c>
      <c r="B1444" t="s">
        <v>1349</v>
      </c>
      <c r="C1444">
        <v>209150</v>
      </c>
      <c r="D1444">
        <v>10940</v>
      </c>
    </row>
    <row r="1445" spans="1:4">
      <c r="A1445" t="s">
        <v>1475</v>
      </c>
      <c r="B1445" t="s">
        <v>1349</v>
      </c>
      <c r="C1445">
        <v>210910</v>
      </c>
      <c r="D1445">
        <v>10950</v>
      </c>
    </row>
    <row r="1446" spans="1:4">
      <c r="A1446" t="s">
        <v>1475</v>
      </c>
      <c r="B1446" t="s">
        <v>1349</v>
      </c>
      <c r="C1446">
        <v>209050</v>
      </c>
      <c r="D1446">
        <v>10960</v>
      </c>
    </row>
    <row r="1447" spans="1:4">
      <c r="A1447" t="s">
        <v>1475</v>
      </c>
      <c r="B1447" t="s">
        <v>1349</v>
      </c>
      <c r="C1447">
        <v>209070</v>
      </c>
      <c r="D1447">
        <v>10970</v>
      </c>
    </row>
    <row r="1448" spans="1:4">
      <c r="A1448" t="s">
        <v>1475</v>
      </c>
      <c r="B1448" t="s">
        <v>1349</v>
      </c>
      <c r="C1448">
        <v>209049</v>
      </c>
      <c r="D1448">
        <v>10980</v>
      </c>
    </row>
    <row r="1449" spans="1:4">
      <c r="A1449" t="s">
        <v>1475</v>
      </c>
      <c r="B1449" t="s">
        <v>1349</v>
      </c>
      <c r="C1449">
        <v>211871</v>
      </c>
      <c r="D1449">
        <v>10990</v>
      </c>
    </row>
    <row r="1450" spans="1:4">
      <c r="A1450" t="s">
        <v>1475</v>
      </c>
      <c r="B1450" t="s">
        <v>1349</v>
      </c>
      <c r="C1450">
        <v>211861</v>
      </c>
      <c r="D1450">
        <v>11000</v>
      </c>
    </row>
    <row r="1451" spans="1:4">
      <c r="A1451" t="s">
        <v>1475</v>
      </c>
      <c r="B1451" t="s">
        <v>1349</v>
      </c>
      <c r="C1451">
        <v>209080</v>
      </c>
      <c r="D1451">
        <v>11010</v>
      </c>
    </row>
    <row r="1452" spans="1:4">
      <c r="A1452" t="s">
        <v>1475</v>
      </c>
      <c r="B1452" t="s">
        <v>1349</v>
      </c>
      <c r="C1452">
        <v>210920</v>
      </c>
      <c r="D1452">
        <v>11020</v>
      </c>
    </row>
    <row r="1453" spans="1:4">
      <c r="A1453" t="s">
        <v>1475</v>
      </c>
      <c r="B1453" t="s">
        <v>1349</v>
      </c>
      <c r="C1453">
        <v>209740</v>
      </c>
      <c r="D1453">
        <v>11030</v>
      </c>
    </row>
    <row r="1454" spans="1:4">
      <c r="A1454" t="s">
        <v>1475</v>
      </c>
      <c r="B1454" t="s">
        <v>1349</v>
      </c>
      <c r="C1454">
        <v>209750</v>
      </c>
      <c r="D1454">
        <v>11040</v>
      </c>
    </row>
    <row r="1455" spans="1:4">
      <c r="A1455" t="s">
        <v>1475</v>
      </c>
      <c r="B1455" t="s">
        <v>1349</v>
      </c>
      <c r="C1455">
        <v>209760</v>
      </c>
      <c r="D1455">
        <v>11050</v>
      </c>
    </row>
    <row r="1456" spans="1:4">
      <c r="A1456" t="s">
        <v>1475</v>
      </c>
      <c r="B1456" t="s">
        <v>1349</v>
      </c>
      <c r="C1456">
        <v>209770</v>
      </c>
      <c r="D1456">
        <v>11060</v>
      </c>
    </row>
    <row r="1457" spans="1:4">
      <c r="A1457" t="s">
        <v>1475</v>
      </c>
      <c r="B1457" t="s">
        <v>1349</v>
      </c>
      <c r="C1457">
        <v>210930</v>
      </c>
      <c r="D1457">
        <v>11070</v>
      </c>
    </row>
    <row r="1458" spans="1:4">
      <c r="A1458" t="s">
        <v>1475</v>
      </c>
      <c r="B1458" t="s">
        <v>1349</v>
      </c>
      <c r="C1458">
        <v>209780</v>
      </c>
      <c r="D1458">
        <v>11080</v>
      </c>
    </row>
    <row r="1459" spans="1:4">
      <c r="A1459" t="s">
        <v>1475</v>
      </c>
      <c r="B1459" t="s">
        <v>1349</v>
      </c>
      <c r="C1459">
        <v>209790</v>
      </c>
      <c r="D1459">
        <v>11090</v>
      </c>
    </row>
    <row r="1460" spans="1:4">
      <c r="A1460" t="s">
        <v>1475</v>
      </c>
      <c r="B1460" t="s">
        <v>1349</v>
      </c>
      <c r="C1460">
        <v>209810</v>
      </c>
      <c r="D1460">
        <v>11100</v>
      </c>
    </row>
    <row r="1461" spans="1:4">
      <c r="A1461" t="s">
        <v>1475</v>
      </c>
      <c r="B1461" t="s">
        <v>1349</v>
      </c>
      <c r="C1461">
        <v>209800</v>
      </c>
      <c r="D1461">
        <v>11110</v>
      </c>
    </row>
    <row r="1462" spans="1:4">
      <c r="A1462" t="s">
        <v>1475</v>
      </c>
      <c r="B1462" t="s">
        <v>1349</v>
      </c>
      <c r="C1462">
        <v>209820</v>
      </c>
      <c r="D1462">
        <v>11120</v>
      </c>
    </row>
    <row r="1463" spans="1:4">
      <c r="A1463" t="s">
        <v>1475</v>
      </c>
      <c r="B1463" t="s">
        <v>1349</v>
      </c>
      <c r="C1463">
        <v>210940</v>
      </c>
      <c r="D1463">
        <v>11130</v>
      </c>
    </row>
    <row r="1464" spans="1:4">
      <c r="A1464" t="s">
        <v>1475</v>
      </c>
      <c r="B1464" t="s">
        <v>1349</v>
      </c>
      <c r="C1464">
        <v>400220</v>
      </c>
      <c r="D1464">
        <v>11140</v>
      </c>
    </row>
    <row r="1465" spans="1:4">
      <c r="A1465" t="s">
        <v>1475</v>
      </c>
      <c r="B1465" t="s">
        <v>1349</v>
      </c>
      <c r="C1465">
        <v>205950</v>
      </c>
      <c r="D1465">
        <v>11150</v>
      </c>
    </row>
    <row r="1466" spans="1:4">
      <c r="A1466" t="s">
        <v>1475</v>
      </c>
      <c r="B1466" t="s">
        <v>1349</v>
      </c>
      <c r="C1466">
        <v>205890</v>
      </c>
      <c r="D1466">
        <v>11160</v>
      </c>
    </row>
    <row r="1467" spans="1:4">
      <c r="A1467" t="s">
        <v>1475</v>
      </c>
      <c r="B1467" t="s">
        <v>1349</v>
      </c>
      <c r="C1467">
        <v>205960</v>
      </c>
      <c r="D1467">
        <v>11170</v>
      </c>
    </row>
    <row r="1468" spans="1:4">
      <c r="A1468" t="s">
        <v>1475</v>
      </c>
      <c r="B1468" t="s">
        <v>1349</v>
      </c>
      <c r="C1468">
        <v>205951</v>
      </c>
      <c r="D1468">
        <v>11180</v>
      </c>
    </row>
    <row r="1469" spans="1:4">
      <c r="A1469" t="s">
        <v>1475</v>
      </c>
      <c r="B1469" t="s">
        <v>1349</v>
      </c>
      <c r="C1469">
        <v>205952</v>
      </c>
      <c r="D1469">
        <v>11190</v>
      </c>
    </row>
    <row r="1470" spans="1:4">
      <c r="A1470" t="s">
        <v>1475</v>
      </c>
      <c r="B1470" t="s">
        <v>1349</v>
      </c>
      <c r="C1470">
        <v>205910</v>
      </c>
      <c r="D1470">
        <v>11200</v>
      </c>
    </row>
    <row r="1471" spans="1:4">
      <c r="A1471" t="s">
        <v>1475</v>
      </c>
      <c r="B1471" t="s">
        <v>1349</v>
      </c>
      <c r="C1471">
        <v>205880</v>
      </c>
      <c r="D1471">
        <v>11210</v>
      </c>
    </row>
    <row r="1472" spans="1:4">
      <c r="A1472" t="s">
        <v>1475</v>
      </c>
      <c r="B1472" t="s">
        <v>1349</v>
      </c>
      <c r="C1472">
        <v>205870</v>
      </c>
      <c r="D1472">
        <v>11220</v>
      </c>
    </row>
    <row r="1473" spans="1:4">
      <c r="A1473" t="s">
        <v>1475</v>
      </c>
      <c r="B1473" t="s">
        <v>1349</v>
      </c>
      <c r="C1473">
        <v>400260</v>
      </c>
      <c r="D1473">
        <v>11230</v>
      </c>
    </row>
    <row r="1474" spans="1:4">
      <c r="A1474" t="s">
        <v>1475</v>
      </c>
      <c r="B1474" t="s">
        <v>1349</v>
      </c>
      <c r="C1474">
        <v>400270</v>
      </c>
      <c r="D1474">
        <v>11240</v>
      </c>
    </row>
    <row r="1475" spans="1:4">
      <c r="A1475" t="s">
        <v>1475</v>
      </c>
      <c r="B1475" t="s">
        <v>1349</v>
      </c>
      <c r="C1475">
        <v>208660</v>
      </c>
      <c r="D1475">
        <v>11250</v>
      </c>
    </row>
    <row r="1476" spans="1:4">
      <c r="A1476" t="s">
        <v>1475</v>
      </c>
      <c r="B1476" t="s">
        <v>1349</v>
      </c>
      <c r="C1476">
        <v>208670</v>
      </c>
      <c r="D1476">
        <v>11260</v>
      </c>
    </row>
    <row r="1477" spans="1:4">
      <c r="A1477" t="s">
        <v>1475</v>
      </c>
      <c r="B1477" t="s">
        <v>1349</v>
      </c>
      <c r="C1477">
        <v>208710</v>
      </c>
      <c r="D1477">
        <v>11270</v>
      </c>
    </row>
    <row r="1478" spans="1:4">
      <c r="A1478" t="s">
        <v>1475</v>
      </c>
      <c r="B1478" t="s">
        <v>1349</v>
      </c>
      <c r="C1478">
        <v>208680</v>
      </c>
      <c r="D1478">
        <v>11280</v>
      </c>
    </row>
    <row r="1479" spans="1:4">
      <c r="A1479" t="s">
        <v>1475</v>
      </c>
      <c r="B1479" t="s">
        <v>1349</v>
      </c>
      <c r="C1479">
        <v>208700</v>
      </c>
      <c r="D1479">
        <v>11290</v>
      </c>
    </row>
    <row r="1480" spans="1:4">
      <c r="A1480" t="s">
        <v>1475</v>
      </c>
      <c r="B1480" t="s">
        <v>1349</v>
      </c>
      <c r="C1480">
        <v>208690</v>
      </c>
      <c r="D1480">
        <v>11300</v>
      </c>
    </row>
    <row r="1481" spans="1:4">
      <c r="A1481" t="s">
        <v>1475</v>
      </c>
      <c r="B1481" t="s">
        <v>1349</v>
      </c>
      <c r="C1481">
        <v>208720</v>
      </c>
      <c r="D1481">
        <v>11310</v>
      </c>
    </row>
    <row r="1482" spans="1:4">
      <c r="A1482" t="s">
        <v>1475</v>
      </c>
      <c r="B1482" t="s">
        <v>1349</v>
      </c>
      <c r="C1482">
        <v>210950</v>
      </c>
      <c r="D1482">
        <v>11320</v>
      </c>
    </row>
    <row r="1483" spans="1:4">
      <c r="A1483" t="s">
        <v>1475</v>
      </c>
      <c r="B1483" t="s">
        <v>1349</v>
      </c>
      <c r="C1483">
        <v>208730</v>
      </c>
      <c r="D1483">
        <v>11330</v>
      </c>
    </row>
    <row r="1484" spans="1:4">
      <c r="A1484" t="s">
        <v>1475</v>
      </c>
      <c r="B1484" t="s">
        <v>1349</v>
      </c>
      <c r="C1484">
        <v>208760</v>
      </c>
      <c r="D1484">
        <v>11340</v>
      </c>
    </row>
    <row r="1485" spans="1:4">
      <c r="A1485" t="s">
        <v>1475</v>
      </c>
      <c r="B1485" t="s">
        <v>1349</v>
      </c>
      <c r="C1485">
        <v>208740</v>
      </c>
      <c r="D1485">
        <v>11350</v>
      </c>
    </row>
    <row r="1486" spans="1:4">
      <c r="A1486" t="s">
        <v>1475</v>
      </c>
      <c r="B1486" t="s">
        <v>1349</v>
      </c>
      <c r="C1486">
        <v>208750</v>
      </c>
      <c r="D1486">
        <v>11360</v>
      </c>
    </row>
    <row r="1487" spans="1:4">
      <c r="A1487" t="s">
        <v>1475</v>
      </c>
      <c r="B1487" t="s">
        <v>1349</v>
      </c>
      <c r="C1487">
        <v>208770</v>
      </c>
      <c r="D1487">
        <v>11370</v>
      </c>
    </row>
    <row r="1488" spans="1:4">
      <c r="A1488" t="s">
        <v>1475</v>
      </c>
      <c r="B1488" t="s">
        <v>1349</v>
      </c>
      <c r="C1488">
        <v>208780</v>
      </c>
      <c r="D1488">
        <v>11380</v>
      </c>
    </row>
    <row r="1489" spans="1:4">
      <c r="A1489" t="s">
        <v>1475</v>
      </c>
      <c r="B1489" t="s">
        <v>1349</v>
      </c>
      <c r="C1489">
        <v>210960</v>
      </c>
      <c r="D1489">
        <v>11390</v>
      </c>
    </row>
    <row r="1490" spans="1:4">
      <c r="A1490" t="s">
        <v>1475</v>
      </c>
      <c r="B1490" t="s">
        <v>1349</v>
      </c>
      <c r="C1490">
        <v>401860</v>
      </c>
      <c r="D1490">
        <v>11400</v>
      </c>
    </row>
    <row r="1491" spans="1:4">
      <c r="A1491" t="s">
        <v>1475</v>
      </c>
      <c r="B1491" t="s">
        <v>1349</v>
      </c>
      <c r="C1491">
        <v>401870</v>
      </c>
      <c r="D1491">
        <v>11410</v>
      </c>
    </row>
    <row r="1492" spans="1:4">
      <c r="A1492" t="s">
        <v>1475</v>
      </c>
      <c r="B1492" t="s">
        <v>1349</v>
      </c>
      <c r="C1492">
        <v>401880</v>
      </c>
      <c r="D1492">
        <v>11420</v>
      </c>
    </row>
    <row r="1493" spans="1:4">
      <c r="A1493" t="s">
        <v>1475</v>
      </c>
      <c r="B1493" t="s">
        <v>1349</v>
      </c>
      <c r="C1493">
        <v>401900</v>
      </c>
      <c r="D1493">
        <v>11430</v>
      </c>
    </row>
    <row r="1494" spans="1:4">
      <c r="A1494" t="s">
        <v>1475</v>
      </c>
      <c r="B1494" t="s">
        <v>1349</v>
      </c>
      <c r="C1494">
        <v>401910</v>
      </c>
      <c r="D1494">
        <v>11440</v>
      </c>
    </row>
    <row r="1495" spans="1:4">
      <c r="A1495" t="s">
        <v>1475</v>
      </c>
      <c r="B1495" t="s">
        <v>1349</v>
      </c>
      <c r="C1495">
        <v>401920</v>
      </c>
      <c r="D1495">
        <v>11450</v>
      </c>
    </row>
    <row r="1496" spans="1:4">
      <c r="A1496" t="s">
        <v>1475</v>
      </c>
      <c r="B1496" t="s">
        <v>1349</v>
      </c>
      <c r="C1496">
        <v>210750</v>
      </c>
      <c r="D1496">
        <v>11460</v>
      </c>
    </row>
    <row r="1497" spans="1:4">
      <c r="A1497" t="s">
        <v>1475</v>
      </c>
      <c r="B1497" t="s">
        <v>1349</v>
      </c>
      <c r="C1497">
        <v>210751</v>
      </c>
      <c r="D1497">
        <v>11470</v>
      </c>
    </row>
    <row r="1498" spans="1:4">
      <c r="A1498" t="s">
        <v>1475</v>
      </c>
      <c r="B1498" t="s">
        <v>1349</v>
      </c>
      <c r="C1498">
        <v>210752</v>
      </c>
      <c r="D1498">
        <v>11480</v>
      </c>
    </row>
    <row r="1499" spans="1:4">
      <c r="A1499" t="s">
        <v>1475</v>
      </c>
      <c r="B1499" t="s">
        <v>1349</v>
      </c>
      <c r="C1499">
        <v>210754</v>
      </c>
      <c r="D1499">
        <v>11490</v>
      </c>
    </row>
    <row r="1500" spans="1:4">
      <c r="A1500" t="s">
        <v>1475</v>
      </c>
      <c r="B1500" t="s">
        <v>1349</v>
      </c>
      <c r="C1500">
        <v>211350</v>
      </c>
      <c r="D1500">
        <v>11500</v>
      </c>
    </row>
    <row r="1501" spans="1:4">
      <c r="A1501" t="s">
        <v>1475</v>
      </c>
      <c r="B1501" t="s">
        <v>1349</v>
      </c>
      <c r="C1501">
        <v>207490</v>
      </c>
      <c r="D1501">
        <v>11510</v>
      </c>
    </row>
    <row r="1502" spans="1:4">
      <c r="A1502" t="s">
        <v>1475</v>
      </c>
      <c r="B1502" t="s">
        <v>1349</v>
      </c>
      <c r="C1502">
        <v>207530</v>
      </c>
      <c r="D1502">
        <v>11520</v>
      </c>
    </row>
    <row r="1503" spans="1:4">
      <c r="A1503" t="s">
        <v>1475</v>
      </c>
      <c r="B1503" t="s">
        <v>1349</v>
      </c>
      <c r="C1503">
        <v>207500</v>
      </c>
      <c r="D1503">
        <v>11530</v>
      </c>
    </row>
    <row r="1504" spans="1:4">
      <c r="A1504" t="s">
        <v>1475</v>
      </c>
      <c r="B1504" t="s">
        <v>1349</v>
      </c>
      <c r="C1504">
        <v>207510</v>
      </c>
      <c r="D1504">
        <v>11540</v>
      </c>
    </row>
    <row r="1505" spans="1:4">
      <c r="A1505" t="s">
        <v>1475</v>
      </c>
      <c r="B1505" t="s">
        <v>1349</v>
      </c>
      <c r="C1505">
        <v>207520</v>
      </c>
      <c r="D1505">
        <v>11550</v>
      </c>
    </row>
    <row r="1506" spans="1:4">
      <c r="A1506" t="s">
        <v>1475</v>
      </c>
      <c r="B1506" t="s">
        <v>1349</v>
      </c>
      <c r="C1506">
        <v>207540</v>
      </c>
      <c r="D1506">
        <v>11560</v>
      </c>
    </row>
    <row r="1507" spans="1:4">
      <c r="A1507" t="s">
        <v>1475</v>
      </c>
      <c r="B1507" t="s">
        <v>1349</v>
      </c>
      <c r="C1507">
        <v>210980</v>
      </c>
      <c r="D1507">
        <v>11570</v>
      </c>
    </row>
    <row r="1508" spans="1:4">
      <c r="A1508" t="s">
        <v>1475</v>
      </c>
      <c r="B1508" t="s">
        <v>1349</v>
      </c>
      <c r="C1508">
        <v>210700</v>
      </c>
      <c r="D1508">
        <v>11580</v>
      </c>
    </row>
    <row r="1509" spans="1:4">
      <c r="A1509" t="s">
        <v>1475</v>
      </c>
      <c r="B1509" t="s">
        <v>1349</v>
      </c>
      <c r="C1509">
        <v>210710</v>
      </c>
      <c r="D1509">
        <v>11590</v>
      </c>
    </row>
    <row r="1510" spans="1:4">
      <c r="A1510" t="s">
        <v>1475</v>
      </c>
      <c r="B1510" t="s">
        <v>1349</v>
      </c>
      <c r="C1510">
        <v>210720</v>
      </c>
      <c r="D1510">
        <v>11600</v>
      </c>
    </row>
    <row r="1511" spans="1:4">
      <c r="A1511" t="s">
        <v>1475</v>
      </c>
      <c r="B1511" t="s">
        <v>1349</v>
      </c>
      <c r="C1511">
        <v>210740</v>
      </c>
      <c r="D1511">
        <v>11610</v>
      </c>
    </row>
    <row r="1512" spans="1:4">
      <c r="A1512" t="s">
        <v>1475</v>
      </c>
      <c r="B1512" t="s">
        <v>1349</v>
      </c>
      <c r="C1512">
        <v>210990</v>
      </c>
      <c r="D1512">
        <v>11620</v>
      </c>
    </row>
    <row r="1513" spans="1:4">
      <c r="A1513" t="s">
        <v>1475</v>
      </c>
      <c r="B1513" t="s">
        <v>1349</v>
      </c>
      <c r="C1513">
        <v>207110</v>
      </c>
      <c r="D1513">
        <v>11630</v>
      </c>
    </row>
    <row r="1514" spans="1:4">
      <c r="A1514" t="s">
        <v>1475</v>
      </c>
      <c r="B1514" t="s">
        <v>1349</v>
      </c>
      <c r="C1514">
        <v>207160</v>
      </c>
      <c r="D1514">
        <v>11640</v>
      </c>
    </row>
    <row r="1515" spans="1:4">
      <c r="A1515" t="s">
        <v>1475</v>
      </c>
      <c r="B1515" t="s">
        <v>1349</v>
      </c>
      <c r="C1515">
        <v>207150</v>
      </c>
      <c r="D1515">
        <v>11650</v>
      </c>
    </row>
    <row r="1516" spans="1:4">
      <c r="A1516" t="s">
        <v>1475</v>
      </c>
      <c r="B1516" t="s">
        <v>1349</v>
      </c>
      <c r="C1516">
        <v>207130</v>
      </c>
      <c r="D1516">
        <v>11660</v>
      </c>
    </row>
    <row r="1517" spans="1:4">
      <c r="A1517" t="s">
        <v>1475</v>
      </c>
      <c r="B1517" t="s">
        <v>1349</v>
      </c>
      <c r="C1517">
        <v>207170</v>
      </c>
      <c r="D1517">
        <v>11670</v>
      </c>
    </row>
    <row r="1518" spans="1:4">
      <c r="A1518" t="s">
        <v>1475</v>
      </c>
      <c r="B1518" t="s">
        <v>1349</v>
      </c>
      <c r="C1518">
        <v>207120</v>
      </c>
      <c r="D1518">
        <v>11680</v>
      </c>
    </row>
    <row r="1519" spans="1:4">
      <c r="A1519" t="s">
        <v>1475</v>
      </c>
      <c r="B1519" t="s">
        <v>1349</v>
      </c>
      <c r="C1519">
        <v>207140</v>
      </c>
      <c r="D1519">
        <v>11690</v>
      </c>
    </row>
    <row r="1520" spans="1:4">
      <c r="A1520" t="s">
        <v>1475</v>
      </c>
      <c r="B1520" t="s">
        <v>1349</v>
      </c>
      <c r="C1520">
        <v>207190</v>
      </c>
      <c r="D1520">
        <v>11700</v>
      </c>
    </row>
    <row r="1521" spans="1:4">
      <c r="A1521" t="s">
        <v>1475</v>
      </c>
      <c r="B1521" t="s">
        <v>1349</v>
      </c>
      <c r="C1521">
        <v>211000</v>
      </c>
      <c r="D1521">
        <v>11710</v>
      </c>
    </row>
    <row r="1522" spans="1:4">
      <c r="A1522" t="s">
        <v>1475</v>
      </c>
      <c r="B1522" t="s">
        <v>1349</v>
      </c>
      <c r="C1522">
        <v>207430</v>
      </c>
      <c r="D1522">
        <v>11720</v>
      </c>
    </row>
    <row r="1523" spans="1:4">
      <c r="A1523" t="s">
        <v>1475</v>
      </c>
      <c r="B1523" t="s">
        <v>1349</v>
      </c>
      <c r="C1523">
        <v>207460</v>
      </c>
      <c r="D1523">
        <v>11730</v>
      </c>
    </row>
    <row r="1524" spans="1:4">
      <c r="A1524" t="s">
        <v>1475</v>
      </c>
      <c r="B1524" t="s">
        <v>1349</v>
      </c>
      <c r="C1524">
        <v>207440</v>
      </c>
      <c r="D1524">
        <v>11740</v>
      </c>
    </row>
    <row r="1525" spans="1:4">
      <c r="A1525" t="s">
        <v>1475</v>
      </c>
      <c r="B1525" t="s">
        <v>1349</v>
      </c>
      <c r="C1525">
        <v>207450</v>
      </c>
      <c r="D1525">
        <v>11750</v>
      </c>
    </row>
    <row r="1526" spans="1:4">
      <c r="A1526" t="s">
        <v>1475</v>
      </c>
      <c r="B1526" t="s">
        <v>1349</v>
      </c>
      <c r="C1526">
        <v>207470</v>
      </c>
      <c r="D1526">
        <v>11760</v>
      </c>
    </row>
    <row r="1527" spans="1:4">
      <c r="A1527" t="s">
        <v>1475</v>
      </c>
      <c r="B1527" t="s">
        <v>1349</v>
      </c>
      <c r="C1527">
        <v>207480</v>
      </c>
      <c r="D1527">
        <v>11770</v>
      </c>
    </row>
    <row r="1528" spans="1:4">
      <c r="A1528" t="s">
        <v>1475</v>
      </c>
      <c r="B1528" t="s">
        <v>1349</v>
      </c>
      <c r="C1528">
        <v>211010</v>
      </c>
      <c r="D1528">
        <v>11780</v>
      </c>
    </row>
    <row r="1529" spans="1:4">
      <c r="A1529" t="s">
        <v>1475</v>
      </c>
      <c r="B1529" t="s">
        <v>1349</v>
      </c>
      <c r="C1529">
        <v>407200</v>
      </c>
      <c r="D1529">
        <v>11790</v>
      </c>
    </row>
    <row r="1530" spans="1:4">
      <c r="A1530" t="s">
        <v>1475</v>
      </c>
      <c r="B1530" t="s">
        <v>1349</v>
      </c>
      <c r="C1530">
        <v>211431</v>
      </c>
      <c r="D1530">
        <v>11800</v>
      </c>
    </row>
    <row r="1531" spans="1:4">
      <c r="A1531" t="s">
        <v>1475</v>
      </c>
      <c r="B1531" t="s">
        <v>1349</v>
      </c>
      <c r="C1531">
        <v>407250</v>
      </c>
      <c r="D1531">
        <v>11810</v>
      </c>
    </row>
    <row r="1532" spans="1:4">
      <c r="A1532" t="s">
        <v>1475</v>
      </c>
      <c r="B1532" t="s">
        <v>1349</v>
      </c>
      <c r="C1532">
        <v>407270</v>
      </c>
      <c r="D1532">
        <v>11820</v>
      </c>
    </row>
    <row r="1533" spans="1:4">
      <c r="A1533" t="s">
        <v>1475</v>
      </c>
      <c r="B1533" t="s">
        <v>1349</v>
      </c>
      <c r="C1533">
        <v>211430</v>
      </c>
      <c r="D1533">
        <v>11830</v>
      </c>
    </row>
    <row r="1534" spans="1:4">
      <c r="A1534" t="s">
        <v>1475</v>
      </c>
      <c r="B1534" t="s">
        <v>1349</v>
      </c>
      <c r="C1534">
        <v>407300</v>
      </c>
      <c r="D1534">
        <v>11840</v>
      </c>
    </row>
    <row r="1535" spans="1:4">
      <c r="A1535" t="s">
        <v>1475</v>
      </c>
      <c r="B1535" t="s">
        <v>1349</v>
      </c>
      <c r="C1535">
        <v>400290</v>
      </c>
      <c r="D1535">
        <v>11850</v>
      </c>
    </row>
    <row r="1536" spans="1:4">
      <c r="A1536" t="s">
        <v>1475</v>
      </c>
      <c r="B1536" t="s">
        <v>1349</v>
      </c>
      <c r="C1536">
        <v>400310</v>
      </c>
      <c r="D1536">
        <v>11860</v>
      </c>
    </row>
    <row r="1537" spans="1:4">
      <c r="A1537" t="s">
        <v>1475</v>
      </c>
      <c r="B1537" t="s">
        <v>1349</v>
      </c>
      <c r="C1537">
        <v>211830</v>
      </c>
      <c r="D1537">
        <v>11870</v>
      </c>
    </row>
    <row r="1538" spans="1:4">
      <c r="A1538" t="s">
        <v>1475</v>
      </c>
      <c r="B1538" t="s">
        <v>1349</v>
      </c>
      <c r="C1538">
        <v>400300</v>
      </c>
      <c r="D1538">
        <v>11880</v>
      </c>
    </row>
    <row r="1539" spans="1:4">
      <c r="A1539" t="s">
        <v>1475</v>
      </c>
      <c r="B1539" t="s">
        <v>1349</v>
      </c>
      <c r="C1539">
        <v>212010</v>
      </c>
      <c r="D1539">
        <v>11890</v>
      </c>
    </row>
    <row r="1540" spans="1:4">
      <c r="A1540" t="s">
        <v>1475</v>
      </c>
      <c r="B1540" t="s">
        <v>1349</v>
      </c>
      <c r="C1540">
        <v>400320</v>
      </c>
      <c r="D1540">
        <v>11900</v>
      </c>
    </row>
    <row r="1541" spans="1:4">
      <c r="A1541" t="s">
        <v>1475</v>
      </c>
      <c r="B1541" t="s">
        <v>1349</v>
      </c>
      <c r="C1541">
        <v>400370</v>
      </c>
      <c r="D1541">
        <v>11910</v>
      </c>
    </row>
    <row r="1542" spans="1:4">
      <c r="A1542" t="s">
        <v>1475</v>
      </c>
      <c r="B1542" t="s">
        <v>1349</v>
      </c>
      <c r="C1542">
        <v>400380</v>
      </c>
      <c r="D1542">
        <v>11920</v>
      </c>
    </row>
    <row r="1543" spans="1:4">
      <c r="A1543" t="s">
        <v>1475</v>
      </c>
      <c r="B1543" t="s">
        <v>1349</v>
      </c>
      <c r="C1543">
        <v>400390</v>
      </c>
      <c r="D1543">
        <v>11930</v>
      </c>
    </row>
    <row r="1544" spans="1:4">
      <c r="A1544" t="s">
        <v>1475</v>
      </c>
      <c r="B1544" t="s">
        <v>1349</v>
      </c>
      <c r="C1544">
        <v>400400</v>
      </c>
      <c r="D1544">
        <v>11940</v>
      </c>
    </row>
    <row r="1545" spans="1:4">
      <c r="A1545" t="s">
        <v>1475</v>
      </c>
      <c r="B1545" t="s">
        <v>1349</v>
      </c>
      <c r="C1545">
        <v>400401</v>
      </c>
      <c r="D1545">
        <v>11950</v>
      </c>
    </row>
    <row r="1546" spans="1:4">
      <c r="A1546" t="s">
        <v>1475</v>
      </c>
      <c r="B1546" t="s">
        <v>1349</v>
      </c>
      <c r="C1546">
        <v>212060</v>
      </c>
      <c r="D1546">
        <v>11960</v>
      </c>
    </row>
    <row r="1547" spans="1:4">
      <c r="A1547" t="s">
        <v>1475</v>
      </c>
      <c r="B1547" t="s">
        <v>1349</v>
      </c>
      <c r="C1547">
        <v>400600</v>
      </c>
      <c r="D1547">
        <v>11970</v>
      </c>
    </row>
    <row r="1548" spans="1:4">
      <c r="A1548" t="s">
        <v>1475</v>
      </c>
      <c r="B1548" t="s">
        <v>1349</v>
      </c>
      <c r="C1548">
        <v>400510</v>
      </c>
      <c r="D1548">
        <v>11980</v>
      </c>
    </row>
    <row r="1549" spans="1:4">
      <c r="A1549" t="s">
        <v>1475</v>
      </c>
      <c r="B1549" t="s">
        <v>1349</v>
      </c>
      <c r="C1549">
        <v>400500</v>
      </c>
      <c r="D1549">
        <v>11990</v>
      </c>
    </row>
    <row r="1550" spans="1:4">
      <c r="A1550" t="s">
        <v>1475</v>
      </c>
      <c r="B1550" t="s">
        <v>1349</v>
      </c>
      <c r="C1550">
        <v>212070</v>
      </c>
      <c r="D1550">
        <v>12000</v>
      </c>
    </row>
    <row r="1551" spans="1:4">
      <c r="A1551" t="s">
        <v>1475</v>
      </c>
      <c r="B1551" t="s">
        <v>1349</v>
      </c>
      <c r="C1551">
        <v>211440</v>
      </c>
      <c r="D1551">
        <v>12010</v>
      </c>
    </row>
    <row r="1552" spans="1:4">
      <c r="A1552" t="s">
        <v>1475</v>
      </c>
      <c r="B1552" t="s">
        <v>1349</v>
      </c>
      <c r="C1552">
        <v>400620</v>
      </c>
      <c r="D1552">
        <v>12020</v>
      </c>
    </row>
    <row r="1553" spans="1:4">
      <c r="A1553" t="s">
        <v>1475</v>
      </c>
      <c r="B1553" t="s">
        <v>1349</v>
      </c>
      <c r="C1553">
        <v>211860</v>
      </c>
      <c r="D1553">
        <v>12030</v>
      </c>
    </row>
    <row r="1554" spans="1:4">
      <c r="A1554" t="s">
        <v>1475</v>
      </c>
      <c r="B1554" t="s">
        <v>1349</v>
      </c>
      <c r="C1554">
        <v>211840</v>
      </c>
      <c r="D1554">
        <v>12040</v>
      </c>
    </row>
    <row r="1555" spans="1:4">
      <c r="A1555" t="s">
        <v>1475</v>
      </c>
      <c r="B1555" t="s">
        <v>1349</v>
      </c>
      <c r="C1555">
        <v>211850</v>
      </c>
      <c r="D1555">
        <v>12050</v>
      </c>
    </row>
    <row r="1556" spans="1:4">
      <c r="A1556" t="s">
        <v>1475</v>
      </c>
      <c r="B1556" t="s">
        <v>1349</v>
      </c>
      <c r="C1556">
        <v>400440</v>
      </c>
      <c r="D1556">
        <v>12060</v>
      </c>
    </row>
    <row r="1557" spans="1:4">
      <c r="A1557" t="s">
        <v>1475</v>
      </c>
      <c r="B1557" t="s">
        <v>1349</v>
      </c>
      <c r="C1557">
        <v>400441</v>
      </c>
      <c r="D1557">
        <v>12070</v>
      </c>
    </row>
    <row r="1558" spans="1:4">
      <c r="A1558" t="s">
        <v>1475</v>
      </c>
      <c r="B1558" t="s">
        <v>1349</v>
      </c>
      <c r="C1558">
        <v>211870</v>
      </c>
      <c r="D1558">
        <v>12080</v>
      </c>
    </row>
    <row r="1559" spans="1:4">
      <c r="A1559" t="s">
        <v>1475</v>
      </c>
      <c r="B1559" t="s">
        <v>1349</v>
      </c>
      <c r="C1559">
        <v>212140</v>
      </c>
      <c r="D1559">
        <v>12090</v>
      </c>
    </row>
    <row r="1560" spans="1:4">
      <c r="A1560" t="s">
        <v>1475</v>
      </c>
      <c r="B1560" t="s">
        <v>1349</v>
      </c>
      <c r="C1560">
        <v>211910</v>
      </c>
      <c r="D1560">
        <v>12100</v>
      </c>
    </row>
    <row r="1561" spans="1:4">
      <c r="A1561" t="s">
        <v>1475</v>
      </c>
      <c r="B1561" t="s">
        <v>1349</v>
      </c>
      <c r="C1561">
        <v>211880</v>
      </c>
      <c r="D1561">
        <v>12110</v>
      </c>
    </row>
    <row r="1562" spans="1:4">
      <c r="A1562" t="s">
        <v>1475</v>
      </c>
      <c r="B1562" t="s">
        <v>1349</v>
      </c>
      <c r="C1562">
        <v>211890</v>
      </c>
      <c r="D1562">
        <v>12120</v>
      </c>
    </row>
    <row r="1563" spans="1:4">
      <c r="A1563" t="s">
        <v>1475</v>
      </c>
      <c r="B1563" t="s">
        <v>1349</v>
      </c>
      <c r="C1563">
        <v>211900</v>
      </c>
      <c r="D1563">
        <v>12130</v>
      </c>
    </row>
    <row r="1564" spans="1:4">
      <c r="A1564" t="s">
        <v>1475</v>
      </c>
      <c r="B1564" t="s">
        <v>1349</v>
      </c>
      <c r="C1564">
        <v>400451</v>
      </c>
      <c r="D1564">
        <v>12140</v>
      </c>
    </row>
    <row r="1565" spans="1:4">
      <c r="A1565" t="s">
        <v>1475</v>
      </c>
      <c r="B1565" t="s">
        <v>1349</v>
      </c>
      <c r="C1565">
        <v>400450</v>
      </c>
      <c r="D1565">
        <v>12150</v>
      </c>
    </row>
    <row r="1566" spans="1:4">
      <c r="A1566" t="s">
        <v>1475</v>
      </c>
      <c r="B1566" t="s">
        <v>1349</v>
      </c>
      <c r="C1566">
        <v>211920</v>
      </c>
      <c r="D1566">
        <v>12160</v>
      </c>
    </row>
    <row r="1567" spans="1:4">
      <c r="A1567" t="s">
        <v>1475</v>
      </c>
      <c r="B1567" t="s">
        <v>1349</v>
      </c>
      <c r="C1567">
        <v>212150</v>
      </c>
      <c r="D1567">
        <v>12170</v>
      </c>
    </row>
    <row r="1568" spans="1:4">
      <c r="A1568" t="s">
        <v>1475</v>
      </c>
      <c r="B1568" t="s">
        <v>1349</v>
      </c>
      <c r="C1568">
        <v>211940</v>
      </c>
      <c r="D1568">
        <v>12180</v>
      </c>
    </row>
    <row r="1569" spans="1:4">
      <c r="A1569" t="s">
        <v>1475</v>
      </c>
      <c r="B1569" t="s">
        <v>1349</v>
      </c>
      <c r="C1569">
        <v>211930</v>
      </c>
      <c r="D1569">
        <v>12190</v>
      </c>
    </row>
    <row r="1570" spans="1:4">
      <c r="A1570" t="s">
        <v>1475</v>
      </c>
      <c r="B1570" t="s">
        <v>1349</v>
      </c>
      <c r="C1570">
        <v>211950</v>
      </c>
      <c r="D1570">
        <v>12200</v>
      </c>
    </row>
    <row r="1571" spans="1:4">
      <c r="A1571" t="s">
        <v>1475</v>
      </c>
      <c r="B1571" t="s">
        <v>1349</v>
      </c>
      <c r="C1571">
        <v>211970</v>
      </c>
      <c r="D1571">
        <v>12210</v>
      </c>
    </row>
    <row r="1572" spans="1:4">
      <c r="A1572" t="s">
        <v>1475</v>
      </c>
      <c r="B1572" t="s">
        <v>1349</v>
      </c>
      <c r="C1572">
        <v>210760</v>
      </c>
      <c r="D1572">
        <v>12220</v>
      </c>
    </row>
    <row r="1573" spans="1:4">
      <c r="A1573" t="s">
        <v>1475</v>
      </c>
      <c r="B1573" t="s">
        <v>1349</v>
      </c>
      <c r="C1573">
        <v>210761</v>
      </c>
      <c r="D1573">
        <v>12230</v>
      </c>
    </row>
    <row r="1574" spans="1:4">
      <c r="A1574" t="s">
        <v>1475</v>
      </c>
      <c r="B1574" t="s">
        <v>1349</v>
      </c>
      <c r="C1574">
        <v>210764</v>
      </c>
      <c r="D1574">
        <v>12240</v>
      </c>
    </row>
    <row r="1575" spans="1:4">
      <c r="A1575" t="s">
        <v>1475</v>
      </c>
      <c r="B1575" t="s">
        <v>1349</v>
      </c>
      <c r="C1575">
        <v>211360</v>
      </c>
      <c r="D1575">
        <v>12250</v>
      </c>
    </row>
    <row r="1576" spans="1:4">
      <c r="A1576" t="s">
        <v>1475</v>
      </c>
      <c r="B1576" t="s">
        <v>1349</v>
      </c>
      <c r="C1576">
        <v>402180</v>
      </c>
      <c r="D1576">
        <v>12260</v>
      </c>
    </row>
    <row r="1577" spans="1:4">
      <c r="A1577" t="s">
        <v>1475</v>
      </c>
      <c r="B1577" t="s">
        <v>1349</v>
      </c>
      <c r="C1577">
        <v>205720</v>
      </c>
      <c r="D1577">
        <v>12270</v>
      </c>
    </row>
    <row r="1578" spans="1:4">
      <c r="A1578" t="s">
        <v>1475</v>
      </c>
      <c r="B1578" t="s">
        <v>1349</v>
      </c>
      <c r="C1578">
        <v>402190</v>
      </c>
      <c r="D1578">
        <v>12280</v>
      </c>
    </row>
    <row r="1579" spans="1:4">
      <c r="A1579" t="s">
        <v>1475</v>
      </c>
      <c r="B1579" t="s">
        <v>1349</v>
      </c>
      <c r="C1579">
        <v>205770</v>
      </c>
      <c r="D1579">
        <v>12290</v>
      </c>
    </row>
    <row r="1580" spans="1:4">
      <c r="A1580" t="s">
        <v>1475</v>
      </c>
      <c r="B1580" t="s">
        <v>1349</v>
      </c>
      <c r="C1580">
        <v>206340</v>
      </c>
      <c r="D1580">
        <v>12300</v>
      </c>
    </row>
    <row r="1581" spans="1:4">
      <c r="A1581" t="s">
        <v>1475</v>
      </c>
      <c r="B1581" t="s">
        <v>1349</v>
      </c>
      <c r="C1581">
        <v>205530</v>
      </c>
      <c r="D1581">
        <v>12310</v>
      </c>
    </row>
    <row r="1582" spans="1:4">
      <c r="A1582" t="s">
        <v>1475</v>
      </c>
      <c r="B1582" t="s">
        <v>1349</v>
      </c>
      <c r="C1582">
        <v>402250</v>
      </c>
      <c r="D1582">
        <v>12320</v>
      </c>
    </row>
    <row r="1583" spans="1:4">
      <c r="A1583" t="s">
        <v>1475</v>
      </c>
      <c r="B1583" t="s">
        <v>1349</v>
      </c>
      <c r="C1583">
        <v>402230</v>
      </c>
      <c r="D1583">
        <v>12330</v>
      </c>
    </row>
    <row r="1584" spans="1:4">
      <c r="A1584" t="s">
        <v>1475</v>
      </c>
      <c r="B1584" t="s">
        <v>1349</v>
      </c>
      <c r="C1584">
        <v>205740</v>
      </c>
      <c r="D1584">
        <v>12340</v>
      </c>
    </row>
    <row r="1585" spans="1:4">
      <c r="A1585" t="s">
        <v>1475</v>
      </c>
      <c r="B1585" t="s">
        <v>1349</v>
      </c>
      <c r="C1585">
        <v>402290</v>
      </c>
      <c r="D1585">
        <v>12350</v>
      </c>
    </row>
    <row r="1586" spans="1:4">
      <c r="A1586" t="s">
        <v>1475</v>
      </c>
      <c r="B1586" t="s">
        <v>1349</v>
      </c>
      <c r="C1586">
        <v>402340</v>
      </c>
      <c r="D1586">
        <v>12360</v>
      </c>
    </row>
    <row r="1587" spans="1:4">
      <c r="A1587" t="s">
        <v>1475</v>
      </c>
      <c r="B1587" t="s">
        <v>1349</v>
      </c>
      <c r="C1587">
        <v>402210</v>
      </c>
      <c r="D1587">
        <v>12370</v>
      </c>
    </row>
    <row r="1588" spans="1:4">
      <c r="A1588" t="s">
        <v>1475</v>
      </c>
      <c r="B1588" t="s">
        <v>1349</v>
      </c>
      <c r="C1588">
        <v>402310</v>
      </c>
      <c r="D1588">
        <v>12380</v>
      </c>
    </row>
    <row r="1589" spans="1:4">
      <c r="A1589" t="s">
        <v>1475</v>
      </c>
      <c r="B1589" t="s">
        <v>1349</v>
      </c>
      <c r="C1589">
        <v>402280</v>
      </c>
      <c r="D1589">
        <v>12390</v>
      </c>
    </row>
    <row r="1590" spans="1:4">
      <c r="A1590" t="s">
        <v>1475</v>
      </c>
      <c r="B1590" t="s">
        <v>1349</v>
      </c>
      <c r="C1590">
        <v>402321</v>
      </c>
      <c r="D1590">
        <v>12400</v>
      </c>
    </row>
    <row r="1591" spans="1:4">
      <c r="A1591" t="s">
        <v>1475</v>
      </c>
      <c r="B1591" t="s">
        <v>1349</v>
      </c>
      <c r="C1591">
        <v>402320</v>
      </c>
      <c r="D1591">
        <v>12410</v>
      </c>
    </row>
    <row r="1592" spans="1:4">
      <c r="A1592" t="s">
        <v>1475</v>
      </c>
      <c r="B1592" t="s">
        <v>1349</v>
      </c>
      <c r="C1592">
        <v>400590</v>
      </c>
      <c r="D1592">
        <v>12420</v>
      </c>
    </row>
    <row r="1593" spans="1:4">
      <c r="A1593" t="s">
        <v>1475</v>
      </c>
      <c r="B1593" t="s">
        <v>1349</v>
      </c>
      <c r="C1593">
        <v>402470</v>
      </c>
      <c r="D1593">
        <v>12430</v>
      </c>
    </row>
    <row r="1594" spans="1:4">
      <c r="A1594" t="s">
        <v>1475</v>
      </c>
      <c r="B1594" t="s">
        <v>1349</v>
      </c>
      <c r="C1594">
        <v>402480</v>
      </c>
      <c r="D1594">
        <v>12440</v>
      </c>
    </row>
    <row r="1595" spans="1:4">
      <c r="A1595" t="s">
        <v>1475</v>
      </c>
      <c r="B1595" t="s">
        <v>1349</v>
      </c>
      <c r="C1595">
        <v>206270</v>
      </c>
      <c r="D1595">
        <v>12450</v>
      </c>
    </row>
    <row r="1596" spans="1:4">
      <c r="A1596" t="s">
        <v>1475</v>
      </c>
      <c r="B1596" t="s">
        <v>1349</v>
      </c>
      <c r="C1596">
        <v>206390</v>
      </c>
      <c r="D1596">
        <v>12460</v>
      </c>
    </row>
    <row r="1597" spans="1:4">
      <c r="A1597" t="s">
        <v>1475</v>
      </c>
      <c r="B1597" t="s">
        <v>1349</v>
      </c>
      <c r="C1597">
        <v>206330</v>
      </c>
      <c r="D1597">
        <v>12470</v>
      </c>
    </row>
    <row r="1598" spans="1:4">
      <c r="A1598" t="s">
        <v>1475</v>
      </c>
      <c r="B1598" t="s">
        <v>1349</v>
      </c>
      <c r="C1598">
        <v>206380</v>
      </c>
      <c r="D1598">
        <v>12480</v>
      </c>
    </row>
    <row r="1599" spans="1:4">
      <c r="A1599" t="s">
        <v>1475</v>
      </c>
      <c r="B1599" t="s">
        <v>1349</v>
      </c>
      <c r="C1599">
        <v>206420</v>
      </c>
      <c r="D1599">
        <v>12490</v>
      </c>
    </row>
    <row r="1600" spans="1:4">
      <c r="A1600" t="s">
        <v>1475</v>
      </c>
      <c r="B1600" t="s">
        <v>1349</v>
      </c>
      <c r="C1600">
        <v>206269</v>
      </c>
      <c r="D1600">
        <v>12500</v>
      </c>
    </row>
    <row r="1601" spans="1:4">
      <c r="A1601" t="s">
        <v>1475</v>
      </c>
      <c r="B1601" t="s">
        <v>1349</v>
      </c>
      <c r="C1601">
        <v>402460</v>
      </c>
      <c r="D1601">
        <v>12510</v>
      </c>
    </row>
    <row r="1602" spans="1:4">
      <c r="A1602" t="s">
        <v>1475</v>
      </c>
      <c r="B1602" t="s">
        <v>1349</v>
      </c>
      <c r="C1602">
        <v>402450</v>
      </c>
      <c r="D1602">
        <v>12520</v>
      </c>
    </row>
    <row r="1603" spans="1:4">
      <c r="A1603" t="s">
        <v>1475</v>
      </c>
      <c r="B1603" t="s">
        <v>1349</v>
      </c>
      <c r="C1603">
        <v>206430</v>
      </c>
      <c r="D1603">
        <v>12530</v>
      </c>
    </row>
    <row r="1604" spans="1:4">
      <c r="A1604" t="s">
        <v>1475</v>
      </c>
      <c r="B1604" t="s">
        <v>1349</v>
      </c>
      <c r="C1604">
        <v>211020</v>
      </c>
      <c r="D1604">
        <v>12540</v>
      </c>
    </row>
    <row r="1605" spans="1:4">
      <c r="A1605" t="s">
        <v>1475</v>
      </c>
      <c r="B1605" t="s">
        <v>1349</v>
      </c>
      <c r="C1605">
        <v>211980</v>
      </c>
      <c r="D1605">
        <v>12550</v>
      </c>
    </row>
    <row r="1606" spans="1:4">
      <c r="A1606" t="s">
        <v>1475</v>
      </c>
      <c r="B1606" t="s">
        <v>1349</v>
      </c>
      <c r="C1606">
        <v>402300</v>
      </c>
      <c r="D1606">
        <v>12560</v>
      </c>
    </row>
    <row r="1607" spans="1:4">
      <c r="A1607" t="s">
        <v>1475</v>
      </c>
      <c r="B1607" t="s">
        <v>1349</v>
      </c>
      <c r="C1607">
        <v>402350</v>
      </c>
      <c r="D1607">
        <v>12570</v>
      </c>
    </row>
    <row r="1608" spans="1:4">
      <c r="A1608" t="s">
        <v>1475</v>
      </c>
      <c r="B1608" t="s">
        <v>1349</v>
      </c>
      <c r="C1608">
        <v>211990</v>
      </c>
      <c r="D1608">
        <v>12580</v>
      </c>
    </row>
    <row r="1609" spans="1:4">
      <c r="A1609" t="s">
        <v>1475</v>
      </c>
      <c r="B1609" t="s">
        <v>1349</v>
      </c>
      <c r="C1609">
        <v>212000</v>
      </c>
      <c r="D1609">
        <v>12590</v>
      </c>
    </row>
    <row r="1610" spans="1:4">
      <c r="A1610" t="s">
        <v>1475</v>
      </c>
      <c r="B1610" t="s">
        <v>1349</v>
      </c>
      <c r="C1610">
        <v>456650</v>
      </c>
      <c r="D1610">
        <v>12600</v>
      </c>
    </row>
    <row r="1611" spans="1:4">
      <c r="A1611" t="s">
        <v>1475</v>
      </c>
      <c r="B1611" t="s">
        <v>1349</v>
      </c>
      <c r="C1611">
        <v>456640</v>
      </c>
      <c r="D1611">
        <v>12610</v>
      </c>
    </row>
    <row r="1612" spans="1:4">
      <c r="A1612" t="s">
        <v>1475</v>
      </c>
      <c r="B1612" t="s">
        <v>1349</v>
      </c>
      <c r="C1612">
        <v>456660</v>
      </c>
      <c r="D1612">
        <v>12620</v>
      </c>
    </row>
    <row r="1613" spans="1:4">
      <c r="A1613" t="s">
        <v>1475</v>
      </c>
      <c r="B1613" t="s">
        <v>1349</v>
      </c>
      <c r="C1613">
        <v>456670</v>
      </c>
      <c r="D1613">
        <v>12630</v>
      </c>
    </row>
    <row r="1614" spans="1:4">
      <c r="A1614" t="s">
        <v>1475</v>
      </c>
      <c r="B1614" t="s">
        <v>1349</v>
      </c>
      <c r="C1614">
        <v>210780</v>
      </c>
      <c r="D1614">
        <v>12640</v>
      </c>
    </row>
    <row r="1615" spans="1:4">
      <c r="A1615" t="s">
        <v>1475</v>
      </c>
      <c r="B1615" t="s">
        <v>1349</v>
      </c>
      <c r="C1615">
        <v>210781</v>
      </c>
      <c r="D1615">
        <v>12650</v>
      </c>
    </row>
    <row r="1616" spans="1:4">
      <c r="A1616" t="s">
        <v>1475</v>
      </c>
      <c r="B1616" t="s">
        <v>1349</v>
      </c>
      <c r="C1616">
        <v>210783</v>
      </c>
      <c r="D1616">
        <v>12660</v>
      </c>
    </row>
    <row r="1617" spans="1:4">
      <c r="A1617" t="s">
        <v>1475</v>
      </c>
      <c r="B1617" t="s">
        <v>1349</v>
      </c>
      <c r="C1617">
        <v>210782</v>
      </c>
      <c r="D1617">
        <v>12670</v>
      </c>
    </row>
    <row r="1618" spans="1:4">
      <c r="A1618" t="s">
        <v>1475</v>
      </c>
      <c r="B1618" t="s">
        <v>1349</v>
      </c>
      <c r="C1618">
        <v>210784</v>
      </c>
      <c r="D1618">
        <v>12680</v>
      </c>
    </row>
    <row r="1619" spans="1:4">
      <c r="A1619" t="s">
        <v>1475</v>
      </c>
      <c r="B1619" t="s">
        <v>1349</v>
      </c>
      <c r="C1619">
        <v>211380</v>
      </c>
      <c r="D1619">
        <v>12690</v>
      </c>
    </row>
    <row r="1620" spans="1:4">
      <c r="A1620" t="s">
        <v>1475</v>
      </c>
      <c r="B1620" t="s">
        <v>1349</v>
      </c>
      <c r="C1620">
        <v>407840</v>
      </c>
      <c r="D1620">
        <v>12700</v>
      </c>
    </row>
    <row r="1621" spans="1:4">
      <c r="A1621" t="s">
        <v>1475</v>
      </c>
      <c r="B1621" t="s">
        <v>1349</v>
      </c>
      <c r="C1621">
        <v>407880</v>
      </c>
      <c r="D1621">
        <v>12710</v>
      </c>
    </row>
    <row r="1622" spans="1:4">
      <c r="A1622" t="s">
        <v>1475</v>
      </c>
      <c r="B1622" t="s">
        <v>1349</v>
      </c>
      <c r="C1622">
        <v>407890</v>
      </c>
      <c r="D1622">
        <v>12720</v>
      </c>
    </row>
    <row r="1623" spans="1:4">
      <c r="A1623" t="s">
        <v>1475</v>
      </c>
      <c r="B1623" t="s">
        <v>1349</v>
      </c>
      <c r="C1623">
        <v>407860</v>
      </c>
      <c r="D1623">
        <v>12730</v>
      </c>
    </row>
    <row r="1624" spans="1:4">
      <c r="A1624" t="s">
        <v>1475</v>
      </c>
      <c r="B1624" t="s">
        <v>1349</v>
      </c>
      <c r="C1624">
        <v>205830</v>
      </c>
      <c r="D1624">
        <v>12740</v>
      </c>
    </row>
    <row r="1625" spans="1:4">
      <c r="A1625" t="s">
        <v>1475</v>
      </c>
      <c r="B1625" t="s">
        <v>1349</v>
      </c>
      <c r="C1625">
        <v>407870</v>
      </c>
      <c r="D1625">
        <v>12750</v>
      </c>
    </row>
    <row r="1626" spans="1:4">
      <c r="A1626" t="s">
        <v>1475</v>
      </c>
      <c r="B1626" t="s">
        <v>1349</v>
      </c>
      <c r="C1626">
        <v>407910</v>
      </c>
      <c r="D1626">
        <v>12760</v>
      </c>
    </row>
    <row r="1627" spans="1:4">
      <c r="A1627" t="s">
        <v>1475</v>
      </c>
      <c r="B1627" t="s">
        <v>1349</v>
      </c>
      <c r="C1627">
        <v>407900</v>
      </c>
      <c r="D1627">
        <v>12770</v>
      </c>
    </row>
    <row r="1628" spans="1:4">
      <c r="A1628" t="s">
        <v>1475</v>
      </c>
      <c r="B1628" t="s">
        <v>1349</v>
      </c>
      <c r="C1628">
        <v>205850</v>
      </c>
      <c r="D1628">
        <v>12780</v>
      </c>
    </row>
    <row r="1629" spans="1:4">
      <c r="A1629" t="s">
        <v>1475</v>
      </c>
      <c r="B1629" t="s">
        <v>1349</v>
      </c>
      <c r="C1629">
        <v>407920</v>
      </c>
      <c r="D1629">
        <v>12790</v>
      </c>
    </row>
    <row r="1630" spans="1:4">
      <c r="A1630" t="s">
        <v>1475</v>
      </c>
      <c r="B1630" t="s">
        <v>1349</v>
      </c>
      <c r="C1630">
        <v>210050</v>
      </c>
      <c r="D1630">
        <v>12800</v>
      </c>
    </row>
    <row r="1631" spans="1:4">
      <c r="A1631" t="s">
        <v>1475</v>
      </c>
      <c r="B1631" t="s">
        <v>1349</v>
      </c>
      <c r="C1631">
        <v>210060</v>
      </c>
      <c r="D1631">
        <v>12810</v>
      </c>
    </row>
    <row r="1632" spans="1:4">
      <c r="A1632" t="s">
        <v>1475</v>
      </c>
      <c r="B1632" t="s">
        <v>1349</v>
      </c>
      <c r="C1632">
        <v>210070</v>
      </c>
      <c r="D1632">
        <v>12820</v>
      </c>
    </row>
    <row r="1633" spans="1:4">
      <c r="A1633" t="s">
        <v>1475</v>
      </c>
      <c r="B1633" t="s">
        <v>1349</v>
      </c>
      <c r="C1633">
        <v>210080</v>
      </c>
      <c r="D1633">
        <v>12830</v>
      </c>
    </row>
    <row r="1634" spans="1:4">
      <c r="A1634" t="s">
        <v>1475</v>
      </c>
      <c r="B1634" t="s">
        <v>1349</v>
      </c>
      <c r="C1634">
        <v>210090</v>
      </c>
      <c r="D1634">
        <v>12840</v>
      </c>
    </row>
    <row r="1635" spans="1:4">
      <c r="A1635" t="s">
        <v>1475</v>
      </c>
      <c r="B1635" t="s">
        <v>1349</v>
      </c>
      <c r="C1635">
        <v>211050</v>
      </c>
      <c r="D1635">
        <v>12850</v>
      </c>
    </row>
    <row r="1636" spans="1:4">
      <c r="A1636" t="s">
        <v>1475</v>
      </c>
      <c r="B1636" t="s">
        <v>1349</v>
      </c>
      <c r="C1636">
        <v>212050</v>
      </c>
      <c r="D1636">
        <v>12860</v>
      </c>
    </row>
    <row r="1637" spans="1:4">
      <c r="A1637" t="s">
        <v>1475</v>
      </c>
      <c r="B1637" t="s">
        <v>1349</v>
      </c>
      <c r="C1637">
        <v>212051</v>
      </c>
      <c r="D1637">
        <v>12870</v>
      </c>
    </row>
    <row r="1638" spans="1:4">
      <c r="A1638" t="s">
        <v>1475</v>
      </c>
      <c r="B1638" t="s">
        <v>1349</v>
      </c>
      <c r="C1638">
        <v>212052</v>
      </c>
      <c r="D1638">
        <v>12880</v>
      </c>
    </row>
    <row r="1639" spans="1:4">
      <c r="A1639" t="s">
        <v>1475</v>
      </c>
      <c r="B1639" t="s">
        <v>1349</v>
      </c>
      <c r="C1639">
        <v>212053</v>
      </c>
      <c r="D1639">
        <v>12890</v>
      </c>
    </row>
    <row r="1640" spans="1:4">
      <c r="A1640" t="s">
        <v>1475</v>
      </c>
      <c r="B1640" t="s">
        <v>1349</v>
      </c>
      <c r="C1640">
        <v>212190</v>
      </c>
      <c r="D1640">
        <v>12900</v>
      </c>
    </row>
    <row r="1641" spans="1:4">
      <c r="A1641" t="s">
        <v>1475</v>
      </c>
      <c r="B1641" t="s">
        <v>1349</v>
      </c>
      <c r="C1641">
        <v>210250</v>
      </c>
      <c r="D1641">
        <v>12910</v>
      </c>
    </row>
    <row r="1642" spans="1:4">
      <c r="A1642" t="s">
        <v>1475</v>
      </c>
      <c r="B1642" t="s">
        <v>1349</v>
      </c>
      <c r="C1642">
        <v>210260</v>
      </c>
      <c r="D1642">
        <v>12920</v>
      </c>
    </row>
    <row r="1643" spans="1:4">
      <c r="A1643" t="s">
        <v>1475</v>
      </c>
      <c r="B1643" t="s">
        <v>1349</v>
      </c>
      <c r="C1643">
        <v>210280</v>
      </c>
      <c r="D1643">
        <v>12930</v>
      </c>
    </row>
    <row r="1644" spans="1:4">
      <c r="A1644" t="s">
        <v>1475</v>
      </c>
      <c r="B1644" t="s">
        <v>1349</v>
      </c>
      <c r="C1644">
        <v>210270</v>
      </c>
      <c r="D1644">
        <v>12940</v>
      </c>
    </row>
    <row r="1645" spans="1:4">
      <c r="A1645" t="s">
        <v>1475</v>
      </c>
      <c r="B1645" t="s">
        <v>1349</v>
      </c>
      <c r="C1645">
        <v>210290</v>
      </c>
      <c r="D1645">
        <v>12950</v>
      </c>
    </row>
    <row r="1646" spans="1:4">
      <c r="A1646" t="s">
        <v>1475</v>
      </c>
      <c r="B1646" t="s">
        <v>1349</v>
      </c>
      <c r="C1646">
        <v>211070</v>
      </c>
      <c r="D1646">
        <v>12960</v>
      </c>
    </row>
    <row r="1647" spans="1:4">
      <c r="A1647" t="s">
        <v>1475</v>
      </c>
      <c r="B1647" t="s">
        <v>1349</v>
      </c>
      <c r="C1647">
        <v>210300</v>
      </c>
      <c r="D1647">
        <v>12970</v>
      </c>
    </row>
    <row r="1648" spans="1:4">
      <c r="A1648" t="s">
        <v>1475</v>
      </c>
      <c r="B1648" t="s">
        <v>1349</v>
      </c>
      <c r="C1648">
        <v>210310</v>
      </c>
      <c r="D1648">
        <v>12980</v>
      </c>
    </row>
    <row r="1649" spans="1:4">
      <c r="A1649" t="s">
        <v>1475</v>
      </c>
      <c r="B1649" t="s">
        <v>1349</v>
      </c>
      <c r="C1649">
        <v>210320</v>
      </c>
      <c r="D1649">
        <v>12990</v>
      </c>
    </row>
    <row r="1650" spans="1:4">
      <c r="A1650" t="s">
        <v>1475</v>
      </c>
      <c r="B1650" t="s">
        <v>1349</v>
      </c>
      <c r="C1650">
        <v>210330</v>
      </c>
      <c r="D1650">
        <v>13000</v>
      </c>
    </row>
    <row r="1651" spans="1:4">
      <c r="A1651" t="s">
        <v>1475</v>
      </c>
      <c r="B1651" t="s">
        <v>1349</v>
      </c>
      <c r="C1651">
        <v>211080</v>
      </c>
      <c r="D1651">
        <v>13010</v>
      </c>
    </row>
    <row r="1652" spans="1:4">
      <c r="A1652" t="s">
        <v>1475</v>
      </c>
      <c r="B1652" t="s">
        <v>1349</v>
      </c>
      <c r="C1652">
        <v>206850</v>
      </c>
      <c r="D1652">
        <v>13020</v>
      </c>
    </row>
    <row r="1653" spans="1:4">
      <c r="A1653" t="s">
        <v>1475</v>
      </c>
      <c r="B1653" t="s">
        <v>1349</v>
      </c>
      <c r="C1653">
        <v>206920</v>
      </c>
      <c r="D1653">
        <v>13030</v>
      </c>
    </row>
    <row r="1654" spans="1:4">
      <c r="A1654" t="s">
        <v>1475</v>
      </c>
      <c r="B1654" t="s">
        <v>1349</v>
      </c>
      <c r="C1654">
        <v>206880</v>
      </c>
      <c r="D1654">
        <v>13040</v>
      </c>
    </row>
    <row r="1655" spans="1:4">
      <c r="A1655" t="s">
        <v>1475</v>
      </c>
      <c r="B1655" t="s">
        <v>1349</v>
      </c>
      <c r="C1655">
        <v>206960</v>
      </c>
      <c r="D1655">
        <v>13050</v>
      </c>
    </row>
    <row r="1656" spans="1:4">
      <c r="A1656" t="s">
        <v>1475</v>
      </c>
      <c r="B1656" t="s">
        <v>1349</v>
      </c>
      <c r="C1656">
        <v>206910</v>
      </c>
      <c r="D1656">
        <v>13060</v>
      </c>
    </row>
    <row r="1657" spans="1:4">
      <c r="A1657" t="s">
        <v>1475</v>
      </c>
      <c r="B1657" t="s">
        <v>1349</v>
      </c>
      <c r="C1657">
        <v>206980</v>
      </c>
      <c r="D1657">
        <v>13070</v>
      </c>
    </row>
    <row r="1658" spans="1:4">
      <c r="A1658" t="s">
        <v>1475</v>
      </c>
      <c r="B1658" t="s">
        <v>1349</v>
      </c>
      <c r="C1658">
        <v>206940</v>
      </c>
      <c r="D1658">
        <v>13080</v>
      </c>
    </row>
    <row r="1659" spans="1:4">
      <c r="A1659" t="s">
        <v>1475</v>
      </c>
      <c r="B1659" t="s">
        <v>1349</v>
      </c>
      <c r="C1659">
        <v>206950</v>
      </c>
      <c r="D1659">
        <v>13090</v>
      </c>
    </row>
    <row r="1660" spans="1:4">
      <c r="A1660" t="s">
        <v>1475</v>
      </c>
      <c r="B1660" t="s">
        <v>1349</v>
      </c>
      <c r="C1660">
        <v>206870</v>
      </c>
      <c r="D1660">
        <v>13100</v>
      </c>
    </row>
    <row r="1661" spans="1:4">
      <c r="A1661" t="s">
        <v>1475</v>
      </c>
      <c r="B1661" t="s">
        <v>1349</v>
      </c>
      <c r="C1661">
        <v>206900</v>
      </c>
      <c r="D1661">
        <v>13110</v>
      </c>
    </row>
    <row r="1662" spans="1:4">
      <c r="A1662" t="s">
        <v>1475</v>
      </c>
      <c r="B1662" t="s">
        <v>1349</v>
      </c>
      <c r="C1662">
        <v>206860</v>
      </c>
      <c r="D1662">
        <v>13120</v>
      </c>
    </row>
    <row r="1663" spans="1:4">
      <c r="A1663" t="s">
        <v>1475</v>
      </c>
      <c r="B1663" t="s">
        <v>1349</v>
      </c>
      <c r="C1663">
        <v>206970</v>
      </c>
      <c r="D1663">
        <v>13130</v>
      </c>
    </row>
    <row r="1664" spans="1:4">
      <c r="A1664" t="s">
        <v>1475</v>
      </c>
      <c r="B1664" t="s">
        <v>1349</v>
      </c>
      <c r="C1664">
        <v>206890</v>
      </c>
      <c r="D1664">
        <v>13140</v>
      </c>
    </row>
    <row r="1665" spans="1:4">
      <c r="A1665" t="s">
        <v>1475</v>
      </c>
      <c r="B1665" t="s">
        <v>1349</v>
      </c>
      <c r="C1665">
        <v>206990</v>
      </c>
      <c r="D1665">
        <v>13150</v>
      </c>
    </row>
    <row r="1666" spans="1:4">
      <c r="A1666" t="s">
        <v>1475</v>
      </c>
      <c r="B1666" t="s">
        <v>1349</v>
      </c>
      <c r="C1666">
        <v>211090</v>
      </c>
      <c r="D1666">
        <v>13160</v>
      </c>
    </row>
    <row r="1667" spans="1:4">
      <c r="A1667" t="s">
        <v>1475</v>
      </c>
      <c r="B1667" t="s">
        <v>1349</v>
      </c>
      <c r="C1667">
        <v>205000</v>
      </c>
      <c r="D1667">
        <v>13170</v>
      </c>
    </row>
    <row r="1668" spans="1:4">
      <c r="A1668" t="s">
        <v>1475</v>
      </c>
      <c r="B1668" t="s">
        <v>1349</v>
      </c>
      <c r="C1668">
        <v>205090</v>
      </c>
      <c r="D1668">
        <v>13180</v>
      </c>
    </row>
    <row r="1669" spans="1:4">
      <c r="A1669" t="s">
        <v>1475</v>
      </c>
      <c r="B1669" t="s">
        <v>1349</v>
      </c>
      <c r="C1669">
        <v>205010</v>
      </c>
      <c r="D1669">
        <v>13190</v>
      </c>
    </row>
    <row r="1670" spans="1:4">
      <c r="A1670" t="s">
        <v>1475</v>
      </c>
      <c r="B1670" t="s">
        <v>1349</v>
      </c>
      <c r="C1670">
        <v>205060</v>
      </c>
      <c r="D1670">
        <v>13200</v>
      </c>
    </row>
    <row r="1671" spans="1:4">
      <c r="A1671" t="s">
        <v>1475</v>
      </c>
      <c r="B1671" t="s">
        <v>1349</v>
      </c>
      <c r="C1671">
        <v>205020</v>
      </c>
      <c r="D1671">
        <v>13210</v>
      </c>
    </row>
    <row r="1672" spans="1:4">
      <c r="A1672" t="s">
        <v>1475</v>
      </c>
      <c r="B1672" t="s">
        <v>1349</v>
      </c>
      <c r="C1672">
        <v>205030</v>
      </c>
      <c r="D1672">
        <v>13220</v>
      </c>
    </row>
    <row r="1673" spans="1:4">
      <c r="A1673" t="s">
        <v>1475</v>
      </c>
      <c r="B1673" t="s">
        <v>1349</v>
      </c>
      <c r="C1673">
        <v>205080</v>
      </c>
      <c r="D1673">
        <v>13230</v>
      </c>
    </row>
    <row r="1674" spans="1:4">
      <c r="A1674" t="s">
        <v>1475</v>
      </c>
      <c r="B1674" t="s">
        <v>1349</v>
      </c>
      <c r="C1674">
        <v>205070</v>
      </c>
      <c r="D1674">
        <v>13240</v>
      </c>
    </row>
    <row r="1675" spans="1:4">
      <c r="A1675" t="s">
        <v>1475</v>
      </c>
      <c r="B1675" t="s">
        <v>1349</v>
      </c>
      <c r="C1675">
        <v>205050</v>
      </c>
      <c r="D1675">
        <v>13250</v>
      </c>
    </row>
    <row r="1676" spans="1:4">
      <c r="A1676" t="s">
        <v>1475</v>
      </c>
      <c r="B1676" t="s">
        <v>1349</v>
      </c>
      <c r="C1676">
        <v>204999</v>
      </c>
      <c r="D1676">
        <v>13260</v>
      </c>
    </row>
    <row r="1677" spans="1:4">
      <c r="A1677" t="s">
        <v>1475</v>
      </c>
      <c r="B1677" t="s">
        <v>1349</v>
      </c>
      <c r="C1677">
        <v>205041</v>
      </c>
      <c r="D1677">
        <v>13270</v>
      </c>
    </row>
    <row r="1678" spans="1:4">
      <c r="A1678" t="s">
        <v>1475</v>
      </c>
      <c r="B1678" t="s">
        <v>1349</v>
      </c>
      <c r="C1678">
        <v>205040</v>
      </c>
      <c r="D1678">
        <v>13280</v>
      </c>
    </row>
    <row r="1679" spans="1:4">
      <c r="A1679" t="s">
        <v>1475</v>
      </c>
      <c r="B1679" t="s">
        <v>1349</v>
      </c>
      <c r="C1679">
        <v>205100</v>
      </c>
      <c r="D1679">
        <v>13290</v>
      </c>
    </row>
    <row r="1680" spans="1:4">
      <c r="A1680" t="s">
        <v>1475</v>
      </c>
      <c r="B1680" t="s">
        <v>1349</v>
      </c>
      <c r="C1680">
        <v>211100</v>
      </c>
      <c r="D1680">
        <v>13300</v>
      </c>
    </row>
    <row r="1681" spans="1:4">
      <c r="A1681" t="s">
        <v>1475</v>
      </c>
      <c r="B1681" t="s">
        <v>1349</v>
      </c>
      <c r="C1681">
        <v>210150</v>
      </c>
      <c r="D1681">
        <v>13310</v>
      </c>
    </row>
    <row r="1682" spans="1:4">
      <c r="A1682" t="s">
        <v>1475</v>
      </c>
      <c r="B1682" t="s">
        <v>1349</v>
      </c>
      <c r="C1682">
        <v>210160</v>
      </c>
      <c r="D1682">
        <v>13320</v>
      </c>
    </row>
    <row r="1683" spans="1:4">
      <c r="A1683" t="s">
        <v>1475</v>
      </c>
      <c r="B1683" t="s">
        <v>1349</v>
      </c>
      <c r="C1683">
        <v>210180</v>
      </c>
      <c r="D1683">
        <v>13330</v>
      </c>
    </row>
    <row r="1684" spans="1:4">
      <c r="A1684" t="s">
        <v>1475</v>
      </c>
      <c r="B1684" t="s">
        <v>1349</v>
      </c>
      <c r="C1684">
        <v>210170</v>
      </c>
      <c r="D1684">
        <v>13340</v>
      </c>
    </row>
    <row r="1685" spans="1:4">
      <c r="A1685" t="s">
        <v>1475</v>
      </c>
      <c r="B1685" t="s">
        <v>1349</v>
      </c>
      <c r="C1685">
        <v>210190</v>
      </c>
      <c r="D1685">
        <v>13350</v>
      </c>
    </row>
    <row r="1686" spans="1:4">
      <c r="A1686" t="s">
        <v>1475</v>
      </c>
      <c r="B1686" t="s">
        <v>1349</v>
      </c>
      <c r="C1686">
        <v>211120</v>
      </c>
      <c r="D1686">
        <v>13360</v>
      </c>
    </row>
    <row r="1687" spans="1:4">
      <c r="A1687" t="s">
        <v>1475</v>
      </c>
      <c r="B1687" t="s">
        <v>1349</v>
      </c>
      <c r="C1687">
        <v>206680</v>
      </c>
      <c r="D1687">
        <v>13370</v>
      </c>
    </row>
    <row r="1688" spans="1:4">
      <c r="A1688" t="s">
        <v>1475</v>
      </c>
      <c r="B1688" t="s">
        <v>1349</v>
      </c>
      <c r="C1688">
        <v>206710</v>
      </c>
      <c r="D1688">
        <v>13380</v>
      </c>
    </row>
    <row r="1689" spans="1:4">
      <c r="A1689" t="s">
        <v>1475</v>
      </c>
      <c r="B1689" t="s">
        <v>1349</v>
      </c>
      <c r="C1689">
        <v>206770</v>
      </c>
      <c r="D1689">
        <v>13390</v>
      </c>
    </row>
    <row r="1690" spans="1:4">
      <c r="A1690" t="s">
        <v>1475</v>
      </c>
      <c r="B1690" t="s">
        <v>1349</v>
      </c>
      <c r="C1690">
        <v>206790</v>
      </c>
      <c r="D1690">
        <v>13400</v>
      </c>
    </row>
    <row r="1691" spans="1:4">
      <c r="A1691" t="s">
        <v>1475</v>
      </c>
      <c r="B1691" t="s">
        <v>1349</v>
      </c>
      <c r="C1691">
        <v>206780</v>
      </c>
      <c r="D1691">
        <v>13410</v>
      </c>
    </row>
    <row r="1692" spans="1:4">
      <c r="A1692" t="s">
        <v>1475</v>
      </c>
      <c r="B1692" t="s">
        <v>1349</v>
      </c>
      <c r="C1692">
        <v>206750</v>
      </c>
      <c r="D1692">
        <v>13420</v>
      </c>
    </row>
    <row r="1693" spans="1:4">
      <c r="A1693" t="s">
        <v>1475</v>
      </c>
      <c r="B1693" t="s">
        <v>1349</v>
      </c>
      <c r="C1693">
        <v>206760</v>
      </c>
      <c r="D1693">
        <v>13430</v>
      </c>
    </row>
    <row r="1694" spans="1:4">
      <c r="A1694" t="s">
        <v>1475</v>
      </c>
      <c r="B1694" t="s">
        <v>1349</v>
      </c>
      <c r="C1694">
        <v>206700</v>
      </c>
      <c r="D1694">
        <v>13440</v>
      </c>
    </row>
    <row r="1695" spans="1:4">
      <c r="A1695" t="s">
        <v>1475</v>
      </c>
      <c r="B1695" t="s">
        <v>1349</v>
      </c>
      <c r="C1695">
        <v>206730</v>
      </c>
      <c r="D1695">
        <v>13450</v>
      </c>
    </row>
    <row r="1696" spans="1:4">
      <c r="A1696" t="s">
        <v>1475</v>
      </c>
      <c r="B1696" t="s">
        <v>1349</v>
      </c>
      <c r="C1696">
        <v>206740</v>
      </c>
      <c r="D1696">
        <v>13460</v>
      </c>
    </row>
    <row r="1697" spans="1:4">
      <c r="A1697" t="s">
        <v>1475</v>
      </c>
      <c r="B1697" t="s">
        <v>1349</v>
      </c>
      <c r="C1697">
        <v>206810</v>
      </c>
      <c r="D1697">
        <v>13470</v>
      </c>
    </row>
    <row r="1698" spans="1:4">
      <c r="A1698" t="s">
        <v>1475</v>
      </c>
      <c r="B1698" t="s">
        <v>1349</v>
      </c>
      <c r="C1698">
        <v>206690</v>
      </c>
      <c r="D1698">
        <v>13480</v>
      </c>
    </row>
    <row r="1699" spans="1:4">
      <c r="A1699" t="s">
        <v>1475</v>
      </c>
      <c r="B1699" t="s">
        <v>1349</v>
      </c>
      <c r="C1699">
        <v>206720</v>
      </c>
      <c r="D1699">
        <v>13490</v>
      </c>
    </row>
    <row r="1700" spans="1:4">
      <c r="A1700" t="s">
        <v>1475</v>
      </c>
      <c r="B1700" t="s">
        <v>1349</v>
      </c>
      <c r="C1700">
        <v>206840</v>
      </c>
      <c r="D1700">
        <v>13500</v>
      </c>
    </row>
    <row r="1701" spans="1:4">
      <c r="A1701" t="s">
        <v>1475</v>
      </c>
      <c r="B1701" t="s">
        <v>1349</v>
      </c>
      <c r="C1701">
        <v>211130</v>
      </c>
      <c r="D1701">
        <v>13510</v>
      </c>
    </row>
    <row r="1702" spans="1:4">
      <c r="A1702" t="s">
        <v>1475</v>
      </c>
      <c r="B1702" t="s">
        <v>1349</v>
      </c>
      <c r="C1702">
        <v>403860</v>
      </c>
      <c r="D1702">
        <v>13520</v>
      </c>
    </row>
    <row r="1703" spans="1:4">
      <c r="A1703" t="s">
        <v>1475</v>
      </c>
      <c r="B1703" t="s">
        <v>1349</v>
      </c>
      <c r="C1703">
        <v>207770</v>
      </c>
      <c r="D1703">
        <v>13530</v>
      </c>
    </row>
    <row r="1704" spans="1:4">
      <c r="A1704" t="s">
        <v>1475</v>
      </c>
      <c r="B1704" t="s">
        <v>1349</v>
      </c>
      <c r="C1704">
        <v>403890</v>
      </c>
      <c r="D1704">
        <v>13540</v>
      </c>
    </row>
    <row r="1705" spans="1:4">
      <c r="A1705" t="s">
        <v>1475</v>
      </c>
      <c r="B1705" t="s">
        <v>1349</v>
      </c>
      <c r="C1705">
        <v>403950</v>
      </c>
      <c r="D1705">
        <v>13550</v>
      </c>
    </row>
    <row r="1706" spans="1:4">
      <c r="A1706" t="s">
        <v>1475</v>
      </c>
      <c r="B1706" t="s">
        <v>1349</v>
      </c>
      <c r="C1706">
        <v>403910</v>
      </c>
      <c r="D1706">
        <v>13560</v>
      </c>
    </row>
    <row r="1707" spans="1:4">
      <c r="A1707" t="s">
        <v>1475</v>
      </c>
      <c r="B1707" t="s">
        <v>1349</v>
      </c>
      <c r="C1707">
        <v>403870</v>
      </c>
      <c r="D1707">
        <v>13570</v>
      </c>
    </row>
    <row r="1708" spans="1:4">
      <c r="A1708" t="s">
        <v>1475</v>
      </c>
      <c r="B1708" t="s">
        <v>1349</v>
      </c>
      <c r="C1708">
        <v>207780</v>
      </c>
      <c r="D1708">
        <v>13580</v>
      </c>
    </row>
    <row r="1709" spans="1:4">
      <c r="A1709" t="s">
        <v>1475</v>
      </c>
      <c r="B1709" t="s">
        <v>1349</v>
      </c>
      <c r="C1709">
        <v>403930</v>
      </c>
      <c r="D1709">
        <v>13590</v>
      </c>
    </row>
    <row r="1710" spans="1:4">
      <c r="A1710" t="s">
        <v>1475</v>
      </c>
      <c r="B1710" t="s">
        <v>1349</v>
      </c>
      <c r="C1710">
        <v>403880</v>
      </c>
      <c r="D1710">
        <v>13600</v>
      </c>
    </row>
    <row r="1711" spans="1:4">
      <c r="A1711" t="s">
        <v>1475</v>
      </c>
      <c r="B1711" t="s">
        <v>1349</v>
      </c>
      <c r="C1711">
        <v>403920</v>
      </c>
      <c r="D1711">
        <v>13610</v>
      </c>
    </row>
    <row r="1712" spans="1:4">
      <c r="A1712" t="s">
        <v>1475</v>
      </c>
      <c r="B1712" t="s">
        <v>1349</v>
      </c>
      <c r="C1712">
        <v>207810</v>
      </c>
      <c r="D1712">
        <v>13620</v>
      </c>
    </row>
    <row r="1713" spans="1:4">
      <c r="A1713" t="s">
        <v>1475</v>
      </c>
      <c r="B1713" t="s">
        <v>1349</v>
      </c>
      <c r="C1713">
        <v>403940</v>
      </c>
      <c r="D1713">
        <v>13630</v>
      </c>
    </row>
    <row r="1714" spans="1:4">
      <c r="A1714" t="s">
        <v>1475</v>
      </c>
      <c r="B1714" t="s">
        <v>1349</v>
      </c>
      <c r="C1714">
        <v>403900</v>
      </c>
      <c r="D1714">
        <v>13640</v>
      </c>
    </row>
    <row r="1715" spans="1:4">
      <c r="A1715" t="s">
        <v>1475</v>
      </c>
      <c r="B1715" t="s">
        <v>1349</v>
      </c>
      <c r="C1715">
        <v>207750</v>
      </c>
      <c r="D1715">
        <v>13650</v>
      </c>
    </row>
    <row r="1716" spans="1:4">
      <c r="A1716" t="s">
        <v>1475</v>
      </c>
      <c r="B1716" t="s">
        <v>1349</v>
      </c>
      <c r="C1716">
        <v>403960</v>
      </c>
      <c r="D1716">
        <v>13660</v>
      </c>
    </row>
    <row r="1717" spans="1:4">
      <c r="A1717" t="s">
        <v>1475</v>
      </c>
      <c r="B1717" t="s">
        <v>1349</v>
      </c>
      <c r="C1717">
        <v>403970</v>
      </c>
      <c r="D1717">
        <v>13670</v>
      </c>
    </row>
    <row r="1718" spans="1:4">
      <c r="A1718" t="s">
        <v>1475</v>
      </c>
      <c r="B1718" t="s">
        <v>1349</v>
      </c>
      <c r="C1718">
        <v>208020</v>
      </c>
      <c r="D1718">
        <v>13680</v>
      </c>
    </row>
    <row r="1719" spans="1:4">
      <c r="A1719" t="s">
        <v>1475</v>
      </c>
      <c r="B1719" t="s">
        <v>1349</v>
      </c>
      <c r="C1719">
        <v>208030</v>
      </c>
      <c r="D1719">
        <v>13690</v>
      </c>
    </row>
    <row r="1720" spans="1:4">
      <c r="A1720" t="s">
        <v>1475</v>
      </c>
      <c r="B1720" t="s">
        <v>1349</v>
      </c>
      <c r="C1720">
        <v>208040</v>
      </c>
      <c r="D1720">
        <v>13700</v>
      </c>
    </row>
    <row r="1721" spans="1:4">
      <c r="A1721" t="s">
        <v>1475</v>
      </c>
      <c r="B1721" t="s">
        <v>1349</v>
      </c>
      <c r="C1721">
        <v>208060</v>
      </c>
      <c r="D1721">
        <v>13710</v>
      </c>
    </row>
    <row r="1722" spans="1:4">
      <c r="A1722" t="s">
        <v>1475</v>
      </c>
      <c r="B1722" t="s">
        <v>1349</v>
      </c>
      <c r="C1722">
        <v>208070</v>
      </c>
      <c r="D1722">
        <v>13720</v>
      </c>
    </row>
    <row r="1723" spans="1:4">
      <c r="A1723" t="s">
        <v>1475</v>
      </c>
      <c r="B1723" t="s">
        <v>1349</v>
      </c>
      <c r="C1723">
        <v>208100</v>
      </c>
      <c r="D1723">
        <v>13730</v>
      </c>
    </row>
    <row r="1724" spans="1:4">
      <c r="A1724" t="s">
        <v>1475</v>
      </c>
      <c r="B1724" t="s">
        <v>1349</v>
      </c>
      <c r="C1724">
        <v>208050</v>
      </c>
      <c r="D1724">
        <v>13740</v>
      </c>
    </row>
    <row r="1725" spans="1:4">
      <c r="A1725" t="s">
        <v>1475</v>
      </c>
      <c r="B1725" t="s">
        <v>1349</v>
      </c>
      <c r="C1725">
        <v>208090</v>
      </c>
      <c r="D1725">
        <v>13750</v>
      </c>
    </row>
    <row r="1726" spans="1:4">
      <c r="A1726" t="s">
        <v>1475</v>
      </c>
      <c r="B1726" t="s">
        <v>1349</v>
      </c>
      <c r="C1726">
        <v>208110</v>
      </c>
      <c r="D1726">
        <v>13760</v>
      </c>
    </row>
    <row r="1727" spans="1:4">
      <c r="A1727" t="s">
        <v>1475</v>
      </c>
      <c r="B1727" t="s">
        <v>1349</v>
      </c>
      <c r="C1727">
        <v>211140</v>
      </c>
      <c r="D1727">
        <v>13770</v>
      </c>
    </row>
    <row r="1728" spans="1:4">
      <c r="A1728" t="s">
        <v>1475</v>
      </c>
      <c r="B1728" t="s">
        <v>1349</v>
      </c>
      <c r="C1728">
        <v>211610</v>
      </c>
      <c r="D1728">
        <v>13780</v>
      </c>
    </row>
    <row r="1729" spans="1:4">
      <c r="A1729" t="s">
        <v>1475</v>
      </c>
      <c r="B1729" t="s">
        <v>1349</v>
      </c>
      <c r="C1729">
        <v>209540</v>
      </c>
      <c r="D1729">
        <v>13790</v>
      </c>
    </row>
    <row r="1730" spans="1:4">
      <c r="A1730" t="s">
        <v>1475</v>
      </c>
      <c r="B1730" t="s">
        <v>1349</v>
      </c>
      <c r="C1730">
        <v>209550</v>
      </c>
      <c r="D1730">
        <v>13800</v>
      </c>
    </row>
    <row r="1731" spans="1:4">
      <c r="A1731" t="s">
        <v>1475</v>
      </c>
      <c r="B1731" t="s">
        <v>1349</v>
      </c>
      <c r="C1731">
        <v>211480</v>
      </c>
      <c r="D1731">
        <v>13810</v>
      </c>
    </row>
    <row r="1732" spans="1:4">
      <c r="A1732" t="s">
        <v>1475</v>
      </c>
      <c r="B1732" t="s">
        <v>1349</v>
      </c>
      <c r="C1732">
        <v>211150</v>
      </c>
      <c r="D1732">
        <v>13820</v>
      </c>
    </row>
    <row r="1733" spans="1:4">
      <c r="A1733" t="s">
        <v>1475</v>
      </c>
      <c r="B1733" t="s">
        <v>1349</v>
      </c>
      <c r="C1733">
        <v>210390</v>
      </c>
      <c r="D1733">
        <v>13830</v>
      </c>
    </row>
    <row r="1734" spans="1:4">
      <c r="A1734" t="s">
        <v>1475</v>
      </c>
      <c r="B1734" t="s">
        <v>1349</v>
      </c>
      <c r="C1734">
        <v>210400</v>
      </c>
      <c r="D1734">
        <v>13840</v>
      </c>
    </row>
    <row r="1735" spans="1:4">
      <c r="A1735" t="s">
        <v>1475</v>
      </c>
      <c r="B1735" t="s">
        <v>1349</v>
      </c>
      <c r="C1735">
        <v>210420</v>
      </c>
      <c r="D1735">
        <v>13850</v>
      </c>
    </row>
    <row r="1736" spans="1:4">
      <c r="A1736" t="s">
        <v>1475</v>
      </c>
      <c r="B1736" t="s">
        <v>1349</v>
      </c>
      <c r="C1736">
        <v>210410</v>
      </c>
      <c r="D1736">
        <v>13860</v>
      </c>
    </row>
    <row r="1737" spans="1:4">
      <c r="A1737" t="s">
        <v>1475</v>
      </c>
      <c r="B1737" t="s">
        <v>1349</v>
      </c>
      <c r="C1737">
        <v>210430</v>
      </c>
      <c r="D1737">
        <v>13870</v>
      </c>
    </row>
    <row r="1738" spans="1:4">
      <c r="A1738" t="s">
        <v>1475</v>
      </c>
      <c r="B1738" t="s">
        <v>1349</v>
      </c>
      <c r="C1738">
        <v>211170</v>
      </c>
      <c r="D1738">
        <v>13880</v>
      </c>
    </row>
    <row r="1739" spans="1:4">
      <c r="A1739" t="s">
        <v>1475</v>
      </c>
      <c r="B1739" t="s">
        <v>1349</v>
      </c>
      <c r="C1739">
        <v>401000</v>
      </c>
      <c r="D1739">
        <v>13890</v>
      </c>
    </row>
    <row r="1740" spans="1:4">
      <c r="A1740" t="s">
        <v>1475</v>
      </c>
      <c r="B1740" t="s">
        <v>1349</v>
      </c>
      <c r="C1740">
        <v>207960</v>
      </c>
      <c r="D1740">
        <v>13900</v>
      </c>
    </row>
    <row r="1741" spans="1:4">
      <c r="A1741" t="s">
        <v>1475</v>
      </c>
      <c r="B1741" t="s">
        <v>1349</v>
      </c>
      <c r="C1741">
        <v>424030</v>
      </c>
      <c r="D1741">
        <v>13910</v>
      </c>
    </row>
    <row r="1742" spans="1:4">
      <c r="A1742" t="s">
        <v>1475</v>
      </c>
      <c r="B1742" t="s">
        <v>1349</v>
      </c>
      <c r="C1742">
        <v>401020</v>
      </c>
      <c r="D1742">
        <v>13920</v>
      </c>
    </row>
    <row r="1743" spans="1:4">
      <c r="A1743" t="s">
        <v>1475</v>
      </c>
      <c r="B1743" t="s">
        <v>1349</v>
      </c>
      <c r="C1743">
        <v>401071</v>
      </c>
      <c r="D1743">
        <v>13930</v>
      </c>
    </row>
    <row r="1744" spans="1:4">
      <c r="A1744" t="s">
        <v>1475</v>
      </c>
      <c r="B1744" t="s">
        <v>1349</v>
      </c>
      <c r="C1744">
        <v>401070</v>
      </c>
      <c r="D1744">
        <v>13940</v>
      </c>
    </row>
    <row r="1745" spans="1:4">
      <c r="A1745" t="s">
        <v>1475</v>
      </c>
      <c r="B1745" t="s">
        <v>1349</v>
      </c>
      <c r="C1745">
        <v>401080</v>
      </c>
      <c r="D1745">
        <v>13950</v>
      </c>
    </row>
    <row r="1746" spans="1:4">
      <c r="A1746" t="s">
        <v>1475</v>
      </c>
      <c r="B1746" t="s">
        <v>1349</v>
      </c>
      <c r="C1746">
        <v>401060</v>
      </c>
      <c r="D1746">
        <v>13960</v>
      </c>
    </row>
    <row r="1747" spans="1:4">
      <c r="A1747" t="s">
        <v>1475</v>
      </c>
      <c r="B1747" t="s">
        <v>1349</v>
      </c>
      <c r="C1747">
        <v>208000</v>
      </c>
      <c r="D1747">
        <v>13970</v>
      </c>
    </row>
    <row r="1748" spans="1:4">
      <c r="A1748" t="s">
        <v>1475</v>
      </c>
      <c r="B1748" t="s">
        <v>1349</v>
      </c>
      <c r="C1748">
        <v>401100</v>
      </c>
      <c r="D1748">
        <v>13980</v>
      </c>
    </row>
    <row r="1749" spans="1:4">
      <c r="A1749" t="s">
        <v>1475</v>
      </c>
      <c r="B1749" t="s">
        <v>1349</v>
      </c>
      <c r="C1749">
        <v>401110</v>
      </c>
      <c r="D1749">
        <v>13990</v>
      </c>
    </row>
    <row r="1750" spans="1:4">
      <c r="A1750" t="s">
        <v>1475</v>
      </c>
      <c r="B1750" t="s">
        <v>1349</v>
      </c>
      <c r="C1750">
        <v>400404</v>
      </c>
      <c r="D1750">
        <v>14000</v>
      </c>
    </row>
    <row r="1751" spans="1:4">
      <c r="A1751" t="s">
        <v>1475</v>
      </c>
      <c r="B1751" t="s">
        <v>1349</v>
      </c>
      <c r="C1751">
        <v>400403</v>
      </c>
      <c r="D1751">
        <v>14010</v>
      </c>
    </row>
    <row r="1752" spans="1:4">
      <c r="A1752" t="s">
        <v>1475</v>
      </c>
      <c r="B1752" t="s">
        <v>1349</v>
      </c>
      <c r="C1752">
        <v>400406</v>
      </c>
      <c r="D1752">
        <v>14020</v>
      </c>
    </row>
    <row r="1753" spans="1:4">
      <c r="A1753" t="s">
        <v>1475</v>
      </c>
      <c r="B1753" t="s">
        <v>1349</v>
      </c>
      <c r="C1753">
        <v>400405</v>
      </c>
      <c r="D1753">
        <v>14030</v>
      </c>
    </row>
    <row r="1754" spans="1:4">
      <c r="A1754" t="s">
        <v>1475</v>
      </c>
      <c r="B1754" t="s">
        <v>1349</v>
      </c>
      <c r="C1754">
        <v>400402</v>
      </c>
      <c r="D1754">
        <v>14040</v>
      </c>
    </row>
    <row r="1755" spans="1:4">
      <c r="A1755" t="s">
        <v>1475</v>
      </c>
      <c r="B1755" t="s">
        <v>1349</v>
      </c>
      <c r="C1755">
        <v>207860</v>
      </c>
      <c r="D1755">
        <v>14050</v>
      </c>
    </row>
    <row r="1756" spans="1:4">
      <c r="A1756" t="s">
        <v>1475</v>
      </c>
      <c r="B1756" t="s">
        <v>1349</v>
      </c>
      <c r="C1756">
        <v>207920</v>
      </c>
      <c r="D1756">
        <v>14060</v>
      </c>
    </row>
    <row r="1757" spans="1:4">
      <c r="A1757" t="s">
        <v>1475</v>
      </c>
      <c r="B1757" t="s">
        <v>1349</v>
      </c>
      <c r="C1757">
        <v>207870</v>
      </c>
      <c r="D1757">
        <v>14070</v>
      </c>
    </row>
    <row r="1758" spans="1:4">
      <c r="A1758" t="s">
        <v>1475</v>
      </c>
      <c r="B1758" t="s">
        <v>1349</v>
      </c>
      <c r="C1758">
        <v>446150</v>
      </c>
      <c r="D1758">
        <v>14080</v>
      </c>
    </row>
    <row r="1759" spans="1:4">
      <c r="A1759" t="s">
        <v>1475</v>
      </c>
      <c r="B1759" t="s">
        <v>1349</v>
      </c>
      <c r="C1759">
        <v>446151</v>
      </c>
      <c r="D1759">
        <v>14090</v>
      </c>
    </row>
    <row r="1760" spans="1:4">
      <c r="A1760" t="s">
        <v>1475</v>
      </c>
      <c r="B1760" t="s">
        <v>1349</v>
      </c>
      <c r="C1760">
        <v>207880</v>
      </c>
      <c r="D1760">
        <v>14100</v>
      </c>
    </row>
    <row r="1761" spans="1:4">
      <c r="A1761" t="s">
        <v>1475</v>
      </c>
      <c r="B1761" t="s">
        <v>1349</v>
      </c>
      <c r="C1761">
        <v>207900</v>
      </c>
      <c r="D1761">
        <v>14110</v>
      </c>
    </row>
    <row r="1762" spans="1:4">
      <c r="A1762" t="s">
        <v>1475</v>
      </c>
      <c r="B1762" t="s">
        <v>1349</v>
      </c>
      <c r="C1762">
        <v>207930</v>
      </c>
      <c r="D1762">
        <v>14120</v>
      </c>
    </row>
    <row r="1763" spans="1:4">
      <c r="A1763" t="s">
        <v>1475</v>
      </c>
      <c r="B1763" t="s">
        <v>1349</v>
      </c>
      <c r="C1763">
        <v>211180</v>
      </c>
      <c r="D1763">
        <v>14130</v>
      </c>
    </row>
    <row r="1764" spans="1:4">
      <c r="A1764" t="s">
        <v>1475</v>
      </c>
      <c r="B1764" t="s">
        <v>1349</v>
      </c>
      <c r="C1764">
        <v>401120</v>
      </c>
      <c r="D1764">
        <v>14140</v>
      </c>
    </row>
    <row r="1765" spans="1:4">
      <c r="A1765" t="s">
        <v>1475</v>
      </c>
      <c r="B1765" t="s">
        <v>1349</v>
      </c>
      <c r="C1765">
        <v>401130</v>
      </c>
      <c r="D1765">
        <v>14150</v>
      </c>
    </row>
    <row r="1766" spans="1:4">
      <c r="A1766" t="s">
        <v>1475</v>
      </c>
      <c r="B1766" t="s">
        <v>1349</v>
      </c>
      <c r="C1766">
        <v>401140</v>
      </c>
      <c r="D1766">
        <v>14160</v>
      </c>
    </row>
    <row r="1767" spans="1:4">
      <c r="A1767" t="s">
        <v>1475</v>
      </c>
      <c r="B1767" t="s">
        <v>1349</v>
      </c>
      <c r="C1767">
        <v>401150</v>
      </c>
      <c r="D1767">
        <v>14170</v>
      </c>
    </row>
    <row r="1768" spans="1:4">
      <c r="A1768" t="s">
        <v>1475</v>
      </c>
      <c r="B1768" t="s">
        <v>1349</v>
      </c>
      <c r="C1768">
        <v>205610</v>
      </c>
      <c r="D1768">
        <v>14180</v>
      </c>
    </row>
    <row r="1769" spans="1:4">
      <c r="A1769" t="s">
        <v>1475</v>
      </c>
      <c r="B1769" t="s">
        <v>1349</v>
      </c>
      <c r="C1769">
        <v>402270</v>
      </c>
      <c r="D1769">
        <v>14190</v>
      </c>
    </row>
    <row r="1770" spans="1:4">
      <c r="A1770" t="s">
        <v>1475</v>
      </c>
      <c r="B1770" t="s">
        <v>1349</v>
      </c>
      <c r="C1770">
        <v>401250</v>
      </c>
      <c r="D1770">
        <v>14200</v>
      </c>
    </row>
    <row r="1771" spans="1:4">
      <c r="A1771" t="s">
        <v>1475</v>
      </c>
      <c r="B1771" t="s">
        <v>1349</v>
      </c>
      <c r="C1771">
        <v>401260</v>
      </c>
      <c r="D1771">
        <v>14210</v>
      </c>
    </row>
    <row r="1772" spans="1:4">
      <c r="A1772" t="s">
        <v>1475</v>
      </c>
      <c r="B1772" t="s">
        <v>1349</v>
      </c>
      <c r="C1772">
        <v>401200</v>
      </c>
      <c r="D1772">
        <v>14220</v>
      </c>
    </row>
    <row r="1773" spans="1:4">
      <c r="A1773" t="s">
        <v>1475</v>
      </c>
      <c r="B1773" t="s">
        <v>1349</v>
      </c>
      <c r="C1773">
        <v>401270</v>
      </c>
      <c r="D1773">
        <v>14230</v>
      </c>
    </row>
    <row r="1774" spans="1:4">
      <c r="A1774" t="s">
        <v>1475</v>
      </c>
      <c r="B1774" t="s">
        <v>1349</v>
      </c>
      <c r="C1774">
        <v>205600</v>
      </c>
      <c r="D1774">
        <v>14240</v>
      </c>
    </row>
    <row r="1775" spans="1:4">
      <c r="A1775" t="s">
        <v>1475</v>
      </c>
      <c r="B1775" t="s">
        <v>1349</v>
      </c>
      <c r="C1775">
        <v>401210</v>
      </c>
      <c r="D1775">
        <v>14250</v>
      </c>
    </row>
    <row r="1776" spans="1:4">
      <c r="A1776" t="s">
        <v>1475</v>
      </c>
      <c r="B1776" t="s">
        <v>1349</v>
      </c>
      <c r="C1776">
        <v>401220</v>
      </c>
      <c r="D1776">
        <v>14260</v>
      </c>
    </row>
    <row r="1777" spans="1:4">
      <c r="A1777" t="s">
        <v>1475</v>
      </c>
      <c r="B1777" t="s">
        <v>1349</v>
      </c>
      <c r="C1777">
        <v>401230</v>
      </c>
      <c r="D1777">
        <v>14270</v>
      </c>
    </row>
    <row r="1778" spans="1:4">
      <c r="A1778" t="s">
        <v>1475</v>
      </c>
      <c r="B1778" t="s">
        <v>1349</v>
      </c>
      <c r="C1778">
        <v>401240</v>
      </c>
      <c r="D1778">
        <v>14280</v>
      </c>
    </row>
    <row r="1779" spans="1:4">
      <c r="A1779" t="s">
        <v>1475</v>
      </c>
      <c r="B1779" t="s">
        <v>1349</v>
      </c>
      <c r="C1779">
        <v>401290</v>
      </c>
      <c r="D1779">
        <v>14290</v>
      </c>
    </row>
    <row r="1780" spans="1:4">
      <c r="A1780" t="s">
        <v>1475</v>
      </c>
      <c r="B1780" t="s">
        <v>1349</v>
      </c>
      <c r="C1780">
        <v>401190</v>
      </c>
      <c r="D1780">
        <v>14300</v>
      </c>
    </row>
    <row r="1781" spans="1:4">
      <c r="A1781" t="s">
        <v>1475</v>
      </c>
      <c r="B1781" t="s">
        <v>1349</v>
      </c>
      <c r="C1781">
        <v>401300</v>
      </c>
      <c r="D1781">
        <v>14310</v>
      </c>
    </row>
    <row r="1782" spans="1:4">
      <c r="A1782" t="s">
        <v>1475</v>
      </c>
      <c r="B1782" t="s">
        <v>1349</v>
      </c>
      <c r="C1782">
        <v>402380</v>
      </c>
      <c r="D1782">
        <v>14320</v>
      </c>
    </row>
    <row r="1783" spans="1:4">
      <c r="A1783" t="s">
        <v>1475</v>
      </c>
      <c r="B1783" t="s">
        <v>1349</v>
      </c>
      <c r="C1783">
        <v>401160</v>
      </c>
      <c r="D1783">
        <v>14330</v>
      </c>
    </row>
    <row r="1784" spans="1:4">
      <c r="A1784" t="s">
        <v>1475</v>
      </c>
      <c r="B1784" t="s">
        <v>1349</v>
      </c>
      <c r="C1784">
        <v>401310</v>
      </c>
      <c r="D1784">
        <v>14340</v>
      </c>
    </row>
    <row r="1785" spans="1:4">
      <c r="A1785" t="s">
        <v>1475</v>
      </c>
      <c r="B1785" t="s">
        <v>1349</v>
      </c>
      <c r="C1785">
        <v>401320</v>
      </c>
      <c r="D1785">
        <v>14350</v>
      </c>
    </row>
    <row r="1786" spans="1:4">
      <c r="A1786" t="s">
        <v>1475</v>
      </c>
      <c r="B1786" t="s">
        <v>1349</v>
      </c>
      <c r="C1786">
        <v>209380</v>
      </c>
      <c r="D1786">
        <v>14360</v>
      </c>
    </row>
    <row r="1787" spans="1:4">
      <c r="A1787" t="s">
        <v>1475</v>
      </c>
      <c r="B1787" t="s">
        <v>1349</v>
      </c>
      <c r="C1787">
        <v>209410</v>
      </c>
      <c r="D1787">
        <v>14370</v>
      </c>
    </row>
    <row r="1788" spans="1:4">
      <c r="A1788" t="s">
        <v>1475</v>
      </c>
      <c r="B1788" t="s">
        <v>1349</v>
      </c>
      <c r="C1788">
        <v>209390</v>
      </c>
      <c r="D1788">
        <v>14380</v>
      </c>
    </row>
    <row r="1789" spans="1:4">
      <c r="A1789" t="s">
        <v>1475</v>
      </c>
      <c r="B1789" t="s">
        <v>1349</v>
      </c>
      <c r="C1789">
        <v>209400</v>
      </c>
      <c r="D1789">
        <v>14390</v>
      </c>
    </row>
    <row r="1790" spans="1:4">
      <c r="A1790" t="s">
        <v>1475</v>
      </c>
      <c r="B1790" t="s">
        <v>1349</v>
      </c>
      <c r="C1790">
        <v>209420</v>
      </c>
      <c r="D1790">
        <v>14400</v>
      </c>
    </row>
    <row r="1791" spans="1:4">
      <c r="A1791" t="s">
        <v>1475</v>
      </c>
      <c r="B1791" t="s">
        <v>1349</v>
      </c>
      <c r="C1791">
        <v>209430</v>
      </c>
      <c r="D1791">
        <v>14410</v>
      </c>
    </row>
    <row r="1792" spans="1:4">
      <c r="A1792" t="s">
        <v>1475</v>
      </c>
      <c r="B1792" t="s">
        <v>1349</v>
      </c>
      <c r="C1792">
        <v>211190</v>
      </c>
      <c r="D1792">
        <v>14420</v>
      </c>
    </row>
    <row r="1793" spans="1:4">
      <c r="A1793" t="s">
        <v>1475</v>
      </c>
      <c r="B1793" t="s">
        <v>1349</v>
      </c>
      <c r="C1793">
        <v>210440</v>
      </c>
      <c r="D1793">
        <v>14430</v>
      </c>
    </row>
    <row r="1794" spans="1:4">
      <c r="A1794" t="s">
        <v>1475</v>
      </c>
      <c r="B1794" t="s">
        <v>1349</v>
      </c>
      <c r="C1794">
        <v>210450</v>
      </c>
      <c r="D1794">
        <v>14440</v>
      </c>
    </row>
    <row r="1795" spans="1:4">
      <c r="A1795" t="s">
        <v>1475</v>
      </c>
      <c r="B1795" t="s">
        <v>1349</v>
      </c>
      <c r="C1795">
        <v>210470</v>
      </c>
      <c r="D1795">
        <v>14450</v>
      </c>
    </row>
    <row r="1796" spans="1:4">
      <c r="A1796" t="s">
        <v>1475</v>
      </c>
      <c r="B1796" t="s">
        <v>1349</v>
      </c>
      <c r="C1796">
        <v>210460</v>
      </c>
      <c r="D1796">
        <v>14460</v>
      </c>
    </row>
    <row r="1797" spans="1:4">
      <c r="A1797" t="s">
        <v>1475</v>
      </c>
      <c r="B1797" t="s">
        <v>1349</v>
      </c>
      <c r="C1797">
        <v>210480</v>
      </c>
      <c r="D1797">
        <v>14470</v>
      </c>
    </row>
    <row r="1798" spans="1:4">
      <c r="A1798" t="s">
        <v>1475</v>
      </c>
      <c r="B1798" t="s">
        <v>1349</v>
      </c>
      <c r="C1798">
        <v>211200</v>
      </c>
      <c r="D1798">
        <v>14480</v>
      </c>
    </row>
    <row r="1799" spans="1:4">
      <c r="A1799" t="s">
        <v>1475</v>
      </c>
      <c r="B1799" t="s">
        <v>1349</v>
      </c>
      <c r="C1799">
        <v>212020</v>
      </c>
      <c r="D1799">
        <v>14490</v>
      </c>
    </row>
    <row r="1800" spans="1:4">
      <c r="A1800" t="s">
        <v>1475</v>
      </c>
      <c r="B1800" t="s">
        <v>1349</v>
      </c>
      <c r="C1800">
        <v>212021</v>
      </c>
      <c r="D1800">
        <v>14500</v>
      </c>
    </row>
    <row r="1801" spans="1:4">
      <c r="A1801" t="s">
        <v>1475</v>
      </c>
      <c r="B1801" t="s">
        <v>1349</v>
      </c>
      <c r="C1801">
        <v>212022</v>
      </c>
      <c r="D1801">
        <v>14510</v>
      </c>
    </row>
    <row r="1802" spans="1:4">
      <c r="A1802" t="s">
        <v>1475</v>
      </c>
      <c r="B1802" t="s">
        <v>1349</v>
      </c>
      <c r="C1802">
        <v>212023</v>
      </c>
      <c r="D1802">
        <v>14520</v>
      </c>
    </row>
    <row r="1803" spans="1:4">
      <c r="A1803" t="s">
        <v>1475</v>
      </c>
      <c r="B1803" t="s">
        <v>1349</v>
      </c>
      <c r="C1803">
        <v>212160</v>
      </c>
      <c r="D1803">
        <v>14530</v>
      </c>
    </row>
    <row r="1804" spans="1:4">
      <c r="A1804" t="s">
        <v>1475</v>
      </c>
      <c r="B1804" t="s">
        <v>1349</v>
      </c>
      <c r="C1804">
        <v>208580</v>
      </c>
      <c r="D1804">
        <v>14540</v>
      </c>
    </row>
    <row r="1805" spans="1:4">
      <c r="A1805" t="s">
        <v>1475</v>
      </c>
      <c r="B1805" t="s">
        <v>1349</v>
      </c>
      <c r="C1805">
        <v>208590</v>
      </c>
      <c r="D1805">
        <v>14550</v>
      </c>
    </row>
    <row r="1806" spans="1:4">
      <c r="A1806" t="s">
        <v>1475</v>
      </c>
      <c r="B1806" t="s">
        <v>1349</v>
      </c>
      <c r="C1806">
        <v>208600</v>
      </c>
      <c r="D1806">
        <v>14560</v>
      </c>
    </row>
    <row r="1807" spans="1:4">
      <c r="A1807" t="s">
        <v>1475</v>
      </c>
      <c r="B1807" t="s">
        <v>1349</v>
      </c>
      <c r="C1807">
        <v>208630</v>
      </c>
      <c r="D1807">
        <v>14570</v>
      </c>
    </row>
    <row r="1808" spans="1:4">
      <c r="A1808" t="s">
        <v>1475</v>
      </c>
      <c r="B1808" t="s">
        <v>1349</v>
      </c>
      <c r="C1808">
        <v>208640</v>
      </c>
      <c r="D1808">
        <v>14580</v>
      </c>
    </row>
    <row r="1809" spans="1:4">
      <c r="A1809" t="s">
        <v>1475</v>
      </c>
      <c r="B1809" t="s">
        <v>1349</v>
      </c>
      <c r="C1809">
        <v>208610</v>
      </c>
      <c r="D1809">
        <v>14590</v>
      </c>
    </row>
    <row r="1810" spans="1:4">
      <c r="A1810" t="s">
        <v>1475</v>
      </c>
      <c r="B1810" t="s">
        <v>1349</v>
      </c>
      <c r="C1810">
        <v>208620</v>
      </c>
      <c r="D1810">
        <v>14600</v>
      </c>
    </row>
    <row r="1811" spans="1:4">
      <c r="A1811" t="s">
        <v>1475</v>
      </c>
      <c r="B1811" t="s">
        <v>1349</v>
      </c>
      <c r="C1811">
        <v>208650</v>
      </c>
      <c r="D1811">
        <v>14610</v>
      </c>
    </row>
    <row r="1812" spans="1:4">
      <c r="A1812" t="s">
        <v>1475</v>
      </c>
      <c r="B1812" t="s">
        <v>1349</v>
      </c>
      <c r="C1812">
        <v>211210</v>
      </c>
      <c r="D1812">
        <v>14620</v>
      </c>
    </row>
    <row r="1813" spans="1:4">
      <c r="A1813" t="s">
        <v>1475</v>
      </c>
      <c r="B1813" t="s">
        <v>1349</v>
      </c>
      <c r="C1813">
        <v>209440</v>
      </c>
      <c r="D1813">
        <v>14630</v>
      </c>
    </row>
    <row r="1814" spans="1:4">
      <c r="A1814" t="s">
        <v>1475</v>
      </c>
      <c r="B1814" t="s">
        <v>1349</v>
      </c>
      <c r="C1814">
        <v>209470</v>
      </c>
      <c r="D1814">
        <v>14640</v>
      </c>
    </row>
    <row r="1815" spans="1:4">
      <c r="A1815" t="s">
        <v>1475</v>
      </c>
      <c r="B1815" t="s">
        <v>1349</v>
      </c>
      <c r="C1815">
        <v>209480</v>
      </c>
      <c r="D1815">
        <v>14650</v>
      </c>
    </row>
    <row r="1816" spans="1:4">
      <c r="A1816" t="s">
        <v>1475</v>
      </c>
      <c r="B1816" t="s">
        <v>1349</v>
      </c>
      <c r="C1816">
        <v>209460</v>
      </c>
      <c r="D1816">
        <v>14660</v>
      </c>
    </row>
    <row r="1817" spans="1:4">
      <c r="A1817" t="s">
        <v>1475</v>
      </c>
      <c r="B1817" t="s">
        <v>1349</v>
      </c>
      <c r="C1817">
        <v>209500</v>
      </c>
      <c r="D1817">
        <v>14670</v>
      </c>
    </row>
    <row r="1818" spans="1:4">
      <c r="A1818" t="s">
        <v>1475</v>
      </c>
      <c r="B1818" t="s">
        <v>1349</v>
      </c>
      <c r="C1818">
        <v>209490</v>
      </c>
      <c r="D1818">
        <v>14680</v>
      </c>
    </row>
    <row r="1819" spans="1:4">
      <c r="A1819" t="s">
        <v>1475</v>
      </c>
      <c r="B1819" t="s">
        <v>1349</v>
      </c>
      <c r="C1819">
        <v>209450</v>
      </c>
      <c r="D1819">
        <v>14690</v>
      </c>
    </row>
    <row r="1820" spans="1:4">
      <c r="A1820" t="s">
        <v>1475</v>
      </c>
      <c r="B1820" t="s">
        <v>1349</v>
      </c>
      <c r="C1820">
        <v>209530</v>
      </c>
      <c r="D1820">
        <v>14700</v>
      </c>
    </row>
    <row r="1821" spans="1:4">
      <c r="A1821" t="s">
        <v>1475</v>
      </c>
      <c r="B1821" t="s">
        <v>1349</v>
      </c>
      <c r="C1821">
        <v>211220</v>
      </c>
      <c r="D1821">
        <v>14710</v>
      </c>
    </row>
    <row r="1822" spans="1:4">
      <c r="A1822" t="s">
        <v>1475</v>
      </c>
      <c r="B1822" t="s">
        <v>1349</v>
      </c>
      <c r="C1822">
        <v>405749</v>
      </c>
      <c r="D1822">
        <v>14720</v>
      </c>
    </row>
    <row r="1823" spans="1:4">
      <c r="A1823" t="s">
        <v>1475</v>
      </c>
      <c r="B1823" t="s">
        <v>1349</v>
      </c>
      <c r="C1823">
        <v>405740</v>
      </c>
      <c r="D1823">
        <v>14730</v>
      </c>
    </row>
    <row r="1824" spans="1:4">
      <c r="A1824" t="s">
        <v>1475</v>
      </c>
      <c r="B1824" t="s">
        <v>1349</v>
      </c>
      <c r="C1824">
        <v>405720</v>
      </c>
      <c r="D1824">
        <v>14740</v>
      </c>
    </row>
    <row r="1825" spans="1:4">
      <c r="A1825" t="s">
        <v>1475</v>
      </c>
      <c r="B1825" t="s">
        <v>1349</v>
      </c>
      <c r="C1825">
        <v>405750</v>
      </c>
      <c r="D1825">
        <v>14750</v>
      </c>
    </row>
    <row r="1826" spans="1:4">
      <c r="A1826" t="s">
        <v>1475</v>
      </c>
      <c r="B1826" t="s">
        <v>1349</v>
      </c>
      <c r="C1826">
        <v>405760</v>
      </c>
      <c r="D1826">
        <v>14760</v>
      </c>
    </row>
    <row r="1827" spans="1:4">
      <c r="A1827" t="s">
        <v>1475</v>
      </c>
      <c r="B1827" t="s">
        <v>1349</v>
      </c>
      <c r="C1827">
        <v>405770</v>
      </c>
      <c r="D1827">
        <v>14770</v>
      </c>
    </row>
    <row r="1828" spans="1:4">
      <c r="A1828" t="s">
        <v>1475</v>
      </c>
      <c r="B1828" t="s">
        <v>1349</v>
      </c>
      <c r="C1828">
        <v>405780</v>
      </c>
      <c r="D1828">
        <v>14780</v>
      </c>
    </row>
    <row r="1829" spans="1:4">
      <c r="A1829" t="s">
        <v>1475</v>
      </c>
      <c r="B1829" t="s">
        <v>1349</v>
      </c>
      <c r="C1829">
        <v>400409</v>
      </c>
      <c r="D1829">
        <v>14790</v>
      </c>
    </row>
    <row r="1830" spans="1:4">
      <c r="A1830" t="s">
        <v>1475</v>
      </c>
      <c r="B1830" t="s">
        <v>1349</v>
      </c>
      <c r="C1830">
        <v>400408</v>
      </c>
      <c r="D1830">
        <v>14800</v>
      </c>
    </row>
    <row r="1831" spans="1:4">
      <c r="A1831" t="s">
        <v>1475</v>
      </c>
      <c r="B1831" t="s">
        <v>1349</v>
      </c>
      <c r="C1831">
        <v>400411</v>
      </c>
      <c r="D1831">
        <v>14810</v>
      </c>
    </row>
    <row r="1832" spans="1:4">
      <c r="A1832" t="s">
        <v>1475</v>
      </c>
      <c r="B1832" t="s">
        <v>1349</v>
      </c>
      <c r="C1832">
        <v>400410</v>
      </c>
      <c r="D1832">
        <v>14820</v>
      </c>
    </row>
    <row r="1833" spans="1:4">
      <c r="A1833" t="s">
        <v>1475</v>
      </c>
      <c r="B1833" t="s">
        <v>1349</v>
      </c>
      <c r="C1833">
        <v>400407</v>
      </c>
      <c r="D1833">
        <v>14830</v>
      </c>
    </row>
    <row r="1834" spans="1:4">
      <c r="A1834" t="s">
        <v>1475</v>
      </c>
      <c r="B1834" t="s">
        <v>1349</v>
      </c>
      <c r="C1834">
        <v>212030</v>
      </c>
      <c r="D1834">
        <v>14840</v>
      </c>
    </row>
    <row r="1835" spans="1:4">
      <c r="A1835" t="s">
        <v>1475</v>
      </c>
      <c r="B1835" t="s">
        <v>1349</v>
      </c>
      <c r="C1835">
        <v>212031</v>
      </c>
      <c r="D1835">
        <v>14850</v>
      </c>
    </row>
    <row r="1836" spans="1:4">
      <c r="A1836" t="s">
        <v>1475</v>
      </c>
      <c r="B1836" t="s">
        <v>1349</v>
      </c>
      <c r="C1836">
        <v>212032</v>
      </c>
      <c r="D1836">
        <v>14860</v>
      </c>
    </row>
    <row r="1837" spans="1:4">
      <c r="A1837" t="s">
        <v>1475</v>
      </c>
      <c r="B1837" t="s">
        <v>1349</v>
      </c>
      <c r="C1837">
        <v>212033</v>
      </c>
      <c r="D1837">
        <v>14870</v>
      </c>
    </row>
    <row r="1838" spans="1:4">
      <c r="A1838" t="s">
        <v>1475</v>
      </c>
      <c r="B1838" t="s">
        <v>1349</v>
      </c>
      <c r="C1838">
        <v>212170</v>
      </c>
      <c r="D1838">
        <v>14880</v>
      </c>
    </row>
    <row r="1839" spans="1:4">
      <c r="A1839" t="s">
        <v>1475</v>
      </c>
      <c r="B1839" t="s">
        <v>1349</v>
      </c>
      <c r="C1839">
        <v>403980</v>
      </c>
      <c r="D1839">
        <v>14890</v>
      </c>
    </row>
    <row r="1840" spans="1:4">
      <c r="A1840" t="s">
        <v>1475</v>
      </c>
      <c r="B1840" t="s">
        <v>1349</v>
      </c>
      <c r="C1840">
        <v>404000</v>
      </c>
      <c r="D1840">
        <v>14900</v>
      </c>
    </row>
    <row r="1841" spans="1:4">
      <c r="A1841" t="s">
        <v>1475</v>
      </c>
      <c r="B1841" t="s">
        <v>1349</v>
      </c>
      <c r="C1841">
        <v>207630</v>
      </c>
      <c r="D1841">
        <v>14910</v>
      </c>
    </row>
    <row r="1842" spans="1:4">
      <c r="A1842" t="s">
        <v>1475</v>
      </c>
      <c r="B1842" t="s">
        <v>1349</v>
      </c>
      <c r="C1842">
        <v>418010</v>
      </c>
      <c r="D1842">
        <v>14920</v>
      </c>
    </row>
    <row r="1843" spans="1:4">
      <c r="A1843" t="s">
        <v>1475</v>
      </c>
      <c r="B1843" t="s">
        <v>1349</v>
      </c>
      <c r="C1843">
        <v>417901</v>
      </c>
      <c r="D1843">
        <v>14930</v>
      </c>
    </row>
    <row r="1844" spans="1:4">
      <c r="A1844" t="s">
        <v>1475</v>
      </c>
      <c r="B1844" t="s">
        <v>1349</v>
      </c>
      <c r="C1844">
        <v>404030</v>
      </c>
      <c r="D1844">
        <v>14940</v>
      </c>
    </row>
    <row r="1845" spans="1:4">
      <c r="A1845" t="s">
        <v>1475</v>
      </c>
      <c r="B1845" t="s">
        <v>1349</v>
      </c>
      <c r="C1845">
        <v>207570</v>
      </c>
      <c r="D1845">
        <v>14950</v>
      </c>
    </row>
    <row r="1846" spans="1:4">
      <c r="A1846" t="s">
        <v>1475</v>
      </c>
      <c r="B1846" t="s">
        <v>1349</v>
      </c>
      <c r="C1846">
        <v>207580</v>
      </c>
      <c r="D1846">
        <v>14960</v>
      </c>
    </row>
    <row r="1847" spans="1:4">
      <c r="A1847" t="s">
        <v>1475</v>
      </c>
      <c r="B1847" t="s">
        <v>1349</v>
      </c>
      <c r="C1847">
        <v>404110</v>
      </c>
      <c r="D1847">
        <v>14970</v>
      </c>
    </row>
    <row r="1848" spans="1:4">
      <c r="A1848" t="s">
        <v>1475</v>
      </c>
      <c r="B1848" t="s">
        <v>1349</v>
      </c>
      <c r="C1848">
        <v>207660</v>
      </c>
      <c r="D1848">
        <v>14980</v>
      </c>
    </row>
    <row r="1849" spans="1:4">
      <c r="A1849" t="s">
        <v>1475</v>
      </c>
      <c r="B1849" t="s">
        <v>1349</v>
      </c>
      <c r="C1849">
        <v>404140</v>
      </c>
      <c r="D1849">
        <v>14990</v>
      </c>
    </row>
    <row r="1850" spans="1:4">
      <c r="A1850" t="s">
        <v>1475</v>
      </c>
      <c r="B1850" t="s">
        <v>1349</v>
      </c>
      <c r="C1850">
        <v>404100</v>
      </c>
      <c r="D1850">
        <v>15000</v>
      </c>
    </row>
    <row r="1851" spans="1:4">
      <c r="A1851" t="s">
        <v>1475</v>
      </c>
      <c r="B1851" t="s">
        <v>1349</v>
      </c>
      <c r="C1851">
        <v>404120</v>
      </c>
      <c r="D1851">
        <v>15010</v>
      </c>
    </row>
    <row r="1852" spans="1:4">
      <c r="A1852" t="s">
        <v>1475</v>
      </c>
      <c r="B1852" t="s">
        <v>1349</v>
      </c>
      <c r="C1852">
        <v>404020</v>
      </c>
      <c r="D1852">
        <v>15020</v>
      </c>
    </row>
    <row r="1853" spans="1:4">
      <c r="A1853" t="s">
        <v>1475</v>
      </c>
      <c r="B1853" t="s">
        <v>1349</v>
      </c>
      <c r="C1853">
        <v>207640</v>
      </c>
      <c r="D1853">
        <v>15030</v>
      </c>
    </row>
    <row r="1854" spans="1:4">
      <c r="A1854" t="s">
        <v>1475</v>
      </c>
      <c r="B1854" t="s">
        <v>1349</v>
      </c>
      <c r="C1854">
        <v>211230</v>
      </c>
      <c r="D1854">
        <v>15040</v>
      </c>
    </row>
    <row r="1855" spans="1:4">
      <c r="A1855" t="s">
        <v>1475</v>
      </c>
      <c r="B1855" t="s">
        <v>1349</v>
      </c>
      <c r="C1855">
        <v>211650</v>
      </c>
      <c r="D1855">
        <v>15050</v>
      </c>
    </row>
    <row r="1856" spans="1:4">
      <c r="A1856" t="s">
        <v>1475</v>
      </c>
      <c r="B1856" t="s">
        <v>1349</v>
      </c>
      <c r="C1856">
        <v>211640</v>
      </c>
      <c r="D1856">
        <v>15060</v>
      </c>
    </row>
    <row r="1857" spans="1:4">
      <c r="A1857" t="s">
        <v>1475</v>
      </c>
      <c r="B1857" t="s">
        <v>1349</v>
      </c>
      <c r="C1857">
        <v>211680</v>
      </c>
      <c r="D1857">
        <v>15070</v>
      </c>
    </row>
    <row r="1858" spans="1:4">
      <c r="A1858" t="s">
        <v>1475</v>
      </c>
      <c r="B1858" t="s">
        <v>1349</v>
      </c>
      <c r="C1858">
        <v>211690</v>
      </c>
      <c r="D1858">
        <v>15080</v>
      </c>
    </row>
    <row r="1859" spans="1:4">
      <c r="A1859" t="s">
        <v>1475</v>
      </c>
      <c r="B1859" t="s">
        <v>1349</v>
      </c>
      <c r="C1859">
        <v>211670</v>
      </c>
      <c r="D1859">
        <v>15090</v>
      </c>
    </row>
    <row r="1860" spans="1:4">
      <c r="A1860" t="s">
        <v>1475</v>
      </c>
      <c r="B1860" t="s">
        <v>1349</v>
      </c>
      <c r="C1860">
        <v>211660</v>
      </c>
      <c r="D1860">
        <v>15100</v>
      </c>
    </row>
    <row r="1861" spans="1:4">
      <c r="A1861" t="s">
        <v>1475</v>
      </c>
      <c r="B1861" t="s">
        <v>1349</v>
      </c>
      <c r="C1861">
        <v>408921</v>
      </c>
      <c r="D1861">
        <v>15110</v>
      </c>
    </row>
    <row r="1862" spans="1:4">
      <c r="A1862" t="s">
        <v>1475</v>
      </c>
      <c r="B1862" t="s">
        <v>1349</v>
      </c>
      <c r="C1862">
        <v>408922</v>
      </c>
      <c r="D1862">
        <v>15120</v>
      </c>
    </row>
    <row r="1863" spans="1:4">
      <c r="A1863" t="s">
        <v>1475</v>
      </c>
      <c r="B1863" t="s">
        <v>1349</v>
      </c>
      <c r="C1863">
        <v>408923</v>
      </c>
      <c r="D1863">
        <v>15130</v>
      </c>
    </row>
    <row r="1864" spans="1:4">
      <c r="A1864" t="s">
        <v>1475</v>
      </c>
      <c r="B1864" t="s">
        <v>1349</v>
      </c>
      <c r="C1864">
        <v>408819</v>
      </c>
      <c r="D1864">
        <v>15140</v>
      </c>
    </row>
    <row r="1865" spans="1:4">
      <c r="A1865" t="s">
        <v>1475</v>
      </c>
      <c r="B1865" t="s">
        <v>1349</v>
      </c>
      <c r="C1865">
        <v>408840</v>
      </c>
      <c r="D1865">
        <v>15150</v>
      </c>
    </row>
    <row r="1866" spans="1:4">
      <c r="A1866" t="s">
        <v>1475</v>
      </c>
      <c r="B1866" t="s">
        <v>1349</v>
      </c>
      <c r="C1866">
        <v>408820</v>
      </c>
      <c r="D1866">
        <v>15160</v>
      </c>
    </row>
    <row r="1867" spans="1:4">
      <c r="A1867" t="s">
        <v>1475</v>
      </c>
      <c r="B1867" t="s">
        <v>1349</v>
      </c>
      <c r="C1867">
        <v>408830</v>
      </c>
      <c r="D1867">
        <v>15170</v>
      </c>
    </row>
    <row r="1868" spans="1:4">
      <c r="A1868" t="s">
        <v>1475</v>
      </c>
      <c r="B1868" t="s">
        <v>1349</v>
      </c>
      <c r="C1868">
        <v>408860</v>
      </c>
      <c r="D1868">
        <v>15180</v>
      </c>
    </row>
    <row r="1869" spans="1:4">
      <c r="A1869" t="s">
        <v>1475</v>
      </c>
      <c r="B1869" t="s">
        <v>1349</v>
      </c>
      <c r="C1869">
        <v>408889</v>
      </c>
      <c r="D1869">
        <v>15190</v>
      </c>
    </row>
    <row r="1870" spans="1:4">
      <c r="A1870" t="s">
        <v>1475</v>
      </c>
      <c r="B1870" t="s">
        <v>1349</v>
      </c>
      <c r="C1870">
        <v>408890</v>
      </c>
      <c r="D1870">
        <v>15200</v>
      </c>
    </row>
    <row r="1871" spans="1:4">
      <c r="A1871" t="s">
        <v>1475</v>
      </c>
      <c r="B1871" t="s">
        <v>1349</v>
      </c>
      <c r="C1871">
        <v>408891</v>
      </c>
      <c r="D1871">
        <v>15210</v>
      </c>
    </row>
    <row r="1872" spans="1:4">
      <c r="A1872" t="s">
        <v>1475</v>
      </c>
      <c r="B1872" t="s">
        <v>1349</v>
      </c>
      <c r="C1872">
        <v>408920</v>
      </c>
      <c r="D1872">
        <v>15220</v>
      </c>
    </row>
    <row r="1873" spans="1:4">
      <c r="A1873" t="s">
        <v>1475</v>
      </c>
      <c r="B1873" t="s">
        <v>1349</v>
      </c>
      <c r="C1873">
        <v>408910</v>
      </c>
      <c r="D1873">
        <v>15230</v>
      </c>
    </row>
    <row r="1874" spans="1:4">
      <c r="A1874" t="s">
        <v>1475</v>
      </c>
      <c r="B1874" t="s">
        <v>1349</v>
      </c>
      <c r="C1874">
        <v>430609</v>
      </c>
      <c r="D1874">
        <v>15240</v>
      </c>
    </row>
    <row r="1875" spans="1:4">
      <c r="A1875" t="s">
        <v>1475</v>
      </c>
      <c r="B1875" t="s">
        <v>1349</v>
      </c>
      <c r="C1875">
        <v>430631</v>
      </c>
      <c r="D1875">
        <v>15250</v>
      </c>
    </row>
    <row r="1876" spans="1:4">
      <c r="A1876" t="s">
        <v>1475</v>
      </c>
      <c r="B1876" t="s">
        <v>1349</v>
      </c>
      <c r="C1876">
        <v>430630</v>
      </c>
      <c r="D1876">
        <v>15260</v>
      </c>
    </row>
    <row r="1877" spans="1:4">
      <c r="A1877" t="s">
        <v>1475</v>
      </c>
      <c r="B1877" t="s">
        <v>1349</v>
      </c>
      <c r="C1877">
        <v>430633</v>
      </c>
      <c r="D1877">
        <v>15270</v>
      </c>
    </row>
    <row r="1878" spans="1:4">
      <c r="A1878" t="s">
        <v>1475</v>
      </c>
      <c r="B1878" t="s">
        <v>1349</v>
      </c>
      <c r="C1878">
        <v>430690</v>
      </c>
      <c r="D1878">
        <v>15280</v>
      </c>
    </row>
    <row r="1879" spans="1:4">
      <c r="A1879" t="s">
        <v>1475</v>
      </c>
      <c r="B1879" t="s">
        <v>1349</v>
      </c>
      <c r="C1879">
        <v>430696</v>
      </c>
      <c r="D1879">
        <v>15290</v>
      </c>
    </row>
    <row r="1880" spans="1:4">
      <c r="A1880" t="s">
        <v>1475</v>
      </c>
      <c r="B1880" t="s">
        <v>1349</v>
      </c>
      <c r="C1880">
        <v>430695</v>
      </c>
      <c r="D1880">
        <v>15300</v>
      </c>
    </row>
    <row r="1881" spans="1:4">
      <c r="A1881" t="s">
        <v>1475</v>
      </c>
      <c r="B1881" t="s">
        <v>1349</v>
      </c>
      <c r="C1881">
        <v>430694</v>
      </c>
      <c r="D1881">
        <v>15310</v>
      </c>
    </row>
    <row r="1882" spans="1:4">
      <c r="A1882" t="s">
        <v>1475</v>
      </c>
      <c r="B1882" t="s">
        <v>1349</v>
      </c>
      <c r="C1882">
        <v>430632</v>
      </c>
      <c r="D1882">
        <v>15320</v>
      </c>
    </row>
    <row r="1883" spans="1:4">
      <c r="A1883" t="s">
        <v>1475</v>
      </c>
      <c r="B1883" t="s">
        <v>1349</v>
      </c>
      <c r="C1883">
        <v>430693</v>
      </c>
      <c r="D1883">
        <v>15330</v>
      </c>
    </row>
    <row r="1884" spans="1:4">
      <c r="A1884" t="s">
        <v>1475</v>
      </c>
      <c r="B1884" t="s">
        <v>1349</v>
      </c>
      <c r="C1884">
        <v>430692</v>
      </c>
      <c r="D1884">
        <v>15340</v>
      </c>
    </row>
    <row r="1885" spans="1:4">
      <c r="A1885" t="s">
        <v>1475</v>
      </c>
      <c r="B1885" t="s">
        <v>1349</v>
      </c>
      <c r="C1885">
        <v>454200</v>
      </c>
      <c r="D1885">
        <v>15350</v>
      </c>
    </row>
    <row r="1886" spans="1:4">
      <c r="A1886" t="s">
        <v>1475</v>
      </c>
      <c r="B1886" t="s">
        <v>1349</v>
      </c>
      <c r="C1886">
        <v>430691</v>
      </c>
      <c r="D1886">
        <v>15360</v>
      </c>
    </row>
    <row r="1887" spans="1:4">
      <c r="A1887" t="s">
        <v>1475</v>
      </c>
      <c r="B1887" t="s">
        <v>1349</v>
      </c>
      <c r="C1887">
        <v>400414</v>
      </c>
      <c r="D1887">
        <v>15370</v>
      </c>
    </row>
    <row r="1888" spans="1:4">
      <c r="A1888" t="s">
        <v>1475</v>
      </c>
      <c r="B1888" t="s">
        <v>1349</v>
      </c>
      <c r="C1888">
        <v>400413</v>
      </c>
      <c r="D1888">
        <v>15380</v>
      </c>
    </row>
    <row r="1889" spans="1:4">
      <c r="A1889" t="s">
        <v>1475</v>
      </c>
      <c r="B1889" t="s">
        <v>1349</v>
      </c>
      <c r="C1889">
        <v>400416</v>
      </c>
      <c r="D1889">
        <v>15390</v>
      </c>
    </row>
    <row r="1890" spans="1:4">
      <c r="A1890" t="s">
        <v>1475</v>
      </c>
      <c r="B1890" t="s">
        <v>1349</v>
      </c>
      <c r="C1890">
        <v>400415</v>
      </c>
      <c r="D1890">
        <v>15400</v>
      </c>
    </row>
    <row r="1891" spans="1:4">
      <c r="A1891" t="s">
        <v>1475</v>
      </c>
      <c r="B1891" t="s">
        <v>1349</v>
      </c>
      <c r="C1891">
        <v>400412</v>
      </c>
      <c r="D1891">
        <v>15410</v>
      </c>
    </row>
    <row r="1892" spans="1:4">
      <c r="A1892" t="s">
        <v>1475</v>
      </c>
      <c r="B1892" t="s">
        <v>1349</v>
      </c>
      <c r="C1892">
        <v>211620</v>
      </c>
      <c r="D1892">
        <v>15420</v>
      </c>
    </row>
    <row r="1893" spans="1:4">
      <c r="A1893" t="s">
        <v>1475</v>
      </c>
      <c r="B1893" t="s">
        <v>1349</v>
      </c>
      <c r="C1893">
        <v>211621</v>
      </c>
      <c r="D1893">
        <v>15430</v>
      </c>
    </row>
    <row r="1894" spans="1:4">
      <c r="A1894" t="s">
        <v>1475</v>
      </c>
      <c r="B1894" t="s">
        <v>1349</v>
      </c>
      <c r="C1894">
        <v>211622</v>
      </c>
      <c r="D1894">
        <v>15440</v>
      </c>
    </row>
    <row r="1895" spans="1:4">
      <c r="A1895" t="s">
        <v>1475</v>
      </c>
      <c r="B1895" t="s">
        <v>1349</v>
      </c>
      <c r="C1895">
        <v>211510</v>
      </c>
      <c r="D1895">
        <v>15450</v>
      </c>
    </row>
    <row r="1896" spans="1:4">
      <c r="A1896" t="s">
        <v>1475</v>
      </c>
      <c r="B1896" t="s">
        <v>1349</v>
      </c>
      <c r="C1896">
        <v>211240</v>
      </c>
      <c r="D1896">
        <v>15460</v>
      </c>
    </row>
    <row r="1897" spans="1:4">
      <c r="A1897" t="s">
        <v>1475</v>
      </c>
      <c r="B1897" t="s">
        <v>1349</v>
      </c>
      <c r="C1897">
        <v>211740</v>
      </c>
      <c r="D1897">
        <v>15470</v>
      </c>
    </row>
    <row r="1898" spans="1:4">
      <c r="A1898" t="s">
        <v>1475</v>
      </c>
      <c r="B1898" t="s">
        <v>1349</v>
      </c>
      <c r="C1898">
        <v>211810</v>
      </c>
      <c r="D1898">
        <v>15480</v>
      </c>
    </row>
    <row r="1899" spans="1:4">
      <c r="A1899" t="s">
        <v>1475</v>
      </c>
      <c r="B1899" t="s">
        <v>1349</v>
      </c>
      <c r="C1899">
        <v>211820</v>
      </c>
      <c r="D1899">
        <v>15490</v>
      </c>
    </row>
    <row r="1900" spans="1:4">
      <c r="A1900" t="s">
        <v>1475</v>
      </c>
      <c r="B1900" t="s">
        <v>1349</v>
      </c>
      <c r="C1900">
        <v>211800</v>
      </c>
      <c r="D1900">
        <v>15500</v>
      </c>
    </row>
    <row r="1901" spans="1:4">
      <c r="A1901" t="s">
        <v>1475</v>
      </c>
      <c r="B1901" t="s">
        <v>1349</v>
      </c>
      <c r="C1901">
        <v>211730</v>
      </c>
      <c r="D1901">
        <v>15510</v>
      </c>
    </row>
    <row r="1902" spans="1:4">
      <c r="A1902" t="s">
        <v>1475</v>
      </c>
      <c r="B1902" t="s">
        <v>1349</v>
      </c>
      <c r="C1902">
        <v>211739</v>
      </c>
      <c r="D1902">
        <v>15520</v>
      </c>
    </row>
    <row r="1903" spans="1:4">
      <c r="A1903" t="s">
        <v>1475</v>
      </c>
      <c r="B1903" t="s">
        <v>1349</v>
      </c>
      <c r="C1903">
        <v>211720</v>
      </c>
      <c r="D1903">
        <v>15530</v>
      </c>
    </row>
    <row r="1904" spans="1:4">
      <c r="A1904" t="s">
        <v>1475</v>
      </c>
      <c r="B1904" t="s">
        <v>1349</v>
      </c>
      <c r="C1904">
        <v>211750</v>
      </c>
      <c r="D1904">
        <v>15540</v>
      </c>
    </row>
    <row r="1905" spans="1:4">
      <c r="A1905" t="s">
        <v>1475</v>
      </c>
      <c r="B1905" t="s">
        <v>1349</v>
      </c>
      <c r="C1905">
        <v>211731</v>
      </c>
      <c r="D1905">
        <v>15550</v>
      </c>
    </row>
    <row r="1906" spans="1:4">
      <c r="A1906" t="s">
        <v>1475</v>
      </c>
      <c r="B1906" t="s">
        <v>1349</v>
      </c>
      <c r="C1906">
        <v>212120</v>
      </c>
      <c r="D1906">
        <v>15560</v>
      </c>
    </row>
    <row r="1907" spans="1:4">
      <c r="A1907" t="s">
        <v>1475</v>
      </c>
      <c r="B1907" t="s">
        <v>1349</v>
      </c>
      <c r="C1907">
        <v>211760</v>
      </c>
      <c r="D1907">
        <v>15570</v>
      </c>
    </row>
    <row r="1908" spans="1:4">
      <c r="A1908" t="s">
        <v>1475</v>
      </c>
      <c r="B1908" t="s">
        <v>1349</v>
      </c>
      <c r="C1908">
        <v>211770</v>
      </c>
      <c r="D1908">
        <v>15580</v>
      </c>
    </row>
    <row r="1909" spans="1:4">
      <c r="A1909" t="s">
        <v>1475</v>
      </c>
      <c r="B1909" t="s">
        <v>1349</v>
      </c>
      <c r="C1909">
        <v>211780</v>
      </c>
      <c r="D1909">
        <v>15590</v>
      </c>
    </row>
    <row r="1910" spans="1:4">
      <c r="A1910" t="s">
        <v>1475</v>
      </c>
      <c r="B1910" t="s">
        <v>1349</v>
      </c>
      <c r="C1910">
        <v>211790</v>
      </c>
      <c r="D1910">
        <v>15600</v>
      </c>
    </row>
    <row r="1911" spans="1:4">
      <c r="A1911" t="s">
        <v>1475</v>
      </c>
      <c r="B1911" t="s">
        <v>1349</v>
      </c>
      <c r="C1911">
        <v>212130</v>
      </c>
      <c r="D1911">
        <v>15610</v>
      </c>
    </row>
    <row r="1912" spans="1:4">
      <c r="A1912" t="s">
        <v>1475</v>
      </c>
      <c r="B1912" t="s">
        <v>1349</v>
      </c>
      <c r="C1912">
        <v>211630</v>
      </c>
      <c r="D1912">
        <v>15620</v>
      </c>
    </row>
    <row r="1913" spans="1:4">
      <c r="A1913" t="s">
        <v>1475</v>
      </c>
      <c r="B1913" t="s">
        <v>1349</v>
      </c>
      <c r="C1913">
        <v>445830</v>
      </c>
      <c r="D1913">
        <v>15630</v>
      </c>
    </row>
    <row r="1914" spans="1:4">
      <c r="A1914" t="s">
        <v>1475</v>
      </c>
      <c r="B1914" t="s">
        <v>1349</v>
      </c>
      <c r="C1914">
        <v>407500</v>
      </c>
      <c r="D1914">
        <v>15640</v>
      </c>
    </row>
    <row r="1915" spans="1:4">
      <c r="A1915" t="s">
        <v>1475</v>
      </c>
      <c r="B1915" t="s">
        <v>1349</v>
      </c>
      <c r="C1915">
        <v>407510</v>
      </c>
      <c r="D1915">
        <v>15650</v>
      </c>
    </row>
    <row r="1916" spans="1:4">
      <c r="A1916" t="s">
        <v>1475</v>
      </c>
      <c r="B1916" t="s">
        <v>1349</v>
      </c>
      <c r="C1916">
        <v>407520</v>
      </c>
      <c r="D1916">
        <v>15660</v>
      </c>
    </row>
    <row r="1917" spans="1:4">
      <c r="A1917" t="s">
        <v>1475</v>
      </c>
      <c r="B1917" t="s">
        <v>1349</v>
      </c>
      <c r="C1917">
        <v>402490</v>
      </c>
      <c r="D1917">
        <v>15670</v>
      </c>
    </row>
    <row r="1918" spans="1:4">
      <c r="A1918" t="s">
        <v>1475</v>
      </c>
      <c r="B1918" t="s">
        <v>1349</v>
      </c>
      <c r="C1918">
        <v>402500</v>
      </c>
      <c r="D1918">
        <v>15680</v>
      </c>
    </row>
    <row r="1919" spans="1:4">
      <c r="A1919" t="s">
        <v>1475</v>
      </c>
      <c r="B1919" t="s">
        <v>1349</v>
      </c>
      <c r="C1919">
        <v>208490</v>
      </c>
      <c r="D1919">
        <v>15690</v>
      </c>
    </row>
    <row r="1920" spans="1:4">
      <c r="A1920" t="s">
        <v>1475</v>
      </c>
      <c r="B1920" t="s">
        <v>1349</v>
      </c>
      <c r="C1920">
        <v>208380</v>
      </c>
      <c r="D1920">
        <v>15700</v>
      </c>
    </row>
    <row r="1921" spans="1:4">
      <c r="A1921" t="s">
        <v>1475</v>
      </c>
      <c r="B1921" t="s">
        <v>1349</v>
      </c>
      <c r="C1921">
        <v>402510</v>
      </c>
      <c r="D1921">
        <v>15710</v>
      </c>
    </row>
    <row r="1922" spans="1:4">
      <c r="A1922" t="s">
        <v>1475</v>
      </c>
      <c r="B1922" t="s">
        <v>1349</v>
      </c>
      <c r="C1922">
        <v>402520</v>
      </c>
      <c r="D1922">
        <v>15720</v>
      </c>
    </row>
    <row r="1923" spans="1:4">
      <c r="A1923" t="s">
        <v>1475</v>
      </c>
      <c r="B1923" t="s">
        <v>1349</v>
      </c>
      <c r="C1923">
        <v>402530</v>
      </c>
      <c r="D1923">
        <v>15730</v>
      </c>
    </row>
    <row r="1924" spans="1:4">
      <c r="A1924" t="s">
        <v>1475</v>
      </c>
      <c r="B1924" t="s">
        <v>1349</v>
      </c>
      <c r="C1924">
        <v>402670</v>
      </c>
      <c r="D1924">
        <v>15740</v>
      </c>
    </row>
    <row r="1925" spans="1:4">
      <c r="A1925" t="s">
        <v>1475</v>
      </c>
      <c r="B1925" t="s">
        <v>1349</v>
      </c>
      <c r="C1925">
        <v>208390</v>
      </c>
      <c r="D1925">
        <v>15750</v>
      </c>
    </row>
    <row r="1926" spans="1:4">
      <c r="A1926" t="s">
        <v>1475</v>
      </c>
      <c r="B1926" t="s">
        <v>1349</v>
      </c>
      <c r="C1926">
        <v>208470</v>
      </c>
      <c r="D1926">
        <v>15760</v>
      </c>
    </row>
    <row r="1927" spans="1:4">
      <c r="A1927" t="s">
        <v>1475</v>
      </c>
      <c r="B1927" t="s">
        <v>1349</v>
      </c>
      <c r="C1927">
        <v>208480</v>
      </c>
      <c r="D1927">
        <v>15770</v>
      </c>
    </row>
    <row r="1928" spans="1:4">
      <c r="A1928" t="s">
        <v>1475</v>
      </c>
      <c r="B1928" t="s">
        <v>1349</v>
      </c>
      <c r="C1928">
        <v>402540</v>
      </c>
      <c r="D1928">
        <v>15780</v>
      </c>
    </row>
    <row r="1929" spans="1:4">
      <c r="A1929" t="s">
        <v>1475</v>
      </c>
      <c r="B1929" t="s">
        <v>1349</v>
      </c>
      <c r="C1929">
        <v>402570</v>
      </c>
      <c r="D1929">
        <v>15790</v>
      </c>
    </row>
    <row r="1930" spans="1:4">
      <c r="A1930" t="s">
        <v>1475</v>
      </c>
      <c r="B1930" t="s">
        <v>1349</v>
      </c>
      <c r="C1930">
        <v>402580</v>
      </c>
      <c r="D1930">
        <v>15800</v>
      </c>
    </row>
    <row r="1931" spans="1:4">
      <c r="A1931" t="s">
        <v>1475</v>
      </c>
      <c r="B1931" t="s">
        <v>1349</v>
      </c>
      <c r="C1931">
        <v>208410</v>
      </c>
      <c r="D1931">
        <v>15810</v>
      </c>
    </row>
    <row r="1932" spans="1:4">
      <c r="A1932" t="s">
        <v>1475</v>
      </c>
      <c r="B1932" t="s">
        <v>1349</v>
      </c>
      <c r="C1932">
        <v>402590</v>
      </c>
      <c r="D1932">
        <v>15820</v>
      </c>
    </row>
    <row r="1933" spans="1:4">
      <c r="A1933" t="s">
        <v>1475</v>
      </c>
      <c r="B1933" t="s">
        <v>1349</v>
      </c>
      <c r="C1933">
        <v>402600</v>
      </c>
      <c r="D1933">
        <v>15830</v>
      </c>
    </row>
    <row r="1934" spans="1:4">
      <c r="A1934" t="s">
        <v>1475</v>
      </c>
      <c r="B1934" t="s">
        <v>1349</v>
      </c>
      <c r="C1934">
        <v>402610</v>
      </c>
      <c r="D1934">
        <v>15840</v>
      </c>
    </row>
    <row r="1935" spans="1:4">
      <c r="A1935" t="s">
        <v>1475</v>
      </c>
      <c r="B1935" t="s">
        <v>1349</v>
      </c>
      <c r="C1935">
        <v>402620</v>
      </c>
      <c r="D1935">
        <v>15850</v>
      </c>
    </row>
    <row r="1936" spans="1:4">
      <c r="A1936" t="s">
        <v>1475</v>
      </c>
      <c r="B1936" t="s">
        <v>1349</v>
      </c>
      <c r="C1936">
        <v>402630</v>
      </c>
      <c r="D1936">
        <v>15860</v>
      </c>
    </row>
    <row r="1937" spans="1:4">
      <c r="A1937" t="s">
        <v>1475</v>
      </c>
      <c r="B1937" t="s">
        <v>1349</v>
      </c>
      <c r="C1937">
        <v>402640</v>
      </c>
      <c r="D1937">
        <v>15870</v>
      </c>
    </row>
    <row r="1938" spans="1:4">
      <c r="A1938" t="s">
        <v>1475</v>
      </c>
      <c r="B1938" t="s">
        <v>1349</v>
      </c>
      <c r="C1938">
        <v>402680</v>
      </c>
      <c r="D1938">
        <v>15880</v>
      </c>
    </row>
    <row r="1939" spans="1:4">
      <c r="A1939" t="s">
        <v>1475</v>
      </c>
      <c r="B1939" t="s">
        <v>1349</v>
      </c>
      <c r="C1939">
        <v>208550</v>
      </c>
      <c r="D1939">
        <v>15890</v>
      </c>
    </row>
    <row r="1940" spans="1:4">
      <c r="A1940" t="s">
        <v>1475</v>
      </c>
      <c r="B1940" t="s">
        <v>1349</v>
      </c>
      <c r="C1940">
        <v>208540</v>
      </c>
      <c r="D1940">
        <v>15900</v>
      </c>
    </row>
    <row r="1941" spans="1:4">
      <c r="A1941" t="s">
        <v>1475</v>
      </c>
      <c r="B1941" t="s">
        <v>1349</v>
      </c>
      <c r="C1941">
        <v>208440</v>
      </c>
      <c r="D1941">
        <v>15910</v>
      </c>
    </row>
    <row r="1942" spans="1:4">
      <c r="A1942" t="s">
        <v>1475</v>
      </c>
      <c r="B1942" t="s">
        <v>1349</v>
      </c>
      <c r="C1942">
        <v>402650</v>
      </c>
      <c r="D1942">
        <v>15920</v>
      </c>
    </row>
    <row r="1943" spans="1:4">
      <c r="A1943" t="s">
        <v>1475</v>
      </c>
      <c r="B1943" t="s">
        <v>1349</v>
      </c>
      <c r="C1943">
        <v>402690</v>
      </c>
      <c r="D1943">
        <v>15930</v>
      </c>
    </row>
    <row r="1944" spans="1:4">
      <c r="A1944" t="s">
        <v>1475</v>
      </c>
      <c r="B1944" t="s">
        <v>1349</v>
      </c>
      <c r="C1944">
        <v>402560</v>
      </c>
      <c r="D1944">
        <v>15940</v>
      </c>
    </row>
    <row r="1945" spans="1:4">
      <c r="A1945" t="s">
        <v>1475</v>
      </c>
      <c r="B1945" t="s">
        <v>1349</v>
      </c>
      <c r="C1945">
        <v>402550</v>
      </c>
      <c r="D1945">
        <v>15950</v>
      </c>
    </row>
    <row r="1946" spans="1:4">
      <c r="A1946" t="s">
        <v>1475</v>
      </c>
      <c r="B1946" t="s">
        <v>1349</v>
      </c>
      <c r="C1946">
        <v>208570</v>
      </c>
      <c r="D1946">
        <v>15960</v>
      </c>
    </row>
    <row r="1947" spans="1:4">
      <c r="A1947" t="s">
        <v>1475</v>
      </c>
      <c r="B1947" t="s">
        <v>1349</v>
      </c>
      <c r="C1947">
        <v>403090</v>
      </c>
      <c r="D1947">
        <v>15970</v>
      </c>
    </row>
    <row r="1948" spans="1:4">
      <c r="A1948" t="s">
        <v>1475</v>
      </c>
      <c r="B1948" t="s">
        <v>1349</v>
      </c>
      <c r="C1948">
        <v>410880</v>
      </c>
      <c r="D1948">
        <v>15980</v>
      </c>
    </row>
    <row r="1949" spans="1:4">
      <c r="A1949" t="s">
        <v>1475</v>
      </c>
      <c r="B1949" t="s">
        <v>1349</v>
      </c>
      <c r="C1949">
        <v>410890</v>
      </c>
      <c r="D1949">
        <v>15990</v>
      </c>
    </row>
    <row r="1950" spans="1:4">
      <c r="A1950" t="s">
        <v>1475</v>
      </c>
      <c r="B1950" t="s">
        <v>1349</v>
      </c>
      <c r="C1950">
        <v>209360</v>
      </c>
      <c r="D1950">
        <v>16000</v>
      </c>
    </row>
    <row r="1951" spans="1:4">
      <c r="A1951" t="s">
        <v>1475</v>
      </c>
      <c r="B1951" t="s">
        <v>1349</v>
      </c>
      <c r="C1951">
        <v>209330</v>
      </c>
      <c r="D1951">
        <v>16010</v>
      </c>
    </row>
    <row r="1952" spans="1:4">
      <c r="A1952" t="s">
        <v>1475</v>
      </c>
      <c r="B1952" t="s">
        <v>1349</v>
      </c>
      <c r="C1952">
        <v>411580</v>
      </c>
      <c r="D1952">
        <v>16020</v>
      </c>
    </row>
    <row r="1953" spans="1:4">
      <c r="A1953" t="s">
        <v>1475</v>
      </c>
      <c r="B1953" t="s">
        <v>1349</v>
      </c>
      <c r="C1953">
        <v>410970</v>
      </c>
      <c r="D1953">
        <v>16030</v>
      </c>
    </row>
    <row r="1954" spans="1:4">
      <c r="A1954" t="s">
        <v>1475</v>
      </c>
      <c r="B1954" t="s">
        <v>1349</v>
      </c>
      <c r="C1954">
        <v>209300</v>
      </c>
      <c r="D1954">
        <v>16040</v>
      </c>
    </row>
    <row r="1955" spans="1:4">
      <c r="A1955" t="s">
        <v>1475</v>
      </c>
      <c r="B1955" t="s">
        <v>1349</v>
      </c>
      <c r="C1955">
        <v>209340</v>
      </c>
      <c r="D1955">
        <v>16050</v>
      </c>
    </row>
    <row r="1956" spans="1:4">
      <c r="A1956" t="s">
        <v>1475</v>
      </c>
      <c r="B1956" t="s">
        <v>1349</v>
      </c>
      <c r="C1956">
        <v>410930</v>
      </c>
      <c r="D1956">
        <v>16060</v>
      </c>
    </row>
    <row r="1957" spans="1:4">
      <c r="A1957" t="s">
        <v>1475</v>
      </c>
      <c r="B1957" t="s">
        <v>1349</v>
      </c>
      <c r="C1957">
        <v>410980</v>
      </c>
      <c r="D1957">
        <v>16070</v>
      </c>
    </row>
    <row r="1958" spans="1:4">
      <c r="A1958" t="s">
        <v>1475</v>
      </c>
      <c r="B1958" t="s">
        <v>1349</v>
      </c>
      <c r="C1958">
        <v>410940</v>
      </c>
      <c r="D1958">
        <v>16080</v>
      </c>
    </row>
    <row r="1959" spans="1:4">
      <c r="A1959" t="s">
        <v>1475</v>
      </c>
      <c r="B1959" t="s">
        <v>1349</v>
      </c>
      <c r="C1959">
        <v>410960</v>
      </c>
      <c r="D1959">
        <v>16090</v>
      </c>
    </row>
    <row r="1960" spans="1:4">
      <c r="A1960" t="s">
        <v>1475</v>
      </c>
      <c r="B1960" t="s">
        <v>1349</v>
      </c>
      <c r="C1960">
        <v>410990</v>
      </c>
      <c r="D1960">
        <v>16100</v>
      </c>
    </row>
    <row r="1961" spans="1:4">
      <c r="A1961" t="s">
        <v>1475</v>
      </c>
      <c r="B1961" t="s">
        <v>1349</v>
      </c>
      <c r="C1961">
        <v>401330</v>
      </c>
      <c r="D1961">
        <v>16110</v>
      </c>
    </row>
    <row r="1962" spans="1:4">
      <c r="A1962" t="s">
        <v>1475</v>
      </c>
      <c r="B1962" t="s">
        <v>1349</v>
      </c>
      <c r="C1962">
        <v>401380</v>
      </c>
      <c r="D1962">
        <v>16120</v>
      </c>
    </row>
    <row r="1963" spans="1:4">
      <c r="A1963" t="s">
        <v>1475</v>
      </c>
      <c r="B1963" t="s">
        <v>1349</v>
      </c>
      <c r="C1963">
        <v>401350</v>
      </c>
      <c r="D1963">
        <v>16130</v>
      </c>
    </row>
    <row r="1964" spans="1:4">
      <c r="A1964" t="s">
        <v>1475</v>
      </c>
      <c r="B1964" t="s">
        <v>1349</v>
      </c>
      <c r="C1964">
        <v>402661</v>
      </c>
      <c r="D1964">
        <v>16140</v>
      </c>
    </row>
    <row r="1965" spans="1:4">
      <c r="A1965" t="s">
        <v>1475</v>
      </c>
      <c r="B1965" t="s">
        <v>1349</v>
      </c>
      <c r="C1965">
        <v>401340</v>
      </c>
      <c r="D1965">
        <v>16150</v>
      </c>
    </row>
    <row r="1966" spans="1:4">
      <c r="A1966" t="s">
        <v>1475</v>
      </c>
      <c r="B1966" t="s">
        <v>1349</v>
      </c>
      <c r="C1966">
        <v>453931</v>
      </c>
      <c r="D1966">
        <v>16160</v>
      </c>
    </row>
    <row r="1967" spans="1:4">
      <c r="A1967" t="s">
        <v>1475</v>
      </c>
      <c r="B1967" t="s">
        <v>1349</v>
      </c>
      <c r="C1967">
        <v>401360</v>
      </c>
      <c r="D1967">
        <v>16170</v>
      </c>
    </row>
    <row r="1968" spans="1:4">
      <c r="A1968" t="s">
        <v>1475</v>
      </c>
      <c r="B1968" t="s">
        <v>1349</v>
      </c>
      <c r="C1968">
        <v>401500</v>
      </c>
      <c r="D1968">
        <v>16180</v>
      </c>
    </row>
    <row r="1969" spans="1:4">
      <c r="A1969" t="s">
        <v>1475</v>
      </c>
      <c r="B1969" t="s">
        <v>1349</v>
      </c>
      <c r="C1969">
        <v>401410</v>
      </c>
      <c r="D1969">
        <v>16190</v>
      </c>
    </row>
    <row r="1970" spans="1:4">
      <c r="A1970" t="s">
        <v>1475</v>
      </c>
      <c r="B1970" t="s">
        <v>1349</v>
      </c>
      <c r="C1970">
        <v>402741</v>
      </c>
      <c r="D1970">
        <v>16200</v>
      </c>
    </row>
    <row r="1971" spans="1:4">
      <c r="A1971" t="s">
        <v>1475</v>
      </c>
      <c r="B1971" t="s">
        <v>1349</v>
      </c>
      <c r="C1971">
        <v>401520</v>
      </c>
      <c r="D1971">
        <v>16210</v>
      </c>
    </row>
    <row r="1972" spans="1:4">
      <c r="A1972" t="s">
        <v>1475</v>
      </c>
      <c r="B1972" t="s">
        <v>1349</v>
      </c>
      <c r="C1972">
        <v>402660</v>
      </c>
      <c r="D1972">
        <v>16220</v>
      </c>
    </row>
    <row r="1973" spans="1:4">
      <c r="A1973" t="s">
        <v>1475</v>
      </c>
      <c r="B1973" t="s">
        <v>1349</v>
      </c>
      <c r="C1973">
        <v>401460</v>
      </c>
      <c r="D1973">
        <v>16230</v>
      </c>
    </row>
    <row r="1974" spans="1:4">
      <c r="A1974" t="s">
        <v>1475</v>
      </c>
      <c r="B1974" t="s">
        <v>1349</v>
      </c>
      <c r="C1974">
        <v>401490</v>
      </c>
      <c r="D1974">
        <v>16240</v>
      </c>
    </row>
    <row r="1975" spans="1:4">
      <c r="A1975" t="s">
        <v>1475</v>
      </c>
      <c r="B1975" t="s">
        <v>1349</v>
      </c>
      <c r="C1975">
        <v>401400</v>
      </c>
      <c r="D1975">
        <v>16250</v>
      </c>
    </row>
    <row r="1976" spans="1:4">
      <c r="A1976" t="s">
        <v>1475</v>
      </c>
      <c r="B1976" t="s">
        <v>1349</v>
      </c>
      <c r="C1976">
        <v>453930</v>
      </c>
      <c r="D1976">
        <v>16260</v>
      </c>
    </row>
    <row r="1977" spans="1:4">
      <c r="A1977" t="s">
        <v>1475</v>
      </c>
      <c r="B1977" t="s">
        <v>1349</v>
      </c>
      <c r="C1977">
        <v>401540</v>
      </c>
      <c r="D1977">
        <v>16270</v>
      </c>
    </row>
    <row r="1978" spans="1:4">
      <c r="A1978" t="s">
        <v>1475</v>
      </c>
      <c r="B1978" t="s">
        <v>1349</v>
      </c>
      <c r="C1978">
        <v>401550</v>
      </c>
      <c r="D1978">
        <v>16280</v>
      </c>
    </row>
    <row r="1979" spans="1:4">
      <c r="A1979" t="s">
        <v>1475</v>
      </c>
      <c r="B1979" t="s">
        <v>1349</v>
      </c>
      <c r="C1979">
        <v>401390</v>
      </c>
      <c r="D1979">
        <v>16290</v>
      </c>
    </row>
    <row r="1980" spans="1:4">
      <c r="A1980" t="s">
        <v>1475</v>
      </c>
      <c r="B1980" t="s">
        <v>1349</v>
      </c>
      <c r="C1980">
        <v>453940</v>
      </c>
      <c r="D1980">
        <v>16300</v>
      </c>
    </row>
    <row r="1981" spans="1:4">
      <c r="A1981" t="s">
        <v>1475</v>
      </c>
      <c r="B1981" t="s">
        <v>1349</v>
      </c>
      <c r="C1981">
        <v>402740</v>
      </c>
      <c r="D1981">
        <v>16310</v>
      </c>
    </row>
    <row r="1982" spans="1:4">
      <c r="A1982" t="s">
        <v>1475</v>
      </c>
      <c r="B1982" t="s">
        <v>1349</v>
      </c>
      <c r="C1982">
        <v>401570</v>
      </c>
      <c r="D1982">
        <v>16320</v>
      </c>
    </row>
    <row r="1983" spans="1:4">
      <c r="A1983" t="s">
        <v>1475</v>
      </c>
      <c r="B1983" t="s">
        <v>1349</v>
      </c>
      <c r="C1983">
        <v>209160</v>
      </c>
      <c r="D1983">
        <v>16330</v>
      </c>
    </row>
    <row r="1984" spans="1:4">
      <c r="A1984" t="s">
        <v>1475</v>
      </c>
      <c r="B1984" t="s">
        <v>1349</v>
      </c>
      <c r="C1984">
        <v>209250</v>
      </c>
      <c r="D1984">
        <v>16340</v>
      </c>
    </row>
    <row r="1985" spans="1:4">
      <c r="A1985" t="s">
        <v>1475</v>
      </c>
      <c r="B1985" t="s">
        <v>1349</v>
      </c>
      <c r="C1985">
        <v>209190</v>
      </c>
      <c r="D1985">
        <v>16350</v>
      </c>
    </row>
    <row r="1986" spans="1:4">
      <c r="A1986" t="s">
        <v>1475</v>
      </c>
      <c r="B1986" t="s">
        <v>1349</v>
      </c>
      <c r="C1986">
        <v>209200</v>
      </c>
      <c r="D1986">
        <v>16360</v>
      </c>
    </row>
    <row r="1987" spans="1:4">
      <c r="A1987" t="s">
        <v>1475</v>
      </c>
      <c r="B1987" t="s">
        <v>1349</v>
      </c>
      <c r="C1987">
        <v>209210</v>
      </c>
      <c r="D1987">
        <v>16370</v>
      </c>
    </row>
    <row r="1988" spans="1:4">
      <c r="A1988" t="s">
        <v>1475</v>
      </c>
      <c r="B1988" t="s">
        <v>1349</v>
      </c>
      <c r="C1988">
        <v>209170</v>
      </c>
      <c r="D1988">
        <v>16380</v>
      </c>
    </row>
    <row r="1989" spans="1:4">
      <c r="A1989" t="s">
        <v>1475</v>
      </c>
      <c r="B1989" t="s">
        <v>1349</v>
      </c>
      <c r="C1989">
        <v>209180</v>
      </c>
      <c r="D1989">
        <v>16390</v>
      </c>
    </row>
    <row r="1990" spans="1:4">
      <c r="A1990" t="s">
        <v>1475</v>
      </c>
      <c r="B1990" t="s">
        <v>1349</v>
      </c>
      <c r="C1990">
        <v>209230</v>
      </c>
      <c r="D1990">
        <v>16400</v>
      </c>
    </row>
    <row r="1991" spans="1:4">
      <c r="A1991" t="s">
        <v>1475</v>
      </c>
      <c r="B1991" t="s">
        <v>1349</v>
      </c>
      <c r="C1991">
        <v>209240</v>
      </c>
      <c r="D1991">
        <v>16410</v>
      </c>
    </row>
    <row r="1992" spans="1:4">
      <c r="A1992" t="s">
        <v>1475</v>
      </c>
      <c r="B1992" t="s">
        <v>1349</v>
      </c>
      <c r="C1992">
        <v>209220</v>
      </c>
      <c r="D1992">
        <v>16420</v>
      </c>
    </row>
    <row r="1993" spans="1:4">
      <c r="A1993" t="s">
        <v>1475</v>
      </c>
      <c r="B1993" t="s">
        <v>1349</v>
      </c>
      <c r="C1993">
        <v>211250</v>
      </c>
      <c r="D1993">
        <v>16430</v>
      </c>
    </row>
    <row r="1994" spans="1:4">
      <c r="A1994" t="s">
        <v>1475</v>
      </c>
      <c r="B1994" t="s">
        <v>1349</v>
      </c>
      <c r="C1994">
        <v>208310</v>
      </c>
      <c r="D1994">
        <v>16440</v>
      </c>
    </row>
    <row r="1995" spans="1:4">
      <c r="A1995" t="s">
        <v>1475</v>
      </c>
      <c r="B1995" t="s">
        <v>1349</v>
      </c>
      <c r="C1995">
        <v>208320</v>
      </c>
      <c r="D1995">
        <v>16450</v>
      </c>
    </row>
    <row r="1996" spans="1:4">
      <c r="A1996" t="s">
        <v>1475</v>
      </c>
      <c r="B1996" t="s">
        <v>1349</v>
      </c>
      <c r="C1996">
        <v>208330</v>
      </c>
      <c r="D1996">
        <v>16460</v>
      </c>
    </row>
    <row r="1997" spans="1:4">
      <c r="A1997" t="s">
        <v>1475</v>
      </c>
      <c r="B1997" t="s">
        <v>1349</v>
      </c>
      <c r="C1997">
        <v>208350</v>
      </c>
      <c r="D1997">
        <v>16470</v>
      </c>
    </row>
    <row r="1998" spans="1:4">
      <c r="A1998" t="s">
        <v>1475</v>
      </c>
      <c r="B1998" t="s">
        <v>1349</v>
      </c>
      <c r="C1998">
        <v>208340</v>
      </c>
      <c r="D1998">
        <v>16480</v>
      </c>
    </row>
    <row r="1999" spans="1:4">
      <c r="A1999" t="s">
        <v>1475</v>
      </c>
      <c r="B1999" t="s">
        <v>1349</v>
      </c>
      <c r="C1999">
        <v>208360</v>
      </c>
      <c r="D1999">
        <v>16490</v>
      </c>
    </row>
    <row r="2000" spans="1:4">
      <c r="A2000" t="s">
        <v>1475</v>
      </c>
      <c r="B2000" t="s">
        <v>1349</v>
      </c>
      <c r="C2000">
        <v>211260</v>
      </c>
      <c r="D2000">
        <v>16500</v>
      </c>
    </row>
    <row r="2001" spans="1:4">
      <c r="A2001" t="s">
        <v>1475</v>
      </c>
      <c r="B2001" t="s">
        <v>1349</v>
      </c>
      <c r="C2001">
        <v>210817</v>
      </c>
      <c r="D2001">
        <v>16510</v>
      </c>
    </row>
    <row r="2002" spans="1:4">
      <c r="A2002" t="s">
        <v>1475</v>
      </c>
      <c r="B2002" t="s">
        <v>1349</v>
      </c>
      <c r="C2002">
        <v>210816</v>
      </c>
      <c r="D2002">
        <v>16520</v>
      </c>
    </row>
    <row r="2003" spans="1:4">
      <c r="A2003" t="s">
        <v>1475</v>
      </c>
      <c r="B2003" t="s">
        <v>1349</v>
      </c>
      <c r="C2003">
        <v>210819</v>
      </c>
      <c r="D2003">
        <v>16530</v>
      </c>
    </row>
    <row r="2004" spans="1:4">
      <c r="A2004" t="s">
        <v>1475</v>
      </c>
      <c r="B2004" t="s">
        <v>1349</v>
      </c>
      <c r="C2004">
        <v>210820</v>
      </c>
      <c r="D2004">
        <v>16540</v>
      </c>
    </row>
    <row r="2005" spans="1:4">
      <c r="A2005" t="s">
        <v>1475</v>
      </c>
      <c r="B2005" t="s">
        <v>1349</v>
      </c>
      <c r="C2005">
        <v>210818</v>
      </c>
      <c r="D2005">
        <v>16550</v>
      </c>
    </row>
    <row r="2006" spans="1:4">
      <c r="A2006" t="s">
        <v>1475</v>
      </c>
      <c r="B2006" t="s">
        <v>1349</v>
      </c>
      <c r="C2006">
        <v>210814</v>
      </c>
      <c r="D2006">
        <v>16560</v>
      </c>
    </row>
    <row r="2007" spans="1:4">
      <c r="A2007" t="s">
        <v>1475</v>
      </c>
      <c r="B2007" t="s">
        <v>1349</v>
      </c>
      <c r="C2007">
        <v>210540</v>
      </c>
      <c r="D2007">
        <v>16570</v>
      </c>
    </row>
    <row r="2008" spans="1:4">
      <c r="A2008" t="s">
        <v>1475</v>
      </c>
      <c r="B2008" t="s">
        <v>1349</v>
      </c>
      <c r="C2008">
        <v>210550</v>
      </c>
      <c r="D2008">
        <v>16580</v>
      </c>
    </row>
    <row r="2009" spans="1:4">
      <c r="A2009" t="s">
        <v>1475</v>
      </c>
      <c r="B2009" t="s">
        <v>1349</v>
      </c>
      <c r="C2009">
        <v>210560</v>
      </c>
      <c r="D2009">
        <v>16590</v>
      </c>
    </row>
    <row r="2010" spans="1:4">
      <c r="A2010" t="s">
        <v>1475</v>
      </c>
      <c r="B2010" t="s">
        <v>1349</v>
      </c>
      <c r="C2010">
        <v>210570</v>
      </c>
      <c r="D2010">
        <v>16600</v>
      </c>
    </row>
    <row r="2011" spans="1:4">
      <c r="A2011" t="s">
        <v>1475</v>
      </c>
      <c r="B2011" t="s">
        <v>1349</v>
      </c>
      <c r="C2011">
        <v>211270</v>
      </c>
      <c r="D2011">
        <v>16610</v>
      </c>
    </row>
    <row r="2012" spans="1:4">
      <c r="A2012" t="s">
        <v>1475</v>
      </c>
      <c r="B2012" t="s">
        <v>1349</v>
      </c>
      <c r="C2012">
        <v>212040</v>
      </c>
      <c r="D2012">
        <v>16620</v>
      </c>
    </row>
    <row r="2013" spans="1:4">
      <c r="A2013" t="s">
        <v>1475</v>
      </c>
      <c r="B2013" t="s">
        <v>1349</v>
      </c>
      <c r="C2013">
        <v>212041</v>
      </c>
      <c r="D2013">
        <v>16630</v>
      </c>
    </row>
    <row r="2014" spans="1:4">
      <c r="A2014" t="s">
        <v>1475</v>
      </c>
      <c r="B2014" t="s">
        <v>1349</v>
      </c>
      <c r="C2014">
        <v>212042</v>
      </c>
      <c r="D2014">
        <v>16640</v>
      </c>
    </row>
    <row r="2015" spans="1:4">
      <c r="A2015" t="s">
        <v>1475</v>
      </c>
      <c r="B2015" t="s">
        <v>1349</v>
      </c>
      <c r="C2015">
        <v>212043</v>
      </c>
      <c r="D2015">
        <v>16650</v>
      </c>
    </row>
    <row r="2016" spans="1:4">
      <c r="A2016" t="s">
        <v>1475</v>
      </c>
      <c r="B2016" t="s">
        <v>1349</v>
      </c>
      <c r="C2016">
        <v>212180</v>
      </c>
      <c r="D2016">
        <v>16660</v>
      </c>
    </row>
    <row r="2017" spans="1:4">
      <c r="A2017" t="s">
        <v>1475</v>
      </c>
      <c r="B2017" t="s">
        <v>1349</v>
      </c>
      <c r="C2017">
        <v>207001</v>
      </c>
      <c r="D2017">
        <v>16670</v>
      </c>
    </row>
    <row r="2018" spans="1:4">
      <c r="A2018" t="s">
        <v>1475</v>
      </c>
      <c r="B2018" t="s">
        <v>1349</v>
      </c>
      <c r="C2018">
        <v>207030</v>
      </c>
      <c r="D2018">
        <v>16680</v>
      </c>
    </row>
    <row r="2019" spans="1:4">
      <c r="A2019" t="s">
        <v>1475</v>
      </c>
      <c r="B2019" t="s">
        <v>1349</v>
      </c>
      <c r="C2019">
        <v>207320</v>
      </c>
      <c r="D2019">
        <v>16690</v>
      </c>
    </row>
    <row r="2020" spans="1:4">
      <c r="A2020" t="s">
        <v>1475</v>
      </c>
      <c r="B2020" t="s">
        <v>1349</v>
      </c>
      <c r="C2020">
        <v>207040</v>
      </c>
      <c r="D2020">
        <v>16700</v>
      </c>
    </row>
    <row r="2021" spans="1:4">
      <c r="A2021" t="s">
        <v>1475</v>
      </c>
      <c r="B2021" t="s">
        <v>1349</v>
      </c>
      <c r="C2021">
        <v>207380</v>
      </c>
      <c r="D2021">
        <v>16710</v>
      </c>
    </row>
    <row r="2022" spans="1:4">
      <c r="A2022" t="s">
        <v>1475</v>
      </c>
      <c r="B2022" t="s">
        <v>1349</v>
      </c>
      <c r="C2022">
        <v>207060</v>
      </c>
      <c r="D2022">
        <v>16720</v>
      </c>
    </row>
    <row r="2023" spans="1:4">
      <c r="A2023" t="s">
        <v>1475</v>
      </c>
      <c r="B2023" t="s">
        <v>1349</v>
      </c>
      <c r="C2023">
        <v>207080</v>
      </c>
      <c r="D2023">
        <v>16730</v>
      </c>
    </row>
    <row r="2024" spans="1:4">
      <c r="A2024" t="s">
        <v>1475</v>
      </c>
      <c r="B2024" t="s">
        <v>1349</v>
      </c>
      <c r="C2024">
        <v>207070</v>
      </c>
      <c r="D2024">
        <v>16740</v>
      </c>
    </row>
    <row r="2025" spans="1:4">
      <c r="A2025" t="s">
        <v>1475</v>
      </c>
      <c r="B2025" t="s">
        <v>1349</v>
      </c>
      <c r="C2025">
        <v>207340</v>
      </c>
      <c r="D2025">
        <v>16750</v>
      </c>
    </row>
    <row r="2026" spans="1:4">
      <c r="A2026" t="s">
        <v>1475</v>
      </c>
      <c r="B2026" t="s">
        <v>1349</v>
      </c>
      <c r="C2026">
        <v>207090</v>
      </c>
      <c r="D2026">
        <v>16760</v>
      </c>
    </row>
    <row r="2027" spans="1:4">
      <c r="A2027" t="s">
        <v>1475</v>
      </c>
      <c r="B2027" t="s">
        <v>1349</v>
      </c>
      <c r="C2027">
        <v>207010</v>
      </c>
      <c r="D2027">
        <v>16770</v>
      </c>
    </row>
    <row r="2028" spans="1:4">
      <c r="A2028" t="s">
        <v>1475</v>
      </c>
      <c r="B2028" t="s">
        <v>1349</v>
      </c>
      <c r="C2028">
        <v>207370</v>
      </c>
      <c r="D2028">
        <v>16780</v>
      </c>
    </row>
    <row r="2029" spans="1:4">
      <c r="A2029" t="s">
        <v>1475</v>
      </c>
      <c r="B2029" t="s">
        <v>1349</v>
      </c>
      <c r="C2029">
        <v>207020</v>
      </c>
      <c r="D2029">
        <v>16790</v>
      </c>
    </row>
    <row r="2030" spans="1:4">
      <c r="A2030" t="s">
        <v>1475</v>
      </c>
      <c r="B2030" t="s">
        <v>1349</v>
      </c>
      <c r="C2030">
        <v>207341</v>
      </c>
      <c r="D2030">
        <v>16800</v>
      </c>
    </row>
    <row r="2031" spans="1:4">
      <c r="A2031" t="s">
        <v>1475</v>
      </c>
      <c r="B2031" t="s">
        <v>1349</v>
      </c>
      <c r="C2031">
        <v>207050</v>
      </c>
      <c r="D2031">
        <v>16810</v>
      </c>
    </row>
    <row r="2032" spans="1:4">
      <c r="A2032" t="s">
        <v>1475</v>
      </c>
      <c r="B2032" t="s">
        <v>1349</v>
      </c>
      <c r="C2032">
        <v>207000</v>
      </c>
      <c r="D2032">
        <v>16820</v>
      </c>
    </row>
    <row r="2033" spans="1:4">
      <c r="A2033" t="s">
        <v>1475</v>
      </c>
      <c r="B2033" t="s">
        <v>1349</v>
      </c>
      <c r="C2033">
        <v>207350</v>
      </c>
      <c r="D2033">
        <v>16830</v>
      </c>
    </row>
    <row r="2034" spans="1:4">
      <c r="A2034" t="s">
        <v>1475</v>
      </c>
      <c r="B2034" t="s">
        <v>1349</v>
      </c>
      <c r="C2034">
        <v>207360</v>
      </c>
      <c r="D2034">
        <v>16840</v>
      </c>
    </row>
    <row r="2035" spans="1:4">
      <c r="A2035" t="s">
        <v>1475</v>
      </c>
      <c r="B2035" t="s">
        <v>1349</v>
      </c>
      <c r="C2035">
        <v>207100</v>
      </c>
      <c r="D2035">
        <v>16850</v>
      </c>
    </row>
    <row r="2036" spans="1:4">
      <c r="A2036" t="s">
        <v>1475</v>
      </c>
      <c r="B2036" t="s">
        <v>1349</v>
      </c>
      <c r="C2036">
        <v>211280</v>
      </c>
      <c r="D2036">
        <v>16860</v>
      </c>
    </row>
    <row r="2037" spans="1:4">
      <c r="A2037" t="s">
        <v>1475</v>
      </c>
      <c r="B2037" t="s">
        <v>1349</v>
      </c>
      <c r="C2037">
        <v>210580</v>
      </c>
      <c r="D2037">
        <v>16870</v>
      </c>
    </row>
    <row r="2038" spans="1:4">
      <c r="A2038" t="s">
        <v>1475</v>
      </c>
      <c r="B2038" t="s">
        <v>1349</v>
      </c>
      <c r="C2038">
        <v>210590</v>
      </c>
      <c r="D2038">
        <v>16880</v>
      </c>
    </row>
    <row r="2039" spans="1:4">
      <c r="A2039" t="s">
        <v>1475</v>
      </c>
      <c r="B2039" t="s">
        <v>1349</v>
      </c>
      <c r="C2039">
        <v>210600</v>
      </c>
      <c r="D2039">
        <v>16890</v>
      </c>
    </row>
    <row r="2040" spans="1:4">
      <c r="A2040" t="s">
        <v>1475</v>
      </c>
      <c r="B2040" t="s">
        <v>1349</v>
      </c>
      <c r="C2040">
        <v>210610</v>
      </c>
      <c r="D2040">
        <v>16900</v>
      </c>
    </row>
    <row r="2041" spans="1:4">
      <c r="A2041" t="s">
        <v>1475</v>
      </c>
      <c r="B2041" t="s">
        <v>1349</v>
      </c>
      <c r="C2041">
        <v>211290</v>
      </c>
      <c r="D2041">
        <v>16910</v>
      </c>
    </row>
    <row r="2042" spans="1:4">
      <c r="A2042" t="s">
        <v>1475</v>
      </c>
      <c r="B2042" t="s">
        <v>1349</v>
      </c>
      <c r="C2042">
        <v>210620</v>
      </c>
      <c r="D2042">
        <v>16920</v>
      </c>
    </row>
    <row r="2043" spans="1:4">
      <c r="A2043" t="s">
        <v>1475</v>
      </c>
      <c r="B2043" t="s">
        <v>1349</v>
      </c>
      <c r="C2043">
        <v>210630</v>
      </c>
      <c r="D2043">
        <v>16930</v>
      </c>
    </row>
    <row r="2044" spans="1:4">
      <c r="A2044" t="s">
        <v>1475</v>
      </c>
      <c r="B2044" t="s">
        <v>1349</v>
      </c>
      <c r="C2044">
        <v>210640</v>
      </c>
      <c r="D2044">
        <v>16940</v>
      </c>
    </row>
    <row r="2045" spans="1:4">
      <c r="A2045" t="s">
        <v>1475</v>
      </c>
      <c r="B2045" t="s">
        <v>1349</v>
      </c>
      <c r="C2045">
        <v>210650</v>
      </c>
      <c r="D2045">
        <v>16950</v>
      </c>
    </row>
    <row r="2046" spans="1:4">
      <c r="A2046" t="s">
        <v>1475</v>
      </c>
      <c r="B2046" t="s">
        <v>1349</v>
      </c>
      <c r="C2046">
        <v>211310</v>
      </c>
      <c r="D2046">
        <v>16960</v>
      </c>
    </row>
    <row r="2047" spans="1:4">
      <c r="A2047" t="s">
        <v>1475</v>
      </c>
      <c r="B2047" t="s">
        <v>1349</v>
      </c>
      <c r="C2047">
        <v>405960</v>
      </c>
      <c r="D2047">
        <v>16970</v>
      </c>
    </row>
    <row r="2048" spans="1:4">
      <c r="A2048" t="s">
        <v>1475</v>
      </c>
      <c r="B2048" t="s">
        <v>1349</v>
      </c>
      <c r="C2048">
        <v>405970</v>
      </c>
      <c r="D2048">
        <v>16980</v>
      </c>
    </row>
    <row r="2049" spans="1:4">
      <c r="A2049" t="s">
        <v>1475</v>
      </c>
      <c r="B2049" t="s">
        <v>1349</v>
      </c>
      <c r="C2049">
        <v>405980</v>
      </c>
      <c r="D2049">
        <v>16990</v>
      </c>
    </row>
    <row r="2050" spans="1:4">
      <c r="A2050" t="s">
        <v>1475</v>
      </c>
      <c r="B2050" t="s">
        <v>1349</v>
      </c>
      <c r="C2050">
        <v>405990</v>
      </c>
      <c r="D2050">
        <v>17000</v>
      </c>
    </row>
    <row r="2051" spans="1:4">
      <c r="A2051" t="s">
        <v>1475</v>
      </c>
      <c r="B2051" t="s">
        <v>1349</v>
      </c>
      <c r="C2051">
        <v>406000</v>
      </c>
      <c r="D2051">
        <v>17010</v>
      </c>
    </row>
    <row r="2052" spans="1:4">
      <c r="A2052" t="s">
        <v>1475</v>
      </c>
      <c r="B2052" t="s">
        <v>1349</v>
      </c>
      <c r="C2052">
        <v>406010</v>
      </c>
      <c r="D2052">
        <v>17020</v>
      </c>
    </row>
    <row r="2053" spans="1:4">
      <c r="A2053" t="s">
        <v>1475</v>
      </c>
      <c r="B2053" t="s">
        <v>1349</v>
      </c>
      <c r="C2053">
        <v>406020</v>
      </c>
      <c r="D2053">
        <v>17030</v>
      </c>
    </row>
    <row r="2054" spans="1:4">
      <c r="A2054" t="s">
        <v>1475</v>
      </c>
      <c r="B2054" t="s">
        <v>1349</v>
      </c>
      <c r="C2054">
        <v>406030</v>
      </c>
      <c r="D2054">
        <v>17040</v>
      </c>
    </row>
    <row r="2055" spans="1:4">
      <c r="A2055" t="s">
        <v>1475</v>
      </c>
      <c r="B2055" t="s">
        <v>1349</v>
      </c>
      <c r="C2055">
        <v>402060</v>
      </c>
      <c r="D2055">
        <v>17050</v>
      </c>
    </row>
    <row r="2056" spans="1:4">
      <c r="A2056" t="s">
        <v>1475</v>
      </c>
      <c r="B2056" t="s">
        <v>1349</v>
      </c>
      <c r="C2056">
        <v>402080</v>
      </c>
      <c r="D2056">
        <v>17060</v>
      </c>
    </row>
    <row r="2057" spans="1:4">
      <c r="A2057" t="s">
        <v>1475</v>
      </c>
      <c r="B2057" t="s">
        <v>1349</v>
      </c>
      <c r="C2057">
        <v>402070</v>
      </c>
      <c r="D2057">
        <v>17070</v>
      </c>
    </row>
    <row r="2058" spans="1:4">
      <c r="A2058" t="s">
        <v>1475</v>
      </c>
      <c r="B2058" t="s">
        <v>1349</v>
      </c>
      <c r="C2058">
        <v>402100</v>
      </c>
      <c r="D2058">
        <v>17080</v>
      </c>
    </row>
    <row r="2059" spans="1:4">
      <c r="A2059" t="s">
        <v>1475</v>
      </c>
      <c r="B2059" t="s">
        <v>1349</v>
      </c>
      <c r="C2059">
        <v>211450</v>
      </c>
      <c r="D2059">
        <v>17090</v>
      </c>
    </row>
    <row r="2060" spans="1:4">
      <c r="A2060" t="s">
        <v>1475</v>
      </c>
      <c r="B2060" t="s">
        <v>1349</v>
      </c>
      <c r="C2060">
        <v>402110</v>
      </c>
      <c r="D2060">
        <v>17100</v>
      </c>
    </row>
    <row r="2061" spans="1:4">
      <c r="A2061" t="s">
        <v>1475</v>
      </c>
      <c r="B2061" t="s">
        <v>1349</v>
      </c>
      <c r="C2061">
        <v>210800</v>
      </c>
      <c r="D2061">
        <v>17110</v>
      </c>
    </row>
    <row r="2062" spans="1:4">
      <c r="A2062" t="s">
        <v>1475</v>
      </c>
      <c r="B2062" t="s">
        <v>1349</v>
      </c>
      <c r="C2062">
        <v>210801</v>
      </c>
      <c r="D2062">
        <v>17120</v>
      </c>
    </row>
    <row r="2063" spans="1:4">
      <c r="A2063" t="s">
        <v>1475</v>
      </c>
      <c r="B2063" t="s">
        <v>1349</v>
      </c>
      <c r="C2063">
        <v>210803</v>
      </c>
      <c r="D2063">
        <v>17130</v>
      </c>
    </row>
    <row r="2064" spans="1:4">
      <c r="A2064" t="s">
        <v>1475</v>
      </c>
      <c r="B2064" t="s">
        <v>1349</v>
      </c>
      <c r="C2064">
        <v>210802</v>
      </c>
      <c r="D2064">
        <v>17140</v>
      </c>
    </row>
    <row r="2065" spans="1:4">
      <c r="A2065" t="s">
        <v>1475</v>
      </c>
      <c r="B2065" t="s">
        <v>1349</v>
      </c>
      <c r="C2065">
        <v>210804</v>
      </c>
      <c r="D2065">
        <v>17150</v>
      </c>
    </row>
    <row r="2066" spans="1:4">
      <c r="A2066" t="s">
        <v>1475</v>
      </c>
      <c r="B2066" t="s">
        <v>1349</v>
      </c>
      <c r="C2066">
        <v>211400</v>
      </c>
      <c r="D2066">
        <v>17160</v>
      </c>
    </row>
    <row r="2067" spans="1:4">
      <c r="A2067" t="s">
        <v>1475</v>
      </c>
      <c r="B2067" t="s">
        <v>1349</v>
      </c>
      <c r="C2067">
        <v>324030</v>
      </c>
      <c r="D2067">
        <v>17170</v>
      </c>
    </row>
    <row r="2068" spans="1:4">
      <c r="A2068" t="s">
        <v>1475</v>
      </c>
      <c r="B2068" t="s">
        <v>1349</v>
      </c>
      <c r="C2068">
        <v>324050</v>
      </c>
      <c r="D2068">
        <v>17180</v>
      </c>
    </row>
    <row r="2069" spans="1:4">
      <c r="A2069" t="s">
        <v>1475</v>
      </c>
      <c r="B2069" t="s">
        <v>1349</v>
      </c>
      <c r="C2069">
        <v>324060</v>
      </c>
      <c r="D2069">
        <v>17190</v>
      </c>
    </row>
    <row r="2070" spans="1:4">
      <c r="A2070" t="s">
        <v>1475</v>
      </c>
      <c r="B2070" t="s">
        <v>1349</v>
      </c>
      <c r="C2070">
        <v>324070</v>
      </c>
      <c r="D2070">
        <v>17200</v>
      </c>
    </row>
    <row r="2071" spans="1:4">
      <c r="A2071" t="s">
        <v>1475</v>
      </c>
      <c r="B2071" t="s">
        <v>1349</v>
      </c>
      <c r="C2071">
        <v>324090</v>
      </c>
      <c r="D2071">
        <v>17210</v>
      </c>
    </row>
    <row r="2072" spans="1:4">
      <c r="A2072" t="s">
        <v>1475</v>
      </c>
      <c r="B2072" t="s">
        <v>1349</v>
      </c>
      <c r="C2072">
        <v>324080</v>
      </c>
      <c r="D2072">
        <v>17220</v>
      </c>
    </row>
    <row r="2073" spans="1:4">
      <c r="A2073" t="s">
        <v>1475</v>
      </c>
      <c r="B2073" t="s">
        <v>1349</v>
      </c>
      <c r="C2073">
        <v>324100</v>
      </c>
      <c r="D2073">
        <v>17230</v>
      </c>
    </row>
    <row r="2074" spans="1:4">
      <c r="A2074" t="s">
        <v>1475</v>
      </c>
      <c r="B2074" t="s">
        <v>1349</v>
      </c>
      <c r="C2074">
        <v>324110</v>
      </c>
      <c r="D2074">
        <v>17240</v>
      </c>
    </row>
    <row r="2075" spans="1:4">
      <c r="A2075" t="s">
        <v>1475</v>
      </c>
      <c r="B2075" t="s">
        <v>1349</v>
      </c>
      <c r="C2075">
        <v>324120</v>
      </c>
      <c r="D2075">
        <v>17250</v>
      </c>
    </row>
    <row r="2076" spans="1:4">
      <c r="A2076" t="s">
        <v>1475</v>
      </c>
      <c r="B2076" t="s">
        <v>1349</v>
      </c>
      <c r="C2076">
        <v>324130</v>
      </c>
      <c r="D2076">
        <v>17260</v>
      </c>
    </row>
    <row r="2077" spans="1:4">
      <c r="A2077" t="s">
        <v>1475</v>
      </c>
      <c r="B2077" t="s">
        <v>1349</v>
      </c>
      <c r="C2077">
        <v>324140</v>
      </c>
      <c r="D2077">
        <v>17270</v>
      </c>
    </row>
    <row r="2078" spans="1:4">
      <c r="A2078" t="s">
        <v>1475</v>
      </c>
      <c r="B2078" t="s">
        <v>1349</v>
      </c>
      <c r="C2078">
        <v>212090</v>
      </c>
      <c r="D2078">
        <v>17280</v>
      </c>
    </row>
    <row r="2079" spans="1:4">
      <c r="A2079" t="s">
        <v>1475</v>
      </c>
      <c r="B2079" t="s">
        <v>1349</v>
      </c>
      <c r="C2079">
        <v>212091</v>
      </c>
      <c r="D2079">
        <v>17290</v>
      </c>
    </row>
    <row r="2080" spans="1:4">
      <c r="A2080" t="s">
        <v>1475</v>
      </c>
      <c r="B2080" t="s">
        <v>1349</v>
      </c>
      <c r="C2080">
        <v>212092</v>
      </c>
      <c r="D2080">
        <v>17300</v>
      </c>
    </row>
    <row r="2081" spans="1:4">
      <c r="A2081" t="s">
        <v>1475</v>
      </c>
      <c r="B2081" t="s">
        <v>1349</v>
      </c>
      <c r="C2081">
        <v>212093</v>
      </c>
      <c r="D2081">
        <v>17310</v>
      </c>
    </row>
    <row r="2082" spans="1:4">
      <c r="A2082" t="s">
        <v>1475</v>
      </c>
      <c r="B2082" t="s">
        <v>1349</v>
      </c>
      <c r="C2082">
        <v>212094</v>
      </c>
      <c r="D2082">
        <v>17320</v>
      </c>
    </row>
    <row r="2083" spans="1:4">
      <c r="A2083" t="s">
        <v>1475</v>
      </c>
      <c r="B2083" t="s">
        <v>1349</v>
      </c>
      <c r="C2083">
        <v>323570</v>
      </c>
      <c r="D2083">
        <v>17330</v>
      </c>
    </row>
    <row r="2084" spans="1:4">
      <c r="A2084" t="s">
        <v>1475</v>
      </c>
      <c r="B2084" t="s">
        <v>1349</v>
      </c>
      <c r="C2084">
        <v>323610</v>
      </c>
      <c r="D2084">
        <v>17340</v>
      </c>
    </row>
    <row r="2085" spans="1:4">
      <c r="A2085" t="s">
        <v>1475</v>
      </c>
      <c r="B2085" t="s">
        <v>1349</v>
      </c>
      <c r="C2085">
        <v>323680</v>
      </c>
      <c r="D2085">
        <v>17350</v>
      </c>
    </row>
    <row r="2086" spans="1:4">
      <c r="A2086" t="s">
        <v>1475</v>
      </c>
      <c r="B2086" t="s">
        <v>1349</v>
      </c>
      <c r="C2086">
        <v>323660</v>
      </c>
      <c r="D2086">
        <v>17360</v>
      </c>
    </row>
    <row r="2087" spans="1:4">
      <c r="A2087" t="s">
        <v>1475</v>
      </c>
      <c r="B2087" t="s">
        <v>1349</v>
      </c>
      <c r="C2087">
        <v>323700</v>
      </c>
      <c r="D2087">
        <v>17370</v>
      </c>
    </row>
    <row r="2088" spans="1:4">
      <c r="A2088" t="s">
        <v>1475</v>
      </c>
      <c r="B2088" t="s">
        <v>1349</v>
      </c>
      <c r="C2088">
        <v>323600</v>
      </c>
      <c r="D2088">
        <v>17380</v>
      </c>
    </row>
    <row r="2089" spans="1:4">
      <c r="A2089" t="s">
        <v>1475</v>
      </c>
      <c r="B2089" t="s">
        <v>1349</v>
      </c>
      <c r="C2089">
        <v>323590</v>
      </c>
      <c r="D2089">
        <v>17390</v>
      </c>
    </row>
    <row r="2090" spans="1:4">
      <c r="A2090" t="s">
        <v>1475</v>
      </c>
      <c r="B2090" t="s">
        <v>1349</v>
      </c>
      <c r="C2090">
        <v>323580</v>
      </c>
      <c r="D2090">
        <v>17400</v>
      </c>
    </row>
    <row r="2091" spans="1:4">
      <c r="A2091" t="s">
        <v>1475</v>
      </c>
      <c r="B2091" t="s">
        <v>1349</v>
      </c>
      <c r="C2091">
        <v>337860</v>
      </c>
      <c r="D2091">
        <v>17410</v>
      </c>
    </row>
    <row r="2092" spans="1:4">
      <c r="A2092" t="s">
        <v>1475</v>
      </c>
      <c r="B2092" t="s">
        <v>1349</v>
      </c>
      <c r="C2092">
        <v>323910</v>
      </c>
      <c r="D2092">
        <v>17420</v>
      </c>
    </row>
    <row r="2093" spans="1:4">
      <c r="A2093" t="s">
        <v>1475</v>
      </c>
      <c r="B2093" t="s">
        <v>1349</v>
      </c>
      <c r="C2093">
        <v>323800</v>
      </c>
      <c r="D2093">
        <v>17430</v>
      </c>
    </row>
    <row r="2094" spans="1:4">
      <c r="A2094" t="s">
        <v>1475</v>
      </c>
      <c r="B2094" t="s">
        <v>1349</v>
      </c>
      <c r="C2094">
        <v>323810</v>
      </c>
      <c r="D2094">
        <v>17440</v>
      </c>
    </row>
    <row r="2095" spans="1:4">
      <c r="A2095" t="s">
        <v>1475</v>
      </c>
      <c r="B2095" t="s">
        <v>1349</v>
      </c>
      <c r="C2095">
        <v>323820</v>
      </c>
      <c r="D2095">
        <v>17450</v>
      </c>
    </row>
    <row r="2096" spans="1:4">
      <c r="A2096" t="s">
        <v>1475</v>
      </c>
      <c r="B2096" t="s">
        <v>1349</v>
      </c>
      <c r="C2096">
        <v>323770</v>
      </c>
      <c r="D2096">
        <v>17460</v>
      </c>
    </row>
    <row r="2097" spans="1:4">
      <c r="A2097" t="s">
        <v>1475</v>
      </c>
      <c r="B2097" t="s">
        <v>1349</v>
      </c>
      <c r="C2097">
        <v>323710</v>
      </c>
      <c r="D2097">
        <v>17470</v>
      </c>
    </row>
    <row r="2098" spans="1:4">
      <c r="A2098" t="s">
        <v>1475</v>
      </c>
      <c r="B2098" t="s">
        <v>1349</v>
      </c>
      <c r="C2098">
        <v>323830</v>
      </c>
      <c r="D2098">
        <v>17480</v>
      </c>
    </row>
    <row r="2099" spans="1:4">
      <c r="A2099" t="s">
        <v>1475</v>
      </c>
      <c r="B2099" t="s">
        <v>1349</v>
      </c>
      <c r="C2099">
        <v>323670</v>
      </c>
      <c r="D2099">
        <v>17490</v>
      </c>
    </row>
    <row r="2100" spans="1:4">
      <c r="A2100" t="s">
        <v>1475</v>
      </c>
      <c r="B2100" t="s">
        <v>1349</v>
      </c>
      <c r="C2100">
        <v>323690</v>
      </c>
      <c r="D2100">
        <v>17500</v>
      </c>
    </row>
    <row r="2101" spans="1:4">
      <c r="A2101" t="s">
        <v>1475</v>
      </c>
      <c r="B2101" t="s">
        <v>1349</v>
      </c>
      <c r="C2101">
        <v>323730</v>
      </c>
      <c r="D2101">
        <v>17510</v>
      </c>
    </row>
    <row r="2102" spans="1:4">
      <c r="A2102" t="s">
        <v>1475</v>
      </c>
      <c r="B2102" t="s">
        <v>1349</v>
      </c>
      <c r="C2102">
        <v>323640</v>
      </c>
      <c r="D2102">
        <v>17520</v>
      </c>
    </row>
    <row r="2103" spans="1:4">
      <c r="A2103" t="s">
        <v>1475</v>
      </c>
      <c r="B2103" t="s">
        <v>1349</v>
      </c>
      <c r="C2103">
        <v>323880</v>
      </c>
      <c r="D2103">
        <v>17530</v>
      </c>
    </row>
    <row r="2104" spans="1:4">
      <c r="A2104" t="s">
        <v>1475</v>
      </c>
      <c r="B2104" t="s">
        <v>1349</v>
      </c>
      <c r="C2104">
        <v>323870</v>
      </c>
      <c r="D2104">
        <v>17540</v>
      </c>
    </row>
    <row r="2105" spans="1:4">
      <c r="A2105" t="s">
        <v>1475</v>
      </c>
      <c r="B2105" t="s">
        <v>1349</v>
      </c>
      <c r="C2105">
        <v>323740</v>
      </c>
      <c r="D2105">
        <v>17550</v>
      </c>
    </row>
    <row r="2106" spans="1:4">
      <c r="A2106" t="s">
        <v>1475</v>
      </c>
      <c r="B2106" t="s">
        <v>1349</v>
      </c>
      <c r="C2106">
        <v>323650</v>
      </c>
      <c r="D2106">
        <v>17560</v>
      </c>
    </row>
    <row r="2107" spans="1:4">
      <c r="A2107" t="s">
        <v>1475</v>
      </c>
      <c r="B2107" t="s">
        <v>1349</v>
      </c>
      <c r="C2107">
        <v>323760</v>
      </c>
      <c r="D2107">
        <v>17570</v>
      </c>
    </row>
    <row r="2108" spans="1:4">
      <c r="A2108" t="s">
        <v>1475</v>
      </c>
      <c r="B2108" t="s">
        <v>1349</v>
      </c>
      <c r="C2108">
        <v>323900</v>
      </c>
      <c r="D2108">
        <v>17580</v>
      </c>
    </row>
    <row r="2109" spans="1:4">
      <c r="A2109" t="s">
        <v>1475</v>
      </c>
      <c r="B2109" t="s">
        <v>1349</v>
      </c>
      <c r="C2109">
        <v>323780</v>
      </c>
      <c r="D2109">
        <v>17590</v>
      </c>
    </row>
    <row r="2110" spans="1:4">
      <c r="A2110" t="s">
        <v>1475</v>
      </c>
      <c r="B2110" t="s">
        <v>1349</v>
      </c>
      <c r="C2110">
        <v>323630</v>
      </c>
      <c r="D2110">
        <v>17600</v>
      </c>
    </row>
    <row r="2111" spans="1:4">
      <c r="A2111" t="s">
        <v>1475</v>
      </c>
      <c r="B2111" t="s">
        <v>1349</v>
      </c>
      <c r="C2111">
        <v>323750</v>
      </c>
      <c r="D2111">
        <v>17610</v>
      </c>
    </row>
    <row r="2112" spans="1:4">
      <c r="A2112" t="s">
        <v>1475</v>
      </c>
      <c r="B2112" t="s">
        <v>1349</v>
      </c>
      <c r="C2112">
        <v>323890</v>
      </c>
      <c r="D2112">
        <v>17620</v>
      </c>
    </row>
    <row r="2113" spans="1:4">
      <c r="A2113" t="s">
        <v>1475</v>
      </c>
      <c r="B2113" t="s">
        <v>1349</v>
      </c>
      <c r="C2113">
        <v>323840</v>
      </c>
      <c r="D2113">
        <v>17630</v>
      </c>
    </row>
    <row r="2114" spans="1:4">
      <c r="A2114" t="s">
        <v>1475</v>
      </c>
      <c r="B2114" t="s">
        <v>1349</v>
      </c>
      <c r="C2114">
        <v>323850</v>
      </c>
      <c r="D2114">
        <v>17640</v>
      </c>
    </row>
    <row r="2115" spans="1:4">
      <c r="A2115" t="s">
        <v>1475</v>
      </c>
      <c r="B2115" t="s">
        <v>1349</v>
      </c>
      <c r="C2115">
        <v>323860</v>
      </c>
      <c r="D2115">
        <v>17650</v>
      </c>
    </row>
    <row r="2116" spans="1:4">
      <c r="A2116" t="s">
        <v>1475</v>
      </c>
      <c r="B2116" t="s">
        <v>1349</v>
      </c>
      <c r="C2116">
        <v>337870</v>
      </c>
      <c r="D2116">
        <v>17660</v>
      </c>
    </row>
    <row r="2117" spans="1:4">
      <c r="A2117" t="s">
        <v>1475</v>
      </c>
      <c r="B2117" t="s">
        <v>1349</v>
      </c>
      <c r="C2117">
        <v>323790</v>
      </c>
      <c r="D2117">
        <v>17670</v>
      </c>
    </row>
    <row r="2118" spans="1:4">
      <c r="A2118" t="s">
        <v>1475</v>
      </c>
      <c r="B2118" t="s">
        <v>1349</v>
      </c>
      <c r="C2118">
        <v>323620</v>
      </c>
      <c r="D2118">
        <v>17680</v>
      </c>
    </row>
    <row r="2119" spans="1:4">
      <c r="A2119" t="s">
        <v>1475</v>
      </c>
      <c r="B2119" t="s">
        <v>1349</v>
      </c>
      <c r="C2119">
        <v>323720</v>
      </c>
      <c r="D2119">
        <v>17690</v>
      </c>
    </row>
    <row r="2120" spans="1:4">
      <c r="A2120" t="s">
        <v>1475</v>
      </c>
      <c r="B2120" t="s">
        <v>1349</v>
      </c>
      <c r="C2120">
        <v>323920</v>
      </c>
      <c r="D2120">
        <v>17700</v>
      </c>
    </row>
    <row r="2121" spans="1:4">
      <c r="A2121" t="s">
        <v>1475</v>
      </c>
      <c r="B2121" t="s">
        <v>1349</v>
      </c>
      <c r="C2121">
        <v>323940</v>
      </c>
      <c r="D2121">
        <v>17710</v>
      </c>
    </row>
    <row r="2122" spans="1:4">
      <c r="A2122" t="s">
        <v>1475</v>
      </c>
      <c r="B2122" t="s">
        <v>1349</v>
      </c>
      <c r="C2122">
        <v>323930</v>
      </c>
      <c r="D2122">
        <v>17720</v>
      </c>
    </row>
    <row r="2123" spans="1:4">
      <c r="A2123" t="s">
        <v>1475</v>
      </c>
      <c r="B2123" t="s">
        <v>1349</v>
      </c>
      <c r="C2123">
        <v>324150</v>
      </c>
      <c r="D2123">
        <v>17730</v>
      </c>
    </row>
    <row r="2124" spans="1:4">
      <c r="A2124" t="s">
        <v>1475</v>
      </c>
      <c r="B2124" t="s">
        <v>1349</v>
      </c>
      <c r="C2124">
        <v>324200</v>
      </c>
      <c r="D2124">
        <v>17740</v>
      </c>
    </row>
    <row r="2125" spans="1:4">
      <c r="A2125" t="s">
        <v>1475</v>
      </c>
      <c r="B2125" t="s">
        <v>1349</v>
      </c>
      <c r="C2125">
        <v>324160</v>
      </c>
      <c r="D2125">
        <v>17750</v>
      </c>
    </row>
    <row r="2126" spans="1:4">
      <c r="A2126" t="s">
        <v>1475</v>
      </c>
      <c r="B2126" t="s">
        <v>1349</v>
      </c>
      <c r="C2126">
        <v>324190</v>
      </c>
      <c r="D2126">
        <v>17760</v>
      </c>
    </row>
    <row r="2127" spans="1:4">
      <c r="A2127" t="s">
        <v>1475</v>
      </c>
      <c r="B2127" t="s">
        <v>1349</v>
      </c>
      <c r="C2127">
        <v>324170</v>
      </c>
      <c r="D2127">
        <v>17770</v>
      </c>
    </row>
    <row r="2128" spans="1:4">
      <c r="A2128" t="s">
        <v>1475</v>
      </c>
      <c r="B2128" t="s">
        <v>1349</v>
      </c>
      <c r="C2128">
        <v>324180</v>
      </c>
      <c r="D2128">
        <v>17780</v>
      </c>
    </row>
    <row r="2129" spans="1:4">
      <c r="A2129" t="s">
        <v>1475</v>
      </c>
      <c r="B2129" t="s">
        <v>1349</v>
      </c>
      <c r="C2129">
        <v>324210</v>
      </c>
      <c r="D2129">
        <v>17790</v>
      </c>
    </row>
    <row r="2130" spans="1:4">
      <c r="A2130" t="s">
        <v>1475</v>
      </c>
      <c r="B2130" t="s">
        <v>1349</v>
      </c>
      <c r="C2130">
        <v>324220</v>
      </c>
      <c r="D2130">
        <v>17800</v>
      </c>
    </row>
    <row r="2131" spans="1:4">
      <c r="A2131" t="s">
        <v>1475</v>
      </c>
      <c r="B2131" t="s">
        <v>1349</v>
      </c>
      <c r="C2131">
        <v>324230</v>
      </c>
      <c r="D2131">
        <v>17810</v>
      </c>
    </row>
    <row r="2132" spans="1:4">
      <c r="A2132" t="s">
        <v>1475</v>
      </c>
      <c r="B2132" t="s">
        <v>1349</v>
      </c>
      <c r="C2132">
        <v>324280</v>
      </c>
      <c r="D2132">
        <v>17820</v>
      </c>
    </row>
    <row r="2133" spans="1:4">
      <c r="A2133" t="s">
        <v>1475</v>
      </c>
      <c r="B2133" t="s">
        <v>1349</v>
      </c>
      <c r="C2133">
        <v>324270</v>
      </c>
      <c r="D2133">
        <v>17830</v>
      </c>
    </row>
    <row r="2134" spans="1:4">
      <c r="A2134" t="s">
        <v>1475</v>
      </c>
      <c r="B2134" t="s">
        <v>1349</v>
      </c>
      <c r="C2134">
        <v>324250</v>
      </c>
      <c r="D2134">
        <v>17840</v>
      </c>
    </row>
    <row r="2135" spans="1:4">
      <c r="A2135" t="s">
        <v>1475</v>
      </c>
      <c r="B2135" t="s">
        <v>1349</v>
      </c>
      <c r="C2135">
        <v>324260</v>
      </c>
      <c r="D2135">
        <v>17850</v>
      </c>
    </row>
    <row r="2136" spans="1:4">
      <c r="A2136" t="s">
        <v>1475</v>
      </c>
      <c r="B2136" t="s">
        <v>1349</v>
      </c>
      <c r="C2136">
        <v>324290</v>
      </c>
      <c r="D2136">
        <v>17860</v>
      </c>
    </row>
    <row r="2137" spans="1:4">
      <c r="A2137" t="s">
        <v>1475</v>
      </c>
      <c r="B2137" t="s">
        <v>1349</v>
      </c>
      <c r="C2137">
        <v>324300</v>
      </c>
      <c r="D2137">
        <v>17870</v>
      </c>
    </row>
    <row r="2138" spans="1:4">
      <c r="A2138" t="s">
        <v>1475</v>
      </c>
      <c r="B2138" t="s">
        <v>1349</v>
      </c>
      <c r="C2138">
        <v>212100</v>
      </c>
      <c r="D2138">
        <v>17880</v>
      </c>
    </row>
    <row r="2139" spans="1:4">
      <c r="A2139" t="s">
        <v>1475</v>
      </c>
      <c r="B2139" t="s">
        <v>1349</v>
      </c>
      <c r="C2139">
        <v>212101</v>
      </c>
      <c r="D2139">
        <v>17890</v>
      </c>
    </row>
    <row r="2140" spans="1:4">
      <c r="A2140" t="s">
        <v>1475</v>
      </c>
      <c r="B2140" t="s">
        <v>1349</v>
      </c>
      <c r="C2140">
        <v>212102</v>
      </c>
      <c r="D2140">
        <v>17900</v>
      </c>
    </row>
    <row r="2141" spans="1:4">
      <c r="A2141" t="s">
        <v>1475</v>
      </c>
      <c r="B2141" t="s">
        <v>1349</v>
      </c>
      <c r="C2141">
        <v>212103</v>
      </c>
      <c r="D2141">
        <v>17910</v>
      </c>
    </row>
    <row r="2142" spans="1:4">
      <c r="A2142" t="s">
        <v>1475</v>
      </c>
      <c r="B2142" t="s">
        <v>1349</v>
      </c>
      <c r="C2142">
        <v>212104</v>
      </c>
      <c r="D2142">
        <v>17920</v>
      </c>
    </row>
    <row r="2143" spans="1:4">
      <c r="A2143" t="s">
        <v>1475</v>
      </c>
      <c r="B2143" t="s">
        <v>1349</v>
      </c>
      <c r="C2143">
        <v>210810</v>
      </c>
      <c r="D2143">
        <v>17930</v>
      </c>
    </row>
    <row r="2144" spans="1:4">
      <c r="A2144" t="s">
        <v>1475</v>
      </c>
      <c r="B2144" t="s">
        <v>1349</v>
      </c>
      <c r="C2144">
        <v>210811</v>
      </c>
      <c r="D2144">
        <v>17940</v>
      </c>
    </row>
    <row r="2145" spans="1:4">
      <c r="A2145" t="s">
        <v>1475</v>
      </c>
      <c r="B2145" t="s">
        <v>1349</v>
      </c>
      <c r="C2145">
        <v>210813</v>
      </c>
      <c r="D2145">
        <v>17950</v>
      </c>
    </row>
    <row r="2146" spans="1:4">
      <c r="A2146" t="s">
        <v>1475</v>
      </c>
      <c r="B2146" t="s">
        <v>1349</v>
      </c>
      <c r="C2146">
        <v>210812</v>
      </c>
      <c r="D2146">
        <v>17960</v>
      </c>
    </row>
    <row r="2147" spans="1:4">
      <c r="A2147" t="s">
        <v>1475</v>
      </c>
      <c r="B2147" t="s">
        <v>1349</v>
      </c>
      <c r="C2147">
        <v>210815</v>
      </c>
      <c r="D2147">
        <v>17970</v>
      </c>
    </row>
    <row r="2148" spans="1:4">
      <c r="A2148" t="s">
        <v>1475</v>
      </c>
      <c r="B2148" t="s">
        <v>1349</v>
      </c>
      <c r="C2148">
        <v>211410</v>
      </c>
      <c r="D2148">
        <v>17980</v>
      </c>
    </row>
    <row r="2149" spans="1:4">
      <c r="A2149" t="s">
        <v>1475</v>
      </c>
      <c r="B2149" t="s">
        <v>1349</v>
      </c>
      <c r="C2149">
        <v>324310</v>
      </c>
      <c r="D2149">
        <v>17990</v>
      </c>
    </row>
    <row r="2150" spans="1:4">
      <c r="A2150" t="s">
        <v>1475</v>
      </c>
      <c r="B2150" t="s">
        <v>1349</v>
      </c>
      <c r="C2150">
        <v>324350</v>
      </c>
      <c r="D2150">
        <v>18000</v>
      </c>
    </row>
    <row r="2151" spans="1:4">
      <c r="A2151" t="s">
        <v>1475</v>
      </c>
      <c r="B2151" t="s">
        <v>1349</v>
      </c>
      <c r="C2151">
        <v>324370</v>
      </c>
      <c r="D2151">
        <v>18010</v>
      </c>
    </row>
    <row r="2152" spans="1:4">
      <c r="A2152" t="s">
        <v>1475</v>
      </c>
      <c r="B2152" t="s">
        <v>1349</v>
      </c>
      <c r="C2152">
        <v>324360</v>
      </c>
      <c r="D2152">
        <v>18020</v>
      </c>
    </row>
    <row r="2153" spans="1:4">
      <c r="A2153" t="s">
        <v>1475</v>
      </c>
      <c r="B2153" t="s">
        <v>1349</v>
      </c>
      <c r="C2153">
        <v>324340</v>
      </c>
      <c r="D2153">
        <v>18030</v>
      </c>
    </row>
    <row r="2154" spans="1:4">
      <c r="A2154" t="s">
        <v>1475</v>
      </c>
      <c r="B2154" t="s">
        <v>1349</v>
      </c>
      <c r="C2154">
        <v>324320</v>
      </c>
      <c r="D2154">
        <v>18040</v>
      </c>
    </row>
    <row r="2155" spans="1:4">
      <c r="A2155" t="s">
        <v>1475</v>
      </c>
      <c r="B2155" t="s">
        <v>1349</v>
      </c>
      <c r="C2155">
        <v>324330</v>
      </c>
      <c r="D2155">
        <v>18050</v>
      </c>
    </row>
    <row r="2156" spans="1:4">
      <c r="A2156" t="s">
        <v>1475</v>
      </c>
      <c r="B2156" t="s">
        <v>1349</v>
      </c>
      <c r="C2156">
        <v>324390</v>
      </c>
      <c r="D2156">
        <v>18060</v>
      </c>
    </row>
    <row r="2157" spans="1:4">
      <c r="A2157" t="s">
        <v>1475</v>
      </c>
      <c r="B2157" t="s">
        <v>1349</v>
      </c>
      <c r="C2157">
        <v>324380</v>
      </c>
      <c r="D2157">
        <v>18070</v>
      </c>
    </row>
    <row r="2158" spans="1:4">
      <c r="A2158" t="s">
        <v>1475</v>
      </c>
      <c r="B2158" t="s">
        <v>1349</v>
      </c>
      <c r="C2158">
        <v>401580</v>
      </c>
      <c r="D2158">
        <v>18080</v>
      </c>
    </row>
    <row r="2159" spans="1:4">
      <c r="A2159" t="s">
        <v>1475</v>
      </c>
      <c r="B2159" t="s">
        <v>1349</v>
      </c>
      <c r="C2159">
        <v>401630</v>
      </c>
      <c r="D2159">
        <v>18090</v>
      </c>
    </row>
    <row r="2160" spans="1:4">
      <c r="A2160" t="s">
        <v>1475</v>
      </c>
      <c r="B2160" t="s">
        <v>1349</v>
      </c>
      <c r="C2160">
        <v>401590</v>
      </c>
      <c r="D2160">
        <v>18100</v>
      </c>
    </row>
    <row r="2161" spans="1:4">
      <c r="A2161" t="s">
        <v>1475</v>
      </c>
      <c r="B2161" t="s">
        <v>1349</v>
      </c>
      <c r="C2161">
        <v>401600</v>
      </c>
      <c r="D2161">
        <v>18110</v>
      </c>
    </row>
    <row r="2162" spans="1:4">
      <c r="A2162" t="s">
        <v>1475</v>
      </c>
      <c r="B2162" t="s">
        <v>1349</v>
      </c>
      <c r="C2162">
        <v>401610</v>
      </c>
      <c r="D2162">
        <v>18120</v>
      </c>
    </row>
    <row r="2163" spans="1:4">
      <c r="A2163" t="s">
        <v>1475</v>
      </c>
      <c r="B2163" t="s">
        <v>1349</v>
      </c>
      <c r="C2163">
        <v>401660</v>
      </c>
      <c r="D2163">
        <v>18130</v>
      </c>
    </row>
    <row r="2164" spans="1:4">
      <c r="A2164" t="s">
        <v>1475</v>
      </c>
      <c r="B2164" t="s">
        <v>1349</v>
      </c>
      <c r="C2164">
        <v>401640</v>
      </c>
      <c r="D2164">
        <v>18140</v>
      </c>
    </row>
    <row r="2165" spans="1:4">
      <c r="A2165" t="s">
        <v>1475</v>
      </c>
      <c r="B2165" t="s">
        <v>1349</v>
      </c>
      <c r="C2165">
        <v>401650</v>
      </c>
      <c r="D2165">
        <v>18150</v>
      </c>
    </row>
    <row r="2166" spans="1:4">
      <c r="A2166" t="s">
        <v>1475</v>
      </c>
      <c r="B2166" t="s">
        <v>1349</v>
      </c>
      <c r="C2166">
        <v>411280</v>
      </c>
      <c r="D2166">
        <v>18160</v>
      </c>
    </row>
    <row r="2167" spans="1:4">
      <c r="A2167" t="s">
        <v>1475</v>
      </c>
      <c r="B2167" t="s">
        <v>1349</v>
      </c>
      <c r="C2167">
        <v>411290</v>
      </c>
      <c r="D2167">
        <v>18170</v>
      </c>
    </row>
    <row r="2168" spans="1:4">
      <c r="A2168" t="s">
        <v>1475</v>
      </c>
      <c r="B2168" t="s">
        <v>1349</v>
      </c>
      <c r="C2168">
        <v>401620</v>
      </c>
      <c r="D2168">
        <v>18180</v>
      </c>
    </row>
    <row r="2169" spans="1:4">
      <c r="A2169" t="s">
        <v>1475</v>
      </c>
      <c r="B2169" t="s">
        <v>1349</v>
      </c>
      <c r="C2169">
        <v>401670</v>
      </c>
      <c r="D2169">
        <v>18190</v>
      </c>
    </row>
    <row r="2170" spans="1:4">
      <c r="A2170" t="s">
        <v>1475</v>
      </c>
      <c r="B2170" t="s">
        <v>1349</v>
      </c>
      <c r="C2170">
        <v>401680</v>
      </c>
      <c r="D2170">
        <v>18200</v>
      </c>
    </row>
    <row r="2171" spans="1:4">
      <c r="A2171" t="s">
        <v>1475</v>
      </c>
      <c r="B2171" t="s">
        <v>1349</v>
      </c>
      <c r="C2171">
        <v>411300</v>
      </c>
      <c r="D2171">
        <v>18210</v>
      </c>
    </row>
    <row r="2172" spans="1:4">
      <c r="A2172" t="s">
        <v>1475</v>
      </c>
      <c r="B2172" t="s">
        <v>1349</v>
      </c>
      <c r="C2172">
        <v>411310</v>
      </c>
      <c r="D2172">
        <v>18220</v>
      </c>
    </row>
    <row r="2173" spans="1:4">
      <c r="A2173" t="s">
        <v>1475</v>
      </c>
      <c r="B2173" t="s">
        <v>1349</v>
      </c>
      <c r="C2173">
        <v>411390</v>
      </c>
      <c r="D2173">
        <v>18230</v>
      </c>
    </row>
    <row r="2174" spans="1:4">
      <c r="A2174" t="s">
        <v>1475</v>
      </c>
      <c r="B2174" t="s">
        <v>1349</v>
      </c>
      <c r="C2174">
        <v>411340</v>
      </c>
      <c r="D2174">
        <v>18240</v>
      </c>
    </row>
    <row r="2175" spans="1:4">
      <c r="A2175" t="s">
        <v>1475</v>
      </c>
      <c r="B2175" t="s">
        <v>1349</v>
      </c>
      <c r="C2175">
        <v>411420</v>
      </c>
      <c r="D2175">
        <v>18250</v>
      </c>
    </row>
    <row r="2176" spans="1:4">
      <c r="A2176" t="s">
        <v>1475</v>
      </c>
      <c r="B2176" t="s">
        <v>1349</v>
      </c>
      <c r="C2176">
        <v>411360</v>
      </c>
      <c r="D2176">
        <v>18260</v>
      </c>
    </row>
    <row r="2177" spans="1:4">
      <c r="A2177" t="s">
        <v>1475</v>
      </c>
      <c r="B2177" t="s">
        <v>1349</v>
      </c>
      <c r="C2177">
        <v>411380</v>
      </c>
      <c r="D2177">
        <v>18270</v>
      </c>
    </row>
    <row r="2178" spans="1:4">
      <c r="A2178" t="s">
        <v>1475</v>
      </c>
      <c r="B2178" t="s">
        <v>1349</v>
      </c>
      <c r="C2178">
        <v>411370</v>
      </c>
      <c r="D2178">
        <v>18280</v>
      </c>
    </row>
    <row r="2179" spans="1:4">
      <c r="A2179" t="s">
        <v>1475</v>
      </c>
      <c r="B2179" t="s">
        <v>1349</v>
      </c>
      <c r="C2179">
        <v>411430</v>
      </c>
      <c r="D2179">
        <v>18290</v>
      </c>
    </row>
    <row r="2180" spans="1:4">
      <c r="A2180" t="s">
        <v>1475</v>
      </c>
      <c r="B2180" t="s">
        <v>1349</v>
      </c>
      <c r="C2180">
        <v>411350</v>
      </c>
      <c r="D2180">
        <v>18300</v>
      </c>
    </row>
    <row r="2181" spans="1:4">
      <c r="A2181" t="s">
        <v>1475</v>
      </c>
      <c r="B2181" t="s">
        <v>1349</v>
      </c>
      <c r="C2181">
        <v>411320</v>
      </c>
      <c r="D2181">
        <v>18310</v>
      </c>
    </row>
    <row r="2182" spans="1:4">
      <c r="A2182" t="s">
        <v>1475</v>
      </c>
      <c r="B2182" t="s">
        <v>1349</v>
      </c>
      <c r="C2182">
        <v>411330</v>
      </c>
      <c r="D2182">
        <v>18320</v>
      </c>
    </row>
    <row r="2183" spans="1:4">
      <c r="A2183" t="s">
        <v>1475</v>
      </c>
      <c r="B2183" t="s">
        <v>1349</v>
      </c>
      <c r="C2183">
        <v>411400</v>
      </c>
      <c r="D2183">
        <v>18330</v>
      </c>
    </row>
    <row r="2184" spans="1:4">
      <c r="A2184" t="s">
        <v>1475</v>
      </c>
      <c r="B2184" t="s">
        <v>1349</v>
      </c>
      <c r="C2184">
        <v>411410</v>
      </c>
      <c r="D2184">
        <v>18340</v>
      </c>
    </row>
    <row r="2185" spans="1:4">
      <c r="A2185" t="s">
        <v>1475</v>
      </c>
      <c r="B2185" t="s">
        <v>1349</v>
      </c>
      <c r="C2185">
        <v>212220</v>
      </c>
      <c r="D2185">
        <v>18350</v>
      </c>
    </row>
    <row r="2186" spans="1:4">
      <c r="A2186" t="s">
        <v>1475</v>
      </c>
      <c r="B2186" t="s">
        <v>1349</v>
      </c>
      <c r="C2186">
        <v>401690</v>
      </c>
      <c r="D2186">
        <v>18360</v>
      </c>
    </row>
    <row r="2187" spans="1:4">
      <c r="A2187" t="s">
        <v>1475</v>
      </c>
      <c r="B2187" t="s">
        <v>1349</v>
      </c>
      <c r="C2187">
        <v>401700</v>
      </c>
      <c r="D2187">
        <v>18370</v>
      </c>
    </row>
    <row r="2188" spans="1:4">
      <c r="A2188" t="s">
        <v>1475</v>
      </c>
      <c r="B2188" t="s">
        <v>1349</v>
      </c>
      <c r="C2188">
        <v>401710</v>
      </c>
      <c r="D2188">
        <v>18380</v>
      </c>
    </row>
    <row r="2189" spans="1:4">
      <c r="A2189" t="s">
        <v>1475</v>
      </c>
      <c r="B2189" t="s">
        <v>1349</v>
      </c>
      <c r="C2189">
        <v>401720</v>
      </c>
      <c r="D2189">
        <v>18390</v>
      </c>
    </row>
    <row r="2190" spans="1:4">
      <c r="A2190" t="s">
        <v>1475</v>
      </c>
      <c r="B2190" t="s">
        <v>1349</v>
      </c>
      <c r="C2190">
        <v>401740</v>
      </c>
      <c r="D2190">
        <v>18400</v>
      </c>
    </row>
    <row r="2191" spans="1:4">
      <c r="A2191" t="s">
        <v>1475</v>
      </c>
      <c r="B2191" t="s">
        <v>1349</v>
      </c>
      <c r="C2191">
        <v>411450</v>
      </c>
      <c r="D2191">
        <v>18410</v>
      </c>
    </row>
    <row r="2192" spans="1:4">
      <c r="A2192" t="s">
        <v>1475</v>
      </c>
      <c r="B2192" t="s">
        <v>1349</v>
      </c>
      <c r="C2192">
        <v>401730</v>
      </c>
      <c r="D2192">
        <v>18420</v>
      </c>
    </row>
    <row r="2193" spans="1:4">
      <c r="A2193" t="s">
        <v>1475</v>
      </c>
      <c r="B2193" t="s">
        <v>1349</v>
      </c>
      <c r="C2193">
        <v>401750</v>
      </c>
      <c r="D2193">
        <v>18430</v>
      </c>
    </row>
    <row r="2194" spans="1:4">
      <c r="A2194" t="s">
        <v>1475</v>
      </c>
      <c r="B2194" t="s">
        <v>1349</v>
      </c>
      <c r="C2194">
        <v>401770</v>
      </c>
      <c r="D2194">
        <v>18440</v>
      </c>
    </row>
    <row r="2195" spans="1:4">
      <c r="A2195" t="s">
        <v>1475</v>
      </c>
      <c r="B2195" t="s">
        <v>1349</v>
      </c>
      <c r="C2195">
        <v>401780</v>
      </c>
      <c r="D2195">
        <v>18450</v>
      </c>
    </row>
    <row r="2196" spans="1:4">
      <c r="A2196" t="s">
        <v>1475</v>
      </c>
      <c r="B2196" t="s">
        <v>1349</v>
      </c>
      <c r="C2196">
        <v>401790</v>
      </c>
      <c r="D2196">
        <v>18460</v>
      </c>
    </row>
    <row r="2197" spans="1:4">
      <c r="A2197" t="s">
        <v>1475</v>
      </c>
      <c r="B2197" t="s">
        <v>1349</v>
      </c>
      <c r="C2197">
        <v>401830</v>
      </c>
      <c r="D2197">
        <v>18470</v>
      </c>
    </row>
    <row r="2198" spans="1:4">
      <c r="A2198" t="s">
        <v>1475</v>
      </c>
      <c r="B2198" t="s">
        <v>1349</v>
      </c>
      <c r="C2198">
        <v>401810</v>
      </c>
      <c r="D2198">
        <v>18480</v>
      </c>
    </row>
    <row r="2199" spans="1:4">
      <c r="A2199" t="s">
        <v>1475</v>
      </c>
      <c r="B2199" t="s">
        <v>1349</v>
      </c>
      <c r="C2199">
        <v>401820</v>
      </c>
      <c r="D2199">
        <v>18490</v>
      </c>
    </row>
    <row r="2200" spans="1:4">
      <c r="A2200" t="s">
        <v>1475</v>
      </c>
      <c r="B2200" t="s">
        <v>1349</v>
      </c>
      <c r="C2200">
        <v>401800</v>
      </c>
      <c r="D2200">
        <v>18500</v>
      </c>
    </row>
    <row r="2201" spans="1:4">
      <c r="A2201" t="s">
        <v>1475</v>
      </c>
      <c r="B2201" t="s">
        <v>1349</v>
      </c>
      <c r="C2201">
        <v>401840</v>
      </c>
      <c r="D2201">
        <v>18510</v>
      </c>
    </row>
    <row r="2202" spans="1:4">
      <c r="A2202" t="s">
        <v>1475</v>
      </c>
      <c r="B2202" t="s">
        <v>1349</v>
      </c>
      <c r="C2202">
        <v>401850</v>
      </c>
      <c r="D2202">
        <v>18520</v>
      </c>
    </row>
    <row r="2203" spans="1:4">
      <c r="A2203" t="s">
        <v>1475</v>
      </c>
      <c r="B2203" t="s">
        <v>1349</v>
      </c>
      <c r="C2203">
        <v>448050</v>
      </c>
      <c r="D2203">
        <v>18530</v>
      </c>
    </row>
    <row r="2204" spans="1:4">
      <c r="A2204" t="s">
        <v>1475</v>
      </c>
      <c r="B2204" t="s">
        <v>1349</v>
      </c>
      <c r="C2204">
        <v>448070</v>
      </c>
      <c r="D2204">
        <v>18540</v>
      </c>
    </row>
    <row r="2205" spans="1:4">
      <c r="A2205" t="s">
        <v>1475</v>
      </c>
      <c r="B2205" t="s">
        <v>1349</v>
      </c>
      <c r="C2205">
        <v>448060</v>
      </c>
      <c r="D2205">
        <v>18550</v>
      </c>
    </row>
    <row r="2206" spans="1:4">
      <c r="A2206" t="s">
        <v>1475</v>
      </c>
      <c r="B2206" t="s">
        <v>1349</v>
      </c>
      <c r="C2206">
        <v>448080</v>
      </c>
      <c r="D2206">
        <v>18560</v>
      </c>
    </row>
    <row r="2207" spans="1:4">
      <c r="A2207" t="s">
        <v>1475</v>
      </c>
      <c r="B2207" t="s">
        <v>1349</v>
      </c>
      <c r="C2207">
        <v>448090</v>
      </c>
      <c r="D2207">
        <v>18570</v>
      </c>
    </row>
    <row r="2208" spans="1:4">
      <c r="A2208" t="s">
        <v>1475</v>
      </c>
      <c r="B2208" t="s">
        <v>1349</v>
      </c>
      <c r="C2208">
        <v>448091</v>
      </c>
      <c r="D2208">
        <v>18580</v>
      </c>
    </row>
    <row r="2209" spans="1:4">
      <c r="A2209" t="s">
        <v>1475</v>
      </c>
      <c r="B2209" t="s">
        <v>1349</v>
      </c>
      <c r="C2209">
        <v>448100</v>
      </c>
      <c r="D2209">
        <v>18590</v>
      </c>
    </row>
    <row r="2210" spans="1:4">
      <c r="A2210" t="s">
        <v>1475</v>
      </c>
      <c r="B2210" t="s">
        <v>1349</v>
      </c>
      <c r="C2210">
        <v>448120</v>
      </c>
      <c r="D2210">
        <v>18600</v>
      </c>
    </row>
    <row r="2211" spans="1:4">
      <c r="A2211" t="s">
        <v>1475</v>
      </c>
      <c r="B2211" t="s">
        <v>1349</v>
      </c>
      <c r="C2211">
        <v>448204</v>
      </c>
      <c r="D2211">
        <v>18610</v>
      </c>
    </row>
    <row r="2212" spans="1:4">
      <c r="A2212" t="s">
        <v>1475</v>
      </c>
      <c r="B2212" t="s">
        <v>1349</v>
      </c>
      <c r="C2212">
        <v>448140</v>
      </c>
      <c r="D2212">
        <v>18620</v>
      </c>
    </row>
    <row r="2213" spans="1:4">
      <c r="A2213" t="s">
        <v>1475</v>
      </c>
      <c r="B2213" t="s">
        <v>1349</v>
      </c>
      <c r="C2213">
        <v>448150</v>
      </c>
      <c r="D2213">
        <v>18630</v>
      </c>
    </row>
    <row r="2214" spans="1:4">
      <c r="A2214" t="s">
        <v>1475</v>
      </c>
      <c r="B2214" t="s">
        <v>1349</v>
      </c>
      <c r="C2214">
        <v>448130</v>
      </c>
      <c r="D2214">
        <v>18640</v>
      </c>
    </row>
    <row r="2215" spans="1:4">
      <c r="A2215" t="s">
        <v>1475</v>
      </c>
      <c r="B2215" t="s">
        <v>1349</v>
      </c>
      <c r="C2215">
        <v>448202</v>
      </c>
      <c r="D2215">
        <v>18650</v>
      </c>
    </row>
    <row r="2216" spans="1:4">
      <c r="A2216" t="s">
        <v>1475</v>
      </c>
      <c r="B2216" t="s">
        <v>1349</v>
      </c>
      <c r="C2216">
        <v>448203</v>
      </c>
      <c r="D2216">
        <v>18660</v>
      </c>
    </row>
    <row r="2217" spans="1:4">
      <c r="A2217" t="s">
        <v>1475</v>
      </c>
      <c r="B2217" t="s">
        <v>1349</v>
      </c>
      <c r="C2217">
        <v>448160</v>
      </c>
      <c r="D2217">
        <v>18670</v>
      </c>
    </row>
    <row r="2218" spans="1:4">
      <c r="A2218" t="s">
        <v>1475</v>
      </c>
      <c r="B2218" t="s">
        <v>1349</v>
      </c>
      <c r="C2218">
        <v>448110</v>
      </c>
      <c r="D2218">
        <v>18680</v>
      </c>
    </row>
    <row r="2219" spans="1:4">
      <c r="A2219" t="s">
        <v>1475</v>
      </c>
      <c r="B2219" t="s">
        <v>1349</v>
      </c>
      <c r="C2219">
        <v>448170</v>
      </c>
      <c r="D2219">
        <v>18690</v>
      </c>
    </row>
    <row r="2220" spans="1:4">
      <c r="A2220" t="s">
        <v>1475</v>
      </c>
      <c r="B2220" t="s">
        <v>1349</v>
      </c>
      <c r="C2220">
        <v>448205</v>
      </c>
      <c r="D2220">
        <v>18700</v>
      </c>
    </row>
    <row r="2221" spans="1:4">
      <c r="A2221" t="s">
        <v>1475</v>
      </c>
      <c r="B2221" t="s">
        <v>1349</v>
      </c>
      <c r="C2221">
        <v>448180</v>
      </c>
      <c r="D2221">
        <v>18710</v>
      </c>
    </row>
    <row r="2222" spans="1:4">
      <c r="A2222" t="s">
        <v>1475</v>
      </c>
      <c r="B2222" t="s">
        <v>1349</v>
      </c>
      <c r="C2222">
        <v>448201</v>
      </c>
      <c r="D2222">
        <v>18720</v>
      </c>
    </row>
    <row r="2223" spans="1:4">
      <c r="A2223" t="s">
        <v>1475</v>
      </c>
      <c r="B2223" t="s">
        <v>1349</v>
      </c>
      <c r="C2223">
        <v>448200</v>
      </c>
      <c r="D2223">
        <v>18730</v>
      </c>
    </row>
    <row r="2224" spans="1:4">
      <c r="A2224" t="s">
        <v>1475</v>
      </c>
      <c r="B2224" t="s">
        <v>1349</v>
      </c>
      <c r="C2224">
        <v>448210</v>
      </c>
      <c r="D2224">
        <v>18740</v>
      </c>
    </row>
    <row r="2225" spans="1:4">
      <c r="A2225" t="s">
        <v>1475</v>
      </c>
      <c r="B2225" t="s">
        <v>1349</v>
      </c>
      <c r="C2225">
        <v>448230</v>
      </c>
      <c r="D2225">
        <v>18750</v>
      </c>
    </row>
    <row r="2226" spans="1:4">
      <c r="A2226" t="s">
        <v>1475</v>
      </c>
      <c r="B2226" t="s">
        <v>1349</v>
      </c>
      <c r="C2226">
        <v>448220</v>
      </c>
      <c r="D2226">
        <v>18760</v>
      </c>
    </row>
    <row r="2227" spans="1:4">
      <c r="A2227" t="s">
        <v>1475</v>
      </c>
      <c r="B2227" t="s">
        <v>1349</v>
      </c>
      <c r="C2227">
        <v>448270</v>
      </c>
      <c r="D2227">
        <v>18770</v>
      </c>
    </row>
    <row r="2228" spans="1:4">
      <c r="A2228" t="s">
        <v>1475</v>
      </c>
      <c r="B2228" t="s">
        <v>1349</v>
      </c>
      <c r="C2228">
        <v>448250</v>
      </c>
      <c r="D2228">
        <v>18780</v>
      </c>
    </row>
    <row r="2229" spans="1:4">
      <c r="A2229" t="s">
        <v>1475</v>
      </c>
      <c r="B2229" t="s">
        <v>1349</v>
      </c>
      <c r="C2229">
        <v>448280</v>
      </c>
      <c r="D2229">
        <v>18790</v>
      </c>
    </row>
    <row r="2230" spans="1:4">
      <c r="A2230" t="s">
        <v>1475</v>
      </c>
      <c r="B2230" t="s">
        <v>1349</v>
      </c>
      <c r="C2230">
        <v>448260</v>
      </c>
      <c r="D2230">
        <v>18800</v>
      </c>
    </row>
    <row r="2231" spans="1:4">
      <c r="A2231" t="s">
        <v>1475</v>
      </c>
      <c r="B2231" t="s">
        <v>1349</v>
      </c>
      <c r="C2231">
        <v>448240</v>
      </c>
      <c r="D2231">
        <v>18810</v>
      </c>
    </row>
    <row r="2232" spans="1:4">
      <c r="A2232" t="s">
        <v>1475</v>
      </c>
      <c r="B2232" t="s">
        <v>1349</v>
      </c>
      <c r="C2232">
        <v>448295</v>
      </c>
      <c r="D2232">
        <v>18820</v>
      </c>
    </row>
    <row r="2233" spans="1:4">
      <c r="A2233" t="s">
        <v>1475</v>
      </c>
      <c r="B2233" t="s">
        <v>1349</v>
      </c>
      <c r="C2233">
        <v>448290</v>
      </c>
      <c r="D2233">
        <v>18830</v>
      </c>
    </row>
    <row r="2234" spans="1:4">
      <c r="A2234" t="s">
        <v>1475</v>
      </c>
      <c r="B2234" t="s">
        <v>1349</v>
      </c>
      <c r="C2234">
        <v>401930</v>
      </c>
      <c r="D2234">
        <v>18840</v>
      </c>
    </row>
    <row r="2235" spans="1:4">
      <c r="A2235" t="s">
        <v>1475</v>
      </c>
      <c r="B2235" t="s">
        <v>1349</v>
      </c>
      <c r="C2235">
        <v>401940</v>
      </c>
      <c r="D2235">
        <v>18850</v>
      </c>
    </row>
    <row r="2236" spans="1:4">
      <c r="A2236" t="s">
        <v>1475</v>
      </c>
      <c r="B2236" t="s">
        <v>1349</v>
      </c>
      <c r="C2236">
        <v>401960</v>
      </c>
      <c r="D2236">
        <v>18860</v>
      </c>
    </row>
    <row r="2237" spans="1:4">
      <c r="A2237" t="s">
        <v>1475</v>
      </c>
      <c r="B2237" t="s">
        <v>1349</v>
      </c>
      <c r="C2237">
        <v>411460</v>
      </c>
      <c r="D2237">
        <v>18870</v>
      </c>
    </row>
    <row r="2238" spans="1:4">
      <c r="A2238" t="s">
        <v>1475</v>
      </c>
      <c r="B2238" t="s">
        <v>1349</v>
      </c>
      <c r="C2238">
        <v>401970</v>
      </c>
      <c r="D2238">
        <v>18880</v>
      </c>
    </row>
    <row r="2239" spans="1:4">
      <c r="A2239" t="s">
        <v>1475</v>
      </c>
      <c r="B2239" t="s">
        <v>1349</v>
      </c>
      <c r="C2239">
        <v>206510</v>
      </c>
      <c r="D2239">
        <v>18890</v>
      </c>
    </row>
    <row r="2240" spans="1:4">
      <c r="A2240" t="s">
        <v>1475</v>
      </c>
      <c r="B2240" t="s">
        <v>1349</v>
      </c>
      <c r="C2240">
        <v>401990</v>
      </c>
      <c r="D2240">
        <v>18900</v>
      </c>
    </row>
    <row r="2241" spans="1:4">
      <c r="A2241" t="s">
        <v>1475</v>
      </c>
      <c r="B2241" t="s">
        <v>1349</v>
      </c>
      <c r="C2241">
        <v>206560</v>
      </c>
      <c r="D2241">
        <v>18910</v>
      </c>
    </row>
    <row r="2242" spans="1:4">
      <c r="A2242" t="s">
        <v>1475</v>
      </c>
      <c r="B2242" t="s">
        <v>1349</v>
      </c>
      <c r="C2242">
        <v>206480</v>
      </c>
      <c r="D2242">
        <v>18920</v>
      </c>
    </row>
    <row r="2243" spans="1:4">
      <c r="A2243" t="s">
        <v>1475</v>
      </c>
      <c r="B2243" t="s">
        <v>1349</v>
      </c>
      <c r="C2243">
        <v>401950</v>
      </c>
      <c r="D2243">
        <v>18930</v>
      </c>
    </row>
    <row r="2244" spans="1:4">
      <c r="A2244" t="s">
        <v>1475</v>
      </c>
      <c r="B2244" t="s">
        <v>1349</v>
      </c>
      <c r="C2244">
        <v>206460</v>
      </c>
      <c r="D2244">
        <v>18940</v>
      </c>
    </row>
    <row r="2245" spans="1:4">
      <c r="A2245" t="s">
        <v>1475</v>
      </c>
      <c r="B2245" t="s">
        <v>1349</v>
      </c>
      <c r="C2245">
        <v>411461</v>
      </c>
      <c r="D2245">
        <v>18950</v>
      </c>
    </row>
    <row r="2246" spans="1:4">
      <c r="A2246" t="s">
        <v>1475</v>
      </c>
      <c r="B2246" t="s">
        <v>1349</v>
      </c>
      <c r="C2246">
        <v>206550</v>
      </c>
      <c r="D2246">
        <v>18960</v>
      </c>
    </row>
    <row r="2247" spans="1:4">
      <c r="A2247" t="s">
        <v>1475</v>
      </c>
      <c r="B2247" t="s">
        <v>1349</v>
      </c>
      <c r="C2247">
        <v>402000</v>
      </c>
      <c r="D2247">
        <v>18970</v>
      </c>
    </row>
    <row r="2248" spans="1:4">
      <c r="A2248" t="s">
        <v>1475</v>
      </c>
      <c r="B2248" t="s">
        <v>1349</v>
      </c>
      <c r="C2248">
        <v>402010</v>
      </c>
      <c r="D2248">
        <v>18980</v>
      </c>
    </row>
    <row r="2249" spans="1:4">
      <c r="A2249" t="s">
        <v>1475</v>
      </c>
      <c r="B2249" t="s">
        <v>1349</v>
      </c>
      <c r="C2249">
        <v>206590</v>
      </c>
      <c r="D2249">
        <v>18990</v>
      </c>
    </row>
    <row r="2250" spans="1:4">
      <c r="A2250" t="s">
        <v>1475</v>
      </c>
      <c r="B2250" t="s">
        <v>1349</v>
      </c>
      <c r="C2250">
        <v>206610</v>
      </c>
      <c r="D2250">
        <v>19000</v>
      </c>
    </row>
    <row r="2251" spans="1:4">
      <c r="A2251" t="s">
        <v>1475</v>
      </c>
      <c r="B2251" t="s">
        <v>1349</v>
      </c>
      <c r="C2251">
        <v>206600</v>
      </c>
      <c r="D2251">
        <v>19010</v>
      </c>
    </row>
    <row r="2252" spans="1:4">
      <c r="A2252" t="s">
        <v>1475</v>
      </c>
      <c r="B2252" t="s">
        <v>1349</v>
      </c>
      <c r="C2252">
        <v>206630</v>
      </c>
      <c r="D2252">
        <v>19020</v>
      </c>
    </row>
    <row r="2253" spans="1:4">
      <c r="A2253" t="s">
        <v>1475</v>
      </c>
      <c r="B2253" t="s">
        <v>1349</v>
      </c>
      <c r="C2253">
        <v>206620</v>
      </c>
      <c r="D2253">
        <v>19030</v>
      </c>
    </row>
    <row r="2254" spans="1:4">
      <c r="A2254" t="s">
        <v>1475</v>
      </c>
      <c r="B2254" t="s">
        <v>1349</v>
      </c>
      <c r="C2254">
        <v>206670</v>
      </c>
      <c r="D2254">
        <v>19040</v>
      </c>
    </row>
    <row r="2255" spans="1:4">
      <c r="A2255" t="s">
        <v>1475</v>
      </c>
      <c r="B2255" t="s">
        <v>1349</v>
      </c>
      <c r="C2255">
        <v>211330</v>
      </c>
      <c r="D2255">
        <v>19050</v>
      </c>
    </row>
    <row r="2256" spans="1:4">
      <c r="A2256" t="s">
        <v>1475</v>
      </c>
      <c r="B2256" t="s">
        <v>1349</v>
      </c>
      <c r="C2256">
        <v>447260</v>
      </c>
      <c r="D2256">
        <v>19060</v>
      </c>
    </row>
    <row r="2257" spans="1:4">
      <c r="A2257" t="s">
        <v>1475</v>
      </c>
      <c r="B2257" t="s">
        <v>1349</v>
      </c>
      <c r="C2257">
        <v>447310</v>
      </c>
      <c r="D2257">
        <v>19070</v>
      </c>
    </row>
    <row r="2258" spans="1:4">
      <c r="A2258" t="s">
        <v>1475</v>
      </c>
      <c r="B2258" t="s">
        <v>1349</v>
      </c>
      <c r="C2258">
        <v>447270</v>
      </c>
      <c r="D2258">
        <v>19080</v>
      </c>
    </row>
    <row r="2259" spans="1:4">
      <c r="A2259" t="s">
        <v>1475</v>
      </c>
      <c r="B2259" t="s">
        <v>1349</v>
      </c>
      <c r="C2259">
        <v>447300</v>
      </c>
      <c r="D2259">
        <v>19090</v>
      </c>
    </row>
    <row r="2260" spans="1:4">
      <c r="A2260" t="s">
        <v>1475</v>
      </c>
      <c r="B2260" t="s">
        <v>1349</v>
      </c>
      <c r="C2260">
        <v>447290</v>
      </c>
      <c r="D2260">
        <v>19100</v>
      </c>
    </row>
    <row r="2261" spans="1:4">
      <c r="A2261" t="s">
        <v>1475</v>
      </c>
      <c r="B2261" t="s">
        <v>1349</v>
      </c>
      <c r="C2261">
        <v>447280</v>
      </c>
      <c r="D2261">
        <v>19110</v>
      </c>
    </row>
    <row r="2262" spans="1:4">
      <c r="A2262" t="s">
        <v>1475</v>
      </c>
      <c r="B2262" t="s">
        <v>1349</v>
      </c>
      <c r="C2262">
        <v>447320</v>
      </c>
      <c r="D2262">
        <v>19120</v>
      </c>
    </row>
    <row r="2263" spans="1:4">
      <c r="A2263" t="s">
        <v>1475</v>
      </c>
      <c r="B2263" t="s">
        <v>1349</v>
      </c>
      <c r="C2263">
        <v>456160</v>
      </c>
      <c r="D2263">
        <v>19130</v>
      </c>
    </row>
    <row r="2264" spans="1:4">
      <c r="A2264" t="s">
        <v>1475</v>
      </c>
      <c r="B2264" t="s">
        <v>1349</v>
      </c>
      <c r="C2264">
        <v>450300</v>
      </c>
      <c r="D2264">
        <v>19140</v>
      </c>
    </row>
    <row r="2265" spans="1:4">
      <c r="A2265" t="s">
        <v>1475</v>
      </c>
      <c r="B2265" t="s">
        <v>1349</v>
      </c>
      <c r="C2265">
        <v>450310</v>
      </c>
      <c r="D2265">
        <v>19150</v>
      </c>
    </row>
    <row r="2266" spans="1:4">
      <c r="A2266" t="s">
        <v>1475</v>
      </c>
      <c r="B2266" t="s">
        <v>1349</v>
      </c>
      <c r="C2266">
        <v>450320</v>
      </c>
      <c r="D2266">
        <v>19160</v>
      </c>
    </row>
    <row r="2267" spans="1:4">
      <c r="A2267" t="s">
        <v>1475</v>
      </c>
      <c r="B2267" t="s">
        <v>1349</v>
      </c>
      <c r="C2267">
        <v>450330</v>
      </c>
      <c r="D2267">
        <v>19170</v>
      </c>
    </row>
    <row r="2268" spans="1:4">
      <c r="A2268" t="s">
        <v>1475</v>
      </c>
      <c r="B2268" t="s">
        <v>1349</v>
      </c>
      <c r="C2268">
        <v>450340</v>
      </c>
      <c r="D2268">
        <v>19180</v>
      </c>
    </row>
    <row r="2269" spans="1:4">
      <c r="A2269" t="s">
        <v>1475</v>
      </c>
      <c r="B2269" t="s">
        <v>1349</v>
      </c>
      <c r="C2269">
        <v>456170</v>
      </c>
      <c r="D2269">
        <v>19190</v>
      </c>
    </row>
    <row r="2270" spans="1:4">
      <c r="A2270" t="s">
        <v>1475</v>
      </c>
      <c r="B2270" t="s">
        <v>1349</v>
      </c>
      <c r="C2270">
        <v>447330</v>
      </c>
      <c r="D2270">
        <v>19200</v>
      </c>
    </row>
    <row r="2271" spans="1:4">
      <c r="A2271" t="s">
        <v>1475</v>
      </c>
      <c r="B2271" t="s">
        <v>1349</v>
      </c>
      <c r="C2271">
        <v>447340</v>
      </c>
      <c r="D2271">
        <v>19210</v>
      </c>
    </row>
    <row r="2272" spans="1:4">
      <c r="A2272" t="s">
        <v>1475</v>
      </c>
      <c r="B2272" t="s">
        <v>1349</v>
      </c>
      <c r="C2272">
        <v>447350</v>
      </c>
      <c r="D2272">
        <v>19220</v>
      </c>
    </row>
    <row r="2273" spans="1:4">
      <c r="A2273" t="s">
        <v>1475</v>
      </c>
      <c r="B2273" t="s">
        <v>1349</v>
      </c>
      <c r="C2273">
        <v>447390</v>
      </c>
      <c r="D2273">
        <v>19230</v>
      </c>
    </row>
    <row r="2274" spans="1:4">
      <c r="A2274" t="s">
        <v>1475</v>
      </c>
      <c r="B2274" t="s">
        <v>1349</v>
      </c>
      <c r="C2274">
        <v>447380</v>
      </c>
      <c r="D2274">
        <v>19240</v>
      </c>
    </row>
    <row r="2275" spans="1:4">
      <c r="A2275" t="s">
        <v>1475</v>
      </c>
      <c r="B2275" t="s">
        <v>1349</v>
      </c>
      <c r="C2275">
        <v>447400</v>
      </c>
      <c r="D2275">
        <v>19250</v>
      </c>
    </row>
    <row r="2276" spans="1:4">
      <c r="A2276" t="s">
        <v>1475</v>
      </c>
      <c r="B2276" t="s">
        <v>1349</v>
      </c>
      <c r="C2276">
        <v>447360</v>
      </c>
      <c r="D2276">
        <v>19260</v>
      </c>
    </row>
    <row r="2277" spans="1:4">
      <c r="A2277" t="s">
        <v>1475</v>
      </c>
      <c r="B2277" t="s">
        <v>1349</v>
      </c>
      <c r="C2277">
        <v>447370</v>
      </c>
      <c r="D2277">
        <v>19270</v>
      </c>
    </row>
    <row r="2278" spans="1:4">
      <c r="A2278" t="s">
        <v>1475</v>
      </c>
      <c r="B2278" t="s">
        <v>1349</v>
      </c>
      <c r="C2278">
        <v>447410</v>
      </c>
      <c r="D2278">
        <v>19280</v>
      </c>
    </row>
    <row r="2279" spans="1:4">
      <c r="A2279" t="s">
        <v>1475</v>
      </c>
      <c r="B2279" t="s">
        <v>1349</v>
      </c>
      <c r="C2279">
        <v>456180</v>
      </c>
      <c r="D2279">
        <v>19290</v>
      </c>
    </row>
    <row r="2280" spans="1:4">
      <c r="A2280" t="s">
        <v>1475</v>
      </c>
      <c r="B2280" t="s">
        <v>1349</v>
      </c>
      <c r="C2280">
        <v>450350</v>
      </c>
      <c r="D2280">
        <v>19300</v>
      </c>
    </row>
    <row r="2281" spans="1:4">
      <c r="A2281" t="s">
        <v>1475</v>
      </c>
      <c r="B2281" t="s">
        <v>1349</v>
      </c>
      <c r="C2281">
        <v>450360</v>
      </c>
      <c r="D2281">
        <v>19310</v>
      </c>
    </row>
    <row r="2282" spans="1:4">
      <c r="A2282" t="s">
        <v>1475</v>
      </c>
      <c r="B2282" t="s">
        <v>1349</v>
      </c>
      <c r="C2282">
        <v>450370</v>
      </c>
      <c r="D2282">
        <v>19320</v>
      </c>
    </row>
    <row r="2283" spans="1:4">
      <c r="A2283" t="s">
        <v>1475</v>
      </c>
      <c r="B2283" t="s">
        <v>1349</v>
      </c>
      <c r="C2283">
        <v>450380</v>
      </c>
      <c r="D2283">
        <v>19330</v>
      </c>
    </row>
    <row r="2284" spans="1:4">
      <c r="A2284" t="s">
        <v>1475</v>
      </c>
      <c r="B2284" t="s">
        <v>1349</v>
      </c>
      <c r="C2284">
        <v>450390</v>
      </c>
      <c r="D2284">
        <v>19340</v>
      </c>
    </row>
    <row r="2285" spans="1:4">
      <c r="A2285" t="s">
        <v>1475</v>
      </c>
      <c r="B2285" t="s">
        <v>1349</v>
      </c>
      <c r="C2285">
        <v>456190</v>
      </c>
      <c r="D2285">
        <v>19350</v>
      </c>
    </row>
    <row r="2286" spans="1:4">
      <c r="A2286" t="s">
        <v>1475</v>
      </c>
      <c r="B2286" t="s">
        <v>1349</v>
      </c>
      <c r="C2286">
        <v>450400</v>
      </c>
      <c r="D2286">
        <v>19360</v>
      </c>
    </row>
    <row r="2287" spans="1:4">
      <c r="A2287" t="s">
        <v>1475</v>
      </c>
      <c r="B2287" t="s">
        <v>1349</v>
      </c>
      <c r="C2287">
        <v>450410</v>
      </c>
      <c r="D2287">
        <v>19370</v>
      </c>
    </row>
    <row r="2288" spans="1:4">
      <c r="A2288" t="s">
        <v>1475</v>
      </c>
      <c r="B2288" t="s">
        <v>1349</v>
      </c>
      <c r="C2288">
        <v>450420</v>
      </c>
      <c r="D2288">
        <v>19380</v>
      </c>
    </row>
    <row r="2289" spans="1:4">
      <c r="A2289" t="s">
        <v>1475</v>
      </c>
      <c r="B2289" t="s">
        <v>1349</v>
      </c>
      <c r="C2289">
        <v>450430</v>
      </c>
      <c r="D2289">
        <v>19390</v>
      </c>
    </row>
    <row r="2290" spans="1:4">
      <c r="A2290" t="s">
        <v>1475</v>
      </c>
      <c r="B2290" t="s">
        <v>1349</v>
      </c>
      <c r="C2290">
        <v>450440</v>
      </c>
      <c r="D2290">
        <v>19400</v>
      </c>
    </row>
    <row r="2291" spans="1:4">
      <c r="A2291" t="s">
        <v>1475</v>
      </c>
      <c r="B2291" t="s">
        <v>1349</v>
      </c>
      <c r="C2291">
        <v>456200</v>
      </c>
      <c r="D2291">
        <v>19410</v>
      </c>
    </row>
    <row r="2292" spans="1:4">
      <c r="A2292" t="s">
        <v>1475</v>
      </c>
      <c r="B2292" t="s">
        <v>1349</v>
      </c>
      <c r="C2292">
        <v>450450</v>
      </c>
      <c r="D2292">
        <v>19420</v>
      </c>
    </row>
    <row r="2293" spans="1:4">
      <c r="A2293" t="s">
        <v>1475</v>
      </c>
      <c r="B2293" t="s">
        <v>1349</v>
      </c>
      <c r="C2293">
        <v>450470</v>
      </c>
      <c r="D2293">
        <v>19430</v>
      </c>
    </row>
    <row r="2294" spans="1:4">
      <c r="A2294" t="s">
        <v>1475</v>
      </c>
      <c r="B2294" t="s">
        <v>1349</v>
      </c>
      <c r="C2294">
        <v>450460</v>
      </c>
      <c r="D2294">
        <v>19440</v>
      </c>
    </row>
    <row r="2295" spans="1:4">
      <c r="A2295" t="s">
        <v>1475</v>
      </c>
      <c r="B2295" t="s">
        <v>1349</v>
      </c>
      <c r="C2295">
        <v>450480</v>
      </c>
      <c r="D2295">
        <v>19450</v>
      </c>
    </row>
    <row r="2296" spans="1:4">
      <c r="A2296" t="s">
        <v>1475</v>
      </c>
      <c r="B2296" t="s">
        <v>1349</v>
      </c>
      <c r="C2296">
        <v>450580</v>
      </c>
      <c r="D2296">
        <v>19460</v>
      </c>
    </row>
    <row r="2297" spans="1:4">
      <c r="A2297" t="s">
        <v>1475</v>
      </c>
      <c r="B2297" t="s">
        <v>1349</v>
      </c>
      <c r="C2297">
        <v>450590</v>
      </c>
      <c r="D2297">
        <v>19470</v>
      </c>
    </row>
    <row r="2298" spans="1:4">
      <c r="A2298" t="s">
        <v>1475</v>
      </c>
      <c r="B2298" t="s">
        <v>1349</v>
      </c>
      <c r="C2298">
        <v>450600</v>
      </c>
      <c r="D2298">
        <v>19480</v>
      </c>
    </row>
    <row r="2299" spans="1:4">
      <c r="A2299" t="s">
        <v>1475</v>
      </c>
      <c r="B2299" t="s">
        <v>1349</v>
      </c>
      <c r="C2299">
        <v>456210</v>
      </c>
      <c r="D2299">
        <v>19490</v>
      </c>
    </row>
    <row r="2300" spans="1:4">
      <c r="A2300" t="s">
        <v>1475</v>
      </c>
      <c r="B2300" t="s">
        <v>1349</v>
      </c>
      <c r="C2300">
        <v>403200</v>
      </c>
      <c r="D2300">
        <v>19500</v>
      </c>
    </row>
    <row r="2301" spans="1:4">
      <c r="A2301" t="s">
        <v>1475</v>
      </c>
      <c r="B2301" t="s">
        <v>1349</v>
      </c>
      <c r="C2301">
        <v>403210</v>
      </c>
      <c r="D2301">
        <v>19510</v>
      </c>
    </row>
    <row r="2302" spans="1:4">
      <c r="A2302" t="s">
        <v>1475</v>
      </c>
      <c r="B2302" t="s">
        <v>1349</v>
      </c>
      <c r="C2302">
        <v>403220</v>
      </c>
      <c r="D2302">
        <v>19520</v>
      </c>
    </row>
    <row r="2303" spans="1:4">
      <c r="A2303" t="s">
        <v>1475</v>
      </c>
      <c r="B2303" t="s">
        <v>1349</v>
      </c>
      <c r="C2303">
        <v>403230</v>
      </c>
      <c r="D2303">
        <v>19530</v>
      </c>
    </row>
    <row r="2304" spans="1:4">
      <c r="A2304" t="s">
        <v>1475</v>
      </c>
      <c r="B2304" t="s">
        <v>1349</v>
      </c>
      <c r="C2304">
        <v>403280</v>
      </c>
      <c r="D2304">
        <v>19540</v>
      </c>
    </row>
    <row r="2305" spans="1:4">
      <c r="A2305" t="s">
        <v>1475</v>
      </c>
      <c r="B2305" t="s">
        <v>1349</v>
      </c>
      <c r="C2305">
        <v>403270</v>
      </c>
      <c r="D2305">
        <v>19550</v>
      </c>
    </row>
    <row r="2306" spans="1:4">
      <c r="A2306" t="s">
        <v>1475</v>
      </c>
      <c r="B2306" t="s">
        <v>1349</v>
      </c>
      <c r="C2306">
        <v>403290</v>
      </c>
      <c r="D2306">
        <v>19560</v>
      </c>
    </row>
    <row r="2307" spans="1:4">
      <c r="A2307" t="s">
        <v>1475</v>
      </c>
      <c r="B2307" t="s">
        <v>1349</v>
      </c>
      <c r="C2307">
        <v>212080</v>
      </c>
      <c r="D2307">
        <v>19570</v>
      </c>
    </row>
    <row r="2308" spans="1:4">
      <c r="A2308" t="s">
        <v>1475</v>
      </c>
      <c r="B2308" t="s">
        <v>1349</v>
      </c>
      <c r="C2308">
        <v>403250</v>
      </c>
      <c r="D2308">
        <v>19580</v>
      </c>
    </row>
    <row r="2309" spans="1:4">
      <c r="A2309" t="s">
        <v>1475</v>
      </c>
      <c r="B2309" t="s">
        <v>1349</v>
      </c>
      <c r="C2309">
        <v>403310</v>
      </c>
      <c r="D2309">
        <v>19590</v>
      </c>
    </row>
    <row r="2310" spans="1:4">
      <c r="A2310" t="s">
        <v>1475</v>
      </c>
      <c r="B2310" t="s">
        <v>1349</v>
      </c>
      <c r="C2310">
        <v>403300</v>
      </c>
      <c r="D2310">
        <v>19600</v>
      </c>
    </row>
    <row r="2311" spans="1:4">
      <c r="A2311" t="s">
        <v>1475</v>
      </c>
      <c r="B2311" t="s">
        <v>1349</v>
      </c>
      <c r="C2311">
        <v>403260</v>
      </c>
      <c r="D2311">
        <v>19610</v>
      </c>
    </row>
    <row r="2312" spans="1:4">
      <c r="A2312" t="s">
        <v>1475</v>
      </c>
      <c r="B2312" t="s">
        <v>1349</v>
      </c>
      <c r="C2312">
        <v>212081</v>
      </c>
      <c r="D2312">
        <v>19620</v>
      </c>
    </row>
    <row r="2313" spans="1:4">
      <c r="A2313" t="s">
        <v>1475</v>
      </c>
      <c r="B2313" t="s">
        <v>1349</v>
      </c>
      <c r="C2313">
        <v>403240</v>
      </c>
      <c r="D2313">
        <v>19630</v>
      </c>
    </row>
    <row r="2314" spans="1:4">
      <c r="A2314" t="s">
        <v>1475</v>
      </c>
      <c r="B2314" t="s">
        <v>1349</v>
      </c>
      <c r="C2314">
        <v>403320</v>
      </c>
      <c r="D2314">
        <v>19640</v>
      </c>
    </row>
    <row r="2315" spans="1:4">
      <c r="A2315" t="s">
        <v>1475</v>
      </c>
      <c r="B2315" t="s">
        <v>1349</v>
      </c>
      <c r="C2315">
        <v>403330</v>
      </c>
      <c r="D2315">
        <v>19650</v>
      </c>
    </row>
    <row r="2316" spans="1:4">
      <c r="A2316" t="s">
        <v>1475</v>
      </c>
      <c r="B2316" t="s">
        <v>1349</v>
      </c>
      <c r="C2316">
        <v>212210</v>
      </c>
      <c r="D2316">
        <v>19660</v>
      </c>
    </row>
    <row r="2317" spans="1:4">
      <c r="A2317" t="s">
        <v>1475</v>
      </c>
      <c r="B2317" t="s">
        <v>1349</v>
      </c>
      <c r="C2317">
        <v>403350</v>
      </c>
      <c r="D2317">
        <v>19670</v>
      </c>
    </row>
    <row r="2318" spans="1:4">
      <c r="A2318" t="s">
        <v>1475</v>
      </c>
      <c r="B2318" t="s">
        <v>1349</v>
      </c>
      <c r="C2318">
        <v>403370</v>
      </c>
      <c r="D2318">
        <v>19680</v>
      </c>
    </row>
    <row r="2319" spans="1:4">
      <c r="A2319" t="s">
        <v>1475</v>
      </c>
      <c r="B2319" t="s">
        <v>1349</v>
      </c>
      <c r="C2319">
        <v>403470</v>
      </c>
      <c r="D2319">
        <v>19690</v>
      </c>
    </row>
    <row r="2320" spans="1:4">
      <c r="A2320" t="s">
        <v>1475</v>
      </c>
      <c r="B2320" t="s">
        <v>1349</v>
      </c>
      <c r="C2320">
        <v>411480</v>
      </c>
      <c r="D2320">
        <v>19700</v>
      </c>
    </row>
    <row r="2321" spans="1:4">
      <c r="A2321" t="s">
        <v>1475</v>
      </c>
      <c r="B2321" t="s">
        <v>1349</v>
      </c>
      <c r="C2321">
        <v>212082</v>
      </c>
      <c r="D2321">
        <v>19710</v>
      </c>
    </row>
    <row r="2322" spans="1:4">
      <c r="A2322" t="s">
        <v>1475</v>
      </c>
      <c r="B2322" t="s">
        <v>1349</v>
      </c>
      <c r="C2322">
        <v>403440</v>
      </c>
      <c r="D2322">
        <v>19720</v>
      </c>
    </row>
    <row r="2323" spans="1:4">
      <c r="A2323" t="s">
        <v>1475</v>
      </c>
      <c r="B2323" t="s">
        <v>1349</v>
      </c>
      <c r="C2323">
        <v>403450</v>
      </c>
      <c r="D2323">
        <v>19730</v>
      </c>
    </row>
    <row r="2324" spans="1:4">
      <c r="A2324" t="s">
        <v>1475</v>
      </c>
      <c r="B2324" t="s">
        <v>1349</v>
      </c>
      <c r="C2324">
        <v>403390</v>
      </c>
      <c r="D2324">
        <v>19740</v>
      </c>
    </row>
    <row r="2325" spans="1:4">
      <c r="A2325" t="s">
        <v>1475</v>
      </c>
      <c r="B2325" t="s">
        <v>1349</v>
      </c>
      <c r="C2325">
        <v>403400</v>
      </c>
      <c r="D2325">
        <v>19750</v>
      </c>
    </row>
    <row r="2326" spans="1:4">
      <c r="A2326" t="s">
        <v>1475</v>
      </c>
      <c r="B2326" t="s">
        <v>1349</v>
      </c>
      <c r="C2326">
        <v>403360</v>
      </c>
      <c r="D2326">
        <v>19760</v>
      </c>
    </row>
    <row r="2327" spans="1:4">
      <c r="A2327" t="s">
        <v>1475</v>
      </c>
      <c r="B2327" t="s">
        <v>1349</v>
      </c>
      <c r="C2327">
        <v>212083</v>
      </c>
      <c r="D2327">
        <v>19770</v>
      </c>
    </row>
    <row r="2328" spans="1:4">
      <c r="A2328" t="s">
        <v>1475</v>
      </c>
      <c r="B2328" t="s">
        <v>1349</v>
      </c>
      <c r="C2328">
        <v>205140</v>
      </c>
      <c r="D2328">
        <v>19780</v>
      </c>
    </row>
    <row r="2329" spans="1:4">
      <c r="A2329" t="s">
        <v>1475</v>
      </c>
      <c r="B2329" t="s">
        <v>1349</v>
      </c>
      <c r="C2329">
        <v>403420</v>
      </c>
      <c r="D2329">
        <v>19790</v>
      </c>
    </row>
    <row r="2330" spans="1:4">
      <c r="A2330" t="s">
        <v>1475</v>
      </c>
      <c r="B2330" t="s">
        <v>1349</v>
      </c>
      <c r="C2330">
        <v>403430</v>
      </c>
      <c r="D2330">
        <v>19800</v>
      </c>
    </row>
    <row r="2331" spans="1:4">
      <c r="A2331" t="s">
        <v>1475</v>
      </c>
      <c r="B2331" t="s">
        <v>1349</v>
      </c>
      <c r="C2331">
        <v>403460</v>
      </c>
      <c r="D2331">
        <v>19810</v>
      </c>
    </row>
    <row r="2332" spans="1:4">
      <c r="A2332" t="s">
        <v>1475</v>
      </c>
      <c r="B2332" t="s">
        <v>1349</v>
      </c>
      <c r="C2332">
        <v>403480</v>
      </c>
      <c r="D2332">
        <v>19820</v>
      </c>
    </row>
    <row r="2333" spans="1:4">
      <c r="A2333" t="s">
        <v>1475</v>
      </c>
      <c r="B2333" t="s">
        <v>1349</v>
      </c>
      <c r="C2333">
        <v>403490</v>
      </c>
      <c r="D2333">
        <v>19830</v>
      </c>
    </row>
    <row r="2334" spans="1:4">
      <c r="A2334" t="s">
        <v>1475</v>
      </c>
      <c r="B2334" t="s">
        <v>1349</v>
      </c>
      <c r="C2334">
        <v>456590</v>
      </c>
      <c r="D2334">
        <v>19840</v>
      </c>
    </row>
    <row r="2335" spans="1:4">
      <c r="A2335" t="s">
        <v>1475</v>
      </c>
      <c r="B2335" t="s">
        <v>1349</v>
      </c>
      <c r="C2335">
        <v>456620</v>
      </c>
      <c r="D2335">
        <v>19850</v>
      </c>
    </row>
    <row r="2336" spans="1:4">
      <c r="A2336" t="s">
        <v>1475</v>
      </c>
      <c r="B2336" t="s">
        <v>1349</v>
      </c>
      <c r="C2336">
        <v>456610</v>
      </c>
      <c r="D2336">
        <v>19860</v>
      </c>
    </row>
    <row r="2337" spans="1:4">
      <c r="A2337" t="s">
        <v>1475</v>
      </c>
      <c r="B2337" t="s">
        <v>1349</v>
      </c>
      <c r="C2337">
        <v>456600</v>
      </c>
      <c r="D2337">
        <v>19870</v>
      </c>
    </row>
    <row r="2338" spans="1:4">
      <c r="A2338" t="s">
        <v>1475</v>
      </c>
      <c r="B2338" t="s">
        <v>1349</v>
      </c>
      <c r="C2338">
        <v>456630</v>
      </c>
      <c r="D2338">
        <v>19880</v>
      </c>
    </row>
    <row r="2339" spans="1:4">
      <c r="A2339" t="s">
        <v>1475</v>
      </c>
      <c r="B2339" t="s">
        <v>1349</v>
      </c>
      <c r="C2339">
        <v>451330</v>
      </c>
      <c r="D2339">
        <v>19890</v>
      </c>
    </row>
    <row r="2340" spans="1:4">
      <c r="A2340" t="s">
        <v>1475</v>
      </c>
      <c r="B2340" t="s">
        <v>1349</v>
      </c>
      <c r="C2340">
        <v>451350</v>
      </c>
      <c r="D2340">
        <v>19900</v>
      </c>
    </row>
    <row r="2341" spans="1:4">
      <c r="A2341" t="s">
        <v>1475</v>
      </c>
      <c r="B2341" t="s">
        <v>1349</v>
      </c>
      <c r="C2341">
        <v>451360</v>
      </c>
      <c r="D2341">
        <v>19910</v>
      </c>
    </row>
    <row r="2342" spans="1:4">
      <c r="A2342" t="s">
        <v>1475</v>
      </c>
      <c r="B2342" t="s">
        <v>1349</v>
      </c>
      <c r="C2342">
        <v>451340</v>
      </c>
      <c r="D2342">
        <v>19920</v>
      </c>
    </row>
    <row r="2343" spans="1:4">
      <c r="A2343" t="s">
        <v>1475</v>
      </c>
      <c r="B2343" t="s">
        <v>1349</v>
      </c>
      <c r="C2343">
        <v>451370</v>
      </c>
      <c r="D2343">
        <v>19930</v>
      </c>
    </row>
    <row r="2344" spans="1:4">
      <c r="A2344" t="s">
        <v>1475</v>
      </c>
      <c r="B2344" t="s">
        <v>1349</v>
      </c>
      <c r="C2344">
        <v>451380</v>
      </c>
      <c r="D2344">
        <v>19940</v>
      </c>
    </row>
    <row r="2345" spans="1:4">
      <c r="A2345" t="s">
        <v>1475</v>
      </c>
      <c r="B2345" t="s">
        <v>1349</v>
      </c>
      <c r="C2345">
        <v>456250</v>
      </c>
      <c r="D2345">
        <v>19950</v>
      </c>
    </row>
    <row r="2346" spans="1:4">
      <c r="A2346" t="s">
        <v>1475</v>
      </c>
      <c r="B2346" t="s">
        <v>1349</v>
      </c>
      <c r="C2346">
        <v>447420</v>
      </c>
      <c r="D2346">
        <v>19960</v>
      </c>
    </row>
    <row r="2347" spans="1:4">
      <c r="A2347" t="s">
        <v>1475</v>
      </c>
      <c r="B2347" t="s">
        <v>1349</v>
      </c>
      <c r="C2347">
        <v>447440</v>
      </c>
      <c r="D2347">
        <v>19970</v>
      </c>
    </row>
    <row r="2348" spans="1:4">
      <c r="A2348" t="s">
        <v>1475</v>
      </c>
      <c r="B2348" t="s">
        <v>1349</v>
      </c>
      <c r="C2348">
        <v>447450</v>
      </c>
      <c r="D2348">
        <v>19980</v>
      </c>
    </row>
    <row r="2349" spans="1:4">
      <c r="A2349" t="s">
        <v>1475</v>
      </c>
      <c r="B2349" t="s">
        <v>1349</v>
      </c>
      <c r="C2349">
        <v>447430</v>
      </c>
      <c r="D2349">
        <v>19990</v>
      </c>
    </row>
    <row r="2350" spans="1:4">
      <c r="A2350" t="s">
        <v>1475</v>
      </c>
      <c r="B2350" t="s">
        <v>1349</v>
      </c>
      <c r="C2350">
        <v>447460</v>
      </c>
      <c r="D2350">
        <v>20000</v>
      </c>
    </row>
    <row r="2351" spans="1:4">
      <c r="A2351" t="s">
        <v>1475</v>
      </c>
      <c r="B2351" t="s">
        <v>1349</v>
      </c>
      <c r="C2351">
        <v>456260</v>
      </c>
      <c r="D2351">
        <v>20010</v>
      </c>
    </row>
    <row r="2352" spans="1:4">
      <c r="A2352" t="s">
        <v>1475</v>
      </c>
      <c r="B2352" t="s">
        <v>1349</v>
      </c>
      <c r="C2352">
        <v>456530</v>
      </c>
      <c r="D2352">
        <v>20020</v>
      </c>
    </row>
    <row r="2353" spans="1:4">
      <c r="A2353" t="s">
        <v>1475</v>
      </c>
      <c r="B2353" t="s">
        <v>1349</v>
      </c>
      <c r="C2353">
        <v>456550</v>
      </c>
      <c r="D2353">
        <v>20030</v>
      </c>
    </row>
    <row r="2354" spans="1:4">
      <c r="A2354" t="s">
        <v>1475</v>
      </c>
      <c r="B2354" t="s">
        <v>1349</v>
      </c>
      <c r="C2354">
        <v>456560</v>
      </c>
      <c r="D2354">
        <v>20040</v>
      </c>
    </row>
    <row r="2355" spans="1:4">
      <c r="A2355" t="s">
        <v>1475</v>
      </c>
      <c r="B2355" t="s">
        <v>1349</v>
      </c>
      <c r="C2355">
        <v>456570</v>
      </c>
      <c r="D2355">
        <v>20050</v>
      </c>
    </row>
    <row r="2356" spans="1:4">
      <c r="A2356" t="s">
        <v>1475</v>
      </c>
      <c r="B2356" t="s">
        <v>1349</v>
      </c>
      <c r="C2356">
        <v>456569</v>
      </c>
      <c r="D2356">
        <v>20060</v>
      </c>
    </row>
    <row r="2357" spans="1:4">
      <c r="A2357" t="s">
        <v>1475</v>
      </c>
      <c r="B2357" t="s">
        <v>1349</v>
      </c>
      <c r="C2357">
        <v>456540</v>
      </c>
      <c r="D2357">
        <v>20070</v>
      </c>
    </row>
    <row r="2358" spans="1:4">
      <c r="A2358" t="s">
        <v>1475</v>
      </c>
      <c r="B2358" t="s">
        <v>1349</v>
      </c>
      <c r="C2358">
        <v>456580</v>
      </c>
      <c r="D2358">
        <v>20080</v>
      </c>
    </row>
    <row r="2359" spans="1:4">
      <c r="A2359" t="s">
        <v>1475</v>
      </c>
      <c r="B2359" t="s">
        <v>1349</v>
      </c>
      <c r="C2359">
        <v>446650</v>
      </c>
      <c r="D2359">
        <v>20090</v>
      </c>
    </row>
    <row r="2360" spans="1:4">
      <c r="A2360" t="s">
        <v>1475</v>
      </c>
      <c r="B2360" t="s">
        <v>1349</v>
      </c>
      <c r="C2360">
        <v>446740</v>
      </c>
      <c r="D2360">
        <v>20100</v>
      </c>
    </row>
    <row r="2361" spans="1:4">
      <c r="A2361" t="s">
        <v>1475</v>
      </c>
      <c r="B2361" t="s">
        <v>1349</v>
      </c>
      <c r="C2361">
        <v>454580</v>
      </c>
      <c r="D2361">
        <v>20110</v>
      </c>
    </row>
    <row r="2362" spans="1:4">
      <c r="A2362" t="s">
        <v>1475</v>
      </c>
      <c r="B2362" t="s">
        <v>1349</v>
      </c>
      <c r="C2362">
        <v>446780</v>
      </c>
      <c r="D2362">
        <v>20120</v>
      </c>
    </row>
    <row r="2363" spans="1:4">
      <c r="A2363" t="s">
        <v>1475</v>
      </c>
      <c r="B2363" t="s">
        <v>1349</v>
      </c>
      <c r="C2363">
        <v>446670</v>
      </c>
      <c r="D2363">
        <v>20130</v>
      </c>
    </row>
    <row r="2364" spans="1:4">
      <c r="A2364" t="s">
        <v>1475</v>
      </c>
      <c r="B2364" t="s">
        <v>1349</v>
      </c>
      <c r="C2364">
        <v>446800</v>
      </c>
      <c r="D2364">
        <v>20140</v>
      </c>
    </row>
    <row r="2365" spans="1:4">
      <c r="A2365" t="s">
        <v>1475</v>
      </c>
      <c r="B2365" t="s">
        <v>1349</v>
      </c>
      <c r="C2365">
        <v>446770</v>
      </c>
      <c r="D2365">
        <v>20150</v>
      </c>
    </row>
    <row r="2366" spans="1:4">
      <c r="A2366" t="s">
        <v>1475</v>
      </c>
      <c r="B2366" t="s">
        <v>1349</v>
      </c>
      <c r="C2366">
        <v>446760</v>
      </c>
      <c r="D2366">
        <v>20160</v>
      </c>
    </row>
    <row r="2367" spans="1:4">
      <c r="A2367" t="s">
        <v>1475</v>
      </c>
      <c r="B2367" t="s">
        <v>1349</v>
      </c>
      <c r="C2367">
        <v>446750</v>
      </c>
      <c r="D2367">
        <v>20170</v>
      </c>
    </row>
    <row r="2368" spans="1:4">
      <c r="A2368" t="s">
        <v>1475</v>
      </c>
      <c r="B2368" t="s">
        <v>1349</v>
      </c>
      <c r="C2368">
        <v>446660</v>
      </c>
      <c r="D2368">
        <v>20180</v>
      </c>
    </row>
    <row r="2369" spans="1:4">
      <c r="A2369" t="s">
        <v>1475</v>
      </c>
      <c r="B2369" t="s">
        <v>1349</v>
      </c>
      <c r="C2369">
        <v>451390</v>
      </c>
      <c r="D2369">
        <v>20190</v>
      </c>
    </row>
    <row r="2370" spans="1:4">
      <c r="A2370" t="s">
        <v>1475</v>
      </c>
      <c r="B2370" t="s">
        <v>1349</v>
      </c>
      <c r="C2370">
        <v>446690</v>
      </c>
      <c r="D2370">
        <v>20200</v>
      </c>
    </row>
    <row r="2371" spans="1:4">
      <c r="A2371" t="s">
        <v>1475</v>
      </c>
      <c r="B2371" t="s">
        <v>1349</v>
      </c>
      <c r="C2371">
        <v>446710</v>
      </c>
      <c r="D2371">
        <v>20210</v>
      </c>
    </row>
    <row r="2372" spans="1:4">
      <c r="A2372" t="s">
        <v>1475</v>
      </c>
      <c r="B2372" t="s">
        <v>1349</v>
      </c>
      <c r="C2372">
        <v>446700</v>
      </c>
      <c r="D2372">
        <v>20220</v>
      </c>
    </row>
    <row r="2373" spans="1:4">
      <c r="A2373" t="s">
        <v>1475</v>
      </c>
      <c r="B2373" t="s">
        <v>1349</v>
      </c>
      <c r="C2373">
        <v>446680</v>
      </c>
      <c r="D2373">
        <v>20230</v>
      </c>
    </row>
    <row r="2374" spans="1:4">
      <c r="A2374" t="s">
        <v>1475</v>
      </c>
      <c r="B2374" t="s">
        <v>1349</v>
      </c>
      <c r="C2374">
        <v>446720</v>
      </c>
      <c r="D2374">
        <v>20240</v>
      </c>
    </row>
    <row r="2375" spans="1:4">
      <c r="A2375" t="s">
        <v>1475</v>
      </c>
      <c r="B2375" t="s">
        <v>1349</v>
      </c>
      <c r="C2375">
        <v>446730</v>
      </c>
      <c r="D2375">
        <v>20250</v>
      </c>
    </row>
    <row r="2376" spans="1:4">
      <c r="A2376" t="s">
        <v>1475</v>
      </c>
      <c r="B2376" t="s">
        <v>1349</v>
      </c>
      <c r="C2376">
        <v>456280</v>
      </c>
      <c r="D2376">
        <v>20260</v>
      </c>
    </row>
    <row r="2377" spans="1:4">
      <c r="A2377" t="s">
        <v>1475</v>
      </c>
      <c r="B2377" t="s">
        <v>1349</v>
      </c>
      <c r="C2377">
        <v>446860</v>
      </c>
      <c r="D2377">
        <v>20270</v>
      </c>
    </row>
    <row r="2378" spans="1:4">
      <c r="A2378" t="s">
        <v>1475</v>
      </c>
      <c r="B2378" t="s">
        <v>1349</v>
      </c>
      <c r="C2378">
        <v>446880</v>
      </c>
      <c r="D2378">
        <v>20280</v>
      </c>
    </row>
    <row r="2379" spans="1:4">
      <c r="A2379" t="s">
        <v>1475</v>
      </c>
      <c r="B2379" t="s">
        <v>1349</v>
      </c>
      <c r="C2379">
        <v>447060</v>
      </c>
      <c r="D2379">
        <v>20290</v>
      </c>
    </row>
    <row r="2380" spans="1:4">
      <c r="A2380" t="s">
        <v>1475</v>
      </c>
      <c r="B2380" t="s">
        <v>1349</v>
      </c>
      <c r="C2380">
        <v>447080</v>
      </c>
      <c r="D2380">
        <v>20300</v>
      </c>
    </row>
    <row r="2381" spans="1:4">
      <c r="A2381" t="s">
        <v>1475</v>
      </c>
      <c r="B2381" t="s">
        <v>1349</v>
      </c>
      <c r="C2381">
        <v>446890</v>
      </c>
      <c r="D2381">
        <v>20310</v>
      </c>
    </row>
    <row r="2382" spans="1:4">
      <c r="A2382" t="s">
        <v>1475</v>
      </c>
      <c r="B2382" t="s">
        <v>1349</v>
      </c>
      <c r="C2382">
        <v>446870</v>
      </c>
      <c r="D2382">
        <v>20320</v>
      </c>
    </row>
    <row r="2383" spans="1:4">
      <c r="A2383" t="s">
        <v>1475</v>
      </c>
      <c r="B2383" t="s">
        <v>1349</v>
      </c>
      <c r="C2383">
        <v>446910</v>
      </c>
      <c r="D2383">
        <v>20330</v>
      </c>
    </row>
    <row r="2384" spans="1:4">
      <c r="A2384" t="s">
        <v>1475</v>
      </c>
      <c r="B2384" t="s">
        <v>1349</v>
      </c>
      <c r="C2384">
        <v>446930</v>
      </c>
      <c r="D2384">
        <v>20340</v>
      </c>
    </row>
    <row r="2385" spans="1:4">
      <c r="A2385" t="s">
        <v>1475</v>
      </c>
      <c r="B2385" t="s">
        <v>1349</v>
      </c>
      <c r="C2385">
        <v>447090</v>
      </c>
      <c r="D2385">
        <v>20350</v>
      </c>
    </row>
    <row r="2386" spans="1:4">
      <c r="A2386" t="s">
        <v>1475</v>
      </c>
      <c r="B2386" t="s">
        <v>1349</v>
      </c>
      <c r="C2386">
        <v>446900</v>
      </c>
      <c r="D2386">
        <v>20360</v>
      </c>
    </row>
    <row r="2387" spans="1:4">
      <c r="A2387" t="s">
        <v>1475</v>
      </c>
      <c r="B2387" t="s">
        <v>1349</v>
      </c>
      <c r="C2387">
        <v>446950</v>
      </c>
      <c r="D2387">
        <v>20370</v>
      </c>
    </row>
    <row r="2388" spans="1:4">
      <c r="A2388" t="s">
        <v>1475</v>
      </c>
      <c r="B2388" t="s">
        <v>1349</v>
      </c>
      <c r="C2388">
        <v>446920</v>
      </c>
      <c r="D2388">
        <v>20380</v>
      </c>
    </row>
    <row r="2389" spans="1:4">
      <c r="A2389" t="s">
        <v>1475</v>
      </c>
      <c r="B2389" t="s">
        <v>1349</v>
      </c>
      <c r="C2389">
        <v>447100</v>
      </c>
      <c r="D2389">
        <v>20390</v>
      </c>
    </row>
    <row r="2390" spans="1:4">
      <c r="A2390" t="s">
        <v>1475</v>
      </c>
      <c r="B2390" t="s">
        <v>1349</v>
      </c>
      <c r="C2390">
        <v>447000</v>
      </c>
      <c r="D2390">
        <v>20400</v>
      </c>
    </row>
    <row r="2391" spans="1:4">
      <c r="A2391" t="s">
        <v>1475</v>
      </c>
      <c r="B2391" t="s">
        <v>1349</v>
      </c>
      <c r="C2391">
        <v>447010</v>
      </c>
      <c r="D2391">
        <v>20410</v>
      </c>
    </row>
    <row r="2392" spans="1:4">
      <c r="A2392" t="s">
        <v>1475</v>
      </c>
      <c r="B2392" t="s">
        <v>1349</v>
      </c>
      <c r="C2392">
        <v>447020</v>
      </c>
      <c r="D2392">
        <v>20420</v>
      </c>
    </row>
    <row r="2393" spans="1:4">
      <c r="A2393" t="s">
        <v>1475</v>
      </c>
      <c r="B2393" t="s">
        <v>1349</v>
      </c>
      <c r="C2393">
        <v>447030</v>
      </c>
      <c r="D2393">
        <v>20430</v>
      </c>
    </row>
    <row r="2394" spans="1:4">
      <c r="A2394" t="s">
        <v>1475</v>
      </c>
      <c r="B2394" t="s">
        <v>1349</v>
      </c>
      <c r="C2394">
        <v>446940</v>
      </c>
      <c r="D2394">
        <v>20440</v>
      </c>
    </row>
    <row r="2395" spans="1:4">
      <c r="A2395" t="s">
        <v>1475</v>
      </c>
      <c r="B2395" t="s">
        <v>1349</v>
      </c>
      <c r="C2395">
        <v>447040</v>
      </c>
      <c r="D2395">
        <v>20450</v>
      </c>
    </row>
    <row r="2396" spans="1:4">
      <c r="A2396" t="s">
        <v>1475</v>
      </c>
      <c r="B2396" t="s">
        <v>1349</v>
      </c>
      <c r="C2396">
        <v>446960</v>
      </c>
      <c r="D2396">
        <v>20460</v>
      </c>
    </row>
    <row r="2397" spans="1:4">
      <c r="A2397" t="s">
        <v>1475</v>
      </c>
      <c r="B2397" t="s">
        <v>1349</v>
      </c>
      <c r="C2397">
        <v>446970</v>
      </c>
      <c r="D2397">
        <v>20470</v>
      </c>
    </row>
    <row r="2398" spans="1:4">
      <c r="A2398" t="s">
        <v>1475</v>
      </c>
      <c r="B2398" t="s">
        <v>1349</v>
      </c>
      <c r="C2398">
        <v>446980</v>
      </c>
      <c r="D2398">
        <v>20480</v>
      </c>
    </row>
    <row r="2399" spans="1:4">
      <c r="A2399" t="s">
        <v>1475</v>
      </c>
      <c r="B2399" t="s">
        <v>1349</v>
      </c>
      <c r="C2399">
        <v>446990</v>
      </c>
      <c r="D2399">
        <v>20490</v>
      </c>
    </row>
    <row r="2400" spans="1:4">
      <c r="A2400" t="s">
        <v>1475</v>
      </c>
      <c r="B2400" t="s">
        <v>1349</v>
      </c>
      <c r="C2400">
        <v>447050</v>
      </c>
      <c r="D2400">
        <v>20500</v>
      </c>
    </row>
    <row r="2401" spans="1:4">
      <c r="A2401" t="s">
        <v>1475</v>
      </c>
      <c r="B2401" t="s">
        <v>1349</v>
      </c>
      <c r="C2401">
        <v>456290</v>
      </c>
      <c r="D2401">
        <v>20510</v>
      </c>
    </row>
    <row r="2402" spans="1:4">
      <c r="A2402" t="s">
        <v>1475</v>
      </c>
      <c r="B2402" t="s">
        <v>1349</v>
      </c>
      <c r="C2402">
        <v>447110</v>
      </c>
      <c r="D2402">
        <v>20520</v>
      </c>
    </row>
    <row r="2403" spans="1:4">
      <c r="A2403" t="s">
        <v>1475</v>
      </c>
      <c r="B2403" t="s">
        <v>1349</v>
      </c>
      <c r="C2403">
        <v>447140</v>
      </c>
      <c r="D2403">
        <v>20530</v>
      </c>
    </row>
    <row r="2404" spans="1:4">
      <c r="A2404" t="s">
        <v>1475</v>
      </c>
      <c r="B2404" t="s">
        <v>1349</v>
      </c>
      <c r="C2404">
        <v>447130</v>
      </c>
      <c r="D2404">
        <v>20540</v>
      </c>
    </row>
    <row r="2405" spans="1:4">
      <c r="A2405" t="s">
        <v>1475</v>
      </c>
      <c r="B2405" t="s">
        <v>1349</v>
      </c>
      <c r="C2405">
        <v>447120</v>
      </c>
      <c r="D2405">
        <v>20550</v>
      </c>
    </row>
    <row r="2406" spans="1:4">
      <c r="A2406" t="s">
        <v>1475</v>
      </c>
      <c r="B2406" t="s">
        <v>1349</v>
      </c>
      <c r="C2406">
        <v>447150</v>
      </c>
      <c r="D2406">
        <v>20560</v>
      </c>
    </row>
    <row r="2407" spans="1:4">
      <c r="A2407" t="s">
        <v>1475</v>
      </c>
      <c r="B2407" t="s">
        <v>1349</v>
      </c>
      <c r="C2407">
        <v>447160</v>
      </c>
      <c r="D2407">
        <v>20570</v>
      </c>
    </row>
    <row r="2408" spans="1:4">
      <c r="A2408" t="s">
        <v>1475</v>
      </c>
      <c r="B2408" t="s">
        <v>1349</v>
      </c>
      <c r="C2408">
        <v>456300</v>
      </c>
      <c r="D2408">
        <v>20580</v>
      </c>
    </row>
    <row r="2409" spans="1:4">
      <c r="A2409" t="s">
        <v>1475</v>
      </c>
      <c r="B2409" t="s">
        <v>1349</v>
      </c>
      <c r="C2409">
        <v>447170</v>
      </c>
      <c r="D2409">
        <v>20590</v>
      </c>
    </row>
    <row r="2410" spans="1:4">
      <c r="A2410" t="s">
        <v>1475</v>
      </c>
      <c r="B2410" t="s">
        <v>1349</v>
      </c>
      <c r="C2410">
        <v>447200</v>
      </c>
      <c r="D2410">
        <v>20600</v>
      </c>
    </row>
    <row r="2411" spans="1:4">
      <c r="A2411" t="s">
        <v>1475</v>
      </c>
      <c r="B2411" t="s">
        <v>1349</v>
      </c>
      <c r="C2411">
        <v>447210</v>
      </c>
      <c r="D2411">
        <v>20610</v>
      </c>
    </row>
    <row r="2412" spans="1:4">
      <c r="A2412" t="s">
        <v>1475</v>
      </c>
      <c r="B2412" t="s">
        <v>1349</v>
      </c>
      <c r="C2412">
        <v>447190</v>
      </c>
      <c r="D2412">
        <v>20620</v>
      </c>
    </row>
    <row r="2413" spans="1:4">
      <c r="A2413" t="s">
        <v>1475</v>
      </c>
      <c r="B2413" t="s">
        <v>1349</v>
      </c>
      <c r="C2413">
        <v>447180</v>
      </c>
      <c r="D2413">
        <v>20630</v>
      </c>
    </row>
    <row r="2414" spans="1:4">
      <c r="A2414" t="s">
        <v>1475</v>
      </c>
      <c r="B2414" t="s">
        <v>1349</v>
      </c>
      <c r="C2414">
        <v>447240</v>
      </c>
      <c r="D2414">
        <v>20640</v>
      </c>
    </row>
    <row r="2415" spans="1:4">
      <c r="A2415" t="s">
        <v>1475</v>
      </c>
      <c r="B2415" t="s">
        <v>1349</v>
      </c>
      <c r="C2415">
        <v>447230</v>
      </c>
      <c r="D2415">
        <v>20650</v>
      </c>
    </row>
    <row r="2416" spans="1:4">
      <c r="A2416" t="s">
        <v>1475</v>
      </c>
      <c r="B2416" t="s">
        <v>1349</v>
      </c>
      <c r="C2416">
        <v>447220</v>
      </c>
      <c r="D2416">
        <v>20660</v>
      </c>
    </row>
    <row r="2417" spans="1:4">
      <c r="A2417" t="s">
        <v>1475</v>
      </c>
      <c r="B2417" t="s">
        <v>1349</v>
      </c>
      <c r="C2417">
        <v>447250</v>
      </c>
      <c r="D2417">
        <v>20670</v>
      </c>
    </row>
    <row r="2418" spans="1:4">
      <c r="A2418" t="s">
        <v>1475</v>
      </c>
      <c r="B2418" t="s">
        <v>1349</v>
      </c>
      <c r="C2418">
        <v>456310</v>
      </c>
      <c r="D2418">
        <v>20680</v>
      </c>
    </row>
    <row r="2419" spans="1:4">
      <c r="A2419" t="s">
        <v>1475</v>
      </c>
      <c r="B2419" t="s">
        <v>1349</v>
      </c>
      <c r="C2419">
        <v>451400</v>
      </c>
      <c r="D2419">
        <v>20690</v>
      </c>
    </row>
    <row r="2420" spans="1:4">
      <c r="A2420" t="s">
        <v>1475</v>
      </c>
      <c r="B2420" t="s">
        <v>1349</v>
      </c>
      <c r="C2420">
        <v>451410</v>
      </c>
      <c r="D2420">
        <v>20700</v>
      </c>
    </row>
    <row r="2421" spans="1:4">
      <c r="A2421" t="s">
        <v>1475</v>
      </c>
      <c r="B2421" t="s">
        <v>1349</v>
      </c>
      <c r="C2421">
        <v>451420</v>
      </c>
      <c r="D2421">
        <v>20710</v>
      </c>
    </row>
    <row r="2422" spans="1:4">
      <c r="A2422" t="s">
        <v>1475</v>
      </c>
      <c r="B2422" t="s">
        <v>1349</v>
      </c>
      <c r="C2422">
        <v>451430</v>
      </c>
      <c r="D2422">
        <v>20720</v>
      </c>
    </row>
    <row r="2423" spans="1:4">
      <c r="A2423" t="s">
        <v>1475</v>
      </c>
      <c r="B2423" t="s">
        <v>1349</v>
      </c>
      <c r="C2423">
        <v>451440</v>
      </c>
      <c r="D2423">
        <v>20730</v>
      </c>
    </row>
    <row r="2424" spans="1:4">
      <c r="A2424" t="s">
        <v>1475</v>
      </c>
      <c r="B2424" t="s">
        <v>1349</v>
      </c>
      <c r="C2424">
        <v>451450</v>
      </c>
      <c r="D2424">
        <v>20740</v>
      </c>
    </row>
    <row r="2425" spans="1:4">
      <c r="A2425" t="s">
        <v>1475</v>
      </c>
      <c r="B2425" t="s">
        <v>1349</v>
      </c>
      <c r="C2425">
        <v>456320</v>
      </c>
      <c r="D2425">
        <v>20750</v>
      </c>
    </row>
    <row r="2426" spans="1:4">
      <c r="A2426" t="s">
        <v>1475</v>
      </c>
      <c r="B2426" t="s">
        <v>1349</v>
      </c>
      <c r="C2426">
        <v>451460</v>
      </c>
      <c r="D2426">
        <v>20760</v>
      </c>
    </row>
    <row r="2427" spans="1:4">
      <c r="A2427" t="s">
        <v>1475</v>
      </c>
      <c r="B2427" t="s">
        <v>1349</v>
      </c>
      <c r="C2427">
        <v>451490</v>
      </c>
      <c r="D2427">
        <v>20770</v>
      </c>
    </row>
    <row r="2428" spans="1:4">
      <c r="A2428" t="s">
        <v>1475</v>
      </c>
      <c r="B2428" t="s">
        <v>1349</v>
      </c>
      <c r="C2428">
        <v>451470</v>
      </c>
      <c r="D2428">
        <v>20780</v>
      </c>
    </row>
    <row r="2429" spans="1:4">
      <c r="A2429" t="s">
        <v>1475</v>
      </c>
      <c r="B2429" t="s">
        <v>1349</v>
      </c>
      <c r="C2429">
        <v>451480</v>
      </c>
      <c r="D2429">
        <v>20790</v>
      </c>
    </row>
    <row r="2430" spans="1:4">
      <c r="A2430" t="s">
        <v>1475</v>
      </c>
      <c r="B2430" t="s">
        <v>1349</v>
      </c>
      <c r="C2430">
        <v>451500</v>
      </c>
      <c r="D2430">
        <v>20800</v>
      </c>
    </row>
    <row r="2431" spans="1:4">
      <c r="A2431" t="s">
        <v>1475</v>
      </c>
      <c r="B2431" t="s">
        <v>1349</v>
      </c>
      <c r="C2431">
        <v>451510</v>
      </c>
      <c r="D2431">
        <v>20810</v>
      </c>
    </row>
    <row r="2432" spans="1:4">
      <c r="A2432" t="s">
        <v>1475</v>
      </c>
      <c r="B2432" t="s">
        <v>1349</v>
      </c>
      <c r="C2432">
        <v>456330</v>
      </c>
      <c r="D2432">
        <v>20820</v>
      </c>
    </row>
    <row r="2433" spans="1:4">
      <c r="A2433" t="s">
        <v>1475</v>
      </c>
      <c r="B2433" t="s">
        <v>1349</v>
      </c>
      <c r="C2433">
        <v>446810</v>
      </c>
      <c r="D2433">
        <v>20830</v>
      </c>
    </row>
    <row r="2434" spans="1:4">
      <c r="A2434" t="s">
        <v>1475</v>
      </c>
      <c r="B2434" t="s">
        <v>1349</v>
      </c>
      <c r="C2434">
        <v>451520</v>
      </c>
      <c r="D2434">
        <v>20840</v>
      </c>
    </row>
    <row r="2435" spans="1:4">
      <c r="A2435" t="s">
        <v>1475</v>
      </c>
      <c r="B2435" t="s">
        <v>1349</v>
      </c>
      <c r="C2435">
        <v>446830</v>
      </c>
      <c r="D2435">
        <v>20850</v>
      </c>
    </row>
    <row r="2436" spans="1:4">
      <c r="A2436" t="s">
        <v>1475</v>
      </c>
      <c r="B2436" t="s">
        <v>1349</v>
      </c>
      <c r="C2436">
        <v>446820</v>
      </c>
      <c r="D2436">
        <v>20860</v>
      </c>
    </row>
    <row r="2437" spans="1:4">
      <c r="A2437" t="s">
        <v>1475</v>
      </c>
      <c r="B2437" t="s">
        <v>1349</v>
      </c>
      <c r="C2437">
        <v>446840</v>
      </c>
      <c r="D2437">
        <v>20870</v>
      </c>
    </row>
    <row r="2438" spans="1:4">
      <c r="A2438" t="s">
        <v>1475</v>
      </c>
      <c r="B2438" t="s">
        <v>1349</v>
      </c>
      <c r="C2438">
        <v>446850</v>
      </c>
      <c r="D2438">
        <v>20880</v>
      </c>
    </row>
    <row r="2439" spans="1:4">
      <c r="A2439" t="s">
        <v>1475</v>
      </c>
      <c r="B2439" t="s">
        <v>1349</v>
      </c>
      <c r="C2439">
        <v>456340</v>
      </c>
      <c r="D2439">
        <v>20890</v>
      </c>
    </row>
    <row r="2440" spans="1:4">
      <c r="A2440" t="s">
        <v>1475</v>
      </c>
      <c r="B2440" t="s">
        <v>1349</v>
      </c>
      <c r="C2440">
        <v>451600</v>
      </c>
      <c r="D2440">
        <v>20900</v>
      </c>
    </row>
    <row r="2441" spans="1:4">
      <c r="A2441" t="s">
        <v>1475</v>
      </c>
      <c r="B2441" t="s">
        <v>1349</v>
      </c>
      <c r="C2441">
        <v>451610</v>
      </c>
      <c r="D2441">
        <v>20910</v>
      </c>
    </row>
    <row r="2442" spans="1:4">
      <c r="A2442" t="s">
        <v>1475</v>
      </c>
      <c r="B2442" t="s">
        <v>1349</v>
      </c>
      <c r="C2442">
        <v>451620</v>
      </c>
      <c r="D2442">
        <v>20920</v>
      </c>
    </row>
    <row r="2443" spans="1:4">
      <c r="A2443" t="s">
        <v>1475</v>
      </c>
      <c r="B2443" t="s">
        <v>1349</v>
      </c>
      <c r="C2443">
        <v>451630</v>
      </c>
      <c r="D2443">
        <v>20930</v>
      </c>
    </row>
    <row r="2444" spans="1:4">
      <c r="A2444" t="s">
        <v>1475</v>
      </c>
      <c r="B2444" t="s">
        <v>1349</v>
      </c>
      <c r="C2444">
        <v>451640</v>
      </c>
      <c r="D2444">
        <v>20940</v>
      </c>
    </row>
    <row r="2445" spans="1:4">
      <c r="A2445" t="s">
        <v>1475</v>
      </c>
      <c r="B2445" t="s">
        <v>1349</v>
      </c>
      <c r="C2445">
        <v>456360</v>
      </c>
      <c r="D2445">
        <v>20950</v>
      </c>
    </row>
    <row r="2446" spans="1:4">
      <c r="A2446" t="s">
        <v>1475</v>
      </c>
      <c r="B2446" t="s">
        <v>1349</v>
      </c>
      <c r="C2446">
        <v>451650</v>
      </c>
      <c r="D2446">
        <v>20960</v>
      </c>
    </row>
    <row r="2447" spans="1:4">
      <c r="A2447" t="s">
        <v>1475</v>
      </c>
      <c r="B2447" t="s">
        <v>1349</v>
      </c>
      <c r="C2447">
        <v>451660</v>
      </c>
      <c r="D2447">
        <v>20970</v>
      </c>
    </row>
    <row r="2448" spans="1:4">
      <c r="A2448" t="s">
        <v>1475</v>
      </c>
      <c r="B2448" t="s">
        <v>1349</v>
      </c>
      <c r="C2448">
        <v>451670</v>
      </c>
      <c r="D2448">
        <v>20980</v>
      </c>
    </row>
    <row r="2449" spans="1:4">
      <c r="A2449" t="s">
        <v>1475</v>
      </c>
      <c r="B2449" t="s">
        <v>1349</v>
      </c>
      <c r="C2449">
        <v>451680</v>
      </c>
      <c r="D2449">
        <v>20990</v>
      </c>
    </row>
    <row r="2450" spans="1:4">
      <c r="A2450" t="s">
        <v>1475</v>
      </c>
      <c r="B2450" t="s">
        <v>1349</v>
      </c>
      <c r="C2450">
        <v>451690</v>
      </c>
      <c r="D2450">
        <v>21000</v>
      </c>
    </row>
    <row r="2451" spans="1:4">
      <c r="A2451" t="s">
        <v>1475</v>
      </c>
      <c r="B2451" t="s">
        <v>1349</v>
      </c>
      <c r="C2451">
        <v>456370</v>
      </c>
      <c r="D2451">
        <v>21010</v>
      </c>
    </row>
    <row r="2452" spans="1:4">
      <c r="A2452" t="s">
        <v>1475</v>
      </c>
      <c r="B2452" t="s">
        <v>1349</v>
      </c>
      <c r="C2452">
        <v>451700</v>
      </c>
      <c r="D2452">
        <v>21020</v>
      </c>
    </row>
    <row r="2453" spans="1:4">
      <c r="A2453" t="s">
        <v>1475</v>
      </c>
      <c r="B2453" t="s">
        <v>1349</v>
      </c>
      <c r="C2453">
        <v>451720</v>
      </c>
      <c r="D2453">
        <v>21030</v>
      </c>
    </row>
    <row r="2454" spans="1:4">
      <c r="A2454" t="s">
        <v>1475</v>
      </c>
      <c r="B2454" t="s">
        <v>1349</v>
      </c>
      <c r="C2454">
        <v>451710</v>
      </c>
      <c r="D2454">
        <v>21040</v>
      </c>
    </row>
    <row r="2455" spans="1:4">
      <c r="A2455" t="s">
        <v>1475</v>
      </c>
      <c r="B2455" t="s">
        <v>1349</v>
      </c>
      <c r="C2455">
        <v>451730</v>
      </c>
      <c r="D2455">
        <v>21050</v>
      </c>
    </row>
    <row r="2456" spans="1:4">
      <c r="A2456" t="s">
        <v>1475</v>
      </c>
      <c r="B2456" t="s">
        <v>1349</v>
      </c>
      <c r="C2456">
        <v>451740</v>
      </c>
      <c r="D2456">
        <v>21060</v>
      </c>
    </row>
    <row r="2457" spans="1:4">
      <c r="A2457" t="s">
        <v>1475</v>
      </c>
      <c r="B2457" t="s">
        <v>1349</v>
      </c>
      <c r="C2457">
        <v>456380</v>
      </c>
      <c r="D2457">
        <v>21070</v>
      </c>
    </row>
    <row r="2458" spans="1:4">
      <c r="A2458" t="s">
        <v>1475</v>
      </c>
      <c r="B2458" t="s">
        <v>1349</v>
      </c>
      <c r="C2458">
        <v>210660</v>
      </c>
      <c r="D2458">
        <v>21080</v>
      </c>
    </row>
    <row r="2459" spans="1:4">
      <c r="A2459" t="s">
        <v>1475</v>
      </c>
      <c r="B2459" t="s">
        <v>1349</v>
      </c>
      <c r="C2459">
        <v>210662</v>
      </c>
      <c r="D2459">
        <v>21090</v>
      </c>
    </row>
    <row r="2460" spans="1:4">
      <c r="A2460" t="s">
        <v>1475</v>
      </c>
      <c r="B2460" t="s">
        <v>1349</v>
      </c>
      <c r="C2460">
        <v>210661</v>
      </c>
      <c r="D2460">
        <v>21100</v>
      </c>
    </row>
    <row r="2461" spans="1:4">
      <c r="A2461" t="s">
        <v>1475</v>
      </c>
      <c r="B2461" t="s">
        <v>1349</v>
      </c>
      <c r="C2461">
        <v>210664</v>
      </c>
      <c r="D2461">
        <v>21110</v>
      </c>
    </row>
    <row r="2462" spans="1:4">
      <c r="A2462" t="s">
        <v>1475</v>
      </c>
      <c r="B2462" t="s">
        <v>1349</v>
      </c>
      <c r="C2462">
        <v>210663</v>
      </c>
      <c r="D2462">
        <v>21120</v>
      </c>
    </row>
    <row r="2463" spans="1:4">
      <c r="A2463" t="s">
        <v>1475</v>
      </c>
      <c r="B2463" t="s">
        <v>1349</v>
      </c>
      <c r="C2463">
        <v>210672</v>
      </c>
      <c r="D2463">
        <v>21130</v>
      </c>
    </row>
    <row r="2464" spans="1:4">
      <c r="A2464" t="s">
        <v>1475</v>
      </c>
      <c r="B2464" t="s">
        <v>1349</v>
      </c>
      <c r="C2464">
        <v>210690</v>
      </c>
      <c r="D2464">
        <v>21140</v>
      </c>
    </row>
    <row r="2465" spans="1:4">
      <c r="A2465" t="s">
        <v>1475</v>
      </c>
      <c r="B2465" t="s">
        <v>1349</v>
      </c>
      <c r="C2465">
        <v>210970</v>
      </c>
      <c r="D2465">
        <v>21150</v>
      </c>
    </row>
    <row r="2466" spans="1:4">
      <c r="A2466" t="s">
        <v>1475</v>
      </c>
      <c r="B2466" t="s">
        <v>1349</v>
      </c>
      <c r="C2466">
        <v>451750</v>
      </c>
      <c r="D2466">
        <v>21160</v>
      </c>
    </row>
    <row r="2467" spans="1:4">
      <c r="A2467" t="s">
        <v>1475</v>
      </c>
      <c r="B2467" t="s">
        <v>1349</v>
      </c>
      <c r="C2467">
        <v>451760</v>
      </c>
      <c r="D2467">
        <v>21170</v>
      </c>
    </row>
    <row r="2468" spans="1:4">
      <c r="A2468" t="s">
        <v>1475</v>
      </c>
      <c r="B2468" t="s">
        <v>1349</v>
      </c>
      <c r="C2468">
        <v>451820</v>
      </c>
      <c r="D2468">
        <v>21180</v>
      </c>
    </row>
    <row r="2469" spans="1:4">
      <c r="A2469" t="s">
        <v>1475</v>
      </c>
      <c r="B2469" t="s">
        <v>1349</v>
      </c>
      <c r="C2469">
        <v>451830</v>
      </c>
      <c r="D2469">
        <v>21190</v>
      </c>
    </row>
    <row r="2470" spans="1:4">
      <c r="A2470" t="s">
        <v>1475</v>
      </c>
      <c r="B2470" t="s">
        <v>1349</v>
      </c>
      <c r="C2470">
        <v>451780</v>
      </c>
      <c r="D2470">
        <v>21200</v>
      </c>
    </row>
    <row r="2471" spans="1:4">
      <c r="A2471" t="s">
        <v>1475</v>
      </c>
      <c r="B2471" t="s">
        <v>1349</v>
      </c>
      <c r="C2471">
        <v>451800</v>
      </c>
      <c r="D2471">
        <v>21210</v>
      </c>
    </row>
    <row r="2472" spans="1:4">
      <c r="A2472" t="s">
        <v>1475</v>
      </c>
      <c r="B2472" t="s">
        <v>1349</v>
      </c>
      <c r="C2472">
        <v>451770</v>
      </c>
      <c r="D2472">
        <v>21220</v>
      </c>
    </row>
    <row r="2473" spans="1:4">
      <c r="A2473" t="s">
        <v>1475</v>
      </c>
      <c r="B2473" t="s">
        <v>1349</v>
      </c>
      <c r="C2473">
        <v>451850</v>
      </c>
      <c r="D2473">
        <v>21230</v>
      </c>
    </row>
    <row r="2474" spans="1:4">
      <c r="A2474" t="s">
        <v>1475</v>
      </c>
      <c r="B2474" t="s">
        <v>1349</v>
      </c>
      <c r="C2474">
        <v>451810</v>
      </c>
      <c r="D2474">
        <v>21240</v>
      </c>
    </row>
    <row r="2475" spans="1:4">
      <c r="A2475" t="s">
        <v>1475</v>
      </c>
      <c r="B2475" t="s">
        <v>1349</v>
      </c>
      <c r="C2475">
        <v>451790</v>
      </c>
      <c r="D2475">
        <v>21250</v>
      </c>
    </row>
    <row r="2476" spans="1:4">
      <c r="A2476" t="s">
        <v>1475</v>
      </c>
      <c r="B2476" t="s">
        <v>1349</v>
      </c>
      <c r="C2476">
        <v>451840</v>
      </c>
      <c r="D2476">
        <v>21260</v>
      </c>
    </row>
    <row r="2477" spans="1:4">
      <c r="A2477" t="s">
        <v>1475</v>
      </c>
      <c r="B2477" t="s">
        <v>1349</v>
      </c>
      <c r="C2477">
        <v>456390</v>
      </c>
      <c r="D2477">
        <v>21270</v>
      </c>
    </row>
    <row r="2478" spans="1:4">
      <c r="A2478" t="s">
        <v>1475</v>
      </c>
      <c r="B2478" t="s">
        <v>1349</v>
      </c>
      <c r="C2478">
        <v>446250</v>
      </c>
      <c r="D2478">
        <v>21280</v>
      </c>
    </row>
    <row r="2479" spans="1:4">
      <c r="A2479" t="s">
        <v>1475</v>
      </c>
      <c r="B2479" t="s">
        <v>1349</v>
      </c>
      <c r="C2479">
        <v>446310</v>
      </c>
      <c r="D2479">
        <v>21290</v>
      </c>
    </row>
    <row r="2480" spans="1:4">
      <c r="A2480" t="s">
        <v>1475</v>
      </c>
      <c r="B2480" t="s">
        <v>1349</v>
      </c>
      <c r="C2480">
        <v>446300</v>
      </c>
      <c r="D2480">
        <v>21300</v>
      </c>
    </row>
    <row r="2481" spans="1:4">
      <c r="A2481" t="s">
        <v>1475</v>
      </c>
      <c r="B2481" t="s">
        <v>1349</v>
      </c>
      <c r="C2481">
        <v>446290</v>
      </c>
      <c r="D2481">
        <v>21310</v>
      </c>
    </row>
    <row r="2482" spans="1:4">
      <c r="A2482" t="s">
        <v>1475</v>
      </c>
      <c r="B2482" t="s">
        <v>1349</v>
      </c>
      <c r="C2482">
        <v>452090</v>
      </c>
      <c r="D2482">
        <v>21320</v>
      </c>
    </row>
    <row r="2483" spans="1:4">
      <c r="A2483" t="s">
        <v>1475</v>
      </c>
      <c r="B2483" t="s">
        <v>1349</v>
      </c>
      <c r="C2483">
        <v>452130</v>
      </c>
      <c r="D2483">
        <v>21330</v>
      </c>
    </row>
    <row r="2484" spans="1:4">
      <c r="A2484" t="s">
        <v>1475</v>
      </c>
      <c r="B2484" t="s">
        <v>1349</v>
      </c>
      <c r="C2484">
        <v>452120</v>
      </c>
      <c r="D2484">
        <v>21340</v>
      </c>
    </row>
    <row r="2485" spans="1:4">
      <c r="A2485" t="s">
        <v>1475</v>
      </c>
      <c r="B2485" t="s">
        <v>1349</v>
      </c>
      <c r="C2485">
        <v>446280</v>
      </c>
      <c r="D2485">
        <v>21350</v>
      </c>
    </row>
    <row r="2486" spans="1:4">
      <c r="A2486" t="s">
        <v>1475</v>
      </c>
      <c r="B2486" t="s">
        <v>1349</v>
      </c>
      <c r="C2486">
        <v>446270</v>
      </c>
      <c r="D2486">
        <v>21360</v>
      </c>
    </row>
    <row r="2487" spans="1:4">
      <c r="A2487" t="s">
        <v>1475</v>
      </c>
      <c r="B2487" t="s">
        <v>1349</v>
      </c>
      <c r="C2487">
        <v>452080</v>
      </c>
      <c r="D2487">
        <v>21370</v>
      </c>
    </row>
    <row r="2488" spans="1:4">
      <c r="A2488" t="s">
        <v>1475</v>
      </c>
      <c r="B2488" t="s">
        <v>1349</v>
      </c>
      <c r="C2488">
        <v>452150</v>
      </c>
      <c r="D2488">
        <v>21380</v>
      </c>
    </row>
    <row r="2489" spans="1:4">
      <c r="A2489" t="s">
        <v>1475</v>
      </c>
      <c r="B2489" t="s">
        <v>1349</v>
      </c>
      <c r="C2489">
        <v>452110</v>
      </c>
      <c r="D2489">
        <v>21390</v>
      </c>
    </row>
    <row r="2490" spans="1:4">
      <c r="A2490" t="s">
        <v>1475</v>
      </c>
      <c r="B2490" t="s">
        <v>1349</v>
      </c>
      <c r="C2490">
        <v>446260</v>
      </c>
      <c r="D2490">
        <v>21400</v>
      </c>
    </row>
    <row r="2491" spans="1:4">
      <c r="A2491" t="s">
        <v>1475</v>
      </c>
      <c r="B2491" t="s">
        <v>1349</v>
      </c>
      <c r="C2491">
        <v>452140</v>
      </c>
      <c r="D2491">
        <v>21410</v>
      </c>
    </row>
    <row r="2492" spans="1:4">
      <c r="A2492" t="s">
        <v>1475</v>
      </c>
      <c r="B2492" t="s">
        <v>1349</v>
      </c>
      <c r="C2492">
        <v>452100</v>
      </c>
      <c r="D2492">
        <v>21420</v>
      </c>
    </row>
    <row r="2493" spans="1:4">
      <c r="A2493" t="s">
        <v>1475</v>
      </c>
      <c r="B2493" t="s">
        <v>1349</v>
      </c>
      <c r="C2493">
        <v>452070</v>
      </c>
      <c r="D2493">
        <v>21430</v>
      </c>
    </row>
    <row r="2494" spans="1:4">
      <c r="A2494" t="s">
        <v>1475</v>
      </c>
      <c r="B2494" t="s">
        <v>1349</v>
      </c>
      <c r="C2494">
        <v>452160</v>
      </c>
      <c r="D2494">
        <v>21440</v>
      </c>
    </row>
    <row r="2495" spans="1:4">
      <c r="A2495" t="s">
        <v>1475</v>
      </c>
      <c r="B2495" t="s">
        <v>1349</v>
      </c>
      <c r="C2495">
        <v>456440</v>
      </c>
      <c r="D2495">
        <v>21450</v>
      </c>
    </row>
    <row r="2496" spans="1:4">
      <c r="A2496" t="s">
        <v>1475</v>
      </c>
      <c r="B2496" t="s">
        <v>1349</v>
      </c>
      <c r="C2496">
        <v>210823</v>
      </c>
      <c r="D2496">
        <v>21460</v>
      </c>
    </row>
    <row r="2497" spans="1:4">
      <c r="A2497" t="s">
        <v>1475</v>
      </c>
      <c r="B2497" t="s">
        <v>1349</v>
      </c>
      <c r="C2497">
        <v>210822</v>
      </c>
      <c r="D2497">
        <v>21470</v>
      </c>
    </row>
    <row r="2498" spans="1:4">
      <c r="A2498" t="s">
        <v>1475</v>
      </c>
      <c r="B2498" t="s">
        <v>1349</v>
      </c>
      <c r="C2498">
        <v>210825</v>
      </c>
      <c r="D2498">
        <v>21480</v>
      </c>
    </row>
    <row r="2499" spans="1:4">
      <c r="A2499" t="s">
        <v>1475</v>
      </c>
      <c r="B2499" t="s">
        <v>1349</v>
      </c>
      <c r="C2499">
        <v>210826</v>
      </c>
      <c r="D2499">
        <v>21490</v>
      </c>
    </row>
    <row r="2500" spans="1:4">
      <c r="A2500" t="s">
        <v>1475</v>
      </c>
      <c r="B2500" t="s">
        <v>1349</v>
      </c>
      <c r="C2500">
        <v>210824</v>
      </c>
      <c r="D2500">
        <v>21500</v>
      </c>
    </row>
    <row r="2501" spans="1:4">
      <c r="A2501" t="s">
        <v>1475</v>
      </c>
      <c r="B2501" t="s">
        <v>1349</v>
      </c>
      <c r="C2501">
        <v>210821</v>
      </c>
      <c r="D2501">
        <v>21510</v>
      </c>
    </row>
    <row r="2502" spans="1:4">
      <c r="A2502" t="s">
        <v>1475</v>
      </c>
      <c r="B2502" t="s">
        <v>1349</v>
      </c>
      <c r="C2502">
        <v>210828</v>
      </c>
      <c r="D2502">
        <v>21520</v>
      </c>
    </row>
    <row r="2503" spans="1:4">
      <c r="A2503" t="s">
        <v>1475</v>
      </c>
      <c r="B2503" t="s">
        <v>1349</v>
      </c>
      <c r="C2503">
        <v>210827</v>
      </c>
      <c r="D2503">
        <v>21530</v>
      </c>
    </row>
    <row r="2504" spans="1:4">
      <c r="A2504" t="s">
        <v>1475</v>
      </c>
      <c r="B2504" t="s">
        <v>1349</v>
      </c>
      <c r="C2504">
        <v>210830</v>
      </c>
      <c r="D2504">
        <v>21540</v>
      </c>
    </row>
    <row r="2505" spans="1:4">
      <c r="A2505" t="s">
        <v>1475</v>
      </c>
      <c r="B2505" t="s">
        <v>1349</v>
      </c>
      <c r="C2505">
        <v>210831</v>
      </c>
      <c r="D2505">
        <v>21550</v>
      </c>
    </row>
    <row r="2506" spans="1:4">
      <c r="A2506" t="s">
        <v>1475</v>
      </c>
      <c r="B2506" t="s">
        <v>1349</v>
      </c>
      <c r="C2506">
        <v>210829</v>
      </c>
      <c r="D2506">
        <v>21560</v>
      </c>
    </row>
    <row r="2507" spans="1:4">
      <c r="A2507" t="s">
        <v>1475</v>
      </c>
      <c r="B2507" t="s">
        <v>1349</v>
      </c>
      <c r="C2507">
        <v>210833</v>
      </c>
      <c r="D2507">
        <v>21570</v>
      </c>
    </row>
    <row r="2508" spans="1:4">
      <c r="A2508" t="s">
        <v>1475</v>
      </c>
      <c r="B2508" t="s">
        <v>1349</v>
      </c>
      <c r="C2508">
        <v>452260</v>
      </c>
      <c r="D2508">
        <v>21580</v>
      </c>
    </row>
    <row r="2509" spans="1:4">
      <c r="A2509" t="s">
        <v>1475</v>
      </c>
      <c r="B2509" t="s">
        <v>1349</v>
      </c>
      <c r="C2509">
        <v>452280</v>
      </c>
      <c r="D2509">
        <v>21590</v>
      </c>
    </row>
    <row r="2510" spans="1:4">
      <c r="A2510" t="s">
        <v>1475</v>
      </c>
      <c r="B2510" t="s">
        <v>1349</v>
      </c>
      <c r="C2510">
        <v>452270</v>
      </c>
      <c r="D2510">
        <v>21600</v>
      </c>
    </row>
    <row r="2511" spans="1:4">
      <c r="A2511" t="s">
        <v>1475</v>
      </c>
      <c r="B2511" t="s">
        <v>1349</v>
      </c>
      <c r="C2511">
        <v>452290</v>
      </c>
      <c r="D2511">
        <v>21610</v>
      </c>
    </row>
    <row r="2512" spans="1:4">
      <c r="A2512" t="s">
        <v>1475</v>
      </c>
      <c r="B2512" t="s">
        <v>1349</v>
      </c>
      <c r="C2512">
        <v>456480</v>
      </c>
      <c r="D2512">
        <v>21620</v>
      </c>
    </row>
    <row r="2513" spans="1:4">
      <c r="A2513" t="s">
        <v>1475</v>
      </c>
      <c r="B2513" t="s">
        <v>1349</v>
      </c>
      <c r="C2513">
        <v>452300</v>
      </c>
      <c r="D2513">
        <v>21630</v>
      </c>
    </row>
    <row r="2514" spans="1:4">
      <c r="A2514" t="s">
        <v>1475</v>
      </c>
      <c r="B2514" t="s">
        <v>1349</v>
      </c>
      <c r="C2514">
        <v>452310</v>
      </c>
      <c r="D2514">
        <v>21640</v>
      </c>
    </row>
    <row r="2515" spans="1:4">
      <c r="A2515" t="s">
        <v>1475</v>
      </c>
      <c r="B2515" t="s">
        <v>1349</v>
      </c>
      <c r="C2515">
        <v>452370</v>
      </c>
      <c r="D2515">
        <v>21650</v>
      </c>
    </row>
    <row r="2516" spans="1:4">
      <c r="A2516" t="s">
        <v>1475</v>
      </c>
      <c r="B2516" t="s">
        <v>1349</v>
      </c>
      <c r="C2516">
        <v>452330</v>
      </c>
      <c r="D2516">
        <v>21660</v>
      </c>
    </row>
    <row r="2517" spans="1:4">
      <c r="A2517" t="s">
        <v>1475</v>
      </c>
      <c r="B2517" t="s">
        <v>1349</v>
      </c>
      <c r="C2517">
        <v>452390</v>
      </c>
      <c r="D2517">
        <v>21670</v>
      </c>
    </row>
    <row r="2518" spans="1:4">
      <c r="A2518" t="s">
        <v>1475</v>
      </c>
      <c r="B2518" t="s">
        <v>1349</v>
      </c>
      <c r="C2518">
        <v>452380</v>
      </c>
      <c r="D2518">
        <v>21680</v>
      </c>
    </row>
    <row r="2519" spans="1:4">
      <c r="A2519" t="s">
        <v>1475</v>
      </c>
      <c r="B2519" t="s">
        <v>1349</v>
      </c>
      <c r="C2519">
        <v>452320</v>
      </c>
      <c r="D2519">
        <v>21690</v>
      </c>
    </row>
    <row r="2520" spans="1:4">
      <c r="A2520" t="s">
        <v>1475</v>
      </c>
      <c r="B2520" t="s">
        <v>1349</v>
      </c>
      <c r="C2520">
        <v>452340</v>
      </c>
      <c r="D2520">
        <v>21700</v>
      </c>
    </row>
    <row r="2521" spans="1:4">
      <c r="A2521" t="s">
        <v>1475</v>
      </c>
      <c r="B2521" t="s">
        <v>1349</v>
      </c>
      <c r="C2521">
        <v>452350</v>
      </c>
      <c r="D2521">
        <v>21710</v>
      </c>
    </row>
    <row r="2522" spans="1:4">
      <c r="A2522" t="s">
        <v>1475</v>
      </c>
      <c r="B2522" t="s">
        <v>1349</v>
      </c>
      <c r="C2522">
        <v>452360</v>
      </c>
      <c r="D2522">
        <v>21720</v>
      </c>
    </row>
    <row r="2523" spans="1:4">
      <c r="A2523" t="s">
        <v>1475</v>
      </c>
      <c r="B2523" t="s">
        <v>1349</v>
      </c>
      <c r="C2523">
        <v>456490</v>
      </c>
      <c r="D2523">
        <v>21730</v>
      </c>
    </row>
    <row r="2524" spans="1:4">
      <c r="A2524" t="s">
        <v>1475</v>
      </c>
      <c r="B2524" t="s">
        <v>1349</v>
      </c>
      <c r="C2524">
        <v>452400</v>
      </c>
      <c r="D2524">
        <v>21740</v>
      </c>
    </row>
    <row r="2525" spans="1:4">
      <c r="A2525" t="s">
        <v>1475</v>
      </c>
      <c r="B2525" t="s">
        <v>1349</v>
      </c>
      <c r="C2525">
        <v>452410</v>
      </c>
      <c r="D2525">
        <v>21750</v>
      </c>
    </row>
    <row r="2526" spans="1:4">
      <c r="A2526" t="s">
        <v>1475</v>
      </c>
      <c r="B2526" t="s">
        <v>1349</v>
      </c>
      <c r="C2526">
        <v>452420</v>
      </c>
      <c r="D2526">
        <v>21760</v>
      </c>
    </row>
    <row r="2527" spans="1:4">
      <c r="A2527" t="s">
        <v>1475</v>
      </c>
      <c r="B2527" t="s">
        <v>1349</v>
      </c>
      <c r="C2527">
        <v>452430</v>
      </c>
      <c r="D2527">
        <v>21770</v>
      </c>
    </row>
    <row r="2528" spans="1:4">
      <c r="A2528" t="s">
        <v>1475</v>
      </c>
      <c r="B2528" t="s">
        <v>1349</v>
      </c>
      <c r="C2528">
        <v>452440</v>
      </c>
      <c r="D2528">
        <v>21780</v>
      </c>
    </row>
    <row r="2529" spans="1:4">
      <c r="A2529" t="s">
        <v>1475</v>
      </c>
      <c r="B2529" t="s">
        <v>1349</v>
      </c>
      <c r="C2529">
        <v>452460</v>
      </c>
      <c r="D2529">
        <v>21790</v>
      </c>
    </row>
    <row r="2530" spans="1:4">
      <c r="A2530" t="s">
        <v>1475</v>
      </c>
      <c r="B2530" t="s">
        <v>1349</v>
      </c>
      <c r="C2530">
        <v>452470</v>
      </c>
      <c r="D2530">
        <v>21800</v>
      </c>
    </row>
    <row r="2531" spans="1:4">
      <c r="A2531" t="s">
        <v>1475</v>
      </c>
      <c r="B2531" t="s">
        <v>1349</v>
      </c>
      <c r="C2531">
        <v>452450</v>
      </c>
      <c r="D2531">
        <v>21810</v>
      </c>
    </row>
    <row r="2532" spans="1:4">
      <c r="A2532" t="s">
        <v>1475</v>
      </c>
      <c r="B2532" t="s">
        <v>1349</v>
      </c>
      <c r="C2532">
        <v>452480</v>
      </c>
      <c r="D2532">
        <v>21820</v>
      </c>
    </row>
    <row r="2533" spans="1:4">
      <c r="A2533" t="s">
        <v>1475</v>
      </c>
      <c r="B2533" t="s">
        <v>1349</v>
      </c>
      <c r="C2533">
        <v>447470</v>
      </c>
      <c r="D2533">
        <v>21830</v>
      </c>
    </row>
    <row r="2534" spans="1:4">
      <c r="A2534" t="s">
        <v>1475</v>
      </c>
      <c r="B2534" t="s">
        <v>1349</v>
      </c>
      <c r="C2534">
        <v>447500</v>
      </c>
      <c r="D2534">
        <v>21840</v>
      </c>
    </row>
    <row r="2535" spans="1:4">
      <c r="A2535" t="s">
        <v>1475</v>
      </c>
      <c r="B2535" t="s">
        <v>1349</v>
      </c>
      <c r="C2535">
        <v>447520</v>
      </c>
      <c r="D2535">
        <v>21850</v>
      </c>
    </row>
    <row r="2536" spans="1:4">
      <c r="A2536" t="s">
        <v>1475</v>
      </c>
      <c r="B2536" t="s">
        <v>1349</v>
      </c>
      <c r="C2536">
        <v>447490</v>
      </c>
      <c r="D2536">
        <v>21860</v>
      </c>
    </row>
    <row r="2537" spans="1:4">
      <c r="A2537" t="s">
        <v>1475</v>
      </c>
      <c r="B2537" t="s">
        <v>1349</v>
      </c>
      <c r="C2537">
        <v>447480</v>
      </c>
      <c r="D2537">
        <v>21870</v>
      </c>
    </row>
    <row r="2538" spans="1:4">
      <c r="A2538" t="s">
        <v>1475</v>
      </c>
      <c r="B2538" t="s">
        <v>1349</v>
      </c>
      <c r="C2538">
        <v>447510</v>
      </c>
      <c r="D2538">
        <v>21880</v>
      </c>
    </row>
    <row r="2539" spans="1:4">
      <c r="A2539" t="s">
        <v>1475</v>
      </c>
      <c r="B2539" t="s">
        <v>1349</v>
      </c>
      <c r="C2539">
        <v>447530</v>
      </c>
      <c r="D2539">
        <v>21890</v>
      </c>
    </row>
    <row r="2540" spans="1:4">
      <c r="A2540" t="s">
        <v>1475</v>
      </c>
      <c r="B2540" t="s">
        <v>1349</v>
      </c>
      <c r="C2540">
        <v>452550</v>
      </c>
      <c r="D2540">
        <v>21900</v>
      </c>
    </row>
    <row r="2541" spans="1:4">
      <c r="A2541" t="s">
        <v>1475</v>
      </c>
      <c r="B2541" t="s">
        <v>1349</v>
      </c>
      <c r="C2541">
        <v>452570</v>
      </c>
      <c r="D2541">
        <v>21910</v>
      </c>
    </row>
    <row r="2542" spans="1:4">
      <c r="A2542" t="s">
        <v>1475</v>
      </c>
      <c r="B2542" t="s">
        <v>1349</v>
      </c>
      <c r="C2542">
        <v>452710</v>
      </c>
      <c r="D2542">
        <v>21920</v>
      </c>
    </row>
    <row r="2543" spans="1:4">
      <c r="A2543" t="s">
        <v>1475</v>
      </c>
      <c r="B2543" t="s">
        <v>1349</v>
      </c>
      <c r="C2543">
        <v>452720</v>
      </c>
      <c r="D2543">
        <v>21930</v>
      </c>
    </row>
    <row r="2544" spans="1:4">
      <c r="A2544" t="s">
        <v>1475</v>
      </c>
      <c r="B2544" t="s">
        <v>1349</v>
      </c>
      <c r="C2544">
        <v>452670</v>
      </c>
      <c r="D2544">
        <v>21940</v>
      </c>
    </row>
    <row r="2545" spans="1:4">
      <c r="A2545" t="s">
        <v>1475</v>
      </c>
      <c r="B2545" t="s">
        <v>1349</v>
      </c>
      <c r="C2545">
        <v>452700</v>
      </c>
      <c r="D2545">
        <v>21950</v>
      </c>
    </row>
    <row r="2546" spans="1:4">
      <c r="A2546" t="s">
        <v>1475</v>
      </c>
      <c r="B2546" t="s">
        <v>1349</v>
      </c>
      <c r="C2546">
        <v>452750</v>
      </c>
      <c r="D2546">
        <v>21960</v>
      </c>
    </row>
    <row r="2547" spans="1:4">
      <c r="A2547" t="s">
        <v>1475</v>
      </c>
      <c r="B2547" t="s">
        <v>1349</v>
      </c>
      <c r="C2547">
        <v>452640</v>
      </c>
      <c r="D2547">
        <v>21970</v>
      </c>
    </row>
    <row r="2548" spans="1:4">
      <c r="A2548" t="s">
        <v>1475</v>
      </c>
      <c r="B2548" t="s">
        <v>1349</v>
      </c>
      <c r="C2548">
        <v>452690</v>
      </c>
      <c r="D2548">
        <v>21980</v>
      </c>
    </row>
    <row r="2549" spans="1:4">
      <c r="A2549" t="s">
        <v>1475</v>
      </c>
      <c r="B2549" t="s">
        <v>1349</v>
      </c>
      <c r="C2549">
        <v>452660</v>
      </c>
      <c r="D2549">
        <v>21990</v>
      </c>
    </row>
    <row r="2550" spans="1:4">
      <c r="A2550" t="s">
        <v>1475</v>
      </c>
      <c r="B2550" t="s">
        <v>1349</v>
      </c>
      <c r="C2550">
        <v>452650</v>
      </c>
      <c r="D2550">
        <v>22000</v>
      </c>
    </row>
    <row r="2551" spans="1:4">
      <c r="A2551" t="s">
        <v>1475</v>
      </c>
      <c r="B2551" t="s">
        <v>1349</v>
      </c>
      <c r="C2551">
        <v>452680</v>
      </c>
      <c r="D2551">
        <v>22010</v>
      </c>
    </row>
    <row r="2552" spans="1:4">
      <c r="A2552" t="s">
        <v>1475</v>
      </c>
      <c r="B2552" t="s">
        <v>1349</v>
      </c>
      <c r="C2552">
        <v>452560</v>
      </c>
      <c r="D2552">
        <v>22020</v>
      </c>
    </row>
    <row r="2553" spans="1:4">
      <c r="A2553" t="s">
        <v>1475</v>
      </c>
      <c r="B2553" t="s">
        <v>1349</v>
      </c>
      <c r="C2553">
        <v>452590</v>
      </c>
      <c r="D2553">
        <v>22030</v>
      </c>
    </row>
    <row r="2554" spans="1:4">
      <c r="A2554" t="s">
        <v>1475</v>
      </c>
      <c r="B2554" t="s">
        <v>1349</v>
      </c>
      <c r="C2554">
        <v>452610</v>
      </c>
      <c r="D2554">
        <v>22040</v>
      </c>
    </row>
    <row r="2555" spans="1:4">
      <c r="A2555" t="s">
        <v>1475</v>
      </c>
      <c r="B2555" t="s">
        <v>1349</v>
      </c>
      <c r="C2555">
        <v>452620</v>
      </c>
      <c r="D2555">
        <v>22050</v>
      </c>
    </row>
    <row r="2556" spans="1:4">
      <c r="A2556" t="s">
        <v>1475</v>
      </c>
      <c r="B2556" t="s">
        <v>1349</v>
      </c>
      <c r="C2556">
        <v>452580</v>
      </c>
      <c r="D2556">
        <v>22060</v>
      </c>
    </row>
    <row r="2557" spans="1:4">
      <c r="A2557" t="s">
        <v>1475</v>
      </c>
      <c r="B2557" t="s">
        <v>1349</v>
      </c>
      <c r="C2557">
        <v>452630</v>
      </c>
      <c r="D2557">
        <v>22070</v>
      </c>
    </row>
    <row r="2558" spans="1:4">
      <c r="A2558" t="s">
        <v>1475</v>
      </c>
      <c r="B2558" t="s">
        <v>1349</v>
      </c>
      <c r="C2558">
        <v>452600</v>
      </c>
      <c r="D2558">
        <v>22080</v>
      </c>
    </row>
    <row r="2559" spans="1:4">
      <c r="A2559" t="s">
        <v>1475</v>
      </c>
      <c r="B2559" t="s">
        <v>1349</v>
      </c>
      <c r="C2559">
        <v>452740</v>
      </c>
      <c r="D2559">
        <v>22090</v>
      </c>
    </row>
    <row r="2560" spans="1:4">
      <c r="A2560" t="s">
        <v>1475</v>
      </c>
      <c r="B2560" t="s">
        <v>1349</v>
      </c>
      <c r="C2560">
        <v>452730</v>
      </c>
      <c r="D2560">
        <v>22100</v>
      </c>
    </row>
    <row r="2561" spans="1:4">
      <c r="A2561" t="s">
        <v>1475</v>
      </c>
      <c r="B2561" t="s">
        <v>1349</v>
      </c>
      <c r="C2561">
        <v>452760</v>
      </c>
      <c r="D2561">
        <v>22110</v>
      </c>
    </row>
    <row r="2562" spans="1:4">
      <c r="A2562" t="s">
        <v>1475</v>
      </c>
      <c r="B2562" t="s">
        <v>1349</v>
      </c>
      <c r="C2562">
        <v>452770</v>
      </c>
      <c r="D2562">
        <v>22120</v>
      </c>
    </row>
    <row r="2563" spans="1:4">
      <c r="A2563" t="s">
        <v>1475</v>
      </c>
      <c r="B2563" t="s">
        <v>1349</v>
      </c>
      <c r="C2563">
        <v>456510</v>
      </c>
      <c r="D2563">
        <v>22130</v>
      </c>
    </row>
    <row r="2564" spans="1:4">
      <c r="A2564" t="s">
        <v>1475</v>
      </c>
      <c r="B2564" t="s">
        <v>1349</v>
      </c>
      <c r="C2564">
        <v>408320</v>
      </c>
      <c r="D2564">
        <v>22140</v>
      </c>
    </row>
    <row r="2565" spans="1:4">
      <c r="A2565" t="s">
        <v>1475</v>
      </c>
      <c r="B2565" t="s">
        <v>1349</v>
      </c>
      <c r="C2565">
        <v>408330</v>
      </c>
      <c r="D2565">
        <v>22150</v>
      </c>
    </row>
    <row r="2566" spans="1:4">
      <c r="A2566" t="s">
        <v>1475</v>
      </c>
      <c r="B2566" t="s">
        <v>1349</v>
      </c>
      <c r="C2566">
        <v>408340</v>
      </c>
      <c r="D2566">
        <v>22160</v>
      </c>
    </row>
    <row r="2567" spans="1:4">
      <c r="A2567" t="s">
        <v>1475</v>
      </c>
      <c r="B2567" t="s">
        <v>1349</v>
      </c>
      <c r="C2567">
        <v>408350</v>
      </c>
      <c r="D2567">
        <v>22170</v>
      </c>
    </row>
    <row r="2568" spans="1:4">
      <c r="A2568" t="s">
        <v>1475</v>
      </c>
      <c r="B2568" t="s">
        <v>1349</v>
      </c>
      <c r="C2568">
        <v>408360</v>
      </c>
      <c r="D2568">
        <v>22180</v>
      </c>
    </row>
    <row r="2569" spans="1:4">
      <c r="A2569" t="s">
        <v>1475</v>
      </c>
      <c r="B2569" t="s">
        <v>1349</v>
      </c>
      <c r="C2569">
        <v>408370</v>
      </c>
      <c r="D2569">
        <v>22190</v>
      </c>
    </row>
    <row r="2570" spans="1:4">
      <c r="A2570" t="s">
        <v>1475</v>
      </c>
      <c r="B2570" t="s">
        <v>1349</v>
      </c>
      <c r="C2570">
        <v>408380</v>
      </c>
      <c r="D2570">
        <v>22200</v>
      </c>
    </row>
    <row r="2571" spans="1:4">
      <c r="A2571" t="s">
        <v>1475</v>
      </c>
      <c r="B2571" t="s">
        <v>1349</v>
      </c>
      <c r="C2571">
        <v>408390</v>
      </c>
      <c r="D2571">
        <v>22210</v>
      </c>
    </row>
    <row r="2572" spans="1:4">
      <c r="A2572" t="s">
        <v>1475</v>
      </c>
      <c r="B2572" t="s">
        <v>1349</v>
      </c>
      <c r="C2572">
        <v>408400</v>
      </c>
      <c r="D2572">
        <v>22220</v>
      </c>
    </row>
    <row r="2573" spans="1:4">
      <c r="A2573" t="s">
        <v>1475</v>
      </c>
      <c r="B2573" t="s">
        <v>1349</v>
      </c>
      <c r="C2573">
        <v>408410</v>
      </c>
      <c r="D2573">
        <v>22230</v>
      </c>
    </row>
    <row r="2574" spans="1:4">
      <c r="A2574" t="s">
        <v>1475</v>
      </c>
      <c r="B2574" t="s">
        <v>1349</v>
      </c>
      <c r="C2574">
        <v>408420</v>
      </c>
      <c r="D2574">
        <v>22240</v>
      </c>
    </row>
    <row r="2575" spans="1:4">
      <c r="A2575" t="s">
        <v>1475</v>
      </c>
      <c r="B2575" t="s">
        <v>1349</v>
      </c>
      <c r="C2575">
        <v>408430</v>
      </c>
      <c r="D2575">
        <v>22250</v>
      </c>
    </row>
    <row r="2576" spans="1:4">
      <c r="A2576" t="s">
        <v>1475</v>
      </c>
      <c r="B2576" t="s">
        <v>1349</v>
      </c>
      <c r="C2576">
        <v>408440</v>
      </c>
      <c r="D2576">
        <v>22260</v>
      </c>
    </row>
    <row r="2577" spans="1:4">
      <c r="A2577" t="s">
        <v>1475</v>
      </c>
      <c r="B2577" t="s">
        <v>1349</v>
      </c>
      <c r="C2577">
        <v>408450</v>
      </c>
      <c r="D2577">
        <v>22270</v>
      </c>
    </row>
    <row r="2578" spans="1:4">
      <c r="A2578" t="s">
        <v>1475</v>
      </c>
      <c r="B2578" t="s">
        <v>1349</v>
      </c>
      <c r="C2578">
        <v>408460</v>
      </c>
      <c r="D2578">
        <v>22280</v>
      </c>
    </row>
    <row r="2579" spans="1:4">
      <c r="A2579" t="s">
        <v>1475</v>
      </c>
      <c r="B2579" t="s">
        <v>1349</v>
      </c>
      <c r="C2579">
        <v>452780</v>
      </c>
      <c r="D2579">
        <v>22290</v>
      </c>
    </row>
    <row r="2580" spans="1:4">
      <c r="A2580" t="s">
        <v>1475</v>
      </c>
      <c r="B2580" t="s">
        <v>1349</v>
      </c>
      <c r="C2580">
        <v>452800</v>
      </c>
      <c r="D2580">
        <v>22300</v>
      </c>
    </row>
    <row r="2581" spans="1:4">
      <c r="A2581" t="s">
        <v>1475</v>
      </c>
      <c r="B2581" t="s">
        <v>1349</v>
      </c>
      <c r="C2581">
        <v>452840</v>
      </c>
      <c r="D2581">
        <v>22310</v>
      </c>
    </row>
    <row r="2582" spans="1:4">
      <c r="A2582" t="s">
        <v>1475</v>
      </c>
      <c r="B2582" t="s">
        <v>1349</v>
      </c>
      <c r="C2582">
        <v>452820</v>
      </c>
      <c r="D2582">
        <v>22320</v>
      </c>
    </row>
    <row r="2583" spans="1:4">
      <c r="A2583" t="s">
        <v>1475</v>
      </c>
      <c r="B2583" t="s">
        <v>1349</v>
      </c>
      <c r="C2583">
        <v>452810</v>
      </c>
      <c r="D2583">
        <v>22330</v>
      </c>
    </row>
    <row r="2584" spans="1:4">
      <c r="A2584" t="s">
        <v>1475</v>
      </c>
      <c r="B2584" t="s">
        <v>1349</v>
      </c>
      <c r="C2584">
        <v>452860</v>
      </c>
      <c r="D2584">
        <v>22340</v>
      </c>
    </row>
    <row r="2585" spans="1:4">
      <c r="A2585" t="s">
        <v>1475</v>
      </c>
      <c r="B2585" t="s">
        <v>1349</v>
      </c>
      <c r="C2585">
        <v>452850</v>
      </c>
      <c r="D2585">
        <v>22350</v>
      </c>
    </row>
    <row r="2586" spans="1:4">
      <c r="A2586" t="s">
        <v>1475</v>
      </c>
      <c r="B2586" t="s">
        <v>1349</v>
      </c>
      <c r="C2586">
        <v>452790</v>
      </c>
      <c r="D2586">
        <v>22360</v>
      </c>
    </row>
    <row r="2587" spans="1:4">
      <c r="A2587" t="s">
        <v>1475</v>
      </c>
      <c r="B2587" t="s">
        <v>1349</v>
      </c>
      <c r="C2587">
        <v>452830</v>
      </c>
      <c r="D2587">
        <v>22370</v>
      </c>
    </row>
    <row r="2588" spans="1:4">
      <c r="A2588" t="s">
        <v>1475</v>
      </c>
      <c r="B2588" t="s">
        <v>1349</v>
      </c>
      <c r="C2588">
        <v>452870</v>
      </c>
      <c r="D2588">
        <v>22380</v>
      </c>
    </row>
    <row r="2589" spans="1:4">
      <c r="A2589" t="s">
        <v>1475</v>
      </c>
      <c r="B2589" t="s">
        <v>1349</v>
      </c>
      <c r="C2589">
        <v>456520</v>
      </c>
      <c r="D2589">
        <v>22390</v>
      </c>
    </row>
    <row r="2590" spans="1:4">
      <c r="A2590" t="s">
        <v>1475</v>
      </c>
      <c r="B2590" t="s">
        <v>1349</v>
      </c>
      <c r="C2590">
        <v>432629</v>
      </c>
      <c r="D2590">
        <v>22400</v>
      </c>
    </row>
    <row r="2591" spans="1:4">
      <c r="A2591" t="s">
        <v>1475</v>
      </c>
      <c r="B2591" t="s">
        <v>1349</v>
      </c>
      <c r="C2591">
        <v>453570</v>
      </c>
      <c r="D2591">
        <v>22410</v>
      </c>
    </row>
    <row r="2592" spans="1:4">
      <c r="A2592" t="s">
        <v>1475</v>
      </c>
      <c r="B2592" t="s">
        <v>1349</v>
      </c>
      <c r="C2592">
        <v>453550</v>
      </c>
      <c r="D2592">
        <v>22420</v>
      </c>
    </row>
    <row r="2593" spans="1:4">
      <c r="A2593" t="s">
        <v>1475</v>
      </c>
      <c r="B2593" t="s">
        <v>1349</v>
      </c>
      <c r="C2593">
        <v>432630</v>
      </c>
      <c r="D2593">
        <v>22430</v>
      </c>
    </row>
    <row r="2594" spans="1:4">
      <c r="A2594" t="s">
        <v>1475</v>
      </c>
      <c r="B2594" t="s">
        <v>1349</v>
      </c>
      <c r="C2594">
        <v>453530</v>
      </c>
      <c r="D2594">
        <v>22440</v>
      </c>
    </row>
    <row r="2595" spans="1:4">
      <c r="A2595" t="s">
        <v>1475</v>
      </c>
      <c r="B2595" t="s">
        <v>1349</v>
      </c>
      <c r="C2595">
        <v>432650</v>
      </c>
      <c r="D2595">
        <v>22450</v>
      </c>
    </row>
    <row r="2596" spans="1:4">
      <c r="A2596" t="s">
        <v>1475</v>
      </c>
      <c r="B2596" t="s">
        <v>1349</v>
      </c>
      <c r="C2596">
        <v>432714</v>
      </c>
      <c r="D2596">
        <v>22460</v>
      </c>
    </row>
    <row r="2597" spans="1:4">
      <c r="A2597" t="s">
        <v>1475</v>
      </c>
      <c r="B2597" t="s">
        <v>1349</v>
      </c>
      <c r="C2597">
        <v>432660</v>
      </c>
      <c r="D2597">
        <v>22470</v>
      </c>
    </row>
    <row r="2598" spans="1:4">
      <c r="A2598" t="s">
        <v>1475</v>
      </c>
      <c r="B2598" t="s">
        <v>1349</v>
      </c>
      <c r="C2598">
        <v>432670</v>
      </c>
      <c r="D2598">
        <v>22480</v>
      </c>
    </row>
    <row r="2599" spans="1:4">
      <c r="A2599" t="s">
        <v>1475</v>
      </c>
      <c r="B2599" t="s">
        <v>1349</v>
      </c>
      <c r="C2599">
        <v>432680</v>
      </c>
      <c r="D2599">
        <v>22490</v>
      </c>
    </row>
    <row r="2600" spans="1:4">
      <c r="A2600" t="s">
        <v>1475</v>
      </c>
      <c r="B2600" t="s">
        <v>1349</v>
      </c>
      <c r="C2600">
        <v>432690</v>
      </c>
      <c r="D2600">
        <v>22500</v>
      </c>
    </row>
    <row r="2601" spans="1:4">
      <c r="A2601" t="s">
        <v>1475</v>
      </c>
      <c r="B2601" t="s">
        <v>1349</v>
      </c>
      <c r="C2601">
        <v>432700</v>
      </c>
      <c r="D2601">
        <v>22510</v>
      </c>
    </row>
    <row r="2602" spans="1:4">
      <c r="A2602" t="s">
        <v>1475</v>
      </c>
      <c r="B2602" t="s">
        <v>1349</v>
      </c>
      <c r="C2602">
        <v>453540</v>
      </c>
      <c r="D2602">
        <v>22520</v>
      </c>
    </row>
    <row r="2603" spans="1:4">
      <c r="A2603" t="s">
        <v>1475</v>
      </c>
      <c r="B2603" t="s">
        <v>1349</v>
      </c>
      <c r="C2603">
        <v>453560</v>
      </c>
      <c r="D2603">
        <v>22530</v>
      </c>
    </row>
    <row r="2604" spans="1:4">
      <c r="A2604" t="s">
        <v>1475</v>
      </c>
      <c r="B2604" t="s">
        <v>1349</v>
      </c>
      <c r="C2604">
        <v>432710</v>
      </c>
      <c r="D2604">
        <v>22540</v>
      </c>
    </row>
    <row r="2605" spans="1:4">
      <c r="A2605" t="s">
        <v>1475</v>
      </c>
      <c r="B2605" t="s">
        <v>1349</v>
      </c>
      <c r="C2605">
        <v>453580</v>
      </c>
      <c r="D2605">
        <v>22550</v>
      </c>
    </row>
    <row r="2606" spans="1:4">
      <c r="A2606" t="s">
        <v>1475</v>
      </c>
      <c r="B2606" t="s">
        <v>1349</v>
      </c>
      <c r="C2606">
        <v>453590</v>
      </c>
      <c r="D2606">
        <v>22560</v>
      </c>
    </row>
    <row r="2607" spans="1:4">
      <c r="A2607" t="s">
        <v>1475</v>
      </c>
      <c r="B2607" t="s">
        <v>1349</v>
      </c>
      <c r="C2607">
        <v>432713</v>
      </c>
      <c r="D2607">
        <v>22570</v>
      </c>
    </row>
    <row r="2608" spans="1:4">
      <c r="A2608" t="s">
        <v>1475</v>
      </c>
      <c r="B2608" t="s">
        <v>1349</v>
      </c>
      <c r="C2608">
        <v>453600</v>
      </c>
      <c r="D2608">
        <v>22580</v>
      </c>
    </row>
    <row r="2609" spans="1:4">
      <c r="A2609" t="s">
        <v>1475</v>
      </c>
      <c r="B2609" t="s">
        <v>1349</v>
      </c>
      <c r="C2609">
        <v>432711</v>
      </c>
      <c r="D2609">
        <v>22590</v>
      </c>
    </row>
    <row r="2610" spans="1:4">
      <c r="A2610" t="s">
        <v>1475</v>
      </c>
      <c r="B2610" t="s">
        <v>1349</v>
      </c>
      <c r="C2610">
        <v>411590</v>
      </c>
      <c r="D2610">
        <v>22600</v>
      </c>
    </row>
    <row r="2611" spans="1:4">
      <c r="A2611" t="s">
        <v>1475</v>
      </c>
      <c r="B2611" t="s">
        <v>1349</v>
      </c>
      <c r="C2611">
        <v>411600</v>
      </c>
      <c r="D2611">
        <v>22610</v>
      </c>
    </row>
  </sheetData>
  <autoFilter ref="A1:D2611" xr:uid="{20ED76B9-7573-4127-A883-DC785F4DD62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4227-2FDF-41B5-8227-ADA811CD3C7E}">
  <sheetPr codeName="Sheet13" filterMode="1"/>
  <dimension ref="A1:K2554"/>
  <sheetViews>
    <sheetView workbookViewId="0">
      <pane ySplit="1" topLeftCell="A2" activePane="bottomLeft" state="frozen"/>
      <selection pane="bottomLeft" activeCell="C2006" sqref="C2006"/>
    </sheetView>
  </sheetViews>
  <sheetFormatPr defaultRowHeight="14.25"/>
  <cols>
    <col min="1" max="1" width="11" bestFit="1" customWidth="1"/>
    <col min="2" max="2" width="21.73046875" customWidth="1"/>
    <col min="3" max="3" width="127.3984375" bestFit="1" customWidth="1"/>
    <col min="4" max="4" width="9.59765625" bestFit="1" customWidth="1"/>
    <col min="5" max="5" width="12" bestFit="1" customWidth="1"/>
    <col min="6" max="6" width="21.86328125" bestFit="1" customWidth="1"/>
    <col min="7" max="7" width="21.86328125" customWidth="1"/>
    <col min="8" max="8" width="7.86328125" bestFit="1" customWidth="1"/>
    <col min="9" max="9" width="11" bestFit="1" customWidth="1"/>
    <col min="10" max="10" width="9" customWidth="1"/>
    <col min="11" max="11" width="2" bestFit="1" customWidth="1"/>
  </cols>
  <sheetData>
    <row r="1" spans="1:11">
      <c r="A1" t="s">
        <v>1285</v>
      </c>
      <c r="B1" t="s">
        <v>3050</v>
      </c>
      <c r="C1" t="s">
        <v>3051</v>
      </c>
      <c r="D1" t="s">
        <v>3052</v>
      </c>
      <c r="E1" t="s">
        <v>3053</v>
      </c>
      <c r="F1" t="s">
        <v>3054</v>
      </c>
      <c r="G1" t="s">
        <v>2497</v>
      </c>
      <c r="H1" t="s">
        <v>83</v>
      </c>
      <c r="I1" t="s">
        <v>5982</v>
      </c>
    </row>
    <row r="2" spans="1:11" hidden="1">
      <c r="A2">
        <v>505</v>
      </c>
      <c r="B2" t="s">
        <v>3706</v>
      </c>
      <c r="C2" t="s">
        <v>259</v>
      </c>
      <c r="E2" t="s">
        <v>6289</v>
      </c>
      <c r="H2" t="s">
        <v>3056</v>
      </c>
      <c r="I2">
        <v>505</v>
      </c>
      <c r="K2">
        <v>0</v>
      </c>
    </row>
    <row r="3" spans="1:11" hidden="1">
      <c r="A3">
        <v>506</v>
      </c>
      <c r="B3" t="s">
        <v>3706</v>
      </c>
      <c r="C3" t="s">
        <v>3709</v>
      </c>
      <c r="E3" t="s">
        <v>6289</v>
      </c>
      <c r="H3" t="s">
        <v>3056</v>
      </c>
      <c r="I3">
        <v>506</v>
      </c>
      <c r="K3">
        <v>0</v>
      </c>
    </row>
    <row r="4" spans="1:11" hidden="1">
      <c r="A4">
        <v>507</v>
      </c>
      <c r="B4" t="s">
        <v>3706</v>
      </c>
      <c r="C4" t="s">
        <v>3707</v>
      </c>
      <c r="E4" t="s">
        <v>6289</v>
      </c>
      <c r="H4" t="s">
        <v>3056</v>
      </c>
      <c r="I4">
        <v>507</v>
      </c>
      <c r="K4">
        <v>0</v>
      </c>
    </row>
    <row r="5" spans="1:11" hidden="1">
      <c r="A5">
        <v>508</v>
      </c>
      <c r="B5" t="s">
        <v>3706</v>
      </c>
      <c r="C5" t="s">
        <v>3708</v>
      </c>
      <c r="E5" t="s">
        <v>6289</v>
      </c>
      <c r="H5" t="s">
        <v>3056</v>
      </c>
      <c r="I5">
        <v>508</v>
      </c>
      <c r="K5">
        <v>0</v>
      </c>
    </row>
    <row r="6" spans="1:11" hidden="1">
      <c r="A6">
        <v>633</v>
      </c>
      <c r="B6" t="s">
        <v>3706</v>
      </c>
      <c r="C6" t="s">
        <v>3710</v>
      </c>
      <c r="E6" t="s">
        <v>6289</v>
      </c>
      <c r="H6" t="s">
        <v>3056</v>
      </c>
      <c r="I6">
        <v>633</v>
      </c>
      <c r="K6">
        <v>0</v>
      </c>
    </row>
    <row r="7" spans="1:11" hidden="1">
      <c r="A7">
        <v>14240</v>
      </c>
      <c r="B7" t="s">
        <v>3711</v>
      </c>
      <c r="C7" t="s">
        <v>3713</v>
      </c>
      <c r="E7" t="s">
        <v>6289</v>
      </c>
      <c r="H7" t="s">
        <v>3056</v>
      </c>
      <c r="I7">
        <v>14240</v>
      </c>
      <c r="K7">
        <v>0</v>
      </c>
    </row>
    <row r="8" spans="1:11" hidden="1">
      <c r="A8">
        <v>14250</v>
      </c>
      <c r="B8" t="s">
        <v>3711</v>
      </c>
      <c r="C8" t="s">
        <v>3714</v>
      </c>
      <c r="E8" t="s">
        <v>6289</v>
      </c>
      <c r="H8" t="s">
        <v>3056</v>
      </c>
      <c r="I8">
        <v>14250</v>
      </c>
      <c r="K8">
        <v>0</v>
      </c>
    </row>
    <row r="9" spans="1:11" hidden="1">
      <c r="A9">
        <v>14260</v>
      </c>
      <c r="B9" t="s">
        <v>3711</v>
      </c>
      <c r="C9" t="s">
        <v>3712</v>
      </c>
      <c r="E9" t="s">
        <v>6289</v>
      </c>
      <c r="H9" t="s">
        <v>3056</v>
      </c>
      <c r="I9">
        <v>14260</v>
      </c>
      <c r="K9">
        <v>0</v>
      </c>
    </row>
    <row r="10" spans="1:11" hidden="1">
      <c r="A10">
        <v>14160</v>
      </c>
      <c r="B10" t="s">
        <v>3715</v>
      </c>
      <c r="C10" t="s">
        <v>3059</v>
      </c>
      <c r="E10" t="s">
        <v>6289</v>
      </c>
      <c r="H10" t="s">
        <v>3056</v>
      </c>
      <c r="I10">
        <v>14160</v>
      </c>
      <c r="K10">
        <v>0</v>
      </c>
    </row>
    <row r="11" spans="1:11" hidden="1">
      <c r="A11">
        <v>14170</v>
      </c>
      <c r="B11" t="s">
        <v>3715</v>
      </c>
      <c r="C11" t="s">
        <v>3716</v>
      </c>
      <c r="E11" t="s">
        <v>6289</v>
      </c>
      <c r="H11" t="s">
        <v>3056</v>
      </c>
      <c r="I11">
        <v>14170</v>
      </c>
      <c r="K11">
        <v>0</v>
      </c>
    </row>
    <row r="12" spans="1:11" hidden="1">
      <c r="A12">
        <v>14180</v>
      </c>
      <c r="B12" t="s">
        <v>3715</v>
      </c>
      <c r="C12" t="s">
        <v>3722</v>
      </c>
      <c r="E12" t="s">
        <v>6289</v>
      </c>
      <c r="H12" t="s">
        <v>3056</v>
      </c>
      <c r="I12">
        <v>14180</v>
      </c>
      <c r="K12">
        <v>0</v>
      </c>
    </row>
    <row r="13" spans="1:11" hidden="1">
      <c r="A13">
        <v>14190</v>
      </c>
      <c r="B13" t="s">
        <v>3715</v>
      </c>
      <c r="C13" t="s">
        <v>3721</v>
      </c>
      <c r="E13" t="s">
        <v>6289</v>
      </c>
      <c r="H13" t="s">
        <v>3056</v>
      </c>
      <c r="I13">
        <v>14190</v>
      </c>
      <c r="K13">
        <v>0</v>
      </c>
    </row>
    <row r="14" spans="1:11" hidden="1">
      <c r="A14">
        <v>14200</v>
      </c>
      <c r="B14" t="s">
        <v>3715</v>
      </c>
      <c r="C14" t="s">
        <v>3719</v>
      </c>
      <c r="E14" t="s">
        <v>6289</v>
      </c>
      <c r="H14" t="s">
        <v>3056</v>
      </c>
      <c r="I14">
        <v>14200</v>
      </c>
      <c r="K14">
        <v>0</v>
      </c>
    </row>
    <row r="15" spans="1:11" hidden="1">
      <c r="A15">
        <v>14210</v>
      </c>
      <c r="B15" t="s">
        <v>3715</v>
      </c>
      <c r="C15" t="s">
        <v>3720</v>
      </c>
      <c r="E15" t="s">
        <v>6289</v>
      </c>
      <c r="H15" t="s">
        <v>3056</v>
      </c>
      <c r="I15">
        <v>14210</v>
      </c>
      <c r="K15">
        <v>0</v>
      </c>
    </row>
    <row r="16" spans="1:11" hidden="1">
      <c r="A16">
        <v>14220</v>
      </c>
      <c r="B16" t="s">
        <v>3715</v>
      </c>
      <c r="C16" t="s">
        <v>3718</v>
      </c>
      <c r="E16" t="s">
        <v>6289</v>
      </c>
      <c r="H16" t="s">
        <v>3056</v>
      </c>
      <c r="I16">
        <v>14220</v>
      </c>
      <c r="K16">
        <v>0</v>
      </c>
    </row>
    <row r="17" spans="1:11" hidden="1">
      <c r="A17">
        <v>14230</v>
      </c>
      <c r="B17" t="s">
        <v>3715</v>
      </c>
      <c r="C17" t="s">
        <v>3717</v>
      </c>
      <c r="E17" t="s">
        <v>6289</v>
      </c>
      <c r="H17" t="s">
        <v>3056</v>
      </c>
      <c r="I17">
        <v>14230</v>
      </c>
      <c r="K17">
        <v>0</v>
      </c>
    </row>
    <row r="18" spans="1:11" hidden="1">
      <c r="A18">
        <v>871</v>
      </c>
      <c r="B18" t="s">
        <v>3723</v>
      </c>
      <c r="C18" t="s">
        <v>132</v>
      </c>
      <c r="E18" t="s">
        <v>6289</v>
      </c>
      <c r="F18" t="s">
        <v>155</v>
      </c>
      <c r="H18" t="s">
        <v>3061</v>
      </c>
      <c r="I18">
        <v>871</v>
      </c>
      <c r="K18">
        <v>0</v>
      </c>
    </row>
    <row r="19" spans="1:11" hidden="1">
      <c r="A19">
        <v>872</v>
      </c>
      <c r="B19" t="s">
        <v>3723</v>
      </c>
      <c r="C19" t="s">
        <v>3449</v>
      </c>
      <c r="E19" t="s">
        <v>6289</v>
      </c>
      <c r="F19" t="s">
        <v>3724</v>
      </c>
      <c r="H19" t="s">
        <v>3061</v>
      </c>
      <c r="I19">
        <v>872</v>
      </c>
      <c r="K19">
        <v>0</v>
      </c>
    </row>
    <row r="20" spans="1:11" hidden="1">
      <c r="A20">
        <v>873</v>
      </c>
      <c r="B20" t="s">
        <v>3723</v>
      </c>
      <c r="C20" t="s">
        <v>3088</v>
      </c>
      <c r="E20" t="s">
        <v>6289</v>
      </c>
      <c r="F20" t="s">
        <v>139</v>
      </c>
      <c r="H20" t="s">
        <v>3061</v>
      </c>
      <c r="I20">
        <v>873</v>
      </c>
      <c r="K20">
        <v>0</v>
      </c>
    </row>
    <row r="21" spans="1:11" hidden="1">
      <c r="A21">
        <v>1</v>
      </c>
      <c r="B21" t="s">
        <v>978</v>
      </c>
      <c r="C21" t="s">
        <v>3055</v>
      </c>
      <c r="D21">
        <v>1</v>
      </c>
      <c r="E21" t="s">
        <v>6289</v>
      </c>
      <c r="G21">
        <v>0</v>
      </c>
      <c r="H21" t="s">
        <v>3056</v>
      </c>
      <c r="I21">
        <v>40</v>
      </c>
      <c r="K21" t="s">
        <v>2972</v>
      </c>
    </row>
    <row r="22" spans="1:11" hidden="1">
      <c r="A22">
        <v>2</v>
      </c>
      <c r="B22" t="s">
        <v>978</v>
      </c>
      <c r="C22" t="s">
        <v>3057</v>
      </c>
      <c r="D22">
        <v>2</v>
      </c>
      <c r="E22" t="s">
        <v>6289</v>
      </c>
      <c r="G22">
        <v>0</v>
      </c>
      <c r="H22" t="s">
        <v>3056</v>
      </c>
      <c r="I22">
        <v>42</v>
      </c>
      <c r="K22" t="s">
        <v>2972</v>
      </c>
    </row>
    <row r="23" spans="1:11" hidden="1">
      <c r="A23">
        <v>3</v>
      </c>
      <c r="B23" t="s">
        <v>978</v>
      </c>
      <c r="C23" t="s">
        <v>3058</v>
      </c>
      <c r="D23">
        <v>0</v>
      </c>
      <c r="E23" t="s">
        <v>6289</v>
      </c>
      <c r="G23">
        <v>0</v>
      </c>
      <c r="H23" t="s">
        <v>3056</v>
      </c>
      <c r="I23">
        <v>41</v>
      </c>
      <c r="K23" t="s">
        <v>2972</v>
      </c>
    </row>
    <row r="24" spans="1:11" hidden="1">
      <c r="A24">
        <v>4</v>
      </c>
      <c r="B24" t="s">
        <v>978</v>
      </c>
      <c r="C24" t="s">
        <v>3059</v>
      </c>
      <c r="E24" t="s">
        <v>6289</v>
      </c>
      <c r="F24" t="s">
        <v>3060</v>
      </c>
      <c r="G24">
        <v>0</v>
      </c>
      <c r="H24" t="s">
        <v>3061</v>
      </c>
      <c r="I24">
        <v>1001</v>
      </c>
      <c r="K24" t="s">
        <v>2972</v>
      </c>
    </row>
    <row r="25" spans="1:11" hidden="1">
      <c r="A25">
        <v>1010</v>
      </c>
      <c r="B25" t="s">
        <v>119</v>
      </c>
      <c r="C25" t="s">
        <v>3725</v>
      </c>
      <c r="E25" t="s">
        <v>6289</v>
      </c>
      <c r="F25" t="s">
        <v>3726</v>
      </c>
      <c r="H25" t="s">
        <v>3061</v>
      </c>
      <c r="I25">
        <v>1010</v>
      </c>
      <c r="K25">
        <v>0</v>
      </c>
    </row>
    <row r="26" spans="1:11" hidden="1">
      <c r="A26">
        <v>1717</v>
      </c>
      <c r="B26" t="s">
        <v>119</v>
      </c>
      <c r="C26" t="s">
        <v>3727</v>
      </c>
      <c r="E26" t="s">
        <v>6289</v>
      </c>
      <c r="F26" t="s">
        <v>3728</v>
      </c>
      <c r="H26" t="s">
        <v>3061</v>
      </c>
      <c r="I26">
        <v>1717</v>
      </c>
      <c r="K26">
        <v>0</v>
      </c>
    </row>
    <row r="27" spans="1:11" hidden="1">
      <c r="A27">
        <v>1</v>
      </c>
      <c r="B27" t="s">
        <v>1081</v>
      </c>
      <c r="C27" t="s">
        <v>3067</v>
      </c>
      <c r="E27" t="s">
        <v>6289</v>
      </c>
      <c r="F27" t="s">
        <v>3068</v>
      </c>
      <c r="G27">
        <v>0</v>
      </c>
      <c r="H27" t="s">
        <v>3056</v>
      </c>
      <c r="I27">
        <v>1</v>
      </c>
      <c r="K27" t="s">
        <v>2972</v>
      </c>
    </row>
    <row r="28" spans="1:11" hidden="1">
      <c r="A28">
        <v>2</v>
      </c>
      <c r="B28" t="s">
        <v>1081</v>
      </c>
      <c r="C28" t="s">
        <v>3062</v>
      </c>
      <c r="E28" t="s">
        <v>6289</v>
      </c>
      <c r="G28">
        <v>0</v>
      </c>
      <c r="H28" t="s">
        <v>3061</v>
      </c>
      <c r="I28">
        <v>3</v>
      </c>
      <c r="K28" t="s">
        <v>2972</v>
      </c>
    </row>
    <row r="29" spans="1:11" hidden="1">
      <c r="A29">
        <v>3</v>
      </c>
      <c r="B29" t="s">
        <v>1081</v>
      </c>
      <c r="C29" t="s">
        <v>4708</v>
      </c>
      <c r="E29" t="s">
        <v>6289</v>
      </c>
      <c r="F29" t="s">
        <v>3066</v>
      </c>
      <c r="G29">
        <v>0</v>
      </c>
      <c r="H29" t="s">
        <v>3056</v>
      </c>
      <c r="I29">
        <v>2</v>
      </c>
      <c r="K29" t="s">
        <v>2972</v>
      </c>
    </row>
    <row r="30" spans="1:11" hidden="1">
      <c r="A30">
        <v>4</v>
      </c>
      <c r="B30" t="s">
        <v>1081</v>
      </c>
      <c r="C30" t="s">
        <v>3063</v>
      </c>
      <c r="E30" t="s">
        <v>6289</v>
      </c>
      <c r="F30" t="s">
        <v>154</v>
      </c>
      <c r="G30">
        <v>0</v>
      </c>
      <c r="H30" t="s">
        <v>3056</v>
      </c>
      <c r="I30">
        <v>995</v>
      </c>
      <c r="K30" t="s">
        <v>2972</v>
      </c>
    </row>
    <row r="31" spans="1:11" hidden="1">
      <c r="A31">
        <v>5</v>
      </c>
      <c r="B31" t="s">
        <v>1081</v>
      </c>
      <c r="C31" t="s">
        <v>3064</v>
      </c>
      <c r="E31" t="s">
        <v>6289</v>
      </c>
      <c r="F31" t="s">
        <v>3065</v>
      </c>
      <c r="G31">
        <v>0</v>
      </c>
      <c r="H31" t="s">
        <v>3056</v>
      </c>
      <c r="I31">
        <v>490</v>
      </c>
      <c r="K31" t="s">
        <v>2972</v>
      </c>
    </row>
    <row r="32" spans="1:11" hidden="1">
      <c r="A32">
        <v>6</v>
      </c>
      <c r="B32" t="s">
        <v>1081</v>
      </c>
      <c r="C32" t="s">
        <v>3069</v>
      </c>
      <c r="E32" t="s">
        <v>6289</v>
      </c>
      <c r="F32" t="s">
        <v>3060</v>
      </c>
      <c r="G32">
        <v>0</v>
      </c>
      <c r="H32" t="s">
        <v>3056</v>
      </c>
      <c r="I32">
        <v>473</v>
      </c>
      <c r="K32" t="s">
        <v>2972</v>
      </c>
    </row>
    <row r="33" spans="1:11" hidden="1">
      <c r="A33">
        <v>7</v>
      </c>
      <c r="B33" t="s">
        <v>1081</v>
      </c>
      <c r="C33" t="s">
        <v>3070</v>
      </c>
      <c r="E33" t="s">
        <v>6289</v>
      </c>
      <c r="F33" t="s">
        <v>3071</v>
      </c>
      <c r="G33">
        <v>0</v>
      </c>
      <c r="H33" t="s">
        <v>3056</v>
      </c>
      <c r="I33">
        <v>14</v>
      </c>
      <c r="K33" t="s">
        <v>2972</v>
      </c>
    </row>
    <row r="34" spans="1:11" hidden="1">
      <c r="A34">
        <v>263</v>
      </c>
      <c r="B34" t="s">
        <v>3729</v>
      </c>
      <c r="C34" t="s">
        <v>3743</v>
      </c>
      <c r="E34" t="s">
        <v>6289</v>
      </c>
      <c r="F34" t="s">
        <v>3744</v>
      </c>
      <c r="H34" t="s">
        <v>3056</v>
      </c>
      <c r="I34">
        <v>263</v>
      </c>
      <c r="K34">
        <v>0</v>
      </c>
    </row>
    <row r="35" spans="1:11" hidden="1">
      <c r="A35">
        <v>264</v>
      </c>
      <c r="B35" t="s">
        <v>3729</v>
      </c>
      <c r="C35" t="s">
        <v>3765</v>
      </c>
      <c r="E35" t="s">
        <v>6289</v>
      </c>
      <c r="F35" t="s">
        <v>3766</v>
      </c>
      <c r="H35" t="s">
        <v>3056</v>
      </c>
      <c r="I35">
        <v>264</v>
      </c>
      <c r="K35">
        <v>0</v>
      </c>
    </row>
    <row r="36" spans="1:11" hidden="1">
      <c r="A36">
        <v>266</v>
      </c>
      <c r="B36" t="s">
        <v>3729</v>
      </c>
      <c r="C36" t="s">
        <v>3730</v>
      </c>
      <c r="E36" t="s">
        <v>6289</v>
      </c>
      <c r="F36" t="s">
        <v>3731</v>
      </c>
      <c r="H36" t="s">
        <v>3056</v>
      </c>
      <c r="I36">
        <v>266</v>
      </c>
      <c r="K36">
        <v>0</v>
      </c>
    </row>
    <row r="37" spans="1:11" hidden="1">
      <c r="A37">
        <v>267</v>
      </c>
      <c r="B37" t="s">
        <v>3729</v>
      </c>
      <c r="C37" t="s">
        <v>3777</v>
      </c>
      <c r="E37" t="s">
        <v>6289</v>
      </c>
      <c r="F37" t="s">
        <v>3777</v>
      </c>
      <c r="H37" t="s">
        <v>3056</v>
      </c>
      <c r="I37">
        <v>267</v>
      </c>
      <c r="K37">
        <v>0</v>
      </c>
    </row>
    <row r="38" spans="1:11" hidden="1">
      <c r="A38">
        <v>268</v>
      </c>
      <c r="B38" t="s">
        <v>3729</v>
      </c>
      <c r="C38" t="s">
        <v>3736</v>
      </c>
      <c r="E38" t="s">
        <v>6289</v>
      </c>
      <c r="F38" t="s">
        <v>3170</v>
      </c>
      <c r="H38" t="s">
        <v>3056</v>
      </c>
      <c r="I38">
        <v>268</v>
      </c>
      <c r="K38">
        <v>0</v>
      </c>
    </row>
    <row r="39" spans="1:11" hidden="1">
      <c r="A39">
        <v>269</v>
      </c>
      <c r="B39" t="s">
        <v>3729</v>
      </c>
      <c r="C39" t="s">
        <v>3767</v>
      </c>
      <c r="E39" t="s">
        <v>6289</v>
      </c>
      <c r="F39" t="s">
        <v>3768</v>
      </c>
      <c r="H39" t="s">
        <v>3056</v>
      </c>
      <c r="I39">
        <v>269</v>
      </c>
      <c r="K39">
        <v>0</v>
      </c>
    </row>
    <row r="40" spans="1:11" hidden="1">
      <c r="A40">
        <v>270</v>
      </c>
      <c r="B40" t="s">
        <v>3729</v>
      </c>
      <c r="C40" t="s">
        <v>3749</v>
      </c>
      <c r="E40" t="s">
        <v>6289</v>
      </c>
      <c r="F40" t="s">
        <v>3750</v>
      </c>
      <c r="H40" t="s">
        <v>3056</v>
      </c>
      <c r="I40">
        <v>270</v>
      </c>
      <c r="K40">
        <v>0</v>
      </c>
    </row>
    <row r="41" spans="1:11" hidden="1">
      <c r="A41">
        <v>271</v>
      </c>
      <c r="B41" t="s">
        <v>3729</v>
      </c>
      <c r="C41" t="s">
        <v>3734</v>
      </c>
      <c r="E41" t="s">
        <v>6289</v>
      </c>
      <c r="F41" t="s">
        <v>3735</v>
      </c>
      <c r="H41" t="s">
        <v>3056</v>
      </c>
      <c r="I41">
        <v>271</v>
      </c>
      <c r="K41">
        <v>0</v>
      </c>
    </row>
    <row r="42" spans="1:11" hidden="1">
      <c r="A42">
        <v>272</v>
      </c>
      <c r="B42" t="s">
        <v>3729</v>
      </c>
      <c r="C42" t="s">
        <v>3741</v>
      </c>
      <c r="E42" t="s">
        <v>6289</v>
      </c>
      <c r="F42" t="s">
        <v>3742</v>
      </c>
      <c r="H42" t="s">
        <v>3056</v>
      </c>
      <c r="I42">
        <v>272</v>
      </c>
      <c r="K42">
        <v>0</v>
      </c>
    </row>
    <row r="43" spans="1:11" hidden="1">
      <c r="A43">
        <v>273</v>
      </c>
      <c r="B43" t="s">
        <v>3729</v>
      </c>
      <c r="C43" t="s">
        <v>3737</v>
      </c>
      <c r="E43" t="s">
        <v>6289</v>
      </c>
      <c r="F43" t="s">
        <v>3738</v>
      </c>
      <c r="H43" t="s">
        <v>3056</v>
      </c>
      <c r="I43">
        <v>273</v>
      </c>
      <c r="K43">
        <v>0</v>
      </c>
    </row>
    <row r="44" spans="1:11" hidden="1">
      <c r="A44">
        <v>274</v>
      </c>
      <c r="B44" t="s">
        <v>3729</v>
      </c>
      <c r="C44" t="s">
        <v>3732</v>
      </c>
      <c r="E44" t="s">
        <v>6289</v>
      </c>
      <c r="F44" t="s">
        <v>3733</v>
      </c>
      <c r="H44" t="s">
        <v>3056</v>
      </c>
      <c r="I44">
        <v>274</v>
      </c>
      <c r="K44">
        <v>0</v>
      </c>
    </row>
    <row r="45" spans="1:11" hidden="1">
      <c r="A45">
        <v>275</v>
      </c>
      <c r="B45" t="s">
        <v>3729</v>
      </c>
      <c r="C45" t="s">
        <v>3739</v>
      </c>
      <c r="E45" t="s">
        <v>6289</v>
      </c>
      <c r="F45" t="s">
        <v>3740</v>
      </c>
      <c r="H45" t="s">
        <v>3056</v>
      </c>
      <c r="I45">
        <v>275</v>
      </c>
      <c r="K45">
        <v>0</v>
      </c>
    </row>
    <row r="46" spans="1:11" hidden="1">
      <c r="A46">
        <v>276</v>
      </c>
      <c r="B46" t="s">
        <v>3729</v>
      </c>
      <c r="C46" t="s">
        <v>3745</v>
      </c>
      <c r="E46" t="s">
        <v>6289</v>
      </c>
      <c r="F46" t="s">
        <v>3746</v>
      </c>
      <c r="H46" t="s">
        <v>3056</v>
      </c>
      <c r="I46">
        <v>276</v>
      </c>
      <c r="K46">
        <v>0</v>
      </c>
    </row>
    <row r="47" spans="1:11" hidden="1">
      <c r="A47">
        <v>277</v>
      </c>
      <c r="B47" t="s">
        <v>3729</v>
      </c>
      <c r="C47" t="s">
        <v>3751</v>
      </c>
      <c r="E47" t="s">
        <v>6289</v>
      </c>
      <c r="F47" t="s">
        <v>3752</v>
      </c>
      <c r="H47" t="s">
        <v>3056</v>
      </c>
      <c r="I47">
        <v>277</v>
      </c>
      <c r="K47">
        <v>0</v>
      </c>
    </row>
    <row r="48" spans="1:11" hidden="1">
      <c r="A48">
        <v>278</v>
      </c>
      <c r="B48" t="s">
        <v>3729</v>
      </c>
      <c r="C48" t="s">
        <v>3775</v>
      </c>
      <c r="E48" t="s">
        <v>6289</v>
      </c>
      <c r="F48" t="s">
        <v>3776</v>
      </c>
      <c r="H48" t="s">
        <v>3056</v>
      </c>
      <c r="I48">
        <v>278</v>
      </c>
      <c r="K48">
        <v>0</v>
      </c>
    </row>
    <row r="49" spans="1:11" hidden="1">
      <c r="A49">
        <v>279</v>
      </c>
      <c r="B49" t="s">
        <v>3729</v>
      </c>
      <c r="C49" t="s">
        <v>3771</v>
      </c>
      <c r="E49" t="s">
        <v>6289</v>
      </c>
      <c r="F49" t="s">
        <v>3772</v>
      </c>
      <c r="H49" t="s">
        <v>3056</v>
      </c>
      <c r="I49">
        <v>279</v>
      </c>
      <c r="K49">
        <v>0</v>
      </c>
    </row>
    <row r="50" spans="1:11" hidden="1">
      <c r="A50">
        <v>280</v>
      </c>
      <c r="B50" t="s">
        <v>3729</v>
      </c>
      <c r="C50" t="s">
        <v>3747</v>
      </c>
      <c r="E50" t="s">
        <v>6289</v>
      </c>
      <c r="F50" t="s">
        <v>3748</v>
      </c>
      <c r="H50" t="s">
        <v>3056</v>
      </c>
      <c r="I50">
        <v>280</v>
      </c>
      <c r="K50">
        <v>0</v>
      </c>
    </row>
    <row r="51" spans="1:11" hidden="1">
      <c r="A51">
        <v>1025</v>
      </c>
      <c r="B51" t="s">
        <v>3729</v>
      </c>
      <c r="C51" t="s">
        <v>3759</v>
      </c>
      <c r="E51" t="s">
        <v>6289</v>
      </c>
      <c r="F51" t="s">
        <v>3760</v>
      </c>
      <c r="H51" t="s">
        <v>3056</v>
      </c>
      <c r="I51">
        <v>1025</v>
      </c>
      <c r="K51">
        <v>0</v>
      </c>
    </row>
    <row r="52" spans="1:11" hidden="1">
      <c r="A52">
        <v>10032</v>
      </c>
      <c r="B52" t="s">
        <v>3729</v>
      </c>
      <c r="C52" t="s">
        <v>3419</v>
      </c>
      <c r="E52" t="s">
        <v>6289</v>
      </c>
      <c r="F52" t="s">
        <v>3420</v>
      </c>
      <c r="H52" t="s">
        <v>3056</v>
      </c>
      <c r="I52">
        <v>10032</v>
      </c>
      <c r="K52">
        <v>0</v>
      </c>
    </row>
    <row r="53" spans="1:11" hidden="1">
      <c r="A53">
        <v>10039</v>
      </c>
      <c r="B53" t="s">
        <v>3729</v>
      </c>
      <c r="C53" t="s">
        <v>3763</v>
      </c>
      <c r="E53" t="s">
        <v>6289</v>
      </c>
      <c r="F53" t="s">
        <v>3764</v>
      </c>
      <c r="H53" t="s">
        <v>3056</v>
      </c>
      <c r="I53">
        <v>10039</v>
      </c>
      <c r="K53">
        <v>0</v>
      </c>
    </row>
    <row r="54" spans="1:11" hidden="1">
      <c r="A54">
        <v>10066</v>
      </c>
      <c r="B54" t="s">
        <v>3729</v>
      </c>
      <c r="C54" t="s">
        <v>3755</v>
      </c>
      <c r="E54" t="s">
        <v>6289</v>
      </c>
      <c r="F54" t="s">
        <v>3756</v>
      </c>
      <c r="H54" t="s">
        <v>3056</v>
      </c>
      <c r="I54">
        <v>10066</v>
      </c>
      <c r="K54">
        <v>0</v>
      </c>
    </row>
    <row r="55" spans="1:11" hidden="1">
      <c r="A55">
        <v>10067</v>
      </c>
      <c r="B55" t="s">
        <v>3729</v>
      </c>
      <c r="C55" t="s">
        <v>3757</v>
      </c>
      <c r="E55" t="s">
        <v>6289</v>
      </c>
      <c r="F55" t="s">
        <v>3758</v>
      </c>
      <c r="H55" t="s">
        <v>3056</v>
      </c>
      <c r="I55">
        <v>10067</v>
      </c>
      <c r="K55">
        <v>0</v>
      </c>
    </row>
    <row r="56" spans="1:11" hidden="1">
      <c r="A56">
        <v>10073</v>
      </c>
      <c r="B56" t="s">
        <v>3729</v>
      </c>
      <c r="C56" t="s">
        <v>3769</v>
      </c>
      <c r="E56" t="s">
        <v>6289</v>
      </c>
      <c r="F56" t="s">
        <v>3770</v>
      </c>
      <c r="H56" t="s">
        <v>3056</v>
      </c>
      <c r="I56">
        <v>10073</v>
      </c>
      <c r="K56">
        <v>0</v>
      </c>
    </row>
    <row r="57" spans="1:11" hidden="1">
      <c r="A57">
        <v>10116</v>
      </c>
      <c r="B57" t="s">
        <v>3729</v>
      </c>
      <c r="C57" t="s">
        <v>3761</v>
      </c>
      <c r="E57" t="s">
        <v>6289</v>
      </c>
      <c r="F57" t="s">
        <v>3762</v>
      </c>
      <c r="H57" t="s">
        <v>3056</v>
      </c>
      <c r="I57">
        <v>10116</v>
      </c>
      <c r="K57">
        <v>0</v>
      </c>
    </row>
    <row r="58" spans="1:11" hidden="1">
      <c r="A58">
        <v>10129</v>
      </c>
      <c r="B58" t="s">
        <v>3729</v>
      </c>
      <c r="C58" t="s">
        <v>3753</v>
      </c>
      <c r="E58" t="s">
        <v>6289</v>
      </c>
      <c r="F58" t="s">
        <v>3754</v>
      </c>
      <c r="H58" t="s">
        <v>3056</v>
      </c>
      <c r="I58">
        <v>10129</v>
      </c>
      <c r="K58">
        <v>0</v>
      </c>
    </row>
    <row r="59" spans="1:11" hidden="1">
      <c r="A59">
        <v>11340</v>
      </c>
      <c r="B59" t="s">
        <v>3729</v>
      </c>
      <c r="C59" t="s">
        <v>3773</v>
      </c>
      <c r="E59" t="s">
        <v>6289</v>
      </c>
      <c r="F59" t="s">
        <v>3774</v>
      </c>
      <c r="H59" t="s">
        <v>3056</v>
      </c>
      <c r="I59">
        <v>11340</v>
      </c>
      <c r="K59">
        <v>0</v>
      </c>
    </row>
    <row r="60" spans="1:11" hidden="1">
      <c r="A60">
        <v>17730</v>
      </c>
      <c r="B60" t="s">
        <v>3778</v>
      </c>
      <c r="C60" t="s">
        <v>3781</v>
      </c>
      <c r="E60" t="s">
        <v>6289</v>
      </c>
      <c r="H60" t="s">
        <v>3056</v>
      </c>
      <c r="I60">
        <v>17730</v>
      </c>
      <c r="K60">
        <v>0</v>
      </c>
    </row>
    <row r="61" spans="1:11" hidden="1">
      <c r="A61">
        <v>17731</v>
      </c>
      <c r="B61" t="s">
        <v>3778</v>
      </c>
      <c r="C61" t="s">
        <v>3780</v>
      </c>
      <c r="E61" t="s">
        <v>6289</v>
      </c>
      <c r="H61" t="s">
        <v>3056</v>
      </c>
      <c r="I61">
        <v>17731</v>
      </c>
      <c r="K61">
        <v>0</v>
      </c>
    </row>
    <row r="62" spans="1:11" hidden="1">
      <c r="A62">
        <v>17732</v>
      </c>
      <c r="B62" t="s">
        <v>3778</v>
      </c>
      <c r="C62" t="s">
        <v>3782</v>
      </c>
      <c r="E62" t="s">
        <v>6289</v>
      </c>
      <c r="H62" t="s">
        <v>3056</v>
      </c>
      <c r="I62">
        <v>17732</v>
      </c>
      <c r="K62">
        <v>0</v>
      </c>
    </row>
    <row r="63" spans="1:11" hidden="1">
      <c r="A63">
        <v>17733</v>
      </c>
      <c r="B63" t="s">
        <v>3778</v>
      </c>
      <c r="C63" t="s">
        <v>3779</v>
      </c>
      <c r="E63" t="s">
        <v>6289</v>
      </c>
      <c r="H63" t="s">
        <v>3056</v>
      </c>
      <c r="I63">
        <v>17733</v>
      </c>
      <c r="K63">
        <v>0</v>
      </c>
    </row>
    <row r="64" spans="1:11" hidden="1">
      <c r="A64">
        <v>17740</v>
      </c>
      <c r="B64" t="s">
        <v>3783</v>
      </c>
      <c r="C64" t="s">
        <v>3785</v>
      </c>
      <c r="E64" t="s">
        <v>6289</v>
      </c>
      <c r="H64" t="s">
        <v>3056</v>
      </c>
      <c r="I64">
        <v>17740</v>
      </c>
      <c r="K64">
        <v>0</v>
      </c>
    </row>
    <row r="65" spans="1:11" hidden="1">
      <c r="A65">
        <v>17741</v>
      </c>
      <c r="B65" t="s">
        <v>3783</v>
      </c>
      <c r="C65" t="s">
        <v>3784</v>
      </c>
      <c r="E65" t="s">
        <v>6289</v>
      </c>
      <c r="H65" t="s">
        <v>3056</v>
      </c>
      <c r="I65">
        <v>17741</v>
      </c>
      <c r="K65">
        <v>0</v>
      </c>
    </row>
    <row r="66" spans="1:11" hidden="1">
      <c r="A66">
        <v>18981</v>
      </c>
      <c r="B66" t="s">
        <v>3786</v>
      </c>
      <c r="C66" t="s">
        <v>3787</v>
      </c>
      <c r="E66" t="s">
        <v>6289</v>
      </c>
      <c r="H66" t="s">
        <v>3056</v>
      </c>
      <c r="I66">
        <v>18981</v>
      </c>
      <c r="K66">
        <v>0</v>
      </c>
    </row>
    <row r="67" spans="1:11" hidden="1">
      <c r="A67">
        <v>18982</v>
      </c>
      <c r="B67" t="s">
        <v>3786</v>
      </c>
      <c r="C67" t="s">
        <v>3788</v>
      </c>
      <c r="E67" t="s">
        <v>6289</v>
      </c>
      <c r="H67" t="s">
        <v>3056</v>
      </c>
      <c r="I67">
        <v>18982</v>
      </c>
      <c r="K67">
        <v>0</v>
      </c>
    </row>
    <row r="68" spans="1:11" hidden="1">
      <c r="A68">
        <v>18983</v>
      </c>
      <c r="B68" t="s">
        <v>3786</v>
      </c>
      <c r="C68" t="s">
        <v>3762</v>
      </c>
      <c r="E68" t="s">
        <v>6289</v>
      </c>
      <c r="H68" t="s">
        <v>3056</v>
      </c>
      <c r="I68">
        <v>18983</v>
      </c>
      <c r="K68">
        <v>0</v>
      </c>
    </row>
    <row r="69" spans="1:11" hidden="1">
      <c r="A69">
        <v>1102</v>
      </c>
      <c r="B69" t="s">
        <v>3789</v>
      </c>
      <c r="C69" t="s">
        <v>3790</v>
      </c>
      <c r="D69">
        <v>1</v>
      </c>
      <c r="E69" t="s">
        <v>6289</v>
      </c>
      <c r="F69" t="s">
        <v>3791</v>
      </c>
      <c r="H69" t="s">
        <v>3056</v>
      </c>
      <c r="I69">
        <v>1102</v>
      </c>
      <c r="K69">
        <v>0</v>
      </c>
    </row>
    <row r="70" spans="1:11" hidden="1">
      <c r="A70">
        <v>1103</v>
      </c>
      <c r="B70" t="s">
        <v>3789</v>
      </c>
      <c r="C70" t="s">
        <v>3792</v>
      </c>
      <c r="D70">
        <v>2</v>
      </c>
      <c r="E70" t="s">
        <v>6289</v>
      </c>
      <c r="F70" t="s">
        <v>3793</v>
      </c>
      <c r="H70" t="s">
        <v>3056</v>
      </c>
      <c r="I70">
        <v>1103</v>
      </c>
      <c r="K70">
        <v>0</v>
      </c>
    </row>
    <row r="71" spans="1:11" hidden="1">
      <c r="A71">
        <v>15370</v>
      </c>
      <c r="B71" t="s">
        <v>3794</v>
      </c>
      <c r="C71" t="s">
        <v>3619</v>
      </c>
      <c r="E71" t="s">
        <v>6289</v>
      </c>
      <c r="H71" t="s">
        <v>3056</v>
      </c>
      <c r="I71">
        <v>15370</v>
      </c>
      <c r="K71">
        <v>0</v>
      </c>
    </row>
    <row r="72" spans="1:11" hidden="1">
      <c r="A72">
        <v>15380</v>
      </c>
      <c r="B72" t="s">
        <v>3794</v>
      </c>
      <c r="C72" t="s">
        <v>3628</v>
      </c>
      <c r="E72" t="s">
        <v>6289</v>
      </c>
      <c r="H72" t="s">
        <v>3056</v>
      </c>
      <c r="I72">
        <v>15380</v>
      </c>
      <c r="K72">
        <v>0</v>
      </c>
    </row>
    <row r="73" spans="1:11" hidden="1">
      <c r="A73">
        <v>15390</v>
      </c>
      <c r="B73" t="s">
        <v>3794</v>
      </c>
      <c r="C73" t="s">
        <v>3616</v>
      </c>
      <c r="E73" t="s">
        <v>6289</v>
      </c>
      <c r="H73" t="s">
        <v>3056</v>
      </c>
      <c r="I73">
        <v>15390</v>
      </c>
      <c r="K73">
        <v>0</v>
      </c>
    </row>
    <row r="74" spans="1:11" hidden="1">
      <c r="A74">
        <v>15410</v>
      </c>
      <c r="B74" t="s">
        <v>3794</v>
      </c>
      <c r="C74" t="s">
        <v>3795</v>
      </c>
      <c r="E74" t="s">
        <v>6289</v>
      </c>
      <c r="H74" t="s">
        <v>3056</v>
      </c>
      <c r="I74">
        <v>15410</v>
      </c>
      <c r="K74">
        <v>0</v>
      </c>
    </row>
    <row r="75" spans="1:11" hidden="1">
      <c r="A75">
        <v>15420</v>
      </c>
      <c r="B75" t="s">
        <v>3794</v>
      </c>
      <c r="C75" t="s">
        <v>3796</v>
      </c>
      <c r="E75" t="s">
        <v>6289</v>
      </c>
      <c r="H75" t="s">
        <v>3056</v>
      </c>
      <c r="I75">
        <v>15420</v>
      </c>
      <c r="K75">
        <v>0</v>
      </c>
    </row>
    <row r="76" spans="1:11" hidden="1">
      <c r="A76">
        <v>15430</v>
      </c>
      <c r="B76" t="s">
        <v>3794</v>
      </c>
      <c r="C76" t="s">
        <v>3626</v>
      </c>
      <c r="E76" t="s">
        <v>6289</v>
      </c>
      <c r="H76" t="s">
        <v>3056</v>
      </c>
      <c r="I76">
        <v>15430</v>
      </c>
      <c r="K76">
        <v>0</v>
      </c>
    </row>
    <row r="77" spans="1:11" hidden="1">
      <c r="A77">
        <v>15440</v>
      </c>
      <c r="B77" t="s">
        <v>3794</v>
      </c>
      <c r="C77" t="s">
        <v>3617</v>
      </c>
      <c r="E77" t="s">
        <v>6289</v>
      </c>
      <c r="H77" t="s">
        <v>3056</v>
      </c>
      <c r="I77">
        <v>15440</v>
      </c>
      <c r="K77">
        <v>0</v>
      </c>
    </row>
    <row r="78" spans="1:11" hidden="1">
      <c r="A78">
        <v>15450</v>
      </c>
      <c r="B78" t="s">
        <v>3794</v>
      </c>
      <c r="C78" t="s">
        <v>3072</v>
      </c>
      <c r="E78" t="s">
        <v>6289</v>
      </c>
      <c r="H78" t="s">
        <v>3056</v>
      </c>
      <c r="I78">
        <v>15450</v>
      </c>
      <c r="K78">
        <v>0</v>
      </c>
    </row>
    <row r="79" spans="1:11" hidden="1">
      <c r="A79">
        <v>15460</v>
      </c>
      <c r="B79" t="s">
        <v>3794</v>
      </c>
      <c r="C79" t="s">
        <v>3620</v>
      </c>
      <c r="E79" t="s">
        <v>6289</v>
      </c>
      <c r="H79" t="s">
        <v>3056</v>
      </c>
      <c r="I79">
        <v>15460</v>
      </c>
      <c r="K79">
        <v>0</v>
      </c>
    </row>
    <row r="80" spans="1:11" hidden="1">
      <c r="A80">
        <v>15470</v>
      </c>
      <c r="B80" t="s">
        <v>3794</v>
      </c>
      <c r="C80" t="s">
        <v>3624</v>
      </c>
      <c r="E80" t="s">
        <v>6289</v>
      </c>
      <c r="H80" t="s">
        <v>3056</v>
      </c>
      <c r="I80">
        <v>15470</v>
      </c>
      <c r="K80">
        <v>0</v>
      </c>
    </row>
    <row r="81" spans="1:11" hidden="1">
      <c r="A81">
        <v>15480</v>
      </c>
      <c r="B81" t="s">
        <v>3794</v>
      </c>
      <c r="C81" t="s">
        <v>3625</v>
      </c>
      <c r="E81" t="s">
        <v>6289</v>
      </c>
      <c r="H81" t="s">
        <v>3056</v>
      </c>
      <c r="I81">
        <v>15480</v>
      </c>
      <c r="K81">
        <v>0</v>
      </c>
    </row>
    <row r="82" spans="1:11" hidden="1">
      <c r="A82">
        <v>15490</v>
      </c>
      <c r="B82" t="s">
        <v>3794</v>
      </c>
      <c r="C82" t="s">
        <v>3618</v>
      </c>
      <c r="E82" t="s">
        <v>6289</v>
      </c>
      <c r="H82" t="s">
        <v>3056</v>
      </c>
      <c r="I82">
        <v>15490</v>
      </c>
      <c r="K82">
        <v>0</v>
      </c>
    </row>
    <row r="83" spans="1:11" hidden="1">
      <c r="A83">
        <v>2000000104</v>
      </c>
      <c r="B83" t="s">
        <v>3794</v>
      </c>
      <c r="C83" t="s">
        <v>3627</v>
      </c>
      <c r="E83" t="s">
        <v>6289</v>
      </c>
      <c r="H83" t="s">
        <v>3056</v>
      </c>
      <c r="I83">
        <v>2000000104</v>
      </c>
      <c r="K83">
        <v>0</v>
      </c>
    </row>
    <row r="84" spans="1:11" hidden="1">
      <c r="A84">
        <v>2000000111</v>
      </c>
      <c r="B84" t="s">
        <v>3794</v>
      </c>
      <c r="C84" t="s">
        <v>3622</v>
      </c>
      <c r="E84" t="s">
        <v>6289</v>
      </c>
      <c r="H84" t="s">
        <v>3056</v>
      </c>
      <c r="I84">
        <v>2000000111</v>
      </c>
      <c r="K84">
        <v>0</v>
      </c>
    </row>
    <row r="85" spans="1:11" hidden="1">
      <c r="A85">
        <v>2000000118</v>
      </c>
      <c r="B85" t="s">
        <v>3794</v>
      </c>
      <c r="C85" t="s">
        <v>3058</v>
      </c>
      <c r="E85" t="s">
        <v>6289</v>
      </c>
      <c r="H85" t="s">
        <v>3056</v>
      </c>
      <c r="I85">
        <v>2000000118</v>
      </c>
      <c r="K85">
        <v>0</v>
      </c>
    </row>
    <row r="86" spans="1:11" hidden="1">
      <c r="A86">
        <v>2000000119</v>
      </c>
      <c r="B86" t="s">
        <v>3794</v>
      </c>
      <c r="C86" t="s">
        <v>3615</v>
      </c>
      <c r="E86" t="s">
        <v>6289</v>
      </c>
      <c r="H86" t="s">
        <v>3056</v>
      </c>
      <c r="I86">
        <v>2000000119</v>
      </c>
      <c r="K86">
        <v>0</v>
      </c>
    </row>
    <row r="87" spans="1:11" hidden="1">
      <c r="A87">
        <v>2000000120</v>
      </c>
      <c r="B87" t="s">
        <v>3794</v>
      </c>
      <c r="C87" t="s">
        <v>3621</v>
      </c>
      <c r="E87" t="s">
        <v>6289</v>
      </c>
      <c r="H87" t="s">
        <v>3056</v>
      </c>
      <c r="I87">
        <v>2000000120</v>
      </c>
      <c r="K87">
        <v>0</v>
      </c>
    </row>
    <row r="88" spans="1:11" hidden="1">
      <c r="A88">
        <v>2000000121</v>
      </c>
      <c r="B88" t="s">
        <v>3794</v>
      </c>
      <c r="C88" t="s">
        <v>3630</v>
      </c>
      <c r="E88" t="s">
        <v>6289</v>
      </c>
      <c r="H88" t="s">
        <v>3056</v>
      </c>
      <c r="I88">
        <v>2000000121</v>
      </c>
      <c r="K88">
        <v>0</v>
      </c>
    </row>
    <row r="89" spans="1:11" hidden="1">
      <c r="A89">
        <v>2000000122</v>
      </c>
      <c r="B89" t="s">
        <v>3794</v>
      </c>
      <c r="C89" t="s">
        <v>3629</v>
      </c>
      <c r="E89" t="s">
        <v>6289</v>
      </c>
      <c r="H89" t="s">
        <v>3056</v>
      </c>
      <c r="I89">
        <v>2000000122</v>
      </c>
      <c r="K89">
        <v>0</v>
      </c>
    </row>
    <row r="90" spans="1:11" hidden="1">
      <c r="A90">
        <v>17860</v>
      </c>
      <c r="B90" t="s">
        <v>3797</v>
      </c>
      <c r="C90" t="s">
        <v>3799</v>
      </c>
      <c r="E90" t="s">
        <v>6289</v>
      </c>
      <c r="H90" t="s">
        <v>3056</v>
      </c>
      <c r="I90">
        <v>17860</v>
      </c>
      <c r="K90">
        <v>0</v>
      </c>
    </row>
    <row r="91" spans="1:11" hidden="1">
      <c r="A91">
        <v>17870</v>
      </c>
      <c r="B91" t="s">
        <v>3797</v>
      </c>
      <c r="C91" t="s">
        <v>3798</v>
      </c>
      <c r="E91" t="s">
        <v>6289</v>
      </c>
      <c r="H91" t="s">
        <v>3056</v>
      </c>
      <c r="I91">
        <v>17870</v>
      </c>
      <c r="K91">
        <v>0</v>
      </c>
    </row>
    <row r="92" spans="1:11" hidden="1">
      <c r="A92">
        <v>17310</v>
      </c>
      <c r="B92" t="s">
        <v>3800</v>
      </c>
      <c r="C92" t="s">
        <v>3814</v>
      </c>
      <c r="E92" t="s">
        <v>6289</v>
      </c>
      <c r="H92" t="s">
        <v>3056</v>
      </c>
      <c r="I92">
        <v>17310</v>
      </c>
      <c r="K92">
        <v>0</v>
      </c>
    </row>
    <row r="93" spans="1:11" hidden="1">
      <c r="A93">
        <v>17320</v>
      </c>
      <c r="B93" t="s">
        <v>3800</v>
      </c>
      <c r="C93" t="s">
        <v>3811</v>
      </c>
      <c r="E93" t="s">
        <v>6289</v>
      </c>
      <c r="H93" t="s">
        <v>3056</v>
      </c>
      <c r="I93">
        <v>17320</v>
      </c>
      <c r="K93">
        <v>0</v>
      </c>
    </row>
    <row r="94" spans="1:11" hidden="1">
      <c r="A94">
        <v>17330</v>
      </c>
      <c r="B94" t="s">
        <v>3800</v>
      </c>
      <c r="C94" t="s">
        <v>3803</v>
      </c>
      <c r="E94" t="s">
        <v>6289</v>
      </c>
      <c r="H94" t="s">
        <v>3056</v>
      </c>
      <c r="I94">
        <v>17330</v>
      </c>
      <c r="K94">
        <v>0</v>
      </c>
    </row>
    <row r="95" spans="1:11" hidden="1">
      <c r="A95">
        <v>17340</v>
      </c>
      <c r="B95" t="s">
        <v>3800</v>
      </c>
      <c r="C95" t="s">
        <v>3816</v>
      </c>
      <c r="E95" t="s">
        <v>6289</v>
      </c>
      <c r="H95" t="s">
        <v>3056</v>
      </c>
      <c r="I95">
        <v>17340</v>
      </c>
      <c r="K95">
        <v>0</v>
      </c>
    </row>
    <row r="96" spans="1:11" hidden="1">
      <c r="A96">
        <v>17350</v>
      </c>
      <c r="B96" t="s">
        <v>3800</v>
      </c>
      <c r="C96" t="s">
        <v>3815</v>
      </c>
      <c r="E96" t="s">
        <v>6289</v>
      </c>
      <c r="H96" t="s">
        <v>3056</v>
      </c>
      <c r="I96">
        <v>17350</v>
      </c>
      <c r="K96">
        <v>0</v>
      </c>
    </row>
    <row r="97" spans="1:11" hidden="1">
      <c r="A97">
        <v>17360</v>
      </c>
      <c r="B97" t="s">
        <v>3800</v>
      </c>
      <c r="C97" t="s">
        <v>3817</v>
      </c>
      <c r="E97" t="s">
        <v>6289</v>
      </c>
      <c r="H97" t="s">
        <v>3056</v>
      </c>
      <c r="I97">
        <v>17360</v>
      </c>
      <c r="K97">
        <v>0</v>
      </c>
    </row>
    <row r="98" spans="1:11" hidden="1">
      <c r="A98">
        <v>17370</v>
      </c>
      <c r="B98" t="s">
        <v>3800</v>
      </c>
      <c r="C98" t="s">
        <v>3809</v>
      </c>
      <c r="E98" t="s">
        <v>6289</v>
      </c>
      <c r="H98" t="s">
        <v>3056</v>
      </c>
      <c r="I98">
        <v>17370</v>
      </c>
      <c r="K98">
        <v>0</v>
      </c>
    </row>
    <row r="99" spans="1:11" hidden="1">
      <c r="A99">
        <v>17380</v>
      </c>
      <c r="B99" t="s">
        <v>3800</v>
      </c>
      <c r="C99" t="s">
        <v>3813</v>
      </c>
      <c r="E99" t="s">
        <v>6289</v>
      </c>
      <c r="H99" t="s">
        <v>3056</v>
      </c>
      <c r="I99">
        <v>17380</v>
      </c>
      <c r="K99">
        <v>0</v>
      </c>
    </row>
    <row r="100" spans="1:11" hidden="1">
      <c r="A100">
        <v>17390</v>
      </c>
      <c r="B100" t="s">
        <v>3800</v>
      </c>
      <c r="C100" t="s">
        <v>3812</v>
      </c>
      <c r="E100" t="s">
        <v>6289</v>
      </c>
      <c r="H100" t="s">
        <v>3056</v>
      </c>
      <c r="I100">
        <v>17390</v>
      </c>
      <c r="K100">
        <v>0</v>
      </c>
    </row>
    <row r="101" spans="1:11" hidden="1">
      <c r="A101">
        <v>17400</v>
      </c>
      <c r="B101" t="s">
        <v>3800</v>
      </c>
      <c r="C101" t="s">
        <v>3810</v>
      </c>
      <c r="E101" t="s">
        <v>6289</v>
      </c>
      <c r="H101" t="s">
        <v>3056</v>
      </c>
      <c r="I101">
        <v>17400</v>
      </c>
      <c r="K101">
        <v>0</v>
      </c>
    </row>
    <row r="102" spans="1:11" hidden="1">
      <c r="A102">
        <v>17410</v>
      </c>
      <c r="B102" t="s">
        <v>3800</v>
      </c>
      <c r="C102" t="s">
        <v>3807</v>
      </c>
      <c r="E102" t="s">
        <v>6289</v>
      </c>
      <c r="H102" t="s">
        <v>3056</v>
      </c>
      <c r="I102">
        <v>17410</v>
      </c>
      <c r="K102">
        <v>0</v>
      </c>
    </row>
    <row r="103" spans="1:11" hidden="1">
      <c r="A103">
        <v>17420</v>
      </c>
      <c r="B103" t="s">
        <v>3800</v>
      </c>
      <c r="C103" t="s">
        <v>3806</v>
      </c>
      <c r="E103" t="s">
        <v>6289</v>
      </c>
      <c r="H103" t="s">
        <v>3056</v>
      </c>
      <c r="I103">
        <v>17420</v>
      </c>
      <c r="K103">
        <v>0</v>
      </c>
    </row>
    <row r="104" spans="1:11" hidden="1">
      <c r="A104">
        <v>17430</v>
      </c>
      <c r="B104" t="s">
        <v>3800</v>
      </c>
      <c r="C104" t="s">
        <v>3808</v>
      </c>
      <c r="E104" t="s">
        <v>6289</v>
      </c>
      <c r="H104" t="s">
        <v>3056</v>
      </c>
      <c r="I104">
        <v>17430</v>
      </c>
      <c r="K104">
        <v>0</v>
      </c>
    </row>
    <row r="105" spans="1:11" hidden="1">
      <c r="A105">
        <v>18960</v>
      </c>
      <c r="B105" t="s">
        <v>3800</v>
      </c>
      <c r="C105" t="s">
        <v>3805</v>
      </c>
      <c r="E105" t="s">
        <v>6289</v>
      </c>
      <c r="H105" t="s">
        <v>3056</v>
      </c>
      <c r="I105">
        <v>18960</v>
      </c>
      <c r="K105">
        <v>0</v>
      </c>
    </row>
    <row r="106" spans="1:11" hidden="1">
      <c r="A106">
        <v>18970</v>
      </c>
      <c r="B106" t="s">
        <v>3800</v>
      </c>
      <c r="C106" t="s">
        <v>3804</v>
      </c>
      <c r="E106" t="s">
        <v>6289</v>
      </c>
      <c r="H106" t="s">
        <v>3056</v>
      </c>
      <c r="I106">
        <v>18970</v>
      </c>
      <c r="K106">
        <v>0</v>
      </c>
    </row>
    <row r="107" spans="1:11" hidden="1">
      <c r="A107">
        <v>2000000146</v>
      </c>
      <c r="B107" t="s">
        <v>3800</v>
      </c>
      <c r="C107" t="s">
        <v>3818</v>
      </c>
      <c r="E107" t="s">
        <v>6289</v>
      </c>
      <c r="H107" t="s">
        <v>3056</v>
      </c>
      <c r="I107">
        <v>2000000146</v>
      </c>
      <c r="K107">
        <v>0</v>
      </c>
    </row>
    <row r="108" spans="1:11" hidden="1">
      <c r="A108">
        <v>2000000148</v>
      </c>
      <c r="B108" t="s">
        <v>3800</v>
      </c>
      <c r="C108" t="s">
        <v>3801</v>
      </c>
      <c r="E108" t="s">
        <v>6289</v>
      </c>
      <c r="H108" t="s">
        <v>3056</v>
      </c>
      <c r="I108">
        <v>2000000148</v>
      </c>
      <c r="K108">
        <v>0</v>
      </c>
    </row>
    <row r="109" spans="1:11" hidden="1">
      <c r="A109">
        <v>2000000149</v>
      </c>
      <c r="B109" t="s">
        <v>3800</v>
      </c>
      <c r="C109" t="s">
        <v>3802</v>
      </c>
      <c r="E109" t="s">
        <v>6289</v>
      </c>
      <c r="H109" t="s">
        <v>3056</v>
      </c>
      <c r="I109">
        <v>2000000149</v>
      </c>
      <c r="K109">
        <v>0</v>
      </c>
    </row>
    <row r="110" spans="1:11" hidden="1">
      <c r="A110">
        <v>10000</v>
      </c>
      <c r="B110" t="s">
        <v>3819</v>
      </c>
      <c r="C110" t="s">
        <v>3820</v>
      </c>
      <c r="E110" t="s">
        <v>6289</v>
      </c>
      <c r="F110" t="s">
        <v>165</v>
      </c>
      <c r="H110" t="s">
        <v>3056</v>
      </c>
      <c r="I110">
        <v>10000</v>
      </c>
      <c r="K110">
        <v>0</v>
      </c>
    </row>
    <row r="111" spans="1:11" hidden="1">
      <c r="A111">
        <v>14450</v>
      </c>
      <c r="B111" t="s">
        <v>3821</v>
      </c>
      <c r="C111" t="s">
        <v>3822</v>
      </c>
      <c r="E111" t="s">
        <v>6289</v>
      </c>
      <c r="H111" t="s">
        <v>3056</v>
      </c>
      <c r="I111">
        <v>14450</v>
      </c>
      <c r="K111">
        <v>0</v>
      </c>
    </row>
    <row r="112" spans="1:11" hidden="1">
      <c r="A112">
        <v>14460</v>
      </c>
      <c r="B112" t="s">
        <v>3821</v>
      </c>
      <c r="C112" t="s">
        <v>1429</v>
      </c>
      <c r="E112" t="s">
        <v>6289</v>
      </c>
      <c r="H112" t="s">
        <v>3056</v>
      </c>
      <c r="I112">
        <v>14460</v>
      </c>
      <c r="K112">
        <v>0</v>
      </c>
    </row>
    <row r="113" spans="1:11" hidden="1">
      <c r="A113">
        <v>14470</v>
      </c>
      <c r="B113" t="s">
        <v>3821</v>
      </c>
      <c r="C113" t="s">
        <v>3824</v>
      </c>
      <c r="E113" t="s">
        <v>6289</v>
      </c>
      <c r="H113" t="s">
        <v>3056</v>
      </c>
      <c r="I113">
        <v>14470</v>
      </c>
      <c r="K113">
        <v>0</v>
      </c>
    </row>
    <row r="114" spans="1:11" hidden="1">
      <c r="A114">
        <v>14480</v>
      </c>
      <c r="B114" t="s">
        <v>3821</v>
      </c>
      <c r="C114" t="s">
        <v>3823</v>
      </c>
      <c r="E114" t="s">
        <v>6289</v>
      </c>
      <c r="H114" t="s">
        <v>3056</v>
      </c>
      <c r="I114">
        <v>14480</v>
      </c>
      <c r="K114">
        <v>0</v>
      </c>
    </row>
    <row r="115" spans="1:11" hidden="1">
      <c r="A115">
        <v>14490</v>
      </c>
      <c r="B115" t="s">
        <v>3821</v>
      </c>
      <c r="C115" t="s">
        <v>3825</v>
      </c>
      <c r="E115" t="s">
        <v>6289</v>
      </c>
      <c r="H115" t="s">
        <v>3056</v>
      </c>
      <c r="I115">
        <v>14490</v>
      </c>
      <c r="K115">
        <v>0</v>
      </c>
    </row>
    <row r="116" spans="1:11" hidden="1">
      <c r="A116">
        <v>14500</v>
      </c>
      <c r="B116" t="s">
        <v>3821</v>
      </c>
      <c r="C116" t="s">
        <v>3069</v>
      </c>
      <c r="E116" t="s">
        <v>6289</v>
      </c>
      <c r="H116" t="s">
        <v>3056</v>
      </c>
      <c r="I116">
        <v>14500</v>
      </c>
      <c r="K116">
        <v>0</v>
      </c>
    </row>
    <row r="117" spans="1:11" hidden="1">
      <c r="A117">
        <v>746</v>
      </c>
      <c r="B117" t="s">
        <v>3826</v>
      </c>
      <c r="C117" t="s">
        <v>3831</v>
      </c>
      <c r="E117" t="s">
        <v>6289</v>
      </c>
      <c r="F117" t="s">
        <v>155</v>
      </c>
      <c r="H117" t="s">
        <v>3056</v>
      </c>
      <c r="I117">
        <v>746</v>
      </c>
      <c r="K117">
        <v>0</v>
      </c>
    </row>
    <row r="118" spans="1:11" hidden="1">
      <c r="A118">
        <v>747</v>
      </c>
      <c r="B118" t="s">
        <v>3826</v>
      </c>
      <c r="C118" t="s">
        <v>3829</v>
      </c>
      <c r="E118" t="s">
        <v>6289</v>
      </c>
      <c r="F118" t="s">
        <v>3830</v>
      </c>
      <c r="H118" t="s">
        <v>3056</v>
      </c>
      <c r="I118">
        <v>747</v>
      </c>
      <c r="K118">
        <v>0</v>
      </c>
    </row>
    <row r="119" spans="1:11" hidden="1">
      <c r="A119">
        <v>748</v>
      </c>
      <c r="B119" t="s">
        <v>3826</v>
      </c>
      <c r="C119" t="s">
        <v>3836</v>
      </c>
      <c r="E119" t="s">
        <v>6289</v>
      </c>
      <c r="F119" t="s">
        <v>3837</v>
      </c>
      <c r="H119" t="s">
        <v>3056</v>
      </c>
      <c r="I119">
        <v>748</v>
      </c>
      <c r="K119">
        <v>0</v>
      </c>
    </row>
    <row r="120" spans="1:11" hidden="1">
      <c r="A120">
        <v>749</v>
      </c>
      <c r="B120" t="s">
        <v>3826</v>
      </c>
      <c r="C120" t="s">
        <v>3847</v>
      </c>
      <c r="E120" t="s">
        <v>6289</v>
      </c>
      <c r="F120" t="s">
        <v>3848</v>
      </c>
      <c r="H120" t="s">
        <v>3056</v>
      </c>
      <c r="I120">
        <v>749</v>
      </c>
      <c r="K120">
        <v>0</v>
      </c>
    </row>
    <row r="121" spans="1:11" hidden="1">
      <c r="A121">
        <v>750</v>
      </c>
      <c r="B121" t="s">
        <v>3826</v>
      </c>
      <c r="C121" t="s">
        <v>3120</v>
      </c>
      <c r="E121" t="s">
        <v>6289</v>
      </c>
      <c r="F121" t="s">
        <v>3860</v>
      </c>
      <c r="H121" t="s">
        <v>3056</v>
      </c>
      <c r="I121">
        <v>750</v>
      </c>
      <c r="K121">
        <v>0</v>
      </c>
    </row>
    <row r="122" spans="1:11" hidden="1">
      <c r="A122">
        <v>751</v>
      </c>
      <c r="B122" t="s">
        <v>3826</v>
      </c>
      <c r="C122" t="s">
        <v>3863</v>
      </c>
      <c r="E122" t="s">
        <v>6289</v>
      </c>
      <c r="F122" t="s">
        <v>3124</v>
      </c>
      <c r="H122" t="s">
        <v>3056</v>
      </c>
      <c r="I122">
        <v>751</v>
      </c>
      <c r="K122">
        <v>0</v>
      </c>
    </row>
    <row r="123" spans="1:11" hidden="1">
      <c r="A123">
        <v>752</v>
      </c>
      <c r="B123" t="s">
        <v>3826</v>
      </c>
      <c r="C123" t="s">
        <v>3838</v>
      </c>
      <c r="E123" t="s">
        <v>6289</v>
      </c>
      <c r="F123" t="s">
        <v>3839</v>
      </c>
      <c r="H123" t="s">
        <v>3056</v>
      </c>
      <c r="I123">
        <v>752</v>
      </c>
      <c r="K123">
        <v>0</v>
      </c>
    </row>
    <row r="124" spans="1:11" hidden="1">
      <c r="A124">
        <v>753</v>
      </c>
      <c r="B124" t="s">
        <v>3826</v>
      </c>
      <c r="C124" t="s">
        <v>3850</v>
      </c>
      <c r="E124" t="s">
        <v>6289</v>
      </c>
      <c r="F124" t="s">
        <v>3851</v>
      </c>
      <c r="H124" t="s">
        <v>3056</v>
      </c>
      <c r="I124">
        <v>753</v>
      </c>
      <c r="K124">
        <v>0</v>
      </c>
    </row>
    <row r="125" spans="1:11" hidden="1">
      <c r="A125">
        <v>754</v>
      </c>
      <c r="B125" t="s">
        <v>3826</v>
      </c>
      <c r="C125" t="s">
        <v>3827</v>
      </c>
      <c r="E125" t="s">
        <v>6289</v>
      </c>
      <c r="F125" t="s">
        <v>3828</v>
      </c>
      <c r="H125" t="s">
        <v>3056</v>
      </c>
      <c r="I125">
        <v>754</v>
      </c>
      <c r="K125">
        <v>0</v>
      </c>
    </row>
    <row r="126" spans="1:11" hidden="1">
      <c r="A126">
        <v>755</v>
      </c>
      <c r="B126" t="s">
        <v>3826</v>
      </c>
      <c r="C126" t="s">
        <v>3842</v>
      </c>
      <c r="E126" t="s">
        <v>6289</v>
      </c>
      <c r="F126" t="s">
        <v>3843</v>
      </c>
      <c r="H126" t="s">
        <v>3056</v>
      </c>
      <c r="I126">
        <v>755</v>
      </c>
      <c r="K126">
        <v>0</v>
      </c>
    </row>
    <row r="127" spans="1:11" hidden="1">
      <c r="A127">
        <v>756</v>
      </c>
      <c r="B127" t="s">
        <v>3826</v>
      </c>
      <c r="C127" t="s">
        <v>3841</v>
      </c>
      <c r="E127" t="s">
        <v>6289</v>
      </c>
      <c r="F127" t="s">
        <v>3453</v>
      </c>
      <c r="H127" t="s">
        <v>3056</v>
      </c>
      <c r="I127">
        <v>756</v>
      </c>
      <c r="K127">
        <v>0</v>
      </c>
    </row>
    <row r="128" spans="1:11" hidden="1">
      <c r="A128">
        <v>757</v>
      </c>
      <c r="B128" t="s">
        <v>3826</v>
      </c>
      <c r="C128" t="s">
        <v>3852</v>
      </c>
      <c r="E128" t="s">
        <v>6289</v>
      </c>
      <c r="F128" t="s">
        <v>3853</v>
      </c>
      <c r="H128" t="s">
        <v>3056</v>
      </c>
      <c r="I128">
        <v>757</v>
      </c>
      <c r="K128">
        <v>0</v>
      </c>
    </row>
    <row r="129" spans="1:11" hidden="1">
      <c r="A129">
        <v>758</v>
      </c>
      <c r="B129" t="s">
        <v>3826</v>
      </c>
      <c r="C129" t="s">
        <v>3864</v>
      </c>
      <c r="E129" t="s">
        <v>6289</v>
      </c>
      <c r="F129" t="s">
        <v>3865</v>
      </c>
      <c r="H129" t="s">
        <v>3056</v>
      </c>
      <c r="I129">
        <v>758</v>
      </c>
      <c r="K129">
        <v>0</v>
      </c>
    </row>
    <row r="130" spans="1:11" hidden="1">
      <c r="A130">
        <v>759</v>
      </c>
      <c r="B130" t="s">
        <v>3826</v>
      </c>
      <c r="C130" t="s">
        <v>3849</v>
      </c>
      <c r="E130" t="s">
        <v>6289</v>
      </c>
      <c r="F130" t="s">
        <v>3724</v>
      </c>
      <c r="H130" t="s">
        <v>3056</v>
      </c>
      <c r="I130">
        <v>759</v>
      </c>
      <c r="K130">
        <v>0</v>
      </c>
    </row>
    <row r="131" spans="1:11" hidden="1">
      <c r="A131">
        <v>760</v>
      </c>
      <c r="B131" t="s">
        <v>3826</v>
      </c>
      <c r="C131" t="s">
        <v>3845</v>
      </c>
      <c r="E131" t="s">
        <v>6289</v>
      </c>
      <c r="F131" t="s">
        <v>3846</v>
      </c>
      <c r="H131" t="s">
        <v>3056</v>
      </c>
      <c r="I131">
        <v>760</v>
      </c>
      <c r="K131">
        <v>0</v>
      </c>
    </row>
    <row r="132" spans="1:11" hidden="1">
      <c r="A132">
        <v>761</v>
      </c>
      <c r="B132" t="s">
        <v>3826</v>
      </c>
      <c r="C132" t="s">
        <v>3854</v>
      </c>
      <c r="E132" t="s">
        <v>6289</v>
      </c>
      <c r="F132" t="s">
        <v>3105</v>
      </c>
      <c r="H132" t="s">
        <v>3056</v>
      </c>
      <c r="I132">
        <v>761</v>
      </c>
      <c r="K132">
        <v>0</v>
      </c>
    </row>
    <row r="133" spans="1:11" hidden="1">
      <c r="A133">
        <v>762</v>
      </c>
      <c r="B133" t="s">
        <v>3826</v>
      </c>
      <c r="C133" t="s">
        <v>3861</v>
      </c>
      <c r="E133" t="s">
        <v>6289</v>
      </c>
      <c r="F133" t="s">
        <v>3862</v>
      </c>
      <c r="H133" t="s">
        <v>3056</v>
      </c>
      <c r="I133">
        <v>762</v>
      </c>
      <c r="K133">
        <v>0</v>
      </c>
    </row>
    <row r="134" spans="1:11" hidden="1">
      <c r="A134">
        <v>765</v>
      </c>
      <c r="B134" t="s">
        <v>3826</v>
      </c>
      <c r="C134" t="s">
        <v>3069</v>
      </c>
      <c r="E134" t="s">
        <v>6289</v>
      </c>
      <c r="F134" t="s">
        <v>3348</v>
      </c>
      <c r="H134" t="s">
        <v>3056</v>
      </c>
      <c r="I134">
        <v>765</v>
      </c>
      <c r="K134">
        <v>0</v>
      </c>
    </row>
    <row r="135" spans="1:11" hidden="1">
      <c r="A135">
        <v>1020</v>
      </c>
      <c r="B135" t="s">
        <v>3826</v>
      </c>
      <c r="C135" t="s">
        <v>3855</v>
      </c>
      <c r="E135" t="s">
        <v>6289</v>
      </c>
      <c r="F135" t="s">
        <v>3856</v>
      </c>
      <c r="H135" t="s">
        <v>3056</v>
      </c>
      <c r="I135">
        <v>1020</v>
      </c>
      <c r="K135">
        <v>0</v>
      </c>
    </row>
    <row r="136" spans="1:11" hidden="1">
      <c r="A136">
        <v>1511</v>
      </c>
      <c r="B136" t="s">
        <v>3826</v>
      </c>
      <c r="C136" t="s">
        <v>3834</v>
      </c>
      <c r="E136" t="s">
        <v>6289</v>
      </c>
      <c r="F136" t="s">
        <v>3835</v>
      </c>
      <c r="H136" t="s">
        <v>3056</v>
      </c>
      <c r="I136">
        <v>1511</v>
      </c>
      <c r="K136">
        <v>0</v>
      </c>
    </row>
    <row r="137" spans="1:11" hidden="1">
      <c r="A137">
        <v>1512</v>
      </c>
      <c r="B137" t="s">
        <v>3826</v>
      </c>
      <c r="C137" t="s">
        <v>3840</v>
      </c>
      <c r="E137" t="s">
        <v>6289</v>
      </c>
      <c r="F137" t="s">
        <v>3760</v>
      </c>
      <c r="H137" t="s">
        <v>3056</v>
      </c>
      <c r="I137">
        <v>1512</v>
      </c>
      <c r="K137">
        <v>0</v>
      </c>
    </row>
    <row r="138" spans="1:11" hidden="1">
      <c r="A138">
        <v>1513</v>
      </c>
      <c r="B138" t="s">
        <v>3826</v>
      </c>
      <c r="C138" t="s">
        <v>3844</v>
      </c>
      <c r="E138" t="s">
        <v>6289</v>
      </c>
      <c r="F138" t="s">
        <v>135</v>
      </c>
      <c r="H138" t="s">
        <v>3056</v>
      </c>
      <c r="I138">
        <v>1513</v>
      </c>
      <c r="K138">
        <v>0</v>
      </c>
    </row>
    <row r="139" spans="1:11" hidden="1">
      <c r="A139">
        <v>1514</v>
      </c>
      <c r="B139" t="s">
        <v>3826</v>
      </c>
      <c r="C139" t="s">
        <v>3858</v>
      </c>
      <c r="E139" t="s">
        <v>6289</v>
      </c>
      <c r="F139" t="s">
        <v>3859</v>
      </c>
      <c r="H139" t="s">
        <v>3056</v>
      </c>
      <c r="I139">
        <v>1514</v>
      </c>
      <c r="K139">
        <v>0</v>
      </c>
    </row>
    <row r="140" spans="1:11" hidden="1">
      <c r="A140">
        <v>10126</v>
      </c>
      <c r="B140" t="s">
        <v>3826</v>
      </c>
      <c r="C140" t="s">
        <v>3832</v>
      </c>
      <c r="E140" t="s">
        <v>6289</v>
      </c>
      <c r="F140" t="s">
        <v>3833</v>
      </c>
      <c r="H140" t="s">
        <v>3056</v>
      </c>
      <c r="I140">
        <v>10126</v>
      </c>
      <c r="K140">
        <v>0</v>
      </c>
    </row>
    <row r="141" spans="1:11" hidden="1">
      <c r="A141">
        <v>10127</v>
      </c>
      <c r="B141" t="s">
        <v>3826</v>
      </c>
      <c r="C141" t="s">
        <v>3857</v>
      </c>
      <c r="E141" t="s">
        <v>6289</v>
      </c>
      <c r="F141" t="s">
        <v>3085</v>
      </c>
      <c r="H141" t="s">
        <v>3056</v>
      </c>
      <c r="I141">
        <v>10127</v>
      </c>
      <c r="K141">
        <v>0</v>
      </c>
    </row>
    <row r="142" spans="1:11" hidden="1">
      <c r="A142">
        <v>2101</v>
      </c>
      <c r="B142" t="s">
        <v>3866</v>
      </c>
      <c r="C142" t="s">
        <v>3867</v>
      </c>
      <c r="E142" t="s">
        <v>6289</v>
      </c>
      <c r="F142" t="s">
        <v>3131</v>
      </c>
      <c r="H142" t="s">
        <v>3061</v>
      </c>
      <c r="I142">
        <v>2101</v>
      </c>
      <c r="K142">
        <v>0</v>
      </c>
    </row>
    <row r="143" spans="1:11" hidden="1">
      <c r="A143">
        <v>2102</v>
      </c>
      <c r="B143" t="s">
        <v>3866</v>
      </c>
      <c r="C143" t="s">
        <v>3871</v>
      </c>
      <c r="E143" t="s">
        <v>6289</v>
      </c>
      <c r="F143" t="s">
        <v>3450</v>
      </c>
      <c r="H143" t="s">
        <v>3061</v>
      </c>
      <c r="I143">
        <v>2102</v>
      </c>
      <c r="K143">
        <v>0</v>
      </c>
    </row>
    <row r="144" spans="1:11" hidden="1">
      <c r="A144">
        <v>2103</v>
      </c>
      <c r="B144" t="s">
        <v>3866</v>
      </c>
      <c r="C144" t="s">
        <v>3868</v>
      </c>
      <c r="E144" t="s">
        <v>6289</v>
      </c>
      <c r="F144" t="s">
        <v>3136</v>
      </c>
      <c r="H144" t="s">
        <v>3061</v>
      </c>
      <c r="I144">
        <v>2103</v>
      </c>
      <c r="K144">
        <v>0</v>
      </c>
    </row>
    <row r="145" spans="1:11" hidden="1">
      <c r="A145">
        <v>2104</v>
      </c>
      <c r="B145" t="s">
        <v>3866</v>
      </c>
      <c r="C145" t="s">
        <v>3869</v>
      </c>
      <c r="E145" t="s">
        <v>6289</v>
      </c>
      <c r="F145" t="s">
        <v>3138</v>
      </c>
      <c r="H145" t="s">
        <v>3061</v>
      </c>
      <c r="I145">
        <v>2104</v>
      </c>
      <c r="K145">
        <v>0</v>
      </c>
    </row>
    <row r="146" spans="1:11" hidden="1">
      <c r="A146">
        <v>2105</v>
      </c>
      <c r="B146" t="s">
        <v>3866</v>
      </c>
      <c r="C146" t="s">
        <v>3870</v>
      </c>
      <c r="E146" t="s">
        <v>6289</v>
      </c>
      <c r="F146" t="s">
        <v>3140</v>
      </c>
      <c r="H146" t="s">
        <v>3061</v>
      </c>
      <c r="I146">
        <v>2105</v>
      </c>
      <c r="K146">
        <v>0</v>
      </c>
    </row>
    <row r="147" spans="1:11" hidden="1">
      <c r="A147">
        <v>15110</v>
      </c>
      <c r="B147" t="s">
        <v>3872</v>
      </c>
      <c r="C147" t="s">
        <v>3873</v>
      </c>
      <c r="E147" t="s">
        <v>6289</v>
      </c>
      <c r="H147" t="s">
        <v>3056</v>
      </c>
      <c r="I147">
        <v>15110</v>
      </c>
      <c r="K147">
        <v>0</v>
      </c>
    </row>
    <row r="148" spans="1:11" hidden="1">
      <c r="A148">
        <v>15120</v>
      </c>
      <c r="B148" t="s">
        <v>3872</v>
      </c>
      <c r="C148" t="s">
        <v>3874</v>
      </c>
      <c r="E148" t="s">
        <v>6289</v>
      </c>
      <c r="H148" t="s">
        <v>3056</v>
      </c>
      <c r="I148">
        <v>15120</v>
      </c>
      <c r="K148">
        <v>0</v>
      </c>
    </row>
    <row r="149" spans="1:11" hidden="1">
      <c r="A149">
        <v>625</v>
      </c>
      <c r="B149" t="s">
        <v>3875</v>
      </c>
      <c r="C149" t="s">
        <v>132</v>
      </c>
      <c r="E149" t="s">
        <v>6289</v>
      </c>
      <c r="F149" t="s">
        <v>2109</v>
      </c>
      <c r="H149" t="s">
        <v>3056</v>
      </c>
      <c r="I149">
        <v>625</v>
      </c>
      <c r="K149">
        <v>0</v>
      </c>
    </row>
    <row r="150" spans="1:11" hidden="1">
      <c r="A150">
        <v>626</v>
      </c>
      <c r="B150" t="s">
        <v>3875</v>
      </c>
      <c r="C150" t="s">
        <v>3449</v>
      </c>
      <c r="E150" t="s">
        <v>6289</v>
      </c>
      <c r="F150" t="s">
        <v>3138</v>
      </c>
      <c r="H150" t="s">
        <v>3056</v>
      </c>
      <c r="I150">
        <v>626</v>
      </c>
      <c r="K150">
        <v>0</v>
      </c>
    </row>
    <row r="151" spans="1:11" hidden="1">
      <c r="A151">
        <v>627</v>
      </c>
      <c r="B151" t="s">
        <v>3875</v>
      </c>
      <c r="C151" t="s">
        <v>3088</v>
      </c>
      <c r="E151" t="s">
        <v>6289</v>
      </c>
      <c r="F151" t="s">
        <v>3450</v>
      </c>
      <c r="H151" t="s">
        <v>3056</v>
      </c>
      <c r="I151">
        <v>627</v>
      </c>
      <c r="K151">
        <v>0</v>
      </c>
    </row>
    <row r="152" spans="1:11" hidden="1">
      <c r="A152">
        <v>628</v>
      </c>
      <c r="B152" t="s">
        <v>3876</v>
      </c>
      <c r="C152" t="s">
        <v>3877</v>
      </c>
      <c r="E152" t="s">
        <v>6289</v>
      </c>
      <c r="F152" t="s">
        <v>3878</v>
      </c>
      <c r="H152" t="s">
        <v>3056</v>
      </c>
      <c r="I152">
        <v>628</v>
      </c>
      <c r="K152">
        <v>0</v>
      </c>
    </row>
    <row r="153" spans="1:11" hidden="1">
      <c r="A153">
        <v>1361</v>
      </c>
      <c r="B153" t="s">
        <v>3876</v>
      </c>
      <c r="C153" t="s">
        <v>3888</v>
      </c>
      <c r="E153" t="s">
        <v>6289</v>
      </c>
      <c r="F153" t="s">
        <v>3889</v>
      </c>
      <c r="H153" t="s">
        <v>3056</v>
      </c>
      <c r="I153">
        <v>1361</v>
      </c>
      <c r="K153">
        <v>0</v>
      </c>
    </row>
    <row r="154" spans="1:11" hidden="1">
      <c r="A154">
        <v>1362</v>
      </c>
      <c r="B154" t="s">
        <v>3876</v>
      </c>
      <c r="C154" t="s">
        <v>3880</v>
      </c>
      <c r="E154" t="s">
        <v>6289</v>
      </c>
      <c r="F154" t="s">
        <v>3881</v>
      </c>
      <c r="H154" t="s">
        <v>3056</v>
      </c>
      <c r="I154">
        <v>1362</v>
      </c>
      <c r="K154">
        <v>0</v>
      </c>
    </row>
    <row r="155" spans="1:11" hidden="1">
      <c r="A155">
        <v>1363</v>
      </c>
      <c r="B155" t="s">
        <v>3876</v>
      </c>
      <c r="C155" t="s">
        <v>3886</v>
      </c>
      <c r="E155" t="s">
        <v>6289</v>
      </c>
      <c r="F155" t="s">
        <v>3887</v>
      </c>
      <c r="H155" t="s">
        <v>3056</v>
      </c>
      <c r="I155">
        <v>1363</v>
      </c>
      <c r="K155">
        <v>0</v>
      </c>
    </row>
    <row r="156" spans="1:11" hidden="1">
      <c r="A156">
        <v>1364</v>
      </c>
      <c r="B156" t="s">
        <v>3876</v>
      </c>
      <c r="C156" t="s">
        <v>3884</v>
      </c>
      <c r="E156" t="s">
        <v>6289</v>
      </c>
      <c r="F156" t="s">
        <v>3885</v>
      </c>
      <c r="H156" t="s">
        <v>3056</v>
      </c>
      <c r="I156">
        <v>1364</v>
      </c>
      <c r="K156">
        <v>0</v>
      </c>
    </row>
    <row r="157" spans="1:11" hidden="1">
      <c r="A157">
        <v>1365</v>
      </c>
      <c r="B157" t="s">
        <v>3876</v>
      </c>
      <c r="C157" t="s">
        <v>3890</v>
      </c>
      <c r="E157" t="s">
        <v>6289</v>
      </c>
      <c r="F157" t="s">
        <v>3891</v>
      </c>
      <c r="H157" t="s">
        <v>3056</v>
      </c>
      <c r="I157">
        <v>1365</v>
      </c>
      <c r="K157">
        <v>0</v>
      </c>
    </row>
    <row r="158" spans="1:11" hidden="1">
      <c r="A158">
        <v>10037</v>
      </c>
      <c r="B158" t="s">
        <v>3876</v>
      </c>
      <c r="C158" t="s">
        <v>3879</v>
      </c>
      <c r="E158" t="s">
        <v>6289</v>
      </c>
      <c r="F158" t="s">
        <v>143</v>
      </c>
      <c r="H158" t="s">
        <v>3056</v>
      </c>
      <c r="I158">
        <v>10037</v>
      </c>
      <c r="K158">
        <v>0</v>
      </c>
    </row>
    <row r="159" spans="1:11" hidden="1">
      <c r="A159">
        <v>10038</v>
      </c>
      <c r="B159" t="s">
        <v>3876</v>
      </c>
      <c r="C159" t="s">
        <v>3882</v>
      </c>
      <c r="E159" t="s">
        <v>6289</v>
      </c>
      <c r="F159" t="s">
        <v>3883</v>
      </c>
      <c r="H159" t="s">
        <v>3056</v>
      </c>
      <c r="I159">
        <v>10038</v>
      </c>
      <c r="K159">
        <v>0</v>
      </c>
    </row>
    <row r="160" spans="1:11" hidden="1">
      <c r="A160">
        <v>11580</v>
      </c>
      <c r="B160" t="s">
        <v>3892</v>
      </c>
      <c r="C160" t="s">
        <v>3893</v>
      </c>
      <c r="E160" t="s">
        <v>6289</v>
      </c>
      <c r="H160" t="s">
        <v>3056</v>
      </c>
      <c r="I160">
        <v>11580</v>
      </c>
      <c r="K160">
        <v>0</v>
      </c>
    </row>
    <row r="161" spans="1:11" hidden="1">
      <c r="A161">
        <v>11590</v>
      </c>
      <c r="B161" t="s">
        <v>3892</v>
      </c>
      <c r="C161" t="s">
        <v>3894</v>
      </c>
      <c r="E161" t="s">
        <v>6289</v>
      </c>
      <c r="H161" t="s">
        <v>3056</v>
      </c>
      <c r="I161">
        <v>11590</v>
      </c>
      <c r="K161">
        <v>0</v>
      </c>
    </row>
    <row r="162" spans="1:11" hidden="1">
      <c r="A162">
        <v>11600</v>
      </c>
      <c r="B162" t="s">
        <v>3892</v>
      </c>
      <c r="C162" t="s">
        <v>3895</v>
      </c>
      <c r="E162" t="s">
        <v>6289</v>
      </c>
      <c r="H162" t="s">
        <v>3056</v>
      </c>
      <c r="I162">
        <v>11600</v>
      </c>
      <c r="K162">
        <v>0</v>
      </c>
    </row>
    <row r="163" spans="1:11" hidden="1">
      <c r="A163">
        <v>730</v>
      </c>
      <c r="B163" t="s">
        <v>3896</v>
      </c>
      <c r="C163" t="s">
        <v>3898</v>
      </c>
      <c r="E163" t="s">
        <v>6289</v>
      </c>
      <c r="F163" t="s">
        <v>3450</v>
      </c>
      <c r="H163" t="s">
        <v>3056</v>
      </c>
      <c r="I163">
        <v>730</v>
      </c>
      <c r="K163">
        <v>0</v>
      </c>
    </row>
    <row r="164" spans="1:11" hidden="1">
      <c r="A164">
        <v>731</v>
      </c>
      <c r="B164" t="s">
        <v>3896</v>
      </c>
      <c r="C164" t="s">
        <v>3897</v>
      </c>
      <c r="E164" t="s">
        <v>6289</v>
      </c>
      <c r="F164" t="s">
        <v>3136</v>
      </c>
      <c r="H164" t="s">
        <v>3056</v>
      </c>
      <c r="I164">
        <v>731</v>
      </c>
      <c r="K164">
        <v>0</v>
      </c>
    </row>
    <row r="165" spans="1:11" hidden="1">
      <c r="A165">
        <v>11</v>
      </c>
      <c r="B165" t="s">
        <v>3899</v>
      </c>
      <c r="C165" t="s">
        <v>3130</v>
      </c>
      <c r="E165" t="s">
        <v>6289</v>
      </c>
      <c r="F165" t="s">
        <v>3131</v>
      </c>
      <c r="H165" t="s">
        <v>3056</v>
      </c>
      <c r="I165">
        <v>11</v>
      </c>
      <c r="K165">
        <v>0</v>
      </c>
    </row>
    <row r="166" spans="1:11" hidden="1">
      <c r="A166">
        <v>12</v>
      </c>
      <c r="B166" t="s">
        <v>3899</v>
      </c>
      <c r="C166" t="s">
        <v>3900</v>
      </c>
      <c r="E166" t="s">
        <v>6289</v>
      </c>
      <c r="F166" t="s">
        <v>3901</v>
      </c>
      <c r="H166" t="s">
        <v>3056</v>
      </c>
      <c r="I166">
        <v>12</v>
      </c>
      <c r="K166">
        <v>0</v>
      </c>
    </row>
    <row r="167" spans="1:11" hidden="1">
      <c r="A167">
        <v>13</v>
      </c>
      <c r="B167" t="s">
        <v>3899</v>
      </c>
      <c r="C167" t="s">
        <v>3079</v>
      </c>
      <c r="E167" t="s">
        <v>6289</v>
      </c>
      <c r="F167" t="s">
        <v>3140</v>
      </c>
      <c r="H167" t="s">
        <v>3056</v>
      </c>
      <c r="I167">
        <v>13</v>
      </c>
      <c r="K167">
        <v>0</v>
      </c>
    </row>
    <row r="168" spans="1:11" hidden="1">
      <c r="A168">
        <v>716</v>
      </c>
      <c r="B168" t="s">
        <v>3902</v>
      </c>
      <c r="C168" t="s">
        <v>3904</v>
      </c>
      <c r="E168" t="s">
        <v>6289</v>
      </c>
      <c r="F168" t="s">
        <v>3878</v>
      </c>
      <c r="H168" t="s">
        <v>3056</v>
      </c>
      <c r="I168">
        <v>716</v>
      </c>
      <c r="K168">
        <v>0</v>
      </c>
    </row>
    <row r="169" spans="1:11" hidden="1">
      <c r="A169">
        <v>717</v>
      </c>
      <c r="B169" t="s">
        <v>3902</v>
      </c>
      <c r="C169" t="s">
        <v>3903</v>
      </c>
      <c r="E169" t="s">
        <v>6289</v>
      </c>
      <c r="F169" t="s">
        <v>155</v>
      </c>
      <c r="H169" t="s">
        <v>3056</v>
      </c>
      <c r="I169">
        <v>717</v>
      </c>
      <c r="K169">
        <v>0</v>
      </c>
    </row>
    <row r="170" spans="1:11" hidden="1">
      <c r="A170">
        <v>718</v>
      </c>
      <c r="B170" t="s">
        <v>3902</v>
      </c>
      <c r="C170" t="s">
        <v>3906</v>
      </c>
      <c r="E170" t="s">
        <v>6289</v>
      </c>
      <c r="F170" t="s">
        <v>3907</v>
      </c>
      <c r="H170" t="s">
        <v>3056</v>
      </c>
      <c r="I170">
        <v>718</v>
      </c>
      <c r="K170">
        <v>0</v>
      </c>
    </row>
    <row r="171" spans="1:11" hidden="1">
      <c r="A171">
        <v>10103</v>
      </c>
      <c r="B171" t="s">
        <v>3902</v>
      </c>
      <c r="C171" t="s">
        <v>3058</v>
      </c>
      <c r="E171" t="s">
        <v>6289</v>
      </c>
      <c r="F171" t="s">
        <v>144</v>
      </c>
      <c r="H171" t="s">
        <v>3056</v>
      </c>
      <c r="I171">
        <v>10103</v>
      </c>
      <c r="K171">
        <v>0</v>
      </c>
    </row>
    <row r="172" spans="1:11" hidden="1">
      <c r="A172">
        <v>11630</v>
      </c>
      <c r="B172" t="s">
        <v>3902</v>
      </c>
      <c r="C172" t="s">
        <v>3057</v>
      </c>
      <c r="E172" t="s">
        <v>6289</v>
      </c>
      <c r="H172" t="s">
        <v>3056</v>
      </c>
      <c r="I172">
        <v>11630</v>
      </c>
      <c r="K172">
        <v>0</v>
      </c>
    </row>
    <row r="173" spans="1:11" hidden="1">
      <c r="A173">
        <v>11640</v>
      </c>
      <c r="B173" t="s">
        <v>3902</v>
      </c>
      <c r="C173" t="s">
        <v>3621</v>
      </c>
      <c r="E173" t="s">
        <v>6289</v>
      </c>
      <c r="H173" t="s">
        <v>3056</v>
      </c>
      <c r="I173">
        <v>11640</v>
      </c>
      <c r="K173">
        <v>0</v>
      </c>
    </row>
    <row r="174" spans="1:11" hidden="1">
      <c r="A174">
        <v>11650</v>
      </c>
      <c r="B174" t="s">
        <v>3902</v>
      </c>
      <c r="C174" t="s">
        <v>3905</v>
      </c>
      <c r="E174" t="s">
        <v>6289</v>
      </c>
      <c r="H174" t="s">
        <v>3056</v>
      </c>
      <c r="I174">
        <v>11650</v>
      </c>
      <c r="K174">
        <v>0</v>
      </c>
    </row>
    <row r="175" spans="1:11" hidden="1">
      <c r="A175">
        <v>2000000127</v>
      </c>
      <c r="B175" t="s">
        <v>3902</v>
      </c>
      <c r="C175" t="s">
        <v>3615</v>
      </c>
      <c r="E175" t="s">
        <v>6289</v>
      </c>
      <c r="H175" t="s">
        <v>3056</v>
      </c>
      <c r="I175">
        <v>2000000127</v>
      </c>
      <c r="K175">
        <v>0</v>
      </c>
    </row>
    <row r="176" spans="1:11" hidden="1">
      <c r="A176">
        <v>11560</v>
      </c>
      <c r="B176" t="s">
        <v>3908</v>
      </c>
      <c r="C176" t="s">
        <v>3909</v>
      </c>
      <c r="E176" t="s">
        <v>6289</v>
      </c>
      <c r="H176" t="s">
        <v>3056</v>
      </c>
      <c r="I176">
        <v>11560</v>
      </c>
      <c r="K176">
        <v>0</v>
      </c>
    </row>
    <row r="177" spans="1:11" hidden="1">
      <c r="A177">
        <v>11570</v>
      </c>
      <c r="B177" t="s">
        <v>3908</v>
      </c>
      <c r="C177" t="s">
        <v>3910</v>
      </c>
      <c r="E177" t="s">
        <v>6289</v>
      </c>
      <c r="H177" t="s">
        <v>3056</v>
      </c>
      <c r="I177">
        <v>11570</v>
      </c>
      <c r="K177">
        <v>0</v>
      </c>
    </row>
    <row r="178" spans="1:11" hidden="1">
      <c r="A178">
        <v>1</v>
      </c>
      <c r="B178" t="s">
        <v>5981</v>
      </c>
      <c r="C178" t="s">
        <v>3074</v>
      </c>
      <c r="E178" t="s">
        <v>6289</v>
      </c>
      <c r="G178">
        <v>0</v>
      </c>
      <c r="H178" t="s">
        <v>3056</v>
      </c>
      <c r="I178">
        <v>12390</v>
      </c>
      <c r="K178" t="s">
        <v>2972</v>
      </c>
    </row>
    <row r="179" spans="1:11" hidden="1">
      <c r="A179">
        <v>2</v>
      </c>
      <c r="B179" t="s">
        <v>5981</v>
      </c>
      <c r="C179" t="s">
        <v>3072</v>
      </c>
      <c r="E179" t="s">
        <v>6289</v>
      </c>
      <c r="G179">
        <v>0</v>
      </c>
      <c r="H179" t="s">
        <v>3056</v>
      </c>
      <c r="I179">
        <v>12400</v>
      </c>
      <c r="K179" t="s">
        <v>2972</v>
      </c>
    </row>
    <row r="180" spans="1:11" hidden="1">
      <c r="A180">
        <v>3</v>
      </c>
      <c r="B180" t="s">
        <v>5981</v>
      </c>
      <c r="C180" t="s">
        <v>1180</v>
      </c>
      <c r="E180" t="s">
        <v>6289</v>
      </c>
      <c r="G180">
        <v>0</v>
      </c>
      <c r="H180" t="s">
        <v>3056</v>
      </c>
      <c r="I180">
        <v>12411</v>
      </c>
      <c r="K180" t="s">
        <v>2972</v>
      </c>
    </row>
    <row r="181" spans="1:11" hidden="1">
      <c r="A181">
        <v>4</v>
      </c>
      <c r="B181" t="s">
        <v>5981</v>
      </c>
      <c r="C181" t="s">
        <v>3073</v>
      </c>
      <c r="E181" t="s">
        <v>6289</v>
      </c>
      <c r="G181">
        <v>0</v>
      </c>
      <c r="H181" t="s">
        <v>3056</v>
      </c>
      <c r="I181">
        <v>12410</v>
      </c>
      <c r="K181" t="s">
        <v>2972</v>
      </c>
    </row>
    <row r="182" spans="1:11" hidden="1">
      <c r="A182">
        <v>1</v>
      </c>
      <c r="B182" t="s">
        <v>103</v>
      </c>
      <c r="C182" t="s">
        <v>3079</v>
      </c>
      <c r="E182" t="s">
        <v>6289</v>
      </c>
      <c r="F182" t="s">
        <v>3075</v>
      </c>
      <c r="G182">
        <v>0</v>
      </c>
      <c r="H182" t="s">
        <v>3061</v>
      </c>
      <c r="I182">
        <v>160000</v>
      </c>
      <c r="K182" t="s">
        <v>2972</v>
      </c>
    </row>
    <row r="183" spans="1:11" hidden="1">
      <c r="A183">
        <v>2</v>
      </c>
      <c r="B183" t="s">
        <v>103</v>
      </c>
      <c r="C183" t="s">
        <v>3077</v>
      </c>
      <c r="E183" t="s">
        <v>6289</v>
      </c>
      <c r="F183" t="s">
        <v>86</v>
      </c>
      <c r="G183">
        <v>0</v>
      </c>
      <c r="H183" t="s">
        <v>3056</v>
      </c>
      <c r="I183">
        <v>12370</v>
      </c>
      <c r="K183" t="s">
        <v>2972</v>
      </c>
    </row>
    <row r="184" spans="1:11" hidden="1">
      <c r="A184">
        <v>3</v>
      </c>
      <c r="B184" t="s">
        <v>103</v>
      </c>
      <c r="C184" t="s">
        <v>3076</v>
      </c>
      <c r="E184" t="s">
        <v>6289</v>
      </c>
      <c r="G184">
        <v>0</v>
      </c>
      <c r="H184" t="s">
        <v>3056</v>
      </c>
      <c r="I184">
        <v>12290</v>
      </c>
      <c r="K184" t="s">
        <v>2972</v>
      </c>
    </row>
    <row r="185" spans="1:11" hidden="1">
      <c r="A185">
        <v>1</v>
      </c>
      <c r="B185" t="s">
        <v>912</v>
      </c>
      <c r="C185" t="s">
        <v>132</v>
      </c>
      <c r="E185" t="s">
        <v>6289</v>
      </c>
      <c r="G185">
        <v>0</v>
      </c>
      <c r="H185" t="s">
        <v>3056</v>
      </c>
      <c r="I185">
        <v>485</v>
      </c>
      <c r="K185" t="s">
        <v>2972</v>
      </c>
    </row>
    <row r="186" spans="1:11" hidden="1">
      <c r="A186">
        <v>2</v>
      </c>
      <c r="B186" t="s">
        <v>912</v>
      </c>
      <c r="C186" t="s">
        <v>3087</v>
      </c>
      <c r="E186" t="s">
        <v>6289</v>
      </c>
      <c r="G186">
        <v>0</v>
      </c>
      <c r="H186" t="s">
        <v>3056</v>
      </c>
      <c r="I186">
        <v>486</v>
      </c>
      <c r="K186" t="s">
        <v>2972</v>
      </c>
    </row>
    <row r="187" spans="1:11" hidden="1">
      <c r="A187">
        <v>3</v>
      </c>
      <c r="B187" t="s">
        <v>912</v>
      </c>
      <c r="C187" t="s">
        <v>3088</v>
      </c>
      <c r="E187" t="s">
        <v>6289</v>
      </c>
      <c r="G187">
        <v>0</v>
      </c>
      <c r="H187" t="s">
        <v>3056</v>
      </c>
      <c r="I187">
        <v>518</v>
      </c>
      <c r="K187" t="s">
        <v>2972</v>
      </c>
    </row>
    <row r="188" spans="1:11" hidden="1">
      <c r="A188">
        <v>1</v>
      </c>
      <c r="B188" t="s">
        <v>3089</v>
      </c>
      <c r="C188" t="s">
        <v>3090</v>
      </c>
      <c r="E188" t="s">
        <v>6289</v>
      </c>
      <c r="F188" t="s">
        <v>3091</v>
      </c>
      <c r="G188">
        <v>0</v>
      </c>
      <c r="H188" t="s">
        <v>3061</v>
      </c>
      <c r="I188">
        <v>2619</v>
      </c>
      <c r="K188" t="s">
        <v>2972</v>
      </c>
    </row>
    <row r="189" spans="1:11" hidden="1">
      <c r="A189">
        <v>2</v>
      </c>
      <c r="B189" t="s">
        <v>3089</v>
      </c>
      <c r="C189" t="s">
        <v>3092</v>
      </c>
      <c r="E189" t="s">
        <v>6289</v>
      </c>
      <c r="F189" t="s">
        <v>3093</v>
      </c>
      <c r="G189">
        <v>0</v>
      </c>
      <c r="H189" t="s">
        <v>3061</v>
      </c>
      <c r="I189">
        <v>2613</v>
      </c>
      <c r="K189" t="s">
        <v>2972</v>
      </c>
    </row>
    <row r="190" spans="1:11" hidden="1">
      <c r="A190">
        <v>3</v>
      </c>
      <c r="B190" t="s">
        <v>3089</v>
      </c>
      <c r="C190" t="s">
        <v>3094</v>
      </c>
      <c r="E190" t="s">
        <v>6289</v>
      </c>
      <c r="F190" t="s">
        <v>3095</v>
      </c>
      <c r="G190">
        <v>0</v>
      </c>
      <c r="H190" t="s">
        <v>3061</v>
      </c>
      <c r="I190">
        <v>2607</v>
      </c>
      <c r="K190" t="s">
        <v>2972</v>
      </c>
    </row>
    <row r="191" spans="1:11" hidden="1">
      <c r="A191">
        <v>4</v>
      </c>
      <c r="B191" t="s">
        <v>3089</v>
      </c>
      <c r="C191" t="s">
        <v>3096</v>
      </c>
      <c r="E191" t="s">
        <v>6289</v>
      </c>
      <c r="F191" t="s">
        <v>3097</v>
      </c>
      <c r="G191">
        <v>0</v>
      </c>
      <c r="H191" t="s">
        <v>3061</v>
      </c>
      <c r="I191">
        <v>2620</v>
      </c>
      <c r="K191" t="s">
        <v>2972</v>
      </c>
    </row>
    <row r="192" spans="1:11" hidden="1">
      <c r="A192">
        <v>5</v>
      </c>
      <c r="B192" t="s">
        <v>3089</v>
      </c>
      <c r="C192" t="s">
        <v>3098</v>
      </c>
      <c r="E192" t="s">
        <v>6289</v>
      </c>
      <c r="F192" t="s">
        <v>3099</v>
      </c>
      <c r="G192">
        <v>0</v>
      </c>
      <c r="H192" t="s">
        <v>3061</v>
      </c>
      <c r="I192">
        <v>2614</v>
      </c>
      <c r="K192" t="s">
        <v>2972</v>
      </c>
    </row>
    <row r="193" spans="1:11" hidden="1">
      <c r="A193">
        <v>6</v>
      </c>
      <c r="B193" t="s">
        <v>3089</v>
      </c>
      <c r="C193" t="s">
        <v>3100</v>
      </c>
      <c r="E193" t="s">
        <v>6289</v>
      </c>
      <c r="F193" t="s">
        <v>3101</v>
      </c>
      <c r="G193">
        <v>0</v>
      </c>
      <c r="H193" t="s">
        <v>3061</v>
      </c>
      <c r="I193">
        <v>2621</v>
      </c>
      <c r="K193" t="s">
        <v>2972</v>
      </c>
    </row>
    <row r="194" spans="1:11" hidden="1">
      <c r="A194">
        <v>7</v>
      </c>
      <c r="B194" t="s">
        <v>3089</v>
      </c>
      <c r="C194" t="s">
        <v>3102</v>
      </c>
      <c r="E194" t="s">
        <v>6289</v>
      </c>
      <c r="F194" t="s">
        <v>3103</v>
      </c>
      <c r="G194">
        <v>0</v>
      </c>
      <c r="H194" t="s">
        <v>3061</v>
      </c>
      <c r="I194">
        <v>2604</v>
      </c>
      <c r="K194" t="s">
        <v>2972</v>
      </c>
    </row>
    <row r="195" spans="1:11" hidden="1">
      <c r="A195">
        <v>8</v>
      </c>
      <c r="B195" t="s">
        <v>3089</v>
      </c>
      <c r="C195" t="s">
        <v>3104</v>
      </c>
      <c r="E195" t="s">
        <v>6289</v>
      </c>
      <c r="F195" t="s">
        <v>3105</v>
      </c>
      <c r="G195">
        <v>0</v>
      </c>
      <c r="H195" t="s">
        <v>3061</v>
      </c>
      <c r="I195">
        <v>2609</v>
      </c>
      <c r="K195" t="s">
        <v>2972</v>
      </c>
    </row>
    <row r="196" spans="1:11" hidden="1">
      <c r="A196">
        <v>9</v>
      </c>
      <c r="B196" t="s">
        <v>3089</v>
      </c>
      <c r="C196" t="s">
        <v>3106</v>
      </c>
      <c r="E196" t="s">
        <v>6289</v>
      </c>
      <c r="F196" t="s">
        <v>3107</v>
      </c>
      <c r="G196">
        <v>0</v>
      </c>
      <c r="H196" t="s">
        <v>3061</v>
      </c>
      <c r="I196">
        <v>2610</v>
      </c>
      <c r="K196" t="s">
        <v>2972</v>
      </c>
    </row>
    <row r="197" spans="1:11" hidden="1">
      <c r="A197">
        <v>10</v>
      </c>
      <c r="B197" t="s">
        <v>3089</v>
      </c>
      <c r="C197" t="s">
        <v>3108</v>
      </c>
      <c r="E197" t="s">
        <v>6289</v>
      </c>
      <c r="F197" t="s">
        <v>3109</v>
      </c>
      <c r="G197">
        <v>0</v>
      </c>
      <c r="H197" t="s">
        <v>3061</v>
      </c>
      <c r="I197">
        <v>2601</v>
      </c>
      <c r="K197" t="s">
        <v>2972</v>
      </c>
    </row>
    <row r="198" spans="1:11" hidden="1">
      <c r="A198">
        <v>11</v>
      </c>
      <c r="B198" t="s">
        <v>3089</v>
      </c>
      <c r="C198" t="s">
        <v>3110</v>
      </c>
      <c r="E198" t="s">
        <v>6289</v>
      </c>
      <c r="F198" t="s">
        <v>3111</v>
      </c>
      <c r="G198">
        <v>0</v>
      </c>
      <c r="H198" t="s">
        <v>3061</v>
      </c>
      <c r="I198">
        <v>2611</v>
      </c>
      <c r="K198" t="s">
        <v>2972</v>
      </c>
    </row>
    <row r="199" spans="1:11" hidden="1">
      <c r="A199">
        <v>12</v>
      </c>
      <c r="B199" t="s">
        <v>3089</v>
      </c>
      <c r="C199" t="s">
        <v>3112</v>
      </c>
      <c r="E199" t="s">
        <v>6289</v>
      </c>
      <c r="F199" t="s">
        <v>3113</v>
      </c>
      <c r="G199">
        <v>0</v>
      </c>
      <c r="H199" t="s">
        <v>3061</v>
      </c>
      <c r="I199">
        <v>2600</v>
      </c>
      <c r="K199" t="s">
        <v>2972</v>
      </c>
    </row>
    <row r="200" spans="1:11" hidden="1">
      <c r="A200">
        <v>13</v>
      </c>
      <c r="B200" t="s">
        <v>3089</v>
      </c>
      <c r="C200" t="s">
        <v>3114</v>
      </c>
      <c r="E200" t="s">
        <v>6289</v>
      </c>
      <c r="F200" t="s">
        <v>3115</v>
      </c>
      <c r="G200">
        <v>0</v>
      </c>
      <c r="H200" t="s">
        <v>3061</v>
      </c>
      <c r="I200">
        <v>2615</v>
      </c>
      <c r="K200" t="s">
        <v>2972</v>
      </c>
    </row>
    <row r="201" spans="1:11" hidden="1">
      <c r="A201">
        <v>14</v>
      </c>
      <c r="B201" t="s">
        <v>3089</v>
      </c>
      <c r="C201" t="s">
        <v>3116</v>
      </c>
      <c r="E201" t="s">
        <v>6289</v>
      </c>
      <c r="F201" t="s">
        <v>3117</v>
      </c>
      <c r="G201">
        <v>0</v>
      </c>
      <c r="H201" t="s">
        <v>3061</v>
      </c>
      <c r="I201">
        <v>2616</v>
      </c>
      <c r="K201" t="s">
        <v>2972</v>
      </c>
    </row>
    <row r="202" spans="1:11" hidden="1">
      <c r="A202">
        <v>15</v>
      </c>
      <c r="B202" t="s">
        <v>3089</v>
      </c>
      <c r="C202" t="s">
        <v>3118</v>
      </c>
      <c r="E202" t="s">
        <v>6289</v>
      </c>
      <c r="F202" t="s">
        <v>3119</v>
      </c>
      <c r="G202">
        <v>0</v>
      </c>
      <c r="H202" t="s">
        <v>3061</v>
      </c>
      <c r="I202">
        <v>2612</v>
      </c>
      <c r="K202" t="s">
        <v>2972</v>
      </c>
    </row>
    <row r="203" spans="1:11" hidden="1">
      <c r="A203">
        <v>16</v>
      </c>
      <c r="B203" t="s">
        <v>3089</v>
      </c>
      <c r="C203" t="s">
        <v>3120</v>
      </c>
      <c r="E203" t="s">
        <v>6289</v>
      </c>
      <c r="F203" t="s">
        <v>3086</v>
      </c>
      <c r="G203">
        <v>0</v>
      </c>
      <c r="H203" t="s">
        <v>3061</v>
      </c>
      <c r="I203">
        <v>2605</v>
      </c>
      <c r="K203" t="s">
        <v>2972</v>
      </c>
    </row>
    <row r="204" spans="1:11" hidden="1">
      <c r="A204">
        <v>17</v>
      </c>
      <c r="B204" t="s">
        <v>3089</v>
      </c>
      <c r="C204" t="s">
        <v>3121</v>
      </c>
      <c r="E204" t="s">
        <v>6289</v>
      </c>
      <c r="F204" t="s">
        <v>3122</v>
      </c>
      <c r="G204">
        <v>0</v>
      </c>
      <c r="H204" t="s">
        <v>3061</v>
      </c>
      <c r="I204">
        <v>2608</v>
      </c>
      <c r="K204" t="s">
        <v>2972</v>
      </c>
    </row>
    <row r="205" spans="1:11" hidden="1">
      <c r="A205">
        <v>18</v>
      </c>
      <c r="B205" t="s">
        <v>3089</v>
      </c>
      <c r="C205" t="s">
        <v>3123</v>
      </c>
      <c r="E205" t="s">
        <v>6289</v>
      </c>
      <c r="F205" t="s">
        <v>3124</v>
      </c>
      <c r="G205">
        <v>0</v>
      </c>
      <c r="H205" t="s">
        <v>3061</v>
      </c>
      <c r="I205">
        <v>2606</v>
      </c>
      <c r="K205" t="s">
        <v>2972</v>
      </c>
    </row>
    <row r="206" spans="1:11" hidden="1">
      <c r="A206">
        <v>19</v>
      </c>
      <c r="B206" t="s">
        <v>3089</v>
      </c>
      <c r="C206" t="s">
        <v>3125</v>
      </c>
      <c r="E206" t="s">
        <v>6289</v>
      </c>
      <c r="F206" t="s">
        <v>3126</v>
      </c>
      <c r="G206">
        <v>0</v>
      </c>
      <c r="H206" t="s">
        <v>3061</v>
      </c>
      <c r="I206">
        <v>2622</v>
      </c>
      <c r="K206" t="s">
        <v>2972</v>
      </c>
    </row>
    <row r="207" spans="1:11" hidden="1">
      <c r="A207">
        <v>299</v>
      </c>
      <c r="B207" t="s">
        <v>3911</v>
      </c>
      <c r="C207" t="s">
        <v>3915</v>
      </c>
      <c r="E207" t="s">
        <v>6289</v>
      </c>
      <c r="F207" t="s">
        <v>3916</v>
      </c>
      <c r="H207" t="s">
        <v>3056</v>
      </c>
      <c r="I207">
        <v>299</v>
      </c>
      <c r="K207">
        <v>0</v>
      </c>
    </row>
    <row r="208" spans="1:11" hidden="1">
      <c r="A208">
        <v>300</v>
      </c>
      <c r="B208" t="s">
        <v>3911</v>
      </c>
      <c r="C208" t="s">
        <v>3917</v>
      </c>
      <c r="E208" t="s">
        <v>6289</v>
      </c>
      <c r="F208" t="s">
        <v>146</v>
      </c>
      <c r="H208" t="s">
        <v>3056</v>
      </c>
      <c r="I208">
        <v>300</v>
      </c>
      <c r="K208">
        <v>0</v>
      </c>
    </row>
    <row r="209" spans="1:11" hidden="1">
      <c r="A209">
        <v>302</v>
      </c>
      <c r="B209" t="s">
        <v>3911</v>
      </c>
      <c r="C209" t="s">
        <v>3926</v>
      </c>
      <c r="E209" t="s">
        <v>6289</v>
      </c>
      <c r="F209" t="s">
        <v>3927</v>
      </c>
      <c r="H209" t="s">
        <v>3056</v>
      </c>
      <c r="I209">
        <v>302</v>
      </c>
      <c r="K209">
        <v>0</v>
      </c>
    </row>
    <row r="210" spans="1:11" hidden="1">
      <c r="A210">
        <v>303</v>
      </c>
      <c r="B210" t="s">
        <v>3911</v>
      </c>
      <c r="C210" t="s">
        <v>3914</v>
      </c>
      <c r="E210" t="s">
        <v>6289</v>
      </c>
      <c r="F210" t="s">
        <v>3558</v>
      </c>
      <c r="H210" t="s">
        <v>3056</v>
      </c>
      <c r="I210">
        <v>303</v>
      </c>
      <c r="K210">
        <v>0</v>
      </c>
    </row>
    <row r="211" spans="1:11" hidden="1">
      <c r="A211">
        <v>304</v>
      </c>
      <c r="B211" t="s">
        <v>3911</v>
      </c>
      <c r="C211" t="s">
        <v>3925</v>
      </c>
      <c r="E211" t="s">
        <v>6289</v>
      </c>
      <c r="F211" t="s">
        <v>157</v>
      </c>
      <c r="H211" t="s">
        <v>3056</v>
      </c>
      <c r="I211">
        <v>304</v>
      </c>
      <c r="K211">
        <v>0</v>
      </c>
    </row>
    <row r="212" spans="1:11" hidden="1">
      <c r="A212">
        <v>305</v>
      </c>
      <c r="B212" t="s">
        <v>3911</v>
      </c>
      <c r="C212" t="s">
        <v>3923</v>
      </c>
      <c r="E212" t="s">
        <v>6289</v>
      </c>
      <c r="F212" t="s">
        <v>3924</v>
      </c>
      <c r="H212" t="s">
        <v>3056</v>
      </c>
      <c r="I212">
        <v>305</v>
      </c>
      <c r="K212">
        <v>0</v>
      </c>
    </row>
    <row r="213" spans="1:11" hidden="1">
      <c r="A213">
        <v>306</v>
      </c>
      <c r="B213" t="s">
        <v>3911</v>
      </c>
      <c r="C213" t="s">
        <v>3918</v>
      </c>
      <c r="E213" t="s">
        <v>6289</v>
      </c>
      <c r="F213" t="s">
        <v>3919</v>
      </c>
      <c r="H213" t="s">
        <v>3056</v>
      </c>
      <c r="I213">
        <v>306</v>
      </c>
      <c r="K213">
        <v>0</v>
      </c>
    </row>
    <row r="214" spans="1:11" hidden="1">
      <c r="A214">
        <v>307</v>
      </c>
      <c r="B214" t="s">
        <v>3911</v>
      </c>
      <c r="C214" t="s">
        <v>3920</v>
      </c>
      <c r="E214" t="s">
        <v>6289</v>
      </c>
      <c r="F214" t="s">
        <v>3103</v>
      </c>
      <c r="H214" t="s">
        <v>3056</v>
      </c>
      <c r="I214">
        <v>307</v>
      </c>
      <c r="K214">
        <v>0</v>
      </c>
    </row>
    <row r="215" spans="1:11" hidden="1">
      <c r="A215">
        <v>308</v>
      </c>
      <c r="B215" t="s">
        <v>3911</v>
      </c>
      <c r="C215" t="s">
        <v>3912</v>
      </c>
      <c r="E215" t="s">
        <v>6289</v>
      </c>
      <c r="F215" t="s">
        <v>3913</v>
      </c>
      <c r="H215" t="s">
        <v>3056</v>
      </c>
      <c r="I215">
        <v>308</v>
      </c>
      <c r="K215">
        <v>0</v>
      </c>
    </row>
    <row r="216" spans="1:11" hidden="1">
      <c r="A216">
        <v>309</v>
      </c>
      <c r="B216" t="s">
        <v>3911</v>
      </c>
      <c r="C216" t="s">
        <v>3921</v>
      </c>
      <c r="E216" t="s">
        <v>6289</v>
      </c>
      <c r="F216" t="s">
        <v>919</v>
      </c>
      <c r="H216" t="s">
        <v>3056</v>
      </c>
      <c r="I216">
        <v>309</v>
      </c>
      <c r="K216">
        <v>0</v>
      </c>
    </row>
    <row r="217" spans="1:11" hidden="1">
      <c r="A217">
        <v>310</v>
      </c>
      <c r="B217" t="s">
        <v>3911</v>
      </c>
      <c r="C217" t="s">
        <v>3922</v>
      </c>
      <c r="E217" t="s">
        <v>6289</v>
      </c>
      <c r="F217" t="s">
        <v>3450</v>
      </c>
      <c r="H217" t="s">
        <v>3056</v>
      </c>
      <c r="I217">
        <v>310</v>
      </c>
      <c r="K217">
        <v>0</v>
      </c>
    </row>
    <row r="218" spans="1:11" hidden="1">
      <c r="A218">
        <v>2700</v>
      </c>
      <c r="B218" t="s">
        <v>3928</v>
      </c>
      <c r="C218" t="s">
        <v>3932</v>
      </c>
      <c r="E218" t="s">
        <v>6289</v>
      </c>
      <c r="F218" t="s">
        <v>3933</v>
      </c>
      <c r="H218" t="s">
        <v>3061</v>
      </c>
      <c r="I218">
        <v>2700</v>
      </c>
      <c r="K218">
        <v>0</v>
      </c>
    </row>
    <row r="219" spans="1:11" hidden="1">
      <c r="A219">
        <v>2701</v>
      </c>
      <c r="B219" t="s">
        <v>3928</v>
      </c>
      <c r="C219" t="s">
        <v>3929</v>
      </c>
      <c r="E219" t="s">
        <v>6289</v>
      </c>
      <c r="F219" t="s">
        <v>3555</v>
      </c>
      <c r="H219" t="s">
        <v>3061</v>
      </c>
      <c r="I219">
        <v>2701</v>
      </c>
      <c r="K219">
        <v>0</v>
      </c>
    </row>
    <row r="220" spans="1:11" hidden="1">
      <c r="A220">
        <v>2702</v>
      </c>
      <c r="B220" t="s">
        <v>3928</v>
      </c>
      <c r="C220" t="s">
        <v>3930</v>
      </c>
      <c r="E220" t="s">
        <v>6289</v>
      </c>
      <c r="F220" t="s">
        <v>3931</v>
      </c>
      <c r="H220" t="s">
        <v>3061</v>
      </c>
      <c r="I220">
        <v>2702</v>
      </c>
      <c r="K220">
        <v>0</v>
      </c>
    </row>
    <row r="221" spans="1:11" hidden="1">
      <c r="A221">
        <v>17440</v>
      </c>
      <c r="B221" t="s">
        <v>3934</v>
      </c>
      <c r="C221" t="s">
        <v>3936</v>
      </c>
      <c r="E221" t="s">
        <v>6289</v>
      </c>
      <c r="H221" t="s">
        <v>3056</v>
      </c>
      <c r="I221">
        <v>17440</v>
      </c>
      <c r="K221">
        <v>0</v>
      </c>
    </row>
    <row r="222" spans="1:11" hidden="1">
      <c r="A222">
        <v>17450</v>
      </c>
      <c r="B222" t="s">
        <v>3934</v>
      </c>
      <c r="C222" t="s">
        <v>3935</v>
      </c>
      <c r="E222" t="s">
        <v>6289</v>
      </c>
      <c r="H222" t="s">
        <v>3056</v>
      </c>
      <c r="I222">
        <v>17450</v>
      </c>
      <c r="K222">
        <v>0</v>
      </c>
    </row>
    <row r="223" spans="1:11" hidden="1">
      <c r="A223">
        <v>637</v>
      </c>
      <c r="B223" t="s">
        <v>2402</v>
      </c>
      <c r="C223" t="b">
        <v>1</v>
      </c>
      <c r="E223" t="s">
        <v>6289</v>
      </c>
      <c r="F223" t="s">
        <v>3937</v>
      </c>
      <c r="H223" t="s">
        <v>3056</v>
      </c>
      <c r="I223">
        <v>637</v>
      </c>
      <c r="K223">
        <v>0</v>
      </c>
    </row>
    <row r="224" spans="1:11" hidden="1">
      <c r="A224">
        <v>638</v>
      </c>
      <c r="B224" t="s">
        <v>2402</v>
      </c>
      <c r="C224" t="b">
        <v>0</v>
      </c>
      <c r="E224" t="s">
        <v>6289</v>
      </c>
      <c r="F224" t="s">
        <v>3136</v>
      </c>
      <c r="H224" t="s">
        <v>3056</v>
      </c>
      <c r="I224">
        <v>638</v>
      </c>
      <c r="K224">
        <v>0</v>
      </c>
    </row>
    <row r="225" spans="1:11" hidden="1">
      <c r="A225">
        <v>14990</v>
      </c>
      <c r="B225" t="s">
        <v>3938</v>
      </c>
      <c r="C225" t="s">
        <v>132</v>
      </c>
      <c r="E225" t="s">
        <v>6289</v>
      </c>
      <c r="H225" t="s">
        <v>3056</v>
      </c>
      <c r="I225">
        <v>14990</v>
      </c>
      <c r="K225">
        <v>0</v>
      </c>
    </row>
    <row r="226" spans="1:11" hidden="1">
      <c r="A226">
        <v>15000</v>
      </c>
      <c r="B226" t="s">
        <v>3938</v>
      </c>
      <c r="C226" t="s">
        <v>3939</v>
      </c>
      <c r="E226" t="s">
        <v>6289</v>
      </c>
      <c r="H226" t="s">
        <v>3056</v>
      </c>
      <c r="I226">
        <v>15000</v>
      </c>
      <c r="K226">
        <v>0</v>
      </c>
    </row>
    <row r="227" spans="1:11" hidden="1">
      <c r="A227">
        <v>15010</v>
      </c>
      <c r="B227" t="s">
        <v>3938</v>
      </c>
      <c r="C227" t="s">
        <v>3088</v>
      </c>
      <c r="E227" t="s">
        <v>6289</v>
      </c>
      <c r="H227" t="s">
        <v>3056</v>
      </c>
      <c r="I227">
        <v>15010</v>
      </c>
      <c r="K227">
        <v>0</v>
      </c>
    </row>
    <row r="228" spans="1:11" hidden="1">
      <c r="A228">
        <v>14660</v>
      </c>
      <c r="B228" t="s">
        <v>3940</v>
      </c>
      <c r="C228" t="s">
        <v>3941</v>
      </c>
      <c r="E228" t="s">
        <v>6289</v>
      </c>
      <c r="H228" t="s">
        <v>3056</v>
      </c>
      <c r="I228">
        <v>14660</v>
      </c>
      <c r="K228">
        <v>0</v>
      </c>
    </row>
    <row r="229" spans="1:11" hidden="1">
      <c r="A229">
        <v>14670</v>
      </c>
      <c r="B229" t="s">
        <v>3940</v>
      </c>
      <c r="C229" t="s">
        <v>3943</v>
      </c>
      <c r="E229" t="s">
        <v>6289</v>
      </c>
      <c r="H229" t="s">
        <v>3056</v>
      </c>
      <c r="I229">
        <v>14670</v>
      </c>
      <c r="K229">
        <v>0</v>
      </c>
    </row>
    <row r="230" spans="1:11" hidden="1">
      <c r="A230">
        <v>14680</v>
      </c>
      <c r="B230" t="s">
        <v>3940</v>
      </c>
      <c r="C230" t="s">
        <v>1418</v>
      </c>
      <c r="E230" t="s">
        <v>6289</v>
      </c>
      <c r="H230" t="s">
        <v>3056</v>
      </c>
      <c r="I230">
        <v>14680</v>
      </c>
      <c r="K230">
        <v>0</v>
      </c>
    </row>
    <row r="231" spans="1:11" hidden="1">
      <c r="A231">
        <v>14690</v>
      </c>
      <c r="B231" t="s">
        <v>3940</v>
      </c>
      <c r="C231" t="s">
        <v>3942</v>
      </c>
      <c r="E231" t="s">
        <v>6289</v>
      </c>
      <c r="H231" t="s">
        <v>3056</v>
      </c>
      <c r="I231">
        <v>14690</v>
      </c>
      <c r="K231">
        <v>0</v>
      </c>
    </row>
    <row r="232" spans="1:11" hidden="1">
      <c r="A232">
        <v>281</v>
      </c>
      <c r="B232" t="s">
        <v>3944</v>
      </c>
      <c r="C232" t="s">
        <v>3765</v>
      </c>
      <c r="E232" t="s">
        <v>6289</v>
      </c>
      <c r="F232" t="s">
        <v>3766</v>
      </c>
      <c r="H232" t="s">
        <v>3056</v>
      </c>
      <c r="I232">
        <v>281</v>
      </c>
      <c r="K232">
        <v>0</v>
      </c>
    </row>
    <row r="233" spans="1:11" hidden="1">
      <c r="A233">
        <v>282</v>
      </c>
      <c r="B233" t="s">
        <v>3944</v>
      </c>
      <c r="C233" t="s">
        <v>3777</v>
      </c>
      <c r="E233" t="s">
        <v>6289</v>
      </c>
      <c r="F233" t="s">
        <v>3777</v>
      </c>
      <c r="H233" t="s">
        <v>3056</v>
      </c>
      <c r="I233">
        <v>282</v>
      </c>
      <c r="K233">
        <v>0</v>
      </c>
    </row>
    <row r="234" spans="1:11" hidden="1">
      <c r="A234">
        <v>283</v>
      </c>
      <c r="B234" t="s">
        <v>3944</v>
      </c>
      <c r="C234" t="s">
        <v>3767</v>
      </c>
      <c r="E234" t="s">
        <v>6289</v>
      </c>
      <c r="F234" t="s">
        <v>3768</v>
      </c>
      <c r="H234" t="s">
        <v>3056</v>
      </c>
      <c r="I234">
        <v>283</v>
      </c>
      <c r="K234">
        <v>0</v>
      </c>
    </row>
    <row r="235" spans="1:11" hidden="1">
      <c r="A235">
        <v>284</v>
      </c>
      <c r="B235" t="s">
        <v>3944</v>
      </c>
      <c r="C235" t="s">
        <v>3945</v>
      </c>
      <c r="E235" t="s">
        <v>6289</v>
      </c>
      <c r="F235" t="s">
        <v>3946</v>
      </c>
      <c r="H235" t="s">
        <v>3056</v>
      </c>
      <c r="I235">
        <v>284</v>
      </c>
      <c r="K235">
        <v>0</v>
      </c>
    </row>
    <row r="236" spans="1:11" hidden="1">
      <c r="A236">
        <v>285</v>
      </c>
      <c r="B236" t="s">
        <v>3944</v>
      </c>
      <c r="C236" t="s">
        <v>3950</v>
      </c>
      <c r="E236" t="s">
        <v>6289</v>
      </c>
      <c r="F236" t="s">
        <v>3951</v>
      </c>
      <c r="H236" t="s">
        <v>3056</v>
      </c>
      <c r="I236">
        <v>285</v>
      </c>
      <c r="K236">
        <v>0</v>
      </c>
    </row>
    <row r="237" spans="1:11" hidden="1">
      <c r="A237">
        <v>10040</v>
      </c>
      <c r="B237" t="s">
        <v>3944</v>
      </c>
      <c r="C237" t="s">
        <v>3763</v>
      </c>
      <c r="E237" t="s">
        <v>6289</v>
      </c>
      <c r="F237" t="s">
        <v>3764</v>
      </c>
      <c r="H237" t="s">
        <v>3056</v>
      </c>
      <c r="I237">
        <v>10040</v>
      </c>
      <c r="K237">
        <v>0</v>
      </c>
    </row>
    <row r="238" spans="1:11" hidden="1">
      <c r="A238">
        <v>10054</v>
      </c>
      <c r="B238" t="s">
        <v>3944</v>
      </c>
      <c r="C238" t="s">
        <v>3948</v>
      </c>
      <c r="E238" t="s">
        <v>6289</v>
      </c>
      <c r="F238" t="s">
        <v>3949</v>
      </c>
      <c r="H238" t="s">
        <v>3056</v>
      </c>
      <c r="I238">
        <v>10054</v>
      </c>
      <c r="K238">
        <v>0</v>
      </c>
    </row>
    <row r="239" spans="1:11" hidden="1">
      <c r="A239">
        <v>10070</v>
      </c>
      <c r="B239" t="s">
        <v>3944</v>
      </c>
      <c r="C239" t="s">
        <v>3755</v>
      </c>
      <c r="E239" t="s">
        <v>6289</v>
      </c>
      <c r="F239" t="s">
        <v>3756</v>
      </c>
      <c r="H239" t="s">
        <v>3056</v>
      </c>
      <c r="I239">
        <v>10070</v>
      </c>
      <c r="K239">
        <v>0</v>
      </c>
    </row>
    <row r="240" spans="1:11" hidden="1">
      <c r="A240">
        <v>10071</v>
      </c>
      <c r="B240" t="s">
        <v>3944</v>
      </c>
      <c r="C240" t="s">
        <v>3757</v>
      </c>
      <c r="E240" t="s">
        <v>6289</v>
      </c>
      <c r="F240" t="s">
        <v>3758</v>
      </c>
      <c r="H240" t="s">
        <v>3056</v>
      </c>
      <c r="I240">
        <v>10071</v>
      </c>
      <c r="K240">
        <v>0</v>
      </c>
    </row>
    <row r="241" spans="1:11" hidden="1">
      <c r="A241">
        <v>10074</v>
      </c>
      <c r="B241" t="s">
        <v>3944</v>
      </c>
      <c r="C241" t="s">
        <v>3769</v>
      </c>
      <c r="E241" t="s">
        <v>6289</v>
      </c>
      <c r="F241" t="s">
        <v>3770</v>
      </c>
      <c r="H241" t="s">
        <v>3056</v>
      </c>
      <c r="I241">
        <v>10074</v>
      </c>
      <c r="K241">
        <v>0</v>
      </c>
    </row>
    <row r="242" spans="1:11" hidden="1">
      <c r="A242">
        <v>10115</v>
      </c>
      <c r="B242" t="s">
        <v>3944</v>
      </c>
      <c r="C242" t="s">
        <v>3761</v>
      </c>
      <c r="E242" t="s">
        <v>6289</v>
      </c>
      <c r="F242" t="s">
        <v>3762</v>
      </c>
      <c r="H242" t="s">
        <v>3056</v>
      </c>
      <c r="I242">
        <v>10115</v>
      </c>
      <c r="K242">
        <v>0</v>
      </c>
    </row>
    <row r="243" spans="1:11" hidden="1">
      <c r="A243">
        <v>10148</v>
      </c>
      <c r="B243" t="s">
        <v>3944</v>
      </c>
      <c r="C243" t="s">
        <v>3954</v>
      </c>
      <c r="E243" t="s">
        <v>6289</v>
      </c>
      <c r="F243" t="s">
        <v>3955</v>
      </c>
      <c r="H243" t="s">
        <v>3056</v>
      </c>
      <c r="I243">
        <v>10148</v>
      </c>
      <c r="K243">
        <v>0</v>
      </c>
    </row>
    <row r="244" spans="1:11" hidden="1">
      <c r="A244">
        <v>10149</v>
      </c>
      <c r="B244" t="s">
        <v>3944</v>
      </c>
      <c r="C244" t="s">
        <v>3952</v>
      </c>
      <c r="E244" t="s">
        <v>6289</v>
      </c>
      <c r="F244" t="s">
        <v>3953</v>
      </c>
      <c r="H244" t="s">
        <v>3056</v>
      </c>
      <c r="I244">
        <v>10149</v>
      </c>
      <c r="K244">
        <v>0</v>
      </c>
    </row>
    <row r="245" spans="1:11" hidden="1">
      <c r="A245">
        <v>11210</v>
      </c>
      <c r="B245" t="s">
        <v>3944</v>
      </c>
      <c r="C245" t="s">
        <v>3947</v>
      </c>
      <c r="E245" t="s">
        <v>6289</v>
      </c>
      <c r="H245" t="s">
        <v>3056</v>
      </c>
      <c r="I245">
        <v>11210</v>
      </c>
      <c r="K245">
        <v>0</v>
      </c>
    </row>
    <row r="246" spans="1:11" hidden="1">
      <c r="A246">
        <v>11260</v>
      </c>
      <c r="B246" t="s">
        <v>3944</v>
      </c>
      <c r="C246" t="s">
        <v>3773</v>
      </c>
      <c r="E246" t="s">
        <v>6289</v>
      </c>
      <c r="H246" t="s">
        <v>3056</v>
      </c>
      <c r="I246">
        <v>11260</v>
      </c>
      <c r="K246">
        <v>0</v>
      </c>
    </row>
    <row r="247" spans="1:11" hidden="1">
      <c r="A247">
        <v>11270</v>
      </c>
      <c r="B247" t="s">
        <v>3944</v>
      </c>
      <c r="C247" t="s">
        <v>3759</v>
      </c>
      <c r="E247" t="s">
        <v>6289</v>
      </c>
      <c r="H247" t="s">
        <v>3056</v>
      </c>
      <c r="I247">
        <v>11270</v>
      </c>
      <c r="K247">
        <v>0</v>
      </c>
    </row>
    <row r="248" spans="1:11" hidden="1">
      <c r="A248">
        <v>11280</v>
      </c>
      <c r="B248" t="s">
        <v>3944</v>
      </c>
      <c r="C248" t="s">
        <v>3419</v>
      </c>
      <c r="E248" t="s">
        <v>6289</v>
      </c>
      <c r="H248" t="s">
        <v>3056</v>
      </c>
      <c r="I248">
        <v>11280</v>
      </c>
      <c r="K248">
        <v>0</v>
      </c>
    </row>
    <row r="249" spans="1:11" hidden="1">
      <c r="A249">
        <v>1308</v>
      </c>
      <c r="B249" t="s">
        <v>3956</v>
      </c>
      <c r="C249" t="s">
        <v>3957</v>
      </c>
      <c r="D249">
        <v>1</v>
      </c>
      <c r="E249" t="s">
        <v>6289</v>
      </c>
      <c r="H249" t="s">
        <v>3056</v>
      </c>
      <c r="I249">
        <v>1308</v>
      </c>
      <c r="K249">
        <v>0</v>
      </c>
    </row>
    <row r="250" spans="1:11" hidden="1">
      <c r="A250">
        <v>1309</v>
      </c>
      <c r="B250" t="s">
        <v>3956</v>
      </c>
      <c r="C250" t="s">
        <v>3057</v>
      </c>
      <c r="D250">
        <v>2</v>
      </c>
      <c r="E250" t="s">
        <v>6289</v>
      </c>
      <c r="H250" t="s">
        <v>3056</v>
      </c>
      <c r="I250">
        <v>1309</v>
      </c>
      <c r="K250">
        <v>0</v>
      </c>
    </row>
    <row r="251" spans="1:11" hidden="1">
      <c r="A251">
        <v>14630</v>
      </c>
      <c r="B251" t="s">
        <v>3958</v>
      </c>
      <c r="C251" t="s">
        <v>3959</v>
      </c>
      <c r="E251" t="s">
        <v>6289</v>
      </c>
      <c r="H251" t="s">
        <v>3056</v>
      </c>
      <c r="I251">
        <v>14630</v>
      </c>
      <c r="K251">
        <v>0</v>
      </c>
    </row>
    <row r="252" spans="1:11" hidden="1">
      <c r="A252">
        <v>14640</v>
      </c>
      <c r="B252" t="s">
        <v>3958</v>
      </c>
      <c r="C252" t="s">
        <v>1086</v>
      </c>
      <c r="E252" t="s">
        <v>6289</v>
      </c>
      <c r="H252" t="s">
        <v>3056</v>
      </c>
      <c r="I252">
        <v>14640</v>
      </c>
      <c r="K252">
        <v>0</v>
      </c>
    </row>
    <row r="253" spans="1:11" hidden="1">
      <c r="A253">
        <v>14650</v>
      </c>
      <c r="B253" t="s">
        <v>3958</v>
      </c>
      <c r="C253" t="s">
        <v>1365</v>
      </c>
      <c r="E253" t="s">
        <v>6289</v>
      </c>
      <c r="H253" t="s">
        <v>3056</v>
      </c>
      <c r="I253">
        <v>14650</v>
      </c>
      <c r="K253">
        <v>0</v>
      </c>
    </row>
    <row r="254" spans="1:11" hidden="1">
      <c r="A254">
        <v>14600</v>
      </c>
      <c r="B254" t="s">
        <v>3960</v>
      </c>
      <c r="C254" t="s">
        <v>3963</v>
      </c>
      <c r="E254" t="s">
        <v>6289</v>
      </c>
      <c r="H254" t="s">
        <v>3056</v>
      </c>
      <c r="I254">
        <v>14600</v>
      </c>
      <c r="K254">
        <v>0</v>
      </c>
    </row>
    <row r="255" spans="1:11" hidden="1">
      <c r="A255">
        <v>14610</v>
      </c>
      <c r="B255" t="s">
        <v>3960</v>
      </c>
      <c r="C255" t="s">
        <v>3961</v>
      </c>
      <c r="E255" t="s">
        <v>6289</v>
      </c>
      <c r="H255" t="s">
        <v>3056</v>
      </c>
      <c r="I255">
        <v>14610</v>
      </c>
      <c r="K255">
        <v>0</v>
      </c>
    </row>
    <row r="256" spans="1:11" hidden="1">
      <c r="A256">
        <v>14620</v>
      </c>
      <c r="B256" t="s">
        <v>3960</v>
      </c>
      <c r="C256" t="s">
        <v>3962</v>
      </c>
      <c r="E256" t="s">
        <v>6289</v>
      </c>
      <c r="H256" t="s">
        <v>3056</v>
      </c>
      <c r="I256">
        <v>14620</v>
      </c>
      <c r="K256">
        <v>0</v>
      </c>
    </row>
    <row r="257" spans="1:11" hidden="1">
      <c r="A257">
        <v>725</v>
      </c>
      <c r="B257" t="s">
        <v>881</v>
      </c>
      <c r="C257" t="s">
        <v>3969</v>
      </c>
      <c r="E257" t="s">
        <v>6289</v>
      </c>
      <c r="F257" t="s">
        <v>3970</v>
      </c>
      <c r="H257" t="s">
        <v>3056</v>
      </c>
      <c r="I257">
        <v>725</v>
      </c>
      <c r="K257">
        <v>0</v>
      </c>
    </row>
    <row r="258" spans="1:11" hidden="1">
      <c r="A258">
        <v>726</v>
      </c>
      <c r="B258" t="s">
        <v>881</v>
      </c>
      <c r="C258" t="s">
        <v>3968</v>
      </c>
      <c r="E258" t="s">
        <v>6289</v>
      </c>
      <c r="F258" t="s">
        <v>3107</v>
      </c>
      <c r="H258" t="s">
        <v>3056</v>
      </c>
      <c r="I258">
        <v>726</v>
      </c>
      <c r="K258">
        <v>0</v>
      </c>
    </row>
    <row r="259" spans="1:11" hidden="1">
      <c r="A259">
        <v>1023</v>
      </c>
      <c r="B259" t="s">
        <v>881</v>
      </c>
      <c r="C259" t="s">
        <v>3967</v>
      </c>
      <c r="E259" t="s">
        <v>6289</v>
      </c>
      <c r="F259" t="s">
        <v>3453</v>
      </c>
      <c r="H259" t="s">
        <v>3056</v>
      </c>
      <c r="I259">
        <v>1023</v>
      </c>
      <c r="K259">
        <v>0</v>
      </c>
    </row>
    <row r="260" spans="1:11" hidden="1">
      <c r="A260">
        <v>1029</v>
      </c>
      <c r="B260" t="s">
        <v>881</v>
      </c>
      <c r="C260" t="s">
        <v>3964</v>
      </c>
      <c r="E260" t="s">
        <v>6289</v>
      </c>
      <c r="F260" t="s">
        <v>3965</v>
      </c>
      <c r="H260" t="s">
        <v>3056</v>
      </c>
      <c r="I260">
        <v>1029</v>
      </c>
      <c r="K260">
        <v>0</v>
      </c>
    </row>
    <row r="261" spans="1:11" hidden="1">
      <c r="A261">
        <v>1032</v>
      </c>
      <c r="B261" t="s">
        <v>881</v>
      </c>
      <c r="C261" t="s">
        <v>3966</v>
      </c>
      <c r="E261" t="s">
        <v>6289</v>
      </c>
      <c r="F261" t="s">
        <v>3760</v>
      </c>
      <c r="H261" t="s">
        <v>3056</v>
      </c>
      <c r="I261">
        <v>1032</v>
      </c>
      <c r="K261">
        <v>0</v>
      </c>
    </row>
    <row r="262" spans="1:11" hidden="1">
      <c r="A262">
        <v>1926</v>
      </c>
      <c r="B262" t="s">
        <v>3971</v>
      </c>
      <c r="C262" t="s">
        <v>3972</v>
      </c>
      <c r="E262" t="s">
        <v>6289</v>
      </c>
      <c r="H262" t="s">
        <v>3056</v>
      </c>
      <c r="I262">
        <v>1926</v>
      </c>
      <c r="K262">
        <v>0</v>
      </c>
    </row>
    <row r="263" spans="1:11" hidden="1">
      <c r="A263">
        <v>1927</v>
      </c>
      <c r="B263" t="s">
        <v>3971</v>
      </c>
      <c r="C263" t="s">
        <v>3973</v>
      </c>
      <c r="E263" t="s">
        <v>6289</v>
      </c>
      <c r="H263" t="s">
        <v>3056</v>
      </c>
      <c r="I263">
        <v>1927</v>
      </c>
      <c r="K263">
        <v>0</v>
      </c>
    </row>
    <row r="264" spans="1:11" hidden="1">
      <c r="A264">
        <v>1928</v>
      </c>
      <c r="B264" t="s">
        <v>3971</v>
      </c>
      <c r="C264" t="s">
        <v>447</v>
      </c>
      <c r="E264" t="s">
        <v>6289</v>
      </c>
      <c r="H264" t="s">
        <v>3056</v>
      </c>
      <c r="I264">
        <v>1928</v>
      </c>
      <c r="K264">
        <v>0</v>
      </c>
    </row>
    <row r="265" spans="1:11" hidden="1">
      <c r="A265">
        <v>11450</v>
      </c>
      <c r="B265" t="s">
        <v>3974</v>
      </c>
      <c r="C265" t="s">
        <v>3976</v>
      </c>
      <c r="E265" t="s">
        <v>6289</v>
      </c>
      <c r="H265" t="s">
        <v>3056</v>
      </c>
      <c r="I265">
        <v>11450</v>
      </c>
      <c r="K265">
        <v>0</v>
      </c>
    </row>
    <row r="266" spans="1:11" hidden="1">
      <c r="A266">
        <v>11460</v>
      </c>
      <c r="B266" t="s">
        <v>3974</v>
      </c>
      <c r="C266" t="s">
        <v>3975</v>
      </c>
      <c r="E266" t="s">
        <v>6289</v>
      </c>
      <c r="H266" t="s">
        <v>3056</v>
      </c>
      <c r="I266">
        <v>11460</v>
      </c>
      <c r="K266">
        <v>0</v>
      </c>
    </row>
    <row r="267" spans="1:11" hidden="1">
      <c r="A267">
        <v>11470</v>
      </c>
      <c r="B267" t="s">
        <v>3974</v>
      </c>
      <c r="C267" t="s">
        <v>3977</v>
      </c>
      <c r="E267" t="s">
        <v>6289</v>
      </c>
      <c r="H267" t="s">
        <v>3056</v>
      </c>
      <c r="I267">
        <v>11470</v>
      </c>
      <c r="K267">
        <v>0</v>
      </c>
    </row>
    <row r="268" spans="1:11" hidden="1">
      <c r="A268">
        <v>11480</v>
      </c>
      <c r="B268" t="s">
        <v>3974</v>
      </c>
      <c r="C268" t="s">
        <v>3978</v>
      </c>
      <c r="E268" t="s">
        <v>6289</v>
      </c>
      <c r="H268" t="s">
        <v>3056</v>
      </c>
      <c r="I268">
        <v>11480</v>
      </c>
      <c r="K268">
        <v>0</v>
      </c>
    </row>
    <row r="269" spans="1:11" hidden="1">
      <c r="A269">
        <v>11410</v>
      </c>
      <c r="B269" t="s">
        <v>3979</v>
      </c>
      <c r="C269" t="s">
        <v>3785</v>
      </c>
      <c r="E269" t="s">
        <v>6289</v>
      </c>
      <c r="H269" t="s">
        <v>3056</v>
      </c>
      <c r="I269">
        <v>11410</v>
      </c>
      <c r="K269">
        <v>0</v>
      </c>
    </row>
    <row r="270" spans="1:11" hidden="1">
      <c r="A270">
        <v>11420</v>
      </c>
      <c r="B270" t="s">
        <v>3979</v>
      </c>
      <c r="C270" t="s">
        <v>3980</v>
      </c>
      <c r="E270" t="s">
        <v>6289</v>
      </c>
      <c r="H270" t="s">
        <v>3056</v>
      </c>
      <c r="I270">
        <v>11420</v>
      </c>
      <c r="K270">
        <v>0</v>
      </c>
    </row>
    <row r="271" spans="1:11" hidden="1">
      <c r="A271">
        <v>11430</v>
      </c>
      <c r="B271" t="s">
        <v>3979</v>
      </c>
      <c r="C271" t="s">
        <v>3981</v>
      </c>
      <c r="E271" t="s">
        <v>6289</v>
      </c>
      <c r="H271" t="s">
        <v>3056</v>
      </c>
      <c r="I271">
        <v>11430</v>
      </c>
      <c r="K271">
        <v>0</v>
      </c>
    </row>
    <row r="272" spans="1:11" hidden="1">
      <c r="A272">
        <v>11440</v>
      </c>
      <c r="B272" t="s">
        <v>3979</v>
      </c>
      <c r="C272" t="s">
        <v>3982</v>
      </c>
      <c r="E272" t="s">
        <v>6289</v>
      </c>
      <c r="H272" t="s">
        <v>3056</v>
      </c>
      <c r="I272">
        <v>11440</v>
      </c>
      <c r="K272">
        <v>0</v>
      </c>
    </row>
    <row r="273" spans="1:11" hidden="1">
      <c r="A273">
        <v>52</v>
      </c>
      <c r="B273" t="s">
        <v>3983</v>
      </c>
      <c r="C273" t="s">
        <v>3986</v>
      </c>
      <c r="E273" t="s">
        <v>6289</v>
      </c>
      <c r="F273" t="s">
        <v>3987</v>
      </c>
      <c r="H273" t="s">
        <v>3056</v>
      </c>
      <c r="I273">
        <v>52</v>
      </c>
      <c r="K273">
        <v>0</v>
      </c>
    </row>
    <row r="274" spans="1:11" hidden="1">
      <c r="A274">
        <v>53</v>
      </c>
      <c r="B274" t="s">
        <v>3983</v>
      </c>
      <c r="C274" t="s">
        <v>3993</v>
      </c>
      <c r="E274" t="s">
        <v>6289</v>
      </c>
      <c r="F274" t="s">
        <v>3994</v>
      </c>
      <c r="H274" t="s">
        <v>3056</v>
      </c>
      <c r="I274">
        <v>53</v>
      </c>
      <c r="K274">
        <v>0</v>
      </c>
    </row>
    <row r="275" spans="1:11" hidden="1">
      <c r="A275">
        <v>54</v>
      </c>
      <c r="B275" t="s">
        <v>3983</v>
      </c>
      <c r="C275" t="s">
        <v>152</v>
      </c>
      <c r="E275" t="s">
        <v>6289</v>
      </c>
      <c r="F275" t="s">
        <v>3984</v>
      </c>
      <c r="H275" t="s">
        <v>3056</v>
      </c>
      <c r="I275">
        <v>54</v>
      </c>
      <c r="K275">
        <v>0</v>
      </c>
    </row>
    <row r="276" spans="1:11" hidden="1">
      <c r="A276">
        <v>55</v>
      </c>
      <c r="B276" t="s">
        <v>3983</v>
      </c>
      <c r="C276" t="s">
        <v>3998</v>
      </c>
      <c r="E276" t="s">
        <v>6289</v>
      </c>
      <c r="F276" t="s">
        <v>3999</v>
      </c>
      <c r="H276" t="s">
        <v>3056</v>
      </c>
      <c r="I276">
        <v>55</v>
      </c>
      <c r="K276">
        <v>0</v>
      </c>
    </row>
    <row r="277" spans="1:11" hidden="1">
      <c r="A277">
        <v>56</v>
      </c>
      <c r="B277" t="s">
        <v>3983</v>
      </c>
      <c r="C277" t="s">
        <v>3995</v>
      </c>
      <c r="E277" t="s">
        <v>6289</v>
      </c>
      <c r="F277" t="s">
        <v>3996</v>
      </c>
      <c r="H277" t="s">
        <v>3056</v>
      </c>
      <c r="I277">
        <v>56</v>
      </c>
      <c r="K277">
        <v>0</v>
      </c>
    </row>
    <row r="278" spans="1:11" hidden="1">
      <c r="A278">
        <v>10068</v>
      </c>
      <c r="B278" t="s">
        <v>3983</v>
      </c>
      <c r="C278" t="s">
        <v>3756</v>
      </c>
      <c r="E278" t="s">
        <v>6289</v>
      </c>
      <c r="F278" t="s">
        <v>3756</v>
      </c>
      <c r="H278" t="s">
        <v>3056</v>
      </c>
      <c r="I278">
        <v>10068</v>
      </c>
      <c r="K278">
        <v>0</v>
      </c>
    </row>
    <row r="279" spans="1:11" hidden="1">
      <c r="A279">
        <v>10069</v>
      </c>
      <c r="B279" t="s">
        <v>3983</v>
      </c>
      <c r="C279" t="s">
        <v>3758</v>
      </c>
      <c r="E279" t="s">
        <v>6289</v>
      </c>
      <c r="F279" t="s">
        <v>3756</v>
      </c>
      <c r="H279" t="s">
        <v>3056</v>
      </c>
      <c r="I279">
        <v>10069</v>
      </c>
      <c r="K279">
        <v>0</v>
      </c>
    </row>
    <row r="280" spans="1:11" hidden="1">
      <c r="A280">
        <v>10109</v>
      </c>
      <c r="B280" t="s">
        <v>3983</v>
      </c>
      <c r="C280" t="s">
        <v>3997</v>
      </c>
      <c r="E280" t="s">
        <v>6289</v>
      </c>
      <c r="F280" t="s">
        <v>3997</v>
      </c>
      <c r="H280" t="s">
        <v>3056</v>
      </c>
      <c r="I280">
        <v>10109</v>
      </c>
      <c r="K280">
        <v>0</v>
      </c>
    </row>
    <row r="281" spans="1:11" hidden="1">
      <c r="A281">
        <v>10110</v>
      </c>
      <c r="B281" t="s">
        <v>3983</v>
      </c>
      <c r="C281" t="s">
        <v>3988</v>
      </c>
      <c r="E281" t="s">
        <v>6289</v>
      </c>
      <c r="F281" t="s">
        <v>3989</v>
      </c>
      <c r="H281" t="s">
        <v>3056</v>
      </c>
      <c r="I281">
        <v>10110</v>
      </c>
      <c r="K281">
        <v>0</v>
      </c>
    </row>
    <row r="282" spans="1:11" hidden="1">
      <c r="A282">
        <v>10111</v>
      </c>
      <c r="B282" t="s">
        <v>3983</v>
      </c>
      <c r="C282" t="s">
        <v>3990</v>
      </c>
      <c r="E282" t="s">
        <v>6289</v>
      </c>
      <c r="F282" t="s">
        <v>3989</v>
      </c>
      <c r="H282" t="s">
        <v>3056</v>
      </c>
      <c r="I282">
        <v>10111</v>
      </c>
      <c r="K282">
        <v>0</v>
      </c>
    </row>
    <row r="283" spans="1:11" hidden="1">
      <c r="A283">
        <v>10112</v>
      </c>
      <c r="B283" t="s">
        <v>3983</v>
      </c>
      <c r="C283" t="s">
        <v>3985</v>
      </c>
      <c r="E283" t="s">
        <v>6289</v>
      </c>
      <c r="F283" t="s">
        <v>3985</v>
      </c>
      <c r="H283" t="s">
        <v>3056</v>
      </c>
      <c r="I283">
        <v>10112</v>
      </c>
      <c r="K283">
        <v>0</v>
      </c>
    </row>
    <row r="284" spans="1:11" hidden="1">
      <c r="A284">
        <v>10118</v>
      </c>
      <c r="B284" t="s">
        <v>3983</v>
      </c>
      <c r="C284" t="s">
        <v>3946</v>
      </c>
      <c r="E284" t="s">
        <v>6289</v>
      </c>
      <c r="F284" t="s">
        <v>3946</v>
      </c>
      <c r="H284" t="s">
        <v>3056</v>
      </c>
      <c r="I284">
        <v>10118</v>
      </c>
      <c r="K284">
        <v>0</v>
      </c>
    </row>
    <row r="285" spans="1:11" hidden="1">
      <c r="A285">
        <v>10119</v>
      </c>
      <c r="B285" t="s">
        <v>3983</v>
      </c>
      <c r="C285" t="s">
        <v>3991</v>
      </c>
      <c r="E285" t="s">
        <v>6289</v>
      </c>
      <c r="F285" t="s">
        <v>3992</v>
      </c>
      <c r="H285" t="s">
        <v>3056</v>
      </c>
      <c r="I285">
        <v>10119</v>
      </c>
      <c r="K285">
        <v>0</v>
      </c>
    </row>
    <row r="286" spans="1:11" hidden="1">
      <c r="A286">
        <v>17760</v>
      </c>
      <c r="B286" t="s">
        <v>4000</v>
      </c>
      <c r="C286" t="s">
        <v>3903</v>
      </c>
      <c r="E286" t="s">
        <v>6289</v>
      </c>
      <c r="F286" t="s">
        <v>3965</v>
      </c>
      <c r="H286" t="s">
        <v>3056</v>
      </c>
      <c r="I286">
        <v>17760</v>
      </c>
      <c r="K286">
        <v>0</v>
      </c>
    </row>
    <row r="287" spans="1:11" hidden="1">
      <c r="A287">
        <v>2000000143</v>
      </c>
      <c r="B287" t="s">
        <v>4000</v>
      </c>
      <c r="C287" t="s">
        <v>3906</v>
      </c>
      <c r="E287" t="s">
        <v>6289</v>
      </c>
      <c r="F287" t="s">
        <v>3071</v>
      </c>
      <c r="H287" t="s">
        <v>3056</v>
      </c>
      <c r="I287">
        <v>2000000143</v>
      </c>
      <c r="K287">
        <v>0</v>
      </c>
    </row>
    <row r="288" spans="1:11" hidden="1">
      <c r="A288">
        <v>17480</v>
      </c>
      <c r="B288" t="s">
        <v>4001</v>
      </c>
      <c r="C288" t="s">
        <v>4003</v>
      </c>
      <c r="E288" t="s">
        <v>6289</v>
      </c>
      <c r="H288" t="s">
        <v>3056</v>
      </c>
      <c r="I288">
        <v>17480</v>
      </c>
      <c r="K288">
        <v>0</v>
      </c>
    </row>
    <row r="289" spans="1:11" hidden="1">
      <c r="A289">
        <v>17490</v>
      </c>
      <c r="B289" t="s">
        <v>4001</v>
      </c>
      <c r="C289" t="s">
        <v>4002</v>
      </c>
      <c r="E289" t="s">
        <v>6289</v>
      </c>
      <c r="H289" t="s">
        <v>3056</v>
      </c>
      <c r="I289">
        <v>17490</v>
      </c>
      <c r="K289">
        <v>0</v>
      </c>
    </row>
    <row r="290" spans="1:11" hidden="1">
      <c r="A290">
        <v>17880</v>
      </c>
      <c r="B290" t="s">
        <v>4004</v>
      </c>
      <c r="C290" t="s">
        <v>4005</v>
      </c>
      <c r="E290" t="s">
        <v>6289</v>
      </c>
      <c r="H290" t="s">
        <v>3056</v>
      </c>
      <c r="I290">
        <v>17880</v>
      </c>
      <c r="K290">
        <v>0</v>
      </c>
    </row>
    <row r="291" spans="1:11" hidden="1">
      <c r="A291">
        <v>17881</v>
      </c>
      <c r="B291" t="s">
        <v>4004</v>
      </c>
      <c r="C291" t="s">
        <v>4006</v>
      </c>
      <c r="E291" t="s">
        <v>6289</v>
      </c>
      <c r="H291" t="s">
        <v>3056</v>
      </c>
      <c r="I291">
        <v>17881</v>
      </c>
      <c r="K291">
        <v>0</v>
      </c>
    </row>
    <row r="292" spans="1:11" hidden="1">
      <c r="A292">
        <v>17882</v>
      </c>
      <c r="B292" t="s">
        <v>4004</v>
      </c>
      <c r="C292" t="s">
        <v>3069</v>
      </c>
      <c r="E292" t="s">
        <v>6289</v>
      </c>
      <c r="H292" t="s">
        <v>3056</v>
      </c>
      <c r="I292">
        <v>17882</v>
      </c>
      <c r="K292">
        <v>0</v>
      </c>
    </row>
    <row r="293" spans="1:11" hidden="1">
      <c r="A293">
        <v>2000000099</v>
      </c>
      <c r="B293" t="s">
        <v>4004</v>
      </c>
      <c r="C293" t="s">
        <v>4007</v>
      </c>
      <c r="E293" t="s">
        <v>6289</v>
      </c>
      <c r="H293" t="s">
        <v>3056</v>
      </c>
      <c r="I293">
        <v>2000000099</v>
      </c>
      <c r="K293">
        <v>0</v>
      </c>
    </row>
    <row r="294" spans="1:11" hidden="1">
      <c r="A294">
        <v>28</v>
      </c>
      <c r="B294" t="s">
        <v>24</v>
      </c>
      <c r="C294" t="s">
        <v>4009</v>
      </c>
      <c r="E294" t="s">
        <v>6289</v>
      </c>
      <c r="H294" t="s">
        <v>3056</v>
      </c>
      <c r="I294">
        <v>28</v>
      </c>
      <c r="K294">
        <v>0</v>
      </c>
    </row>
    <row r="295" spans="1:11" hidden="1">
      <c r="A295">
        <v>30</v>
      </c>
      <c r="B295" t="s">
        <v>24</v>
      </c>
      <c r="C295" t="s">
        <v>4008</v>
      </c>
      <c r="E295" t="s">
        <v>6289</v>
      </c>
      <c r="H295" t="s">
        <v>3056</v>
      </c>
      <c r="I295">
        <v>30</v>
      </c>
      <c r="K295">
        <v>0</v>
      </c>
    </row>
    <row r="296" spans="1:11" hidden="1">
      <c r="A296">
        <v>6002</v>
      </c>
      <c r="B296" t="s">
        <v>4010</v>
      </c>
      <c r="C296" t="s">
        <v>4011</v>
      </c>
      <c r="E296" t="s">
        <v>6289</v>
      </c>
      <c r="H296" t="s">
        <v>3056</v>
      </c>
      <c r="I296">
        <v>6002</v>
      </c>
      <c r="K296">
        <v>0</v>
      </c>
    </row>
    <row r="297" spans="1:11" hidden="1">
      <c r="A297">
        <v>6010</v>
      </c>
      <c r="B297" t="s">
        <v>4010</v>
      </c>
      <c r="C297" t="s">
        <v>3058</v>
      </c>
      <c r="E297" t="s">
        <v>6289</v>
      </c>
      <c r="H297" t="s">
        <v>3056</v>
      </c>
      <c r="I297">
        <v>6010</v>
      </c>
      <c r="K297">
        <v>0</v>
      </c>
    </row>
    <row r="298" spans="1:11" hidden="1">
      <c r="A298">
        <v>17790</v>
      </c>
      <c r="B298" t="s">
        <v>4010</v>
      </c>
      <c r="C298" t="s">
        <v>3088</v>
      </c>
      <c r="E298" t="s">
        <v>6289</v>
      </c>
      <c r="H298" t="s">
        <v>3056</v>
      </c>
      <c r="I298">
        <v>17790</v>
      </c>
      <c r="K298">
        <v>0</v>
      </c>
    </row>
    <row r="299" spans="1:11" hidden="1">
      <c r="A299">
        <v>17500</v>
      </c>
      <c r="B299" t="s">
        <v>4012</v>
      </c>
      <c r="C299" t="s">
        <v>4017</v>
      </c>
      <c r="E299" t="s">
        <v>6289</v>
      </c>
      <c r="H299" t="s">
        <v>3056</v>
      </c>
      <c r="I299">
        <v>17500</v>
      </c>
      <c r="K299">
        <v>0</v>
      </c>
    </row>
    <row r="300" spans="1:11" hidden="1">
      <c r="A300">
        <v>17510</v>
      </c>
      <c r="B300" t="s">
        <v>4012</v>
      </c>
      <c r="C300" t="s">
        <v>3078</v>
      </c>
      <c r="E300" t="s">
        <v>6289</v>
      </c>
      <c r="H300" t="s">
        <v>3056</v>
      </c>
      <c r="I300">
        <v>17510</v>
      </c>
      <c r="K300">
        <v>0</v>
      </c>
    </row>
    <row r="301" spans="1:11" hidden="1">
      <c r="A301">
        <v>17520</v>
      </c>
      <c r="B301" t="s">
        <v>4012</v>
      </c>
      <c r="C301" t="s">
        <v>4016</v>
      </c>
      <c r="E301" t="s">
        <v>6289</v>
      </c>
      <c r="H301" t="s">
        <v>3056</v>
      </c>
      <c r="I301">
        <v>17520</v>
      </c>
      <c r="K301">
        <v>0</v>
      </c>
    </row>
    <row r="302" spans="1:11" hidden="1">
      <c r="A302">
        <v>17530</v>
      </c>
      <c r="B302" t="s">
        <v>4012</v>
      </c>
      <c r="C302" t="s">
        <v>4015</v>
      </c>
      <c r="E302" t="s">
        <v>6289</v>
      </c>
      <c r="H302" t="s">
        <v>3056</v>
      </c>
      <c r="I302">
        <v>17530</v>
      </c>
      <c r="K302">
        <v>0</v>
      </c>
    </row>
    <row r="303" spans="1:11" hidden="1">
      <c r="A303">
        <v>2000000095</v>
      </c>
      <c r="B303" t="s">
        <v>4012</v>
      </c>
      <c r="C303" t="s">
        <v>4013</v>
      </c>
      <c r="E303" t="s">
        <v>6289</v>
      </c>
      <c r="H303" t="s">
        <v>3056</v>
      </c>
      <c r="I303">
        <v>2000000095</v>
      </c>
      <c r="K303">
        <v>0</v>
      </c>
    </row>
    <row r="304" spans="1:11" hidden="1">
      <c r="A304">
        <v>2000000096</v>
      </c>
      <c r="B304" t="s">
        <v>4012</v>
      </c>
      <c r="C304" t="s">
        <v>4014</v>
      </c>
      <c r="E304" t="s">
        <v>6289</v>
      </c>
      <c r="H304" t="s">
        <v>3056</v>
      </c>
      <c r="I304">
        <v>2000000096</v>
      </c>
      <c r="K304">
        <v>0</v>
      </c>
    </row>
    <row r="305" spans="1:11" hidden="1">
      <c r="A305">
        <v>17560</v>
      </c>
      <c r="B305" t="s">
        <v>4018</v>
      </c>
      <c r="C305" t="s">
        <v>1086</v>
      </c>
      <c r="E305" t="s">
        <v>6289</v>
      </c>
      <c r="H305" t="s">
        <v>3056</v>
      </c>
      <c r="I305">
        <v>17560</v>
      </c>
      <c r="K305">
        <v>0</v>
      </c>
    </row>
    <row r="306" spans="1:11" hidden="1">
      <c r="A306">
        <v>17570</v>
      </c>
      <c r="B306" t="s">
        <v>4018</v>
      </c>
      <c r="C306" t="s">
        <v>4020</v>
      </c>
      <c r="E306" t="s">
        <v>6289</v>
      </c>
      <c r="H306" t="s">
        <v>3056</v>
      </c>
      <c r="I306">
        <v>17570</v>
      </c>
      <c r="K306">
        <v>0</v>
      </c>
    </row>
    <row r="307" spans="1:11" hidden="1">
      <c r="A307">
        <v>17580</v>
      </c>
      <c r="B307" t="s">
        <v>4018</v>
      </c>
      <c r="C307" t="s">
        <v>4019</v>
      </c>
      <c r="E307" t="s">
        <v>6289</v>
      </c>
      <c r="H307" t="s">
        <v>3056</v>
      </c>
      <c r="I307">
        <v>17580</v>
      </c>
      <c r="K307">
        <v>0</v>
      </c>
    </row>
    <row r="308" spans="1:11" hidden="1">
      <c r="A308">
        <v>17540</v>
      </c>
      <c r="B308" t="s">
        <v>4021</v>
      </c>
      <c r="C308" t="s">
        <v>132</v>
      </c>
      <c r="E308" t="s">
        <v>6289</v>
      </c>
      <c r="H308" t="s">
        <v>3056</v>
      </c>
      <c r="I308">
        <v>17540</v>
      </c>
      <c r="K308">
        <v>0</v>
      </c>
    </row>
    <row r="309" spans="1:11" hidden="1">
      <c r="A309">
        <v>17550</v>
      </c>
      <c r="B309" t="s">
        <v>4021</v>
      </c>
      <c r="C309" t="s">
        <v>3449</v>
      </c>
      <c r="E309" t="s">
        <v>6289</v>
      </c>
      <c r="H309" t="s">
        <v>3056</v>
      </c>
      <c r="I309">
        <v>17550</v>
      </c>
      <c r="K309">
        <v>0</v>
      </c>
    </row>
    <row r="310" spans="1:11" hidden="1">
      <c r="A310">
        <v>16380</v>
      </c>
      <c r="B310" t="s">
        <v>4022</v>
      </c>
      <c r="C310" t="s">
        <v>3799</v>
      </c>
      <c r="E310" t="s">
        <v>6289</v>
      </c>
      <c r="H310" t="s">
        <v>3056</v>
      </c>
      <c r="I310">
        <v>16380</v>
      </c>
      <c r="K310">
        <v>0</v>
      </c>
    </row>
    <row r="311" spans="1:11" hidden="1">
      <c r="A311">
        <v>16390</v>
      </c>
      <c r="B311" t="s">
        <v>4022</v>
      </c>
      <c r="C311" t="s">
        <v>3798</v>
      </c>
      <c r="E311" t="s">
        <v>6289</v>
      </c>
      <c r="H311" t="s">
        <v>3056</v>
      </c>
      <c r="I311">
        <v>16390</v>
      </c>
      <c r="K311">
        <v>0</v>
      </c>
    </row>
    <row r="312" spans="1:11" hidden="1">
      <c r="A312">
        <v>526</v>
      </c>
      <c r="B312" t="s">
        <v>4023</v>
      </c>
      <c r="C312" t="s">
        <v>3966</v>
      </c>
      <c r="D312">
        <v>2</v>
      </c>
      <c r="E312" t="s">
        <v>6289</v>
      </c>
      <c r="F312" t="s">
        <v>3131</v>
      </c>
      <c r="H312" t="s">
        <v>3056</v>
      </c>
      <c r="I312">
        <v>526</v>
      </c>
      <c r="K312">
        <v>0</v>
      </c>
    </row>
    <row r="313" spans="1:11" hidden="1">
      <c r="A313">
        <v>527</v>
      </c>
      <c r="B313" t="s">
        <v>4023</v>
      </c>
      <c r="C313" t="s">
        <v>4027</v>
      </c>
      <c r="D313">
        <v>1</v>
      </c>
      <c r="E313" t="s">
        <v>6289</v>
      </c>
      <c r="F313" t="s">
        <v>919</v>
      </c>
      <c r="H313" t="s">
        <v>3056</v>
      </c>
      <c r="I313">
        <v>527</v>
      </c>
      <c r="K313">
        <v>0</v>
      </c>
    </row>
    <row r="314" spans="1:11" hidden="1">
      <c r="A314">
        <v>634</v>
      </c>
      <c r="B314" t="s">
        <v>4023</v>
      </c>
      <c r="C314" t="s">
        <v>4025</v>
      </c>
      <c r="E314" t="s">
        <v>6289</v>
      </c>
      <c r="F314" t="s">
        <v>4026</v>
      </c>
      <c r="H314" t="s">
        <v>3056</v>
      </c>
      <c r="I314">
        <v>634</v>
      </c>
      <c r="K314">
        <v>0</v>
      </c>
    </row>
    <row r="315" spans="1:11" hidden="1">
      <c r="A315">
        <v>976</v>
      </c>
      <c r="B315" t="s">
        <v>4023</v>
      </c>
      <c r="C315" t="s">
        <v>4024</v>
      </c>
      <c r="E315" t="s">
        <v>6289</v>
      </c>
      <c r="F315" t="s">
        <v>3134</v>
      </c>
      <c r="H315" t="s">
        <v>3056</v>
      </c>
      <c r="I315">
        <v>976</v>
      </c>
      <c r="K315">
        <v>0</v>
      </c>
    </row>
    <row r="316" spans="1:11" hidden="1">
      <c r="A316">
        <v>977</v>
      </c>
      <c r="B316" t="s">
        <v>4023</v>
      </c>
      <c r="C316" t="s">
        <v>3617</v>
      </c>
      <c r="E316" t="s">
        <v>6289</v>
      </c>
      <c r="F316" t="s">
        <v>3066</v>
      </c>
      <c r="H316" t="s">
        <v>3056</v>
      </c>
      <c r="I316">
        <v>977</v>
      </c>
      <c r="K316">
        <v>0</v>
      </c>
    </row>
    <row r="317" spans="1:11" hidden="1">
      <c r="A317">
        <v>19530</v>
      </c>
      <c r="B317" t="s">
        <v>4028</v>
      </c>
      <c r="C317" t="s">
        <v>4033</v>
      </c>
      <c r="E317" t="s">
        <v>6289</v>
      </c>
      <c r="F317" t="s">
        <v>4034</v>
      </c>
      <c r="H317" t="s">
        <v>3056</v>
      </c>
      <c r="I317">
        <v>19530</v>
      </c>
      <c r="K317">
        <v>0</v>
      </c>
    </row>
    <row r="318" spans="1:11" hidden="1">
      <c r="A318">
        <v>19540</v>
      </c>
      <c r="B318" t="s">
        <v>4028</v>
      </c>
      <c r="C318" t="s">
        <v>3773</v>
      </c>
      <c r="E318" t="s">
        <v>6289</v>
      </c>
      <c r="F318" t="s">
        <v>4032</v>
      </c>
      <c r="H318" t="s">
        <v>3056</v>
      </c>
      <c r="I318">
        <v>19540</v>
      </c>
      <c r="K318">
        <v>0</v>
      </c>
    </row>
    <row r="319" spans="1:11" hidden="1">
      <c r="A319">
        <v>19550</v>
      </c>
      <c r="B319" t="s">
        <v>4028</v>
      </c>
      <c r="C319" t="s">
        <v>3765</v>
      </c>
      <c r="E319" t="s">
        <v>6289</v>
      </c>
      <c r="F319" t="s">
        <v>4031</v>
      </c>
      <c r="H319" t="s">
        <v>3056</v>
      </c>
      <c r="I319">
        <v>19550</v>
      </c>
      <c r="K319">
        <v>0</v>
      </c>
    </row>
    <row r="320" spans="1:11" hidden="1">
      <c r="A320">
        <v>19560</v>
      </c>
      <c r="B320" t="s">
        <v>4028</v>
      </c>
      <c r="C320" t="s">
        <v>4029</v>
      </c>
      <c r="E320" t="s">
        <v>6289</v>
      </c>
      <c r="F320" t="s">
        <v>4030</v>
      </c>
      <c r="H320" t="s">
        <v>3056</v>
      </c>
      <c r="I320">
        <v>19560</v>
      </c>
      <c r="K320">
        <v>0</v>
      </c>
    </row>
    <row r="321" spans="1:11" hidden="1">
      <c r="A321">
        <v>100010</v>
      </c>
      <c r="B321" t="s">
        <v>4035</v>
      </c>
      <c r="C321" t="s">
        <v>4038</v>
      </c>
      <c r="E321" t="s">
        <v>6289</v>
      </c>
      <c r="H321" t="s">
        <v>3056</v>
      </c>
      <c r="I321">
        <v>100010</v>
      </c>
      <c r="K321">
        <v>0</v>
      </c>
    </row>
    <row r="322" spans="1:11" hidden="1">
      <c r="A322">
        <v>100015</v>
      </c>
      <c r="B322" t="s">
        <v>4035</v>
      </c>
      <c r="C322" t="s">
        <v>4037</v>
      </c>
      <c r="E322" t="s">
        <v>6289</v>
      </c>
      <c r="H322" t="s">
        <v>3056</v>
      </c>
      <c r="I322">
        <v>100015</v>
      </c>
      <c r="K322">
        <v>0</v>
      </c>
    </row>
    <row r="323" spans="1:11" hidden="1">
      <c r="A323">
        <v>100016</v>
      </c>
      <c r="B323" t="s">
        <v>4035</v>
      </c>
      <c r="C323" t="s">
        <v>4036</v>
      </c>
      <c r="E323" t="s">
        <v>6289</v>
      </c>
      <c r="H323" t="s">
        <v>3056</v>
      </c>
      <c r="I323">
        <v>100016</v>
      </c>
      <c r="K323">
        <v>0</v>
      </c>
    </row>
    <row r="324" spans="1:11" hidden="1">
      <c r="A324">
        <v>100017</v>
      </c>
      <c r="B324" t="s">
        <v>4035</v>
      </c>
      <c r="C324" t="s">
        <v>4039</v>
      </c>
      <c r="E324" t="s">
        <v>6289</v>
      </c>
      <c r="H324" t="s">
        <v>3056</v>
      </c>
      <c r="I324">
        <v>100017</v>
      </c>
      <c r="K324">
        <v>0</v>
      </c>
    </row>
    <row r="325" spans="1:11" hidden="1">
      <c r="A325">
        <v>100018</v>
      </c>
      <c r="B325" t="s">
        <v>4035</v>
      </c>
      <c r="C325" t="s">
        <v>4040</v>
      </c>
      <c r="E325" t="s">
        <v>6289</v>
      </c>
      <c r="H325" t="s">
        <v>3056</v>
      </c>
      <c r="I325">
        <v>100018</v>
      </c>
      <c r="K325">
        <v>0</v>
      </c>
    </row>
    <row r="326" spans="1:11" hidden="1">
      <c r="A326">
        <v>6090</v>
      </c>
      <c r="B326" t="s">
        <v>4041</v>
      </c>
      <c r="C326" t="s">
        <v>3789</v>
      </c>
      <c r="E326" t="s">
        <v>6289</v>
      </c>
      <c r="H326" t="s">
        <v>3056</v>
      </c>
      <c r="I326">
        <v>6090</v>
      </c>
      <c r="K326">
        <v>0</v>
      </c>
    </row>
    <row r="327" spans="1:11" hidden="1">
      <c r="A327">
        <v>6100</v>
      </c>
      <c r="B327" t="s">
        <v>4041</v>
      </c>
      <c r="C327" t="s">
        <v>4042</v>
      </c>
      <c r="E327" t="s">
        <v>6289</v>
      </c>
      <c r="H327" t="s">
        <v>3056</v>
      </c>
      <c r="I327">
        <v>6100</v>
      </c>
      <c r="K327">
        <v>0</v>
      </c>
    </row>
    <row r="328" spans="1:11" hidden="1">
      <c r="A328">
        <v>6110</v>
      </c>
      <c r="B328" t="s">
        <v>4041</v>
      </c>
      <c r="C328" t="s">
        <v>4043</v>
      </c>
      <c r="E328" t="s">
        <v>6289</v>
      </c>
      <c r="H328" t="s">
        <v>3056</v>
      </c>
      <c r="I328">
        <v>6110</v>
      </c>
      <c r="K328">
        <v>0</v>
      </c>
    </row>
    <row r="329" spans="1:11" hidden="1">
      <c r="A329">
        <v>6120</v>
      </c>
      <c r="B329" t="s">
        <v>4041</v>
      </c>
      <c r="C329" t="s">
        <v>4033</v>
      </c>
      <c r="E329" t="s">
        <v>6289</v>
      </c>
      <c r="H329" t="s">
        <v>3056</v>
      </c>
      <c r="I329">
        <v>6120</v>
      </c>
      <c r="K329">
        <v>0</v>
      </c>
    </row>
    <row r="330" spans="1:11" hidden="1">
      <c r="A330">
        <v>6130</v>
      </c>
      <c r="B330" t="s">
        <v>4044</v>
      </c>
      <c r="C330" t="s">
        <v>132</v>
      </c>
      <c r="E330" t="s">
        <v>6289</v>
      </c>
      <c r="H330" t="s">
        <v>3056</v>
      </c>
      <c r="I330">
        <v>6130</v>
      </c>
      <c r="K330">
        <v>0</v>
      </c>
    </row>
    <row r="331" spans="1:11" hidden="1">
      <c r="A331">
        <v>6140</v>
      </c>
      <c r="B331" t="s">
        <v>4044</v>
      </c>
      <c r="C331" t="s">
        <v>3057</v>
      </c>
      <c r="E331" t="s">
        <v>6289</v>
      </c>
      <c r="H331" t="s">
        <v>3056</v>
      </c>
      <c r="I331">
        <v>6140</v>
      </c>
      <c r="K331">
        <v>0</v>
      </c>
    </row>
    <row r="332" spans="1:11" hidden="1">
      <c r="A332">
        <v>6150</v>
      </c>
      <c r="B332" t="s">
        <v>4044</v>
      </c>
      <c r="C332" t="s">
        <v>3058</v>
      </c>
      <c r="E332" t="s">
        <v>6289</v>
      </c>
      <c r="H332" t="s">
        <v>3056</v>
      </c>
      <c r="I332">
        <v>6150</v>
      </c>
      <c r="K332">
        <v>0</v>
      </c>
    </row>
    <row r="333" spans="1:11" hidden="1">
      <c r="A333">
        <v>6160</v>
      </c>
      <c r="B333" t="s">
        <v>4044</v>
      </c>
      <c r="C333" t="s">
        <v>3088</v>
      </c>
      <c r="E333" t="s">
        <v>6289</v>
      </c>
      <c r="H333" t="s">
        <v>3056</v>
      </c>
      <c r="I333">
        <v>6160</v>
      </c>
      <c r="K333">
        <v>0</v>
      </c>
    </row>
    <row r="334" spans="1:11" hidden="1">
      <c r="A334">
        <v>12140</v>
      </c>
      <c r="B334" t="s">
        <v>4045</v>
      </c>
      <c r="C334" t="s">
        <v>4043</v>
      </c>
      <c r="E334" t="s">
        <v>6289</v>
      </c>
      <c r="H334" t="s">
        <v>3056</v>
      </c>
      <c r="I334">
        <v>12140</v>
      </c>
      <c r="K334">
        <v>0</v>
      </c>
    </row>
    <row r="335" spans="1:11" hidden="1">
      <c r="A335">
        <v>12190</v>
      </c>
      <c r="B335" t="s">
        <v>4046</v>
      </c>
      <c r="C335" t="s">
        <v>3088</v>
      </c>
      <c r="E335" t="s">
        <v>6289</v>
      </c>
      <c r="H335" t="s">
        <v>3056</v>
      </c>
      <c r="I335">
        <v>12190</v>
      </c>
      <c r="K335">
        <v>0</v>
      </c>
    </row>
    <row r="336" spans="1:11" hidden="1">
      <c r="A336">
        <v>16140</v>
      </c>
      <c r="B336" t="s">
        <v>4047</v>
      </c>
      <c r="C336" t="s">
        <v>4049</v>
      </c>
      <c r="E336" t="s">
        <v>6289</v>
      </c>
      <c r="H336" t="s">
        <v>3056</v>
      </c>
      <c r="I336">
        <v>16140</v>
      </c>
      <c r="K336">
        <v>0</v>
      </c>
    </row>
    <row r="337" spans="1:11" hidden="1">
      <c r="A337">
        <v>16150</v>
      </c>
      <c r="B337" t="s">
        <v>4047</v>
      </c>
      <c r="C337" t="s">
        <v>4050</v>
      </c>
      <c r="E337" t="s">
        <v>6289</v>
      </c>
      <c r="H337" t="s">
        <v>3056</v>
      </c>
      <c r="I337">
        <v>16150</v>
      </c>
      <c r="K337">
        <v>0</v>
      </c>
    </row>
    <row r="338" spans="1:11" hidden="1">
      <c r="A338">
        <v>16160</v>
      </c>
      <c r="B338" t="s">
        <v>4047</v>
      </c>
      <c r="C338" t="s">
        <v>4048</v>
      </c>
      <c r="E338" t="s">
        <v>6289</v>
      </c>
      <c r="H338" t="s">
        <v>3056</v>
      </c>
      <c r="I338">
        <v>16160</v>
      </c>
      <c r="K338">
        <v>0</v>
      </c>
    </row>
    <row r="339" spans="1:11" hidden="1">
      <c r="A339">
        <v>16680</v>
      </c>
      <c r="B339" t="s">
        <v>4051</v>
      </c>
      <c r="C339" t="s">
        <v>4052</v>
      </c>
      <c r="E339" t="s">
        <v>6289</v>
      </c>
      <c r="H339" t="s">
        <v>3056</v>
      </c>
      <c r="I339">
        <v>16680</v>
      </c>
      <c r="K339">
        <v>0</v>
      </c>
    </row>
    <row r="340" spans="1:11" hidden="1">
      <c r="A340">
        <v>16690</v>
      </c>
      <c r="B340" t="s">
        <v>4051</v>
      </c>
      <c r="C340" t="s">
        <v>3660</v>
      </c>
      <c r="E340" t="s">
        <v>6289</v>
      </c>
      <c r="H340" t="s">
        <v>3056</v>
      </c>
      <c r="I340">
        <v>16690</v>
      </c>
      <c r="K340">
        <v>0</v>
      </c>
    </row>
    <row r="341" spans="1:11" hidden="1">
      <c r="A341">
        <v>14700</v>
      </c>
      <c r="B341" t="s">
        <v>4053</v>
      </c>
      <c r="C341" t="s">
        <v>4055</v>
      </c>
      <c r="E341" t="s">
        <v>6289</v>
      </c>
      <c r="H341" t="s">
        <v>3056</v>
      </c>
      <c r="I341">
        <v>14700</v>
      </c>
      <c r="K341">
        <v>0</v>
      </c>
    </row>
    <row r="342" spans="1:11" hidden="1">
      <c r="A342">
        <v>14710</v>
      </c>
      <c r="B342" t="s">
        <v>4053</v>
      </c>
      <c r="C342" t="s">
        <v>4056</v>
      </c>
      <c r="E342" t="s">
        <v>6289</v>
      </c>
      <c r="H342" t="s">
        <v>3056</v>
      </c>
      <c r="I342">
        <v>14710</v>
      </c>
      <c r="K342">
        <v>0</v>
      </c>
    </row>
    <row r="343" spans="1:11" hidden="1">
      <c r="A343">
        <v>14720</v>
      </c>
      <c r="B343" t="s">
        <v>4053</v>
      </c>
      <c r="C343" t="s">
        <v>4054</v>
      </c>
      <c r="E343" t="s">
        <v>6289</v>
      </c>
      <c r="H343" t="s">
        <v>3056</v>
      </c>
      <c r="I343">
        <v>14720</v>
      </c>
      <c r="K343">
        <v>0</v>
      </c>
    </row>
    <row r="344" spans="1:11" hidden="1">
      <c r="A344">
        <v>14760</v>
      </c>
      <c r="B344" t="s">
        <v>4057</v>
      </c>
      <c r="C344" t="s">
        <v>4060</v>
      </c>
      <c r="E344" t="s">
        <v>6289</v>
      </c>
      <c r="H344" t="s">
        <v>3056</v>
      </c>
      <c r="I344">
        <v>14760</v>
      </c>
      <c r="K344">
        <v>0</v>
      </c>
    </row>
    <row r="345" spans="1:11" hidden="1">
      <c r="A345">
        <v>14770</v>
      </c>
      <c r="B345" t="s">
        <v>4057</v>
      </c>
      <c r="C345" t="s">
        <v>4058</v>
      </c>
      <c r="E345" t="s">
        <v>6289</v>
      </c>
      <c r="H345" t="s">
        <v>3056</v>
      </c>
      <c r="I345">
        <v>14770</v>
      </c>
      <c r="K345">
        <v>0</v>
      </c>
    </row>
    <row r="346" spans="1:11" hidden="1">
      <c r="A346">
        <v>14780</v>
      </c>
      <c r="B346" t="s">
        <v>4057</v>
      </c>
      <c r="C346" t="s">
        <v>4059</v>
      </c>
      <c r="E346" t="s">
        <v>6289</v>
      </c>
      <c r="H346" t="s">
        <v>3056</v>
      </c>
      <c r="I346">
        <v>14780</v>
      </c>
      <c r="K346">
        <v>0</v>
      </c>
    </row>
    <row r="347" spans="1:11" hidden="1">
      <c r="A347">
        <v>14790</v>
      </c>
      <c r="B347" t="s">
        <v>4061</v>
      </c>
      <c r="C347" t="s">
        <v>4062</v>
      </c>
      <c r="E347" t="s">
        <v>6289</v>
      </c>
      <c r="H347" t="s">
        <v>3056</v>
      </c>
      <c r="I347">
        <v>14790</v>
      </c>
      <c r="K347">
        <v>0</v>
      </c>
    </row>
    <row r="348" spans="1:11" hidden="1">
      <c r="A348">
        <v>14800</v>
      </c>
      <c r="B348" t="s">
        <v>4061</v>
      </c>
      <c r="C348" t="s">
        <v>4063</v>
      </c>
      <c r="E348" t="s">
        <v>6289</v>
      </c>
      <c r="H348" t="s">
        <v>3056</v>
      </c>
      <c r="I348">
        <v>14800</v>
      </c>
      <c r="K348">
        <v>0</v>
      </c>
    </row>
    <row r="349" spans="1:11" hidden="1">
      <c r="A349">
        <v>14810</v>
      </c>
      <c r="B349" t="s">
        <v>4061</v>
      </c>
      <c r="C349" t="s">
        <v>4064</v>
      </c>
      <c r="E349" t="s">
        <v>6289</v>
      </c>
      <c r="H349" t="s">
        <v>3056</v>
      </c>
      <c r="I349">
        <v>14810</v>
      </c>
      <c r="K349">
        <v>0</v>
      </c>
    </row>
    <row r="350" spans="1:11" hidden="1">
      <c r="A350">
        <v>14820</v>
      </c>
      <c r="B350" t="s">
        <v>4061</v>
      </c>
      <c r="C350" t="s">
        <v>4065</v>
      </c>
      <c r="E350" t="s">
        <v>6289</v>
      </c>
      <c r="H350" t="s">
        <v>3056</v>
      </c>
      <c r="I350">
        <v>14820</v>
      </c>
      <c r="K350">
        <v>0</v>
      </c>
    </row>
    <row r="351" spans="1:11" hidden="1">
      <c r="A351">
        <v>14830</v>
      </c>
      <c r="B351" t="s">
        <v>4061</v>
      </c>
      <c r="C351" t="s">
        <v>4069</v>
      </c>
      <c r="E351" t="s">
        <v>6289</v>
      </c>
      <c r="H351" t="s">
        <v>3056</v>
      </c>
      <c r="I351">
        <v>14830</v>
      </c>
      <c r="K351">
        <v>0</v>
      </c>
    </row>
    <row r="352" spans="1:11" hidden="1">
      <c r="A352">
        <v>14840</v>
      </c>
      <c r="B352" t="s">
        <v>4061</v>
      </c>
      <c r="C352" t="s">
        <v>4067</v>
      </c>
      <c r="E352" t="s">
        <v>6289</v>
      </c>
      <c r="H352" t="s">
        <v>3056</v>
      </c>
      <c r="I352">
        <v>14840</v>
      </c>
      <c r="K352">
        <v>0</v>
      </c>
    </row>
    <row r="353" spans="1:11" hidden="1">
      <c r="A353">
        <v>14850</v>
      </c>
      <c r="B353" t="s">
        <v>4061</v>
      </c>
      <c r="C353" t="s">
        <v>4068</v>
      </c>
      <c r="E353" t="s">
        <v>6289</v>
      </c>
      <c r="H353" t="s">
        <v>3056</v>
      </c>
      <c r="I353">
        <v>14850</v>
      </c>
      <c r="K353">
        <v>0</v>
      </c>
    </row>
    <row r="354" spans="1:11" hidden="1">
      <c r="A354">
        <v>14860</v>
      </c>
      <c r="B354" t="s">
        <v>4061</v>
      </c>
      <c r="C354" t="s">
        <v>4070</v>
      </c>
      <c r="E354" t="s">
        <v>6289</v>
      </c>
      <c r="H354" t="s">
        <v>3056</v>
      </c>
      <c r="I354">
        <v>14860</v>
      </c>
      <c r="K354">
        <v>0</v>
      </c>
    </row>
    <row r="355" spans="1:11" hidden="1">
      <c r="A355">
        <v>14870</v>
      </c>
      <c r="B355" t="s">
        <v>4061</v>
      </c>
      <c r="C355" t="s">
        <v>4066</v>
      </c>
      <c r="E355" t="s">
        <v>6289</v>
      </c>
      <c r="H355" t="s">
        <v>3056</v>
      </c>
      <c r="I355">
        <v>14870</v>
      </c>
      <c r="K355">
        <v>0</v>
      </c>
    </row>
    <row r="356" spans="1:11" hidden="1">
      <c r="A356">
        <v>14880</v>
      </c>
      <c r="B356" t="s">
        <v>4061</v>
      </c>
      <c r="C356" t="s">
        <v>4071</v>
      </c>
      <c r="E356" t="s">
        <v>6289</v>
      </c>
      <c r="H356" t="s">
        <v>3056</v>
      </c>
      <c r="I356">
        <v>14880</v>
      </c>
      <c r="K356">
        <v>0</v>
      </c>
    </row>
    <row r="357" spans="1:11" hidden="1">
      <c r="A357">
        <v>1940</v>
      </c>
      <c r="B357" t="s">
        <v>4072</v>
      </c>
      <c r="C357" t="s">
        <v>4073</v>
      </c>
      <c r="D357">
        <v>1</v>
      </c>
      <c r="E357" t="s">
        <v>6289</v>
      </c>
      <c r="F357" t="s">
        <v>142</v>
      </c>
      <c r="H357" t="s">
        <v>3056</v>
      </c>
      <c r="I357">
        <v>1940</v>
      </c>
      <c r="K357">
        <v>0</v>
      </c>
    </row>
    <row r="358" spans="1:11" hidden="1">
      <c r="A358">
        <v>1941</v>
      </c>
      <c r="B358" t="s">
        <v>4072</v>
      </c>
      <c r="C358" t="s">
        <v>4074</v>
      </c>
      <c r="D358">
        <v>2</v>
      </c>
      <c r="E358" t="s">
        <v>6289</v>
      </c>
      <c r="F358" t="s">
        <v>4075</v>
      </c>
      <c r="H358" t="s">
        <v>3056</v>
      </c>
      <c r="I358">
        <v>1941</v>
      </c>
      <c r="K358">
        <v>0</v>
      </c>
    </row>
    <row r="359" spans="1:11" hidden="1">
      <c r="A359">
        <v>1942</v>
      </c>
      <c r="B359" t="s">
        <v>4072</v>
      </c>
      <c r="C359" t="s">
        <v>4076</v>
      </c>
      <c r="D359">
        <v>3</v>
      </c>
      <c r="E359" t="s">
        <v>6289</v>
      </c>
      <c r="F359" t="s">
        <v>3883</v>
      </c>
      <c r="H359" t="s">
        <v>3056</v>
      </c>
      <c r="I359">
        <v>1942</v>
      </c>
      <c r="K359">
        <v>0</v>
      </c>
    </row>
    <row r="360" spans="1:11" hidden="1">
      <c r="A360">
        <v>1</v>
      </c>
      <c r="B360" t="s">
        <v>3127</v>
      </c>
      <c r="C360" t="s">
        <v>3128</v>
      </c>
      <c r="E360" t="s">
        <v>6289</v>
      </c>
      <c r="F360" t="s">
        <v>3129</v>
      </c>
      <c r="G360">
        <v>0</v>
      </c>
      <c r="H360" t="s">
        <v>3056</v>
      </c>
      <c r="I360">
        <v>100080</v>
      </c>
      <c r="K360" t="s">
        <v>2972</v>
      </c>
    </row>
    <row r="361" spans="1:11" hidden="1">
      <c r="A361">
        <v>2</v>
      </c>
      <c r="B361" t="s">
        <v>3127</v>
      </c>
      <c r="C361" t="s">
        <v>2963</v>
      </c>
      <c r="E361" t="s">
        <v>6289</v>
      </c>
      <c r="G361">
        <v>0</v>
      </c>
      <c r="H361" t="s">
        <v>3061</v>
      </c>
      <c r="I361">
        <v>15</v>
      </c>
      <c r="K361" t="s">
        <v>2972</v>
      </c>
    </row>
    <row r="362" spans="1:11" hidden="1">
      <c r="A362">
        <v>3</v>
      </c>
      <c r="B362" t="s">
        <v>3127</v>
      </c>
      <c r="C362" t="s">
        <v>3130</v>
      </c>
      <c r="E362" t="s">
        <v>6289</v>
      </c>
      <c r="F362" t="s">
        <v>144</v>
      </c>
      <c r="G362">
        <v>0</v>
      </c>
      <c r="H362" t="s">
        <v>3056</v>
      </c>
      <c r="I362">
        <v>777</v>
      </c>
      <c r="K362" t="s">
        <v>2972</v>
      </c>
    </row>
    <row r="363" spans="1:11" hidden="1">
      <c r="A363">
        <v>4</v>
      </c>
      <c r="B363" t="s">
        <v>3127</v>
      </c>
      <c r="C363" t="s">
        <v>29</v>
      </c>
      <c r="E363" t="s">
        <v>6289</v>
      </c>
      <c r="F363" t="s">
        <v>3131</v>
      </c>
      <c r="G363">
        <v>0</v>
      </c>
      <c r="H363" t="s">
        <v>3056</v>
      </c>
      <c r="I363">
        <v>25</v>
      </c>
      <c r="K363" t="s">
        <v>2972</v>
      </c>
    </row>
    <row r="364" spans="1:11" hidden="1">
      <c r="A364">
        <v>5</v>
      </c>
      <c r="B364" t="s">
        <v>3127</v>
      </c>
      <c r="C364" t="s">
        <v>3132</v>
      </c>
      <c r="E364" t="s">
        <v>6289</v>
      </c>
      <c r="F364" t="s">
        <v>3133</v>
      </c>
      <c r="G364">
        <v>0</v>
      </c>
      <c r="H364" t="s">
        <v>3061</v>
      </c>
      <c r="I364">
        <v>2805</v>
      </c>
      <c r="K364" t="s">
        <v>2972</v>
      </c>
    </row>
    <row r="365" spans="1:11" hidden="1">
      <c r="A365">
        <v>6</v>
      </c>
      <c r="B365" t="s">
        <v>3127</v>
      </c>
      <c r="C365" t="s">
        <v>41</v>
      </c>
      <c r="E365" t="s">
        <v>6289</v>
      </c>
      <c r="F365" t="s">
        <v>3134</v>
      </c>
      <c r="G365">
        <v>0</v>
      </c>
      <c r="H365" t="s">
        <v>3056</v>
      </c>
      <c r="I365">
        <v>21</v>
      </c>
      <c r="K365" t="s">
        <v>2972</v>
      </c>
    </row>
    <row r="366" spans="1:11" hidden="1">
      <c r="A366">
        <v>7</v>
      </c>
      <c r="B366" t="s">
        <v>3127</v>
      </c>
      <c r="C366" t="s">
        <v>3135</v>
      </c>
      <c r="E366" t="s">
        <v>6289</v>
      </c>
      <c r="F366" t="s">
        <v>3136</v>
      </c>
      <c r="G366">
        <v>0</v>
      </c>
      <c r="H366" t="s">
        <v>3056</v>
      </c>
      <c r="I366">
        <v>500</v>
      </c>
      <c r="K366" t="s">
        <v>2972</v>
      </c>
    </row>
    <row r="367" spans="1:11" hidden="1">
      <c r="A367">
        <v>8</v>
      </c>
      <c r="B367" t="s">
        <v>3127</v>
      </c>
      <c r="C367" t="s">
        <v>3137</v>
      </c>
      <c r="E367" t="s">
        <v>6289</v>
      </c>
      <c r="F367" t="s">
        <v>3138</v>
      </c>
      <c r="G367">
        <v>0</v>
      </c>
      <c r="H367" t="s">
        <v>3056</v>
      </c>
      <c r="I367">
        <v>27</v>
      </c>
      <c r="K367" t="s">
        <v>2972</v>
      </c>
    </row>
    <row r="368" spans="1:11" hidden="1">
      <c r="A368">
        <v>9</v>
      </c>
      <c r="B368" t="s">
        <v>3127</v>
      </c>
      <c r="C368" t="s">
        <v>3139</v>
      </c>
      <c r="E368" t="s">
        <v>6289</v>
      </c>
      <c r="F368" t="s">
        <v>3140</v>
      </c>
      <c r="G368">
        <v>0</v>
      </c>
      <c r="H368" t="s">
        <v>3056</v>
      </c>
      <c r="I368">
        <v>23</v>
      </c>
      <c r="K368" t="s">
        <v>2972</v>
      </c>
    </row>
    <row r="369" spans="1:11" hidden="1">
      <c r="A369">
        <v>10</v>
      </c>
      <c r="B369" t="s">
        <v>3127</v>
      </c>
      <c r="C369" t="s">
        <v>3142</v>
      </c>
      <c r="E369" t="s">
        <v>6289</v>
      </c>
      <c r="F369" t="s">
        <v>3143</v>
      </c>
      <c r="G369">
        <v>0</v>
      </c>
      <c r="H369" t="s">
        <v>3056</v>
      </c>
      <c r="I369">
        <v>528</v>
      </c>
      <c r="K369" t="s">
        <v>2972</v>
      </c>
    </row>
    <row r="370" spans="1:11" hidden="1">
      <c r="A370">
        <v>11</v>
      </c>
      <c r="B370" t="s">
        <v>3127</v>
      </c>
      <c r="C370" t="s">
        <v>3144</v>
      </c>
      <c r="E370" t="s">
        <v>6289</v>
      </c>
      <c r="F370" t="s">
        <v>3145</v>
      </c>
      <c r="G370">
        <v>0</v>
      </c>
      <c r="H370" t="s">
        <v>3061</v>
      </c>
      <c r="I370">
        <v>2807</v>
      </c>
      <c r="K370" t="s">
        <v>2972</v>
      </c>
    </row>
    <row r="371" spans="1:11" hidden="1">
      <c r="A371">
        <v>12</v>
      </c>
      <c r="B371" t="s">
        <v>3127</v>
      </c>
      <c r="C371" t="s">
        <v>3108</v>
      </c>
      <c r="E371" t="s">
        <v>6289</v>
      </c>
      <c r="F371" t="s">
        <v>3146</v>
      </c>
      <c r="G371">
        <v>0</v>
      </c>
      <c r="H371" t="s">
        <v>3061</v>
      </c>
      <c r="I371">
        <v>2803</v>
      </c>
      <c r="K371" t="s">
        <v>2972</v>
      </c>
    </row>
    <row r="372" spans="1:11" hidden="1">
      <c r="A372">
        <v>13</v>
      </c>
      <c r="B372" t="s">
        <v>3127</v>
      </c>
      <c r="C372" t="s">
        <v>3147</v>
      </c>
      <c r="E372" t="s">
        <v>6289</v>
      </c>
      <c r="F372" t="s">
        <v>3148</v>
      </c>
      <c r="G372">
        <v>0</v>
      </c>
      <c r="H372" t="s">
        <v>3056</v>
      </c>
      <c r="I372">
        <v>1920</v>
      </c>
      <c r="K372" t="s">
        <v>2972</v>
      </c>
    </row>
    <row r="373" spans="1:11" hidden="1">
      <c r="A373">
        <v>14</v>
      </c>
      <c r="B373" t="s">
        <v>3127</v>
      </c>
      <c r="C373" t="s">
        <v>3149</v>
      </c>
      <c r="E373" t="s">
        <v>6289</v>
      </c>
      <c r="F373" t="s">
        <v>150</v>
      </c>
      <c r="G373">
        <v>0</v>
      </c>
      <c r="H373" t="s">
        <v>3056</v>
      </c>
      <c r="I373">
        <v>20</v>
      </c>
      <c r="K373" t="s">
        <v>2972</v>
      </c>
    </row>
    <row r="374" spans="1:11" hidden="1">
      <c r="A374">
        <v>15</v>
      </c>
      <c r="B374" t="s">
        <v>3127</v>
      </c>
      <c r="C374" t="s">
        <v>3150</v>
      </c>
      <c r="E374" t="s">
        <v>6289</v>
      </c>
      <c r="F374" t="s">
        <v>3151</v>
      </c>
      <c r="G374">
        <v>0</v>
      </c>
      <c r="H374" t="s">
        <v>3056</v>
      </c>
      <c r="I374">
        <v>529</v>
      </c>
      <c r="K374" t="s">
        <v>2972</v>
      </c>
    </row>
    <row r="375" spans="1:11" hidden="1">
      <c r="A375">
        <v>16</v>
      </c>
      <c r="B375" t="s">
        <v>3127</v>
      </c>
      <c r="C375" t="s">
        <v>3152</v>
      </c>
      <c r="E375" t="s">
        <v>6289</v>
      </c>
      <c r="F375" t="s">
        <v>3153</v>
      </c>
      <c r="G375">
        <v>0</v>
      </c>
      <c r="H375" t="s">
        <v>3056</v>
      </c>
      <c r="I375">
        <v>530</v>
      </c>
      <c r="K375" t="s">
        <v>2972</v>
      </c>
    </row>
    <row r="376" spans="1:11" hidden="1">
      <c r="A376">
        <v>17</v>
      </c>
      <c r="B376" t="s">
        <v>3127</v>
      </c>
      <c r="C376" t="s">
        <v>3154</v>
      </c>
      <c r="E376" t="s">
        <v>6289</v>
      </c>
      <c r="F376" t="s">
        <v>3155</v>
      </c>
      <c r="G376">
        <v>0</v>
      </c>
      <c r="H376" t="s">
        <v>3061</v>
      </c>
      <c r="I376">
        <v>2801</v>
      </c>
      <c r="K376" t="s">
        <v>2972</v>
      </c>
    </row>
    <row r="377" spans="1:11" hidden="1">
      <c r="A377">
        <v>18</v>
      </c>
      <c r="B377" t="s">
        <v>3127</v>
      </c>
      <c r="C377" t="s">
        <v>3156</v>
      </c>
      <c r="E377" t="s">
        <v>6289</v>
      </c>
      <c r="F377" t="s">
        <v>3157</v>
      </c>
      <c r="G377">
        <v>0</v>
      </c>
      <c r="H377" t="s">
        <v>3061</v>
      </c>
      <c r="I377">
        <v>2804</v>
      </c>
      <c r="K377" t="s">
        <v>2972</v>
      </c>
    </row>
    <row r="378" spans="1:11" hidden="1">
      <c r="A378">
        <v>19</v>
      </c>
      <c r="B378" t="s">
        <v>3127</v>
      </c>
      <c r="C378" t="s">
        <v>3158</v>
      </c>
      <c r="E378" t="s">
        <v>6289</v>
      </c>
      <c r="F378" t="s">
        <v>3105</v>
      </c>
      <c r="G378">
        <v>0</v>
      </c>
      <c r="H378" t="s">
        <v>3061</v>
      </c>
      <c r="I378">
        <v>2802</v>
      </c>
      <c r="K378" t="s">
        <v>2972</v>
      </c>
    </row>
    <row r="379" spans="1:11" hidden="1">
      <c r="A379">
        <v>20</v>
      </c>
      <c r="B379" t="s">
        <v>3127</v>
      </c>
      <c r="C379" t="s">
        <v>3159</v>
      </c>
      <c r="E379" t="s">
        <v>6289</v>
      </c>
      <c r="F379" t="s">
        <v>143</v>
      </c>
      <c r="G379">
        <v>0</v>
      </c>
      <c r="H379" t="s">
        <v>3061</v>
      </c>
      <c r="I379">
        <v>2800</v>
      </c>
      <c r="K379" t="s">
        <v>2972</v>
      </c>
    </row>
    <row r="380" spans="1:11" hidden="1">
      <c r="A380">
        <v>21</v>
      </c>
      <c r="B380" t="s">
        <v>3127</v>
      </c>
      <c r="C380" t="s">
        <v>3160</v>
      </c>
      <c r="E380" t="s">
        <v>6289</v>
      </c>
      <c r="F380" t="s">
        <v>3071</v>
      </c>
      <c r="G380">
        <v>0</v>
      </c>
      <c r="H380" t="s">
        <v>3056</v>
      </c>
      <c r="I380">
        <v>24</v>
      </c>
      <c r="K380" t="s">
        <v>2972</v>
      </c>
    </row>
    <row r="381" spans="1:11" hidden="1">
      <c r="B381" t="s">
        <v>3127</v>
      </c>
      <c r="C381" t="s">
        <v>3161</v>
      </c>
      <c r="E381" t="s">
        <v>6289</v>
      </c>
      <c r="F381" t="s">
        <v>3162</v>
      </c>
      <c r="G381">
        <v>0</v>
      </c>
      <c r="H381" t="s">
        <v>3056</v>
      </c>
      <c r="I381">
        <v>26</v>
      </c>
      <c r="K381" t="s">
        <v>2972</v>
      </c>
    </row>
    <row r="382" spans="1:11" hidden="1">
      <c r="A382">
        <v>1</v>
      </c>
      <c r="B382" t="s">
        <v>446</v>
      </c>
      <c r="C382" t="s">
        <v>2049</v>
      </c>
      <c r="E382" t="s">
        <v>6289</v>
      </c>
      <c r="G382">
        <v>0</v>
      </c>
      <c r="H382" t="s">
        <v>3056</v>
      </c>
      <c r="I382">
        <v>38</v>
      </c>
      <c r="K382" t="s">
        <v>2972</v>
      </c>
    </row>
    <row r="383" spans="1:11" hidden="1">
      <c r="A383">
        <v>2</v>
      </c>
      <c r="B383" t="s">
        <v>446</v>
      </c>
      <c r="C383" t="s">
        <v>261</v>
      </c>
      <c r="E383" t="s">
        <v>6289</v>
      </c>
      <c r="G383">
        <v>0</v>
      </c>
      <c r="H383" t="s">
        <v>3056</v>
      </c>
      <c r="I383">
        <v>39</v>
      </c>
      <c r="K383" t="s">
        <v>2972</v>
      </c>
    </row>
    <row r="384" spans="1:11" hidden="1">
      <c r="A384">
        <v>3</v>
      </c>
      <c r="B384" t="s">
        <v>446</v>
      </c>
      <c r="C384" t="s">
        <v>265</v>
      </c>
      <c r="E384" t="s">
        <v>6289</v>
      </c>
      <c r="G384">
        <v>0</v>
      </c>
      <c r="H384" t="s">
        <v>3056</v>
      </c>
      <c r="I384">
        <v>37</v>
      </c>
      <c r="K384" t="s">
        <v>2972</v>
      </c>
    </row>
    <row r="385" spans="1:11" hidden="1">
      <c r="A385">
        <v>1</v>
      </c>
      <c r="B385" t="s">
        <v>1082</v>
      </c>
      <c r="C385" t="s">
        <v>3163</v>
      </c>
      <c r="E385" t="s">
        <v>6289</v>
      </c>
      <c r="F385" t="s">
        <v>3164</v>
      </c>
      <c r="G385">
        <v>0</v>
      </c>
      <c r="H385" t="s">
        <v>3056</v>
      </c>
      <c r="I385">
        <v>136</v>
      </c>
      <c r="K385" t="s">
        <v>2972</v>
      </c>
    </row>
    <row r="386" spans="1:11" hidden="1">
      <c r="A386">
        <v>2</v>
      </c>
      <c r="B386" t="s">
        <v>1082</v>
      </c>
      <c r="C386" t="s">
        <v>3165</v>
      </c>
      <c r="E386" t="s">
        <v>6289</v>
      </c>
      <c r="F386" t="s">
        <v>3166</v>
      </c>
      <c r="G386">
        <v>0</v>
      </c>
      <c r="H386" t="s">
        <v>3056</v>
      </c>
      <c r="I386">
        <v>1112</v>
      </c>
      <c r="K386" t="s">
        <v>2972</v>
      </c>
    </row>
    <row r="387" spans="1:11" hidden="1">
      <c r="A387">
        <v>3</v>
      </c>
      <c r="B387" t="s">
        <v>1082</v>
      </c>
      <c r="C387" t="s">
        <v>3167</v>
      </c>
      <c r="E387" t="s">
        <v>6289</v>
      </c>
      <c r="F387" t="s">
        <v>3168</v>
      </c>
      <c r="G387">
        <v>0</v>
      </c>
      <c r="H387" t="s">
        <v>3056</v>
      </c>
      <c r="I387">
        <v>10075</v>
      </c>
      <c r="K387" t="s">
        <v>2972</v>
      </c>
    </row>
    <row r="388" spans="1:11" hidden="1">
      <c r="A388">
        <v>4</v>
      </c>
      <c r="B388" t="s">
        <v>1082</v>
      </c>
      <c r="C388" t="s">
        <v>3169</v>
      </c>
      <c r="E388" t="s">
        <v>6289</v>
      </c>
      <c r="F388" t="s">
        <v>3170</v>
      </c>
      <c r="G388">
        <v>0</v>
      </c>
      <c r="H388" t="s">
        <v>3056</v>
      </c>
      <c r="I388">
        <v>174</v>
      </c>
      <c r="K388" t="s">
        <v>2972</v>
      </c>
    </row>
    <row r="389" spans="1:11" hidden="1">
      <c r="A389">
        <v>5</v>
      </c>
      <c r="B389" t="s">
        <v>1082</v>
      </c>
      <c r="C389" t="s">
        <v>3171</v>
      </c>
      <c r="E389" t="s">
        <v>6289</v>
      </c>
      <c r="F389" t="s">
        <v>3172</v>
      </c>
      <c r="G389">
        <v>0</v>
      </c>
      <c r="H389" t="s">
        <v>3056</v>
      </c>
      <c r="I389">
        <v>144</v>
      </c>
      <c r="K389" t="s">
        <v>2972</v>
      </c>
    </row>
    <row r="390" spans="1:11" hidden="1">
      <c r="A390">
        <v>6</v>
      </c>
      <c r="B390" t="s">
        <v>1082</v>
      </c>
      <c r="C390" t="s">
        <v>3173</v>
      </c>
      <c r="E390" t="s">
        <v>6289</v>
      </c>
      <c r="F390" t="s">
        <v>3174</v>
      </c>
      <c r="G390">
        <v>0</v>
      </c>
      <c r="H390" t="s">
        <v>3056</v>
      </c>
      <c r="I390">
        <v>108</v>
      </c>
      <c r="K390" t="s">
        <v>2972</v>
      </c>
    </row>
    <row r="391" spans="1:11" hidden="1">
      <c r="A391">
        <v>7</v>
      </c>
      <c r="B391" t="s">
        <v>1082</v>
      </c>
      <c r="C391" t="s">
        <v>3175</v>
      </c>
      <c r="E391" t="s">
        <v>6289</v>
      </c>
      <c r="F391" t="s">
        <v>3176</v>
      </c>
      <c r="G391">
        <v>0</v>
      </c>
      <c r="H391" t="s">
        <v>3056</v>
      </c>
      <c r="I391">
        <v>181</v>
      </c>
      <c r="K391" t="s">
        <v>2972</v>
      </c>
    </row>
    <row r="392" spans="1:11" hidden="1">
      <c r="A392">
        <v>8</v>
      </c>
      <c r="B392" t="s">
        <v>1082</v>
      </c>
      <c r="C392" t="s">
        <v>3177</v>
      </c>
      <c r="E392" t="s">
        <v>6289</v>
      </c>
      <c r="F392" t="s">
        <v>3178</v>
      </c>
      <c r="G392">
        <v>0</v>
      </c>
      <c r="H392" t="s">
        <v>3056</v>
      </c>
      <c r="I392">
        <v>173</v>
      </c>
      <c r="K392" t="s">
        <v>2972</v>
      </c>
    </row>
    <row r="393" spans="1:11" hidden="1">
      <c r="A393">
        <v>9</v>
      </c>
      <c r="B393" t="s">
        <v>1082</v>
      </c>
      <c r="C393" t="s">
        <v>3179</v>
      </c>
      <c r="E393" t="s">
        <v>6289</v>
      </c>
      <c r="F393" t="s">
        <v>3180</v>
      </c>
      <c r="G393">
        <v>0</v>
      </c>
      <c r="H393" t="s">
        <v>3056</v>
      </c>
      <c r="I393">
        <v>109</v>
      </c>
      <c r="K393" t="s">
        <v>2972</v>
      </c>
    </row>
    <row r="394" spans="1:11" hidden="1">
      <c r="A394">
        <v>10</v>
      </c>
      <c r="B394" t="s">
        <v>1082</v>
      </c>
      <c r="C394" t="s">
        <v>3181</v>
      </c>
      <c r="E394" t="s">
        <v>6289</v>
      </c>
      <c r="F394" t="s">
        <v>3182</v>
      </c>
      <c r="G394">
        <v>0</v>
      </c>
      <c r="H394" t="s">
        <v>3056</v>
      </c>
      <c r="I394">
        <v>10076</v>
      </c>
      <c r="K394" t="s">
        <v>2972</v>
      </c>
    </row>
    <row r="395" spans="1:11" hidden="1">
      <c r="A395">
        <v>11</v>
      </c>
      <c r="B395" t="s">
        <v>1082</v>
      </c>
      <c r="C395" t="s">
        <v>3183</v>
      </c>
      <c r="E395" t="s">
        <v>6289</v>
      </c>
      <c r="F395" t="s">
        <v>3184</v>
      </c>
      <c r="G395">
        <v>0</v>
      </c>
      <c r="H395" t="s">
        <v>3056</v>
      </c>
      <c r="I395">
        <v>10077</v>
      </c>
      <c r="K395" t="s">
        <v>2972</v>
      </c>
    </row>
    <row r="396" spans="1:11" hidden="1">
      <c r="A396">
        <v>12</v>
      </c>
      <c r="B396" t="s">
        <v>1082</v>
      </c>
      <c r="C396" t="s">
        <v>3185</v>
      </c>
      <c r="E396" t="s">
        <v>6289</v>
      </c>
      <c r="F396" t="s">
        <v>3186</v>
      </c>
      <c r="G396">
        <v>0</v>
      </c>
      <c r="H396" t="s">
        <v>3056</v>
      </c>
      <c r="I396">
        <v>113</v>
      </c>
      <c r="K396" t="s">
        <v>2972</v>
      </c>
    </row>
    <row r="397" spans="1:11" hidden="1">
      <c r="A397">
        <v>13</v>
      </c>
      <c r="B397" t="s">
        <v>1082</v>
      </c>
      <c r="C397" t="s">
        <v>3187</v>
      </c>
      <c r="E397" t="s">
        <v>6289</v>
      </c>
      <c r="F397" t="s">
        <v>3188</v>
      </c>
      <c r="G397">
        <v>0</v>
      </c>
      <c r="H397" t="s">
        <v>3056</v>
      </c>
      <c r="I397">
        <v>112</v>
      </c>
      <c r="K397" t="s">
        <v>2972</v>
      </c>
    </row>
    <row r="398" spans="1:11" hidden="1">
      <c r="A398">
        <v>14</v>
      </c>
      <c r="B398" t="s">
        <v>1082</v>
      </c>
      <c r="C398" t="s">
        <v>3189</v>
      </c>
      <c r="E398" t="s">
        <v>6289</v>
      </c>
      <c r="F398" t="s">
        <v>3190</v>
      </c>
      <c r="G398">
        <v>0</v>
      </c>
      <c r="H398" t="s">
        <v>3056</v>
      </c>
      <c r="I398">
        <v>131</v>
      </c>
      <c r="K398" t="s">
        <v>2972</v>
      </c>
    </row>
    <row r="399" spans="1:11" hidden="1">
      <c r="A399">
        <v>15</v>
      </c>
      <c r="B399" t="s">
        <v>1082</v>
      </c>
      <c r="C399" t="s">
        <v>3191</v>
      </c>
      <c r="E399" t="s">
        <v>6289</v>
      </c>
      <c r="F399" t="s">
        <v>3192</v>
      </c>
      <c r="G399">
        <v>0</v>
      </c>
      <c r="H399" t="s">
        <v>3056</v>
      </c>
      <c r="I399">
        <v>1031</v>
      </c>
      <c r="K399" t="s">
        <v>2972</v>
      </c>
    </row>
    <row r="400" spans="1:11" hidden="1">
      <c r="A400">
        <v>16</v>
      </c>
      <c r="B400" t="s">
        <v>1082</v>
      </c>
      <c r="C400" t="s">
        <v>3193</v>
      </c>
      <c r="E400" t="s">
        <v>6289</v>
      </c>
      <c r="F400" t="s">
        <v>3194</v>
      </c>
      <c r="G400">
        <v>0</v>
      </c>
      <c r="H400" t="s">
        <v>3056</v>
      </c>
      <c r="I400">
        <v>163</v>
      </c>
      <c r="K400" t="s">
        <v>2972</v>
      </c>
    </row>
    <row r="401" spans="1:11" hidden="1">
      <c r="A401">
        <v>17</v>
      </c>
      <c r="B401" t="s">
        <v>1082</v>
      </c>
      <c r="C401" t="s">
        <v>3195</v>
      </c>
      <c r="E401" t="s">
        <v>6289</v>
      </c>
      <c r="F401" t="s">
        <v>3196</v>
      </c>
      <c r="G401">
        <v>0</v>
      </c>
      <c r="H401" t="s">
        <v>3056</v>
      </c>
      <c r="I401">
        <v>110</v>
      </c>
      <c r="K401" t="s">
        <v>2972</v>
      </c>
    </row>
    <row r="402" spans="1:11" hidden="1">
      <c r="A402">
        <v>18</v>
      </c>
      <c r="B402" t="s">
        <v>1082</v>
      </c>
      <c r="C402" t="s">
        <v>3197</v>
      </c>
      <c r="E402" t="s">
        <v>6289</v>
      </c>
      <c r="F402" t="s">
        <v>3198</v>
      </c>
      <c r="G402">
        <v>0</v>
      </c>
      <c r="H402" t="s">
        <v>3056</v>
      </c>
      <c r="I402">
        <v>135</v>
      </c>
      <c r="K402" t="s">
        <v>2972</v>
      </c>
    </row>
    <row r="403" spans="1:11" hidden="1">
      <c r="A403">
        <v>19</v>
      </c>
      <c r="B403" t="s">
        <v>1082</v>
      </c>
      <c r="C403" t="s">
        <v>3199</v>
      </c>
      <c r="E403" t="s">
        <v>6289</v>
      </c>
      <c r="F403" t="s">
        <v>3200</v>
      </c>
      <c r="G403">
        <v>0</v>
      </c>
      <c r="H403" t="s">
        <v>3056</v>
      </c>
      <c r="I403">
        <v>114</v>
      </c>
      <c r="K403" t="s">
        <v>2972</v>
      </c>
    </row>
    <row r="404" spans="1:11" hidden="1">
      <c r="A404">
        <v>20</v>
      </c>
      <c r="B404" t="s">
        <v>1082</v>
      </c>
      <c r="C404" t="s">
        <v>3201</v>
      </c>
      <c r="E404" t="s">
        <v>6289</v>
      </c>
      <c r="F404" t="s">
        <v>3202</v>
      </c>
      <c r="G404">
        <v>0</v>
      </c>
      <c r="H404" t="s">
        <v>3056</v>
      </c>
      <c r="I404">
        <v>10078</v>
      </c>
      <c r="K404" t="s">
        <v>2972</v>
      </c>
    </row>
    <row r="405" spans="1:11" hidden="1">
      <c r="A405">
        <v>21</v>
      </c>
      <c r="B405" t="s">
        <v>1082</v>
      </c>
      <c r="C405" t="s">
        <v>3203</v>
      </c>
      <c r="E405" t="s">
        <v>6289</v>
      </c>
      <c r="F405" t="s">
        <v>3204</v>
      </c>
      <c r="G405">
        <v>0</v>
      </c>
      <c r="H405" t="s">
        <v>3056</v>
      </c>
      <c r="I405">
        <v>10079</v>
      </c>
      <c r="K405" t="s">
        <v>2972</v>
      </c>
    </row>
    <row r="406" spans="1:11" hidden="1">
      <c r="A406">
        <v>22</v>
      </c>
      <c r="B406" t="s">
        <v>1082</v>
      </c>
      <c r="C406" t="s">
        <v>3205</v>
      </c>
      <c r="E406" t="s">
        <v>6289</v>
      </c>
      <c r="F406" t="s">
        <v>3206</v>
      </c>
      <c r="G406">
        <v>0</v>
      </c>
      <c r="H406" t="s">
        <v>3056</v>
      </c>
      <c r="I406">
        <v>10080</v>
      </c>
      <c r="K406" t="s">
        <v>2972</v>
      </c>
    </row>
    <row r="407" spans="1:11" hidden="1">
      <c r="A407">
        <v>23</v>
      </c>
      <c r="B407" t="s">
        <v>1082</v>
      </c>
      <c r="C407" t="s">
        <v>3207</v>
      </c>
      <c r="E407" t="s">
        <v>6289</v>
      </c>
      <c r="F407" t="s">
        <v>3208</v>
      </c>
      <c r="G407">
        <v>0</v>
      </c>
      <c r="H407" t="s">
        <v>3056</v>
      </c>
      <c r="I407">
        <v>10081</v>
      </c>
      <c r="K407" t="s">
        <v>2972</v>
      </c>
    </row>
    <row r="408" spans="1:11" hidden="1">
      <c r="A408">
        <v>24</v>
      </c>
      <c r="B408" t="s">
        <v>1082</v>
      </c>
      <c r="C408" t="s">
        <v>3209</v>
      </c>
      <c r="E408" t="s">
        <v>6289</v>
      </c>
      <c r="G408">
        <v>0</v>
      </c>
      <c r="H408" t="s">
        <v>3056</v>
      </c>
      <c r="I408">
        <v>2000000156</v>
      </c>
      <c r="K408" t="s">
        <v>2972</v>
      </c>
    </row>
    <row r="409" spans="1:11" hidden="1">
      <c r="A409">
        <v>25</v>
      </c>
      <c r="B409" t="s">
        <v>1082</v>
      </c>
      <c r="C409" t="s">
        <v>3210</v>
      </c>
      <c r="E409" t="s">
        <v>6289</v>
      </c>
      <c r="F409" t="s">
        <v>3211</v>
      </c>
      <c r="G409">
        <v>0</v>
      </c>
      <c r="H409" t="s">
        <v>3056</v>
      </c>
      <c r="I409">
        <v>130</v>
      </c>
      <c r="K409" t="s">
        <v>2972</v>
      </c>
    </row>
    <row r="410" spans="1:11" hidden="1">
      <c r="A410">
        <v>26</v>
      </c>
      <c r="B410" t="s">
        <v>1082</v>
      </c>
      <c r="C410" t="s">
        <v>3212</v>
      </c>
      <c r="E410" t="s">
        <v>6289</v>
      </c>
      <c r="F410" t="s">
        <v>3213</v>
      </c>
      <c r="G410">
        <v>0</v>
      </c>
      <c r="H410" t="s">
        <v>3056</v>
      </c>
      <c r="I410">
        <v>10082</v>
      </c>
      <c r="K410" t="s">
        <v>2972</v>
      </c>
    </row>
    <row r="411" spans="1:11" hidden="1">
      <c r="A411">
        <v>27</v>
      </c>
      <c r="B411" t="s">
        <v>1082</v>
      </c>
      <c r="C411" t="s">
        <v>3214</v>
      </c>
      <c r="E411" t="s">
        <v>6289</v>
      </c>
      <c r="F411" t="s">
        <v>3215</v>
      </c>
      <c r="G411">
        <v>0</v>
      </c>
      <c r="H411" t="s">
        <v>3056</v>
      </c>
      <c r="I411">
        <v>172</v>
      </c>
      <c r="K411" t="s">
        <v>2972</v>
      </c>
    </row>
    <row r="412" spans="1:11" hidden="1">
      <c r="A412">
        <v>28</v>
      </c>
      <c r="B412" t="s">
        <v>1082</v>
      </c>
      <c r="C412" t="s">
        <v>3216</v>
      </c>
      <c r="E412" t="s">
        <v>6289</v>
      </c>
      <c r="F412" t="s">
        <v>3217</v>
      </c>
      <c r="G412">
        <v>0</v>
      </c>
      <c r="H412" t="s">
        <v>3056</v>
      </c>
      <c r="I412">
        <v>10083</v>
      </c>
      <c r="K412" t="s">
        <v>2972</v>
      </c>
    </row>
    <row r="413" spans="1:11" hidden="1">
      <c r="A413">
        <v>29</v>
      </c>
      <c r="B413" t="s">
        <v>1082</v>
      </c>
      <c r="C413" t="s">
        <v>3218</v>
      </c>
      <c r="E413" t="s">
        <v>6289</v>
      </c>
      <c r="F413" t="s">
        <v>3219</v>
      </c>
      <c r="G413">
        <v>0</v>
      </c>
      <c r="H413" t="s">
        <v>3056</v>
      </c>
      <c r="I413">
        <v>176</v>
      </c>
      <c r="K413" t="s">
        <v>2972</v>
      </c>
    </row>
    <row r="414" spans="1:11" hidden="1">
      <c r="A414">
        <v>30</v>
      </c>
      <c r="B414" t="s">
        <v>1082</v>
      </c>
      <c r="C414" t="s">
        <v>3220</v>
      </c>
      <c r="E414" t="s">
        <v>6289</v>
      </c>
      <c r="F414" t="s">
        <v>3221</v>
      </c>
      <c r="G414">
        <v>0</v>
      </c>
      <c r="H414" t="s">
        <v>3056</v>
      </c>
      <c r="I414">
        <v>141</v>
      </c>
      <c r="K414" t="s">
        <v>2972</v>
      </c>
    </row>
    <row r="415" spans="1:11" hidden="1">
      <c r="A415">
        <v>31</v>
      </c>
      <c r="B415" t="s">
        <v>1082</v>
      </c>
      <c r="C415" t="s">
        <v>3222</v>
      </c>
      <c r="E415" t="s">
        <v>6289</v>
      </c>
      <c r="F415" t="s">
        <v>3223</v>
      </c>
      <c r="G415">
        <v>0</v>
      </c>
      <c r="H415" t="s">
        <v>3056</v>
      </c>
      <c r="I415">
        <v>132</v>
      </c>
      <c r="K415" t="s">
        <v>2972</v>
      </c>
    </row>
    <row r="416" spans="1:11" hidden="1">
      <c r="A416">
        <v>32</v>
      </c>
      <c r="B416" t="s">
        <v>1082</v>
      </c>
      <c r="C416" t="s">
        <v>3224</v>
      </c>
      <c r="E416" t="s">
        <v>6289</v>
      </c>
      <c r="F416" t="s">
        <v>1551</v>
      </c>
      <c r="G416">
        <v>0</v>
      </c>
      <c r="H416" t="s">
        <v>3056</v>
      </c>
      <c r="I416">
        <v>153</v>
      </c>
      <c r="K416" t="s">
        <v>2972</v>
      </c>
    </row>
    <row r="417" spans="1:11" hidden="1">
      <c r="A417">
        <v>33</v>
      </c>
      <c r="B417" t="s">
        <v>1082</v>
      </c>
      <c r="C417" t="s">
        <v>3225</v>
      </c>
      <c r="E417" t="s">
        <v>6289</v>
      </c>
      <c r="F417" t="s">
        <v>86</v>
      </c>
      <c r="G417">
        <v>0</v>
      </c>
      <c r="H417" t="s">
        <v>3056</v>
      </c>
      <c r="I417">
        <v>1030</v>
      </c>
      <c r="K417" t="s">
        <v>2972</v>
      </c>
    </row>
    <row r="418" spans="1:11" hidden="1">
      <c r="A418">
        <v>34</v>
      </c>
      <c r="B418" t="s">
        <v>1082</v>
      </c>
      <c r="C418" t="s">
        <v>3226</v>
      </c>
      <c r="E418" t="s">
        <v>6289</v>
      </c>
      <c r="F418" t="s">
        <v>3227</v>
      </c>
      <c r="G418">
        <v>0</v>
      </c>
      <c r="H418" t="s">
        <v>3056</v>
      </c>
      <c r="I418">
        <v>10084</v>
      </c>
      <c r="K418" t="s">
        <v>2972</v>
      </c>
    </row>
    <row r="419" spans="1:11" hidden="1">
      <c r="A419">
        <v>35</v>
      </c>
      <c r="B419" t="s">
        <v>1082</v>
      </c>
      <c r="C419" t="s">
        <v>3228</v>
      </c>
      <c r="E419" t="s">
        <v>6289</v>
      </c>
      <c r="F419" t="s">
        <v>3229</v>
      </c>
      <c r="G419">
        <v>0</v>
      </c>
      <c r="H419" t="s">
        <v>3056</v>
      </c>
      <c r="I419">
        <v>171</v>
      </c>
      <c r="K419" t="s">
        <v>2972</v>
      </c>
    </row>
    <row r="420" spans="1:11" hidden="1">
      <c r="A420">
        <v>36</v>
      </c>
      <c r="B420" t="s">
        <v>1082</v>
      </c>
      <c r="C420" t="s">
        <v>3230</v>
      </c>
      <c r="E420" t="s">
        <v>6289</v>
      </c>
      <c r="F420" t="s">
        <v>3231</v>
      </c>
      <c r="G420">
        <v>0</v>
      </c>
      <c r="H420" t="s">
        <v>3056</v>
      </c>
      <c r="I420">
        <v>169</v>
      </c>
      <c r="K420" t="s">
        <v>2972</v>
      </c>
    </row>
    <row r="421" spans="1:11" hidden="1">
      <c r="A421">
        <v>37</v>
      </c>
      <c r="B421" t="s">
        <v>1082</v>
      </c>
      <c r="C421" t="s">
        <v>3232</v>
      </c>
      <c r="E421" t="s">
        <v>6289</v>
      </c>
      <c r="F421" t="s">
        <v>3233</v>
      </c>
      <c r="G421">
        <v>0</v>
      </c>
      <c r="H421" t="s">
        <v>3056</v>
      </c>
      <c r="I421">
        <v>145</v>
      </c>
      <c r="K421" t="s">
        <v>2972</v>
      </c>
    </row>
    <row r="422" spans="1:11" hidden="1">
      <c r="A422">
        <v>38</v>
      </c>
      <c r="B422" t="s">
        <v>1082</v>
      </c>
      <c r="C422" t="s">
        <v>3234</v>
      </c>
      <c r="E422" t="s">
        <v>6289</v>
      </c>
      <c r="F422" t="s">
        <v>3235</v>
      </c>
      <c r="G422">
        <v>0</v>
      </c>
      <c r="H422" t="s">
        <v>3056</v>
      </c>
      <c r="I422">
        <v>150</v>
      </c>
      <c r="K422" t="s">
        <v>2972</v>
      </c>
    </row>
    <row r="423" spans="1:11" hidden="1">
      <c r="A423">
        <v>39</v>
      </c>
      <c r="B423" t="s">
        <v>1082</v>
      </c>
      <c r="C423" t="s">
        <v>3236</v>
      </c>
      <c r="E423" t="s">
        <v>6289</v>
      </c>
      <c r="F423" t="s">
        <v>3237</v>
      </c>
      <c r="G423">
        <v>0</v>
      </c>
      <c r="H423" t="s">
        <v>3056</v>
      </c>
      <c r="I423">
        <v>147</v>
      </c>
      <c r="K423" t="s">
        <v>2972</v>
      </c>
    </row>
    <row r="424" spans="1:11" hidden="1">
      <c r="A424">
        <v>40</v>
      </c>
      <c r="B424" t="s">
        <v>1082</v>
      </c>
      <c r="C424" t="s">
        <v>3238</v>
      </c>
      <c r="E424" t="s">
        <v>6289</v>
      </c>
      <c r="F424" t="s">
        <v>3239</v>
      </c>
      <c r="G424">
        <v>0</v>
      </c>
      <c r="H424" t="s">
        <v>3056</v>
      </c>
      <c r="I424">
        <v>154</v>
      </c>
      <c r="K424" t="s">
        <v>2972</v>
      </c>
    </row>
    <row r="425" spans="1:11" hidden="1">
      <c r="A425">
        <v>41</v>
      </c>
      <c r="B425" t="s">
        <v>1082</v>
      </c>
      <c r="C425" t="s">
        <v>3240</v>
      </c>
      <c r="E425" t="s">
        <v>6289</v>
      </c>
      <c r="F425" t="s">
        <v>3241</v>
      </c>
      <c r="G425">
        <v>0</v>
      </c>
      <c r="H425" t="s">
        <v>3056</v>
      </c>
      <c r="I425">
        <v>115</v>
      </c>
      <c r="K425" t="s">
        <v>2972</v>
      </c>
    </row>
    <row r="426" spans="1:11" hidden="1">
      <c r="A426">
        <v>42</v>
      </c>
      <c r="B426" t="s">
        <v>1082</v>
      </c>
      <c r="C426" t="s">
        <v>3242</v>
      </c>
      <c r="E426" t="s">
        <v>6289</v>
      </c>
      <c r="F426" t="s">
        <v>3243</v>
      </c>
      <c r="G426">
        <v>0</v>
      </c>
      <c r="H426" t="s">
        <v>3056</v>
      </c>
      <c r="I426">
        <v>166</v>
      </c>
      <c r="K426" t="s">
        <v>2972</v>
      </c>
    </row>
    <row r="427" spans="1:11" hidden="1">
      <c r="A427">
        <v>43</v>
      </c>
      <c r="B427" t="s">
        <v>1082</v>
      </c>
      <c r="C427" t="s">
        <v>3244</v>
      </c>
      <c r="E427" t="s">
        <v>6289</v>
      </c>
      <c r="F427" t="s">
        <v>3245</v>
      </c>
      <c r="G427">
        <v>0</v>
      </c>
      <c r="H427" t="s">
        <v>3056</v>
      </c>
      <c r="I427">
        <v>164</v>
      </c>
      <c r="K427" t="s">
        <v>2972</v>
      </c>
    </row>
    <row r="428" spans="1:11" hidden="1">
      <c r="A428">
        <v>44</v>
      </c>
      <c r="B428" t="s">
        <v>1082</v>
      </c>
      <c r="C428" t="s">
        <v>3246</v>
      </c>
      <c r="E428" t="s">
        <v>6289</v>
      </c>
      <c r="F428" t="s">
        <v>3247</v>
      </c>
      <c r="G428">
        <v>0</v>
      </c>
      <c r="H428" t="s">
        <v>3056</v>
      </c>
      <c r="I428">
        <v>105</v>
      </c>
      <c r="K428" t="s">
        <v>2972</v>
      </c>
    </row>
    <row r="429" spans="1:11" hidden="1">
      <c r="A429">
        <v>45</v>
      </c>
      <c r="B429" t="s">
        <v>1082</v>
      </c>
      <c r="C429" t="s">
        <v>3248</v>
      </c>
      <c r="E429" t="s">
        <v>6289</v>
      </c>
      <c r="F429" t="s">
        <v>3249</v>
      </c>
      <c r="G429">
        <v>0</v>
      </c>
      <c r="H429" t="s">
        <v>3056</v>
      </c>
      <c r="I429">
        <v>170</v>
      </c>
      <c r="K429" t="s">
        <v>2972</v>
      </c>
    </row>
    <row r="430" spans="1:11" hidden="1">
      <c r="A430">
        <v>46</v>
      </c>
      <c r="B430" t="s">
        <v>1082</v>
      </c>
      <c r="C430" t="s">
        <v>3250</v>
      </c>
      <c r="E430" t="s">
        <v>6289</v>
      </c>
      <c r="F430" t="s">
        <v>3251</v>
      </c>
      <c r="G430">
        <v>0</v>
      </c>
      <c r="H430" t="s">
        <v>3056</v>
      </c>
      <c r="I430">
        <v>151</v>
      </c>
      <c r="K430" t="s">
        <v>2972</v>
      </c>
    </row>
    <row r="431" spans="1:11" hidden="1">
      <c r="A431">
        <v>47</v>
      </c>
      <c r="B431" t="s">
        <v>1082</v>
      </c>
      <c r="C431" t="s">
        <v>3252</v>
      </c>
      <c r="E431" t="s">
        <v>6289</v>
      </c>
      <c r="F431" t="s">
        <v>3253</v>
      </c>
      <c r="G431">
        <v>0</v>
      </c>
      <c r="H431" t="s">
        <v>3056</v>
      </c>
      <c r="I431">
        <v>1705</v>
      </c>
      <c r="K431" t="s">
        <v>2972</v>
      </c>
    </row>
    <row r="432" spans="1:11" hidden="1">
      <c r="A432">
        <v>48</v>
      </c>
      <c r="B432" t="s">
        <v>1082</v>
      </c>
      <c r="C432" t="s">
        <v>3254</v>
      </c>
      <c r="E432" t="s">
        <v>6289</v>
      </c>
      <c r="F432" t="s">
        <v>3255</v>
      </c>
      <c r="G432">
        <v>0</v>
      </c>
      <c r="H432" t="s">
        <v>3056</v>
      </c>
      <c r="I432">
        <v>10085</v>
      </c>
      <c r="K432" t="s">
        <v>2972</v>
      </c>
    </row>
    <row r="433" spans="1:11" hidden="1">
      <c r="A433">
        <v>49</v>
      </c>
      <c r="B433" t="s">
        <v>1082</v>
      </c>
      <c r="C433" t="s">
        <v>3256</v>
      </c>
      <c r="E433" t="s">
        <v>6289</v>
      </c>
      <c r="F433" t="s">
        <v>3257</v>
      </c>
      <c r="G433">
        <v>0</v>
      </c>
      <c r="H433" t="s">
        <v>3056</v>
      </c>
      <c r="I433">
        <v>106</v>
      </c>
      <c r="K433" t="s">
        <v>2972</v>
      </c>
    </row>
    <row r="434" spans="1:11" hidden="1">
      <c r="A434">
        <v>50</v>
      </c>
      <c r="B434" t="s">
        <v>1082</v>
      </c>
      <c r="C434" t="s">
        <v>3258</v>
      </c>
      <c r="E434" t="s">
        <v>6289</v>
      </c>
      <c r="F434" t="s">
        <v>3259</v>
      </c>
      <c r="G434">
        <v>0</v>
      </c>
      <c r="H434" t="s">
        <v>3056</v>
      </c>
      <c r="I434">
        <v>10108</v>
      </c>
      <c r="K434" t="s">
        <v>2972</v>
      </c>
    </row>
    <row r="435" spans="1:11" hidden="1">
      <c r="A435">
        <v>51</v>
      </c>
      <c r="B435" t="s">
        <v>1082</v>
      </c>
      <c r="C435" t="s">
        <v>3260</v>
      </c>
      <c r="E435" t="s">
        <v>6289</v>
      </c>
      <c r="F435" t="s">
        <v>3261</v>
      </c>
      <c r="G435">
        <v>0</v>
      </c>
      <c r="H435" t="s">
        <v>3056</v>
      </c>
      <c r="I435">
        <v>125</v>
      </c>
      <c r="K435" t="s">
        <v>2972</v>
      </c>
    </row>
    <row r="436" spans="1:11" hidden="1">
      <c r="A436">
        <v>52</v>
      </c>
      <c r="B436" t="s">
        <v>1082</v>
      </c>
      <c r="C436" t="s">
        <v>3262</v>
      </c>
      <c r="E436" t="s">
        <v>6289</v>
      </c>
      <c r="F436" t="s">
        <v>3263</v>
      </c>
      <c r="G436">
        <v>0</v>
      </c>
      <c r="H436" t="s">
        <v>3056</v>
      </c>
      <c r="I436">
        <v>10086</v>
      </c>
      <c r="K436" t="s">
        <v>2972</v>
      </c>
    </row>
    <row r="437" spans="1:11" hidden="1">
      <c r="A437">
        <v>53</v>
      </c>
      <c r="B437" t="s">
        <v>1082</v>
      </c>
      <c r="C437" t="s">
        <v>3264</v>
      </c>
      <c r="E437" t="s">
        <v>6289</v>
      </c>
      <c r="F437" t="s">
        <v>3265</v>
      </c>
      <c r="G437">
        <v>0</v>
      </c>
      <c r="H437" t="s">
        <v>3056</v>
      </c>
      <c r="I437">
        <v>179</v>
      </c>
      <c r="K437" t="s">
        <v>2972</v>
      </c>
    </row>
    <row r="438" spans="1:11" hidden="1">
      <c r="A438">
        <v>54</v>
      </c>
      <c r="B438" t="s">
        <v>1082</v>
      </c>
      <c r="C438" t="s">
        <v>3266</v>
      </c>
      <c r="E438" t="s">
        <v>6289</v>
      </c>
      <c r="F438" t="s">
        <v>3267</v>
      </c>
      <c r="G438">
        <v>0</v>
      </c>
      <c r="H438" t="s">
        <v>3056</v>
      </c>
      <c r="I438">
        <v>182</v>
      </c>
      <c r="K438" t="s">
        <v>2972</v>
      </c>
    </row>
    <row r="439" spans="1:11" hidden="1">
      <c r="A439">
        <v>55</v>
      </c>
      <c r="B439" t="s">
        <v>1082</v>
      </c>
      <c r="C439" t="s">
        <v>3268</v>
      </c>
      <c r="E439" t="s">
        <v>6289</v>
      </c>
      <c r="F439" t="s">
        <v>3269</v>
      </c>
      <c r="G439">
        <v>0</v>
      </c>
      <c r="H439" t="s">
        <v>3056</v>
      </c>
      <c r="I439">
        <v>107</v>
      </c>
      <c r="K439" t="s">
        <v>2972</v>
      </c>
    </row>
    <row r="440" spans="1:11" hidden="1">
      <c r="A440">
        <v>56</v>
      </c>
      <c r="B440" t="s">
        <v>1082</v>
      </c>
      <c r="C440" t="s">
        <v>3270</v>
      </c>
      <c r="E440" t="s">
        <v>6289</v>
      </c>
      <c r="F440" t="s">
        <v>3271</v>
      </c>
      <c r="G440">
        <v>0</v>
      </c>
      <c r="H440" t="s">
        <v>3056</v>
      </c>
      <c r="I440">
        <v>140</v>
      </c>
      <c r="K440" t="s">
        <v>2972</v>
      </c>
    </row>
    <row r="441" spans="1:11" hidden="1">
      <c r="A441">
        <v>57</v>
      </c>
      <c r="B441" t="s">
        <v>1082</v>
      </c>
      <c r="C441" t="s">
        <v>3272</v>
      </c>
      <c r="E441" t="s">
        <v>6289</v>
      </c>
      <c r="F441" t="s">
        <v>3273</v>
      </c>
      <c r="G441">
        <v>0</v>
      </c>
      <c r="H441" t="s">
        <v>3056</v>
      </c>
      <c r="I441">
        <v>162</v>
      </c>
      <c r="K441" t="s">
        <v>2972</v>
      </c>
    </row>
    <row r="442" spans="1:11" hidden="1">
      <c r="A442">
        <v>58</v>
      </c>
      <c r="B442" t="s">
        <v>1082</v>
      </c>
      <c r="C442" t="s">
        <v>3274</v>
      </c>
      <c r="E442" t="s">
        <v>6289</v>
      </c>
      <c r="F442" t="s">
        <v>3275</v>
      </c>
      <c r="G442">
        <v>0</v>
      </c>
      <c r="H442" t="s">
        <v>3056</v>
      </c>
      <c r="I442">
        <v>111</v>
      </c>
      <c r="K442" t="s">
        <v>2972</v>
      </c>
    </row>
    <row r="443" spans="1:11" hidden="1">
      <c r="A443">
        <v>59</v>
      </c>
      <c r="B443" t="s">
        <v>1082</v>
      </c>
      <c r="C443" t="s">
        <v>3276</v>
      </c>
      <c r="E443" t="s">
        <v>6289</v>
      </c>
      <c r="F443" t="s">
        <v>3277</v>
      </c>
      <c r="G443">
        <v>0</v>
      </c>
      <c r="H443" t="s">
        <v>3056</v>
      </c>
      <c r="I443">
        <v>134</v>
      </c>
      <c r="K443" t="s">
        <v>2972</v>
      </c>
    </row>
    <row r="444" spans="1:11" hidden="1">
      <c r="A444">
        <v>60</v>
      </c>
      <c r="B444" t="s">
        <v>1082</v>
      </c>
      <c r="C444" t="s">
        <v>3278</v>
      </c>
      <c r="E444" t="s">
        <v>6289</v>
      </c>
      <c r="F444" t="s">
        <v>3279</v>
      </c>
      <c r="G444">
        <v>0</v>
      </c>
      <c r="H444" t="s">
        <v>3056</v>
      </c>
      <c r="I444">
        <v>94</v>
      </c>
      <c r="K444" t="s">
        <v>2972</v>
      </c>
    </row>
    <row r="445" spans="1:11" hidden="1">
      <c r="A445">
        <v>61</v>
      </c>
      <c r="B445" t="s">
        <v>1082</v>
      </c>
      <c r="C445" t="s">
        <v>3280</v>
      </c>
      <c r="E445" t="s">
        <v>6289</v>
      </c>
      <c r="F445" t="s">
        <v>3281</v>
      </c>
      <c r="G445">
        <v>0</v>
      </c>
      <c r="H445" t="s">
        <v>3056</v>
      </c>
      <c r="I445">
        <v>93</v>
      </c>
      <c r="K445" t="s">
        <v>2972</v>
      </c>
    </row>
    <row r="446" spans="1:11" hidden="1">
      <c r="A446">
        <v>62</v>
      </c>
      <c r="B446" t="s">
        <v>1082</v>
      </c>
      <c r="C446" t="s">
        <v>3282</v>
      </c>
      <c r="E446" t="s">
        <v>6289</v>
      </c>
      <c r="F446" t="s">
        <v>3283</v>
      </c>
      <c r="G446">
        <v>0</v>
      </c>
      <c r="H446" t="s">
        <v>3056</v>
      </c>
      <c r="I446">
        <v>95</v>
      </c>
      <c r="K446" t="s">
        <v>2972</v>
      </c>
    </row>
    <row r="447" spans="1:11" hidden="1">
      <c r="A447">
        <v>63</v>
      </c>
      <c r="B447" t="s">
        <v>1082</v>
      </c>
      <c r="C447" t="s">
        <v>3284</v>
      </c>
      <c r="E447" t="s">
        <v>6289</v>
      </c>
      <c r="F447" t="s">
        <v>3285</v>
      </c>
      <c r="G447">
        <v>0</v>
      </c>
      <c r="H447" t="s">
        <v>3056</v>
      </c>
      <c r="I447">
        <v>96</v>
      </c>
      <c r="K447" t="s">
        <v>2972</v>
      </c>
    </row>
    <row r="448" spans="1:11" hidden="1">
      <c r="A448">
        <v>64</v>
      </c>
      <c r="B448" t="s">
        <v>1082</v>
      </c>
      <c r="C448" t="s">
        <v>3286</v>
      </c>
      <c r="E448" t="s">
        <v>6289</v>
      </c>
      <c r="F448" t="s">
        <v>3287</v>
      </c>
      <c r="G448">
        <v>0</v>
      </c>
      <c r="H448" t="s">
        <v>3056</v>
      </c>
      <c r="I448">
        <v>10087</v>
      </c>
      <c r="K448" t="s">
        <v>2972</v>
      </c>
    </row>
    <row r="449" spans="1:11" hidden="1">
      <c r="A449">
        <v>65</v>
      </c>
      <c r="B449" t="s">
        <v>1082</v>
      </c>
      <c r="C449" t="s">
        <v>3288</v>
      </c>
      <c r="E449" t="s">
        <v>6289</v>
      </c>
      <c r="F449" t="s">
        <v>3289</v>
      </c>
      <c r="G449">
        <v>0</v>
      </c>
      <c r="H449" t="s">
        <v>3056</v>
      </c>
      <c r="I449">
        <v>129</v>
      </c>
      <c r="K449" t="s">
        <v>2972</v>
      </c>
    </row>
    <row r="450" spans="1:11" hidden="1">
      <c r="A450">
        <v>66</v>
      </c>
      <c r="B450" t="s">
        <v>1082</v>
      </c>
      <c r="C450" t="s">
        <v>3290</v>
      </c>
      <c r="E450" t="s">
        <v>6289</v>
      </c>
      <c r="F450" t="s">
        <v>3291</v>
      </c>
      <c r="G450">
        <v>0</v>
      </c>
      <c r="H450" t="s">
        <v>3056</v>
      </c>
      <c r="I450">
        <v>10088</v>
      </c>
      <c r="K450" t="s">
        <v>2972</v>
      </c>
    </row>
    <row r="451" spans="1:11" hidden="1">
      <c r="A451">
        <v>67</v>
      </c>
      <c r="B451" t="s">
        <v>1082</v>
      </c>
      <c r="C451" t="s">
        <v>3292</v>
      </c>
      <c r="E451" t="s">
        <v>6289</v>
      </c>
      <c r="F451" t="s">
        <v>3293</v>
      </c>
      <c r="G451">
        <v>0</v>
      </c>
      <c r="H451" t="s">
        <v>3056</v>
      </c>
      <c r="I451">
        <v>161</v>
      </c>
      <c r="K451" t="s">
        <v>2972</v>
      </c>
    </row>
    <row r="452" spans="1:11" hidden="1">
      <c r="A452">
        <v>68</v>
      </c>
      <c r="B452" t="s">
        <v>1082</v>
      </c>
      <c r="C452" t="s">
        <v>3294</v>
      </c>
      <c r="E452" t="s">
        <v>6289</v>
      </c>
      <c r="F452" t="s">
        <v>3295</v>
      </c>
      <c r="G452">
        <v>0</v>
      </c>
      <c r="H452" t="s">
        <v>3056</v>
      </c>
      <c r="I452">
        <v>97</v>
      </c>
      <c r="K452" t="s">
        <v>2972</v>
      </c>
    </row>
    <row r="453" spans="1:11" hidden="1">
      <c r="A453">
        <v>69</v>
      </c>
      <c r="B453" t="s">
        <v>1082</v>
      </c>
      <c r="C453" t="s">
        <v>3296</v>
      </c>
      <c r="E453" t="s">
        <v>6289</v>
      </c>
      <c r="F453" t="s">
        <v>3297</v>
      </c>
      <c r="G453">
        <v>0</v>
      </c>
      <c r="H453" t="s">
        <v>3056</v>
      </c>
      <c r="I453">
        <v>178</v>
      </c>
      <c r="K453" t="s">
        <v>2972</v>
      </c>
    </row>
    <row r="454" spans="1:11" hidden="1">
      <c r="A454">
        <v>70</v>
      </c>
      <c r="B454" t="s">
        <v>1082</v>
      </c>
      <c r="C454" t="s">
        <v>3298</v>
      </c>
      <c r="E454" t="s">
        <v>6289</v>
      </c>
      <c r="F454" t="s">
        <v>3299</v>
      </c>
      <c r="G454">
        <v>0</v>
      </c>
      <c r="H454" t="s">
        <v>3056</v>
      </c>
      <c r="I454">
        <v>177</v>
      </c>
      <c r="K454" t="s">
        <v>2972</v>
      </c>
    </row>
    <row r="455" spans="1:11" hidden="1">
      <c r="A455">
        <v>71</v>
      </c>
      <c r="B455" t="s">
        <v>1082</v>
      </c>
      <c r="C455" t="s">
        <v>3300</v>
      </c>
      <c r="E455" t="s">
        <v>6289</v>
      </c>
      <c r="F455" t="s">
        <v>3301</v>
      </c>
      <c r="G455">
        <v>0</v>
      </c>
      <c r="H455" t="s">
        <v>3056</v>
      </c>
      <c r="I455">
        <v>1042</v>
      </c>
      <c r="K455" t="s">
        <v>2972</v>
      </c>
    </row>
    <row r="456" spans="1:11" hidden="1">
      <c r="A456">
        <v>72</v>
      </c>
      <c r="B456" t="s">
        <v>1082</v>
      </c>
      <c r="C456" t="s">
        <v>3302</v>
      </c>
      <c r="E456" t="s">
        <v>6289</v>
      </c>
      <c r="F456" t="s">
        <v>3303</v>
      </c>
      <c r="G456">
        <v>0</v>
      </c>
      <c r="H456" t="s">
        <v>3056</v>
      </c>
      <c r="I456">
        <v>167</v>
      </c>
      <c r="K456" t="s">
        <v>2972</v>
      </c>
    </row>
    <row r="457" spans="1:11" hidden="1">
      <c r="A457">
        <v>73</v>
      </c>
      <c r="B457" t="s">
        <v>1082</v>
      </c>
      <c r="C457" t="s">
        <v>3304</v>
      </c>
      <c r="E457" t="s">
        <v>6289</v>
      </c>
      <c r="F457" t="s">
        <v>3305</v>
      </c>
      <c r="G457">
        <v>0</v>
      </c>
      <c r="H457" t="s">
        <v>3056</v>
      </c>
      <c r="I457">
        <v>10089</v>
      </c>
      <c r="K457" t="s">
        <v>2972</v>
      </c>
    </row>
    <row r="458" spans="1:11" hidden="1">
      <c r="A458">
        <v>74</v>
      </c>
      <c r="B458" t="s">
        <v>1082</v>
      </c>
      <c r="C458" t="s">
        <v>3306</v>
      </c>
      <c r="E458" t="s">
        <v>6289</v>
      </c>
      <c r="F458" t="s">
        <v>3307</v>
      </c>
      <c r="G458">
        <v>0</v>
      </c>
      <c r="H458" t="s">
        <v>3056</v>
      </c>
      <c r="I458">
        <v>139</v>
      </c>
      <c r="K458" t="s">
        <v>2972</v>
      </c>
    </row>
    <row r="459" spans="1:11" hidden="1">
      <c r="A459">
        <v>75</v>
      </c>
      <c r="B459" t="s">
        <v>1082</v>
      </c>
      <c r="C459" t="s">
        <v>3308</v>
      </c>
      <c r="E459" t="s">
        <v>6289</v>
      </c>
      <c r="F459" t="s">
        <v>3309</v>
      </c>
      <c r="G459">
        <v>0</v>
      </c>
      <c r="H459" t="s">
        <v>3056</v>
      </c>
      <c r="I459">
        <v>10006</v>
      </c>
      <c r="K459" t="s">
        <v>2972</v>
      </c>
    </row>
    <row r="460" spans="1:11" hidden="1">
      <c r="A460">
        <v>76</v>
      </c>
      <c r="B460" t="s">
        <v>1082</v>
      </c>
      <c r="C460" t="s">
        <v>3310</v>
      </c>
      <c r="E460" t="s">
        <v>6289</v>
      </c>
      <c r="F460" t="s">
        <v>3311</v>
      </c>
      <c r="G460">
        <v>0</v>
      </c>
      <c r="H460" t="s">
        <v>3056</v>
      </c>
      <c r="I460">
        <v>133</v>
      </c>
      <c r="K460" t="s">
        <v>2972</v>
      </c>
    </row>
    <row r="461" spans="1:11" hidden="1">
      <c r="A461">
        <v>77</v>
      </c>
      <c r="B461" t="s">
        <v>1082</v>
      </c>
      <c r="C461" t="s">
        <v>3312</v>
      </c>
      <c r="E461" t="s">
        <v>6289</v>
      </c>
      <c r="F461" t="s">
        <v>3313</v>
      </c>
      <c r="G461">
        <v>0</v>
      </c>
      <c r="H461" t="s">
        <v>3056</v>
      </c>
      <c r="I461">
        <v>127</v>
      </c>
      <c r="K461" t="s">
        <v>2972</v>
      </c>
    </row>
    <row r="462" spans="1:11" hidden="1">
      <c r="A462">
        <v>78</v>
      </c>
      <c r="B462" t="s">
        <v>1082</v>
      </c>
      <c r="C462" t="s">
        <v>3314</v>
      </c>
      <c r="E462" t="s">
        <v>6289</v>
      </c>
      <c r="F462" t="s">
        <v>3315</v>
      </c>
      <c r="G462">
        <v>0</v>
      </c>
      <c r="H462" t="s">
        <v>3056</v>
      </c>
      <c r="I462">
        <v>10090</v>
      </c>
      <c r="K462" t="s">
        <v>2972</v>
      </c>
    </row>
    <row r="463" spans="1:11" hidden="1">
      <c r="A463">
        <v>79</v>
      </c>
      <c r="B463" t="s">
        <v>1082</v>
      </c>
      <c r="C463" t="s">
        <v>3316</v>
      </c>
      <c r="E463" t="s">
        <v>6289</v>
      </c>
      <c r="F463" t="s">
        <v>3317</v>
      </c>
      <c r="G463">
        <v>0</v>
      </c>
      <c r="H463" t="s">
        <v>3056</v>
      </c>
      <c r="I463">
        <v>10091</v>
      </c>
      <c r="K463" t="s">
        <v>2972</v>
      </c>
    </row>
    <row r="464" spans="1:11" hidden="1">
      <c r="A464">
        <v>80</v>
      </c>
      <c r="B464" t="s">
        <v>1082</v>
      </c>
      <c r="C464" t="s">
        <v>3318</v>
      </c>
      <c r="E464" t="s">
        <v>6289</v>
      </c>
      <c r="F464" t="s">
        <v>3319</v>
      </c>
      <c r="G464">
        <v>0</v>
      </c>
      <c r="H464" t="s">
        <v>3056</v>
      </c>
      <c r="I464">
        <v>159</v>
      </c>
      <c r="K464" t="s">
        <v>2972</v>
      </c>
    </row>
    <row r="465" spans="1:11" hidden="1">
      <c r="A465">
        <v>81</v>
      </c>
      <c r="B465" t="s">
        <v>1082</v>
      </c>
      <c r="C465" t="s">
        <v>3320</v>
      </c>
      <c r="E465" t="s">
        <v>6289</v>
      </c>
      <c r="F465" t="s">
        <v>3321</v>
      </c>
      <c r="G465">
        <v>0</v>
      </c>
      <c r="H465" t="s">
        <v>3056</v>
      </c>
      <c r="I465">
        <v>10156</v>
      </c>
      <c r="K465" t="s">
        <v>2972</v>
      </c>
    </row>
    <row r="466" spans="1:11" hidden="1">
      <c r="A466">
        <v>82</v>
      </c>
      <c r="B466" t="s">
        <v>1082</v>
      </c>
      <c r="C466" t="s">
        <v>3322</v>
      </c>
      <c r="E466" t="s">
        <v>6289</v>
      </c>
      <c r="F466" t="s">
        <v>3323</v>
      </c>
      <c r="G466">
        <v>0</v>
      </c>
      <c r="H466" t="s">
        <v>3056</v>
      </c>
      <c r="I466">
        <v>10016</v>
      </c>
      <c r="K466" t="s">
        <v>2972</v>
      </c>
    </row>
    <row r="467" spans="1:11" hidden="1">
      <c r="A467">
        <v>83</v>
      </c>
      <c r="B467" t="s">
        <v>1082</v>
      </c>
      <c r="C467" t="s">
        <v>3324</v>
      </c>
      <c r="E467" t="s">
        <v>6289</v>
      </c>
      <c r="F467" t="s">
        <v>3325</v>
      </c>
      <c r="G467">
        <v>0</v>
      </c>
      <c r="H467" t="s">
        <v>3056</v>
      </c>
      <c r="I467">
        <v>10172</v>
      </c>
      <c r="K467" t="s">
        <v>2972</v>
      </c>
    </row>
    <row r="468" spans="1:11" hidden="1">
      <c r="A468">
        <v>84</v>
      </c>
      <c r="B468" t="s">
        <v>1082</v>
      </c>
      <c r="C468" t="s">
        <v>3326</v>
      </c>
      <c r="E468" t="s">
        <v>6289</v>
      </c>
      <c r="F468" t="s">
        <v>3327</v>
      </c>
      <c r="G468">
        <v>0</v>
      </c>
      <c r="H468" t="s">
        <v>3056</v>
      </c>
      <c r="I468">
        <v>143</v>
      </c>
      <c r="K468" t="s">
        <v>2972</v>
      </c>
    </row>
    <row r="469" spans="1:11" hidden="1">
      <c r="A469">
        <v>85</v>
      </c>
      <c r="B469" t="s">
        <v>1082</v>
      </c>
      <c r="C469" t="s">
        <v>3328</v>
      </c>
      <c r="E469" t="s">
        <v>6289</v>
      </c>
      <c r="F469" t="s">
        <v>3329</v>
      </c>
      <c r="G469">
        <v>0</v>
      </c>
      <c r="H469" t="s">
        <v>3056</v>
      </c>
      <c r="I469">
        <v>10167</v>
      </c>
      <c r="K469" t="s">
        <v>2972</v>
      </c>
    </row>
    <row r="470" spans="1:11" hidden="1">
      <c r="A470">
        <v>86</v>
      </c>
      <c r="B470" t="s">
        <v>1082</v>
      </c>
      <c r="C470" t="s">
        <v>3330</v>
      </c>
      <c r="E470" t="s">
        <v>6289</v>
      </c>
      <c r="F470" t="s">
        <v>3331</v>
      </c>
      <c r="G470">
        <v>0</v>
      </c>
      <c r="H470" t="s">
        <v>3056</v>
      </c>
      <c r="I470">
        <v>99</v>
      </c>
      <c r="K470" t="s">
        <v>2972</v>
      </c>
    </row>
    <row r="471" spans="1:11" hidden="1">
      <c r="A471">
        <v>87</v>
      </c>
      <c r="B471" t="s">
        <v>1082</v>
      </c>
      <c r="C471" t="s">
        <v>3332</v>
      </c>
      <c r="E471" t="s">
        <v>6289</v>
      </c>
      <c r="F471" t="s">
        <v>3333</v>
      </c>
      <c r="G471">
        <v>0</v>
      </c>
      <c r="H471" t="s">
        <v>3056</v>
      </c>
      <c r="I471">
        <v>100</v>
      </c>
      <c r="K471" t="s">
        <v>2972</v>
      </c>
    </row>
    <row r="472" spans="1:11" hidden="1">
      <c r="A472">
        <v>88</v>
      </c>
      <c r="B472" t="s">
        <v>1082</v>
      </c>
      <c r="C472" t="s">
        <v>3334</v>
      </c>
      <c r="E472" t="s">
        <v>6289</v>
      </c>
      <c r="F472" t="s">
        <v>3335</v>
      </c>
      <c r="G472">
        <v>0</v>
      </c>
      <c r="H472" t="s">
        <v>3056</v>
      </c>
      <c r="I472">
        <v>103</v>
      </c>
      <c r="K472" t="s">
        <v>2972</v>
      </c>
    </row>
    <row r="473" spans="1:11" hidden="1">
      <c r="A473">
        <v>89</v>
      </c>
      <c r="B473" t="s">
        <v>1082</v>
      </c>
      <c r="C473" t="s">
        <v>3336</v>
      </c>
      <c r="E473" t="s">
        <v>6289</v>
      </c>
      <c r="F473" t="s">
        <v>3337</v>
      </c>
      <c r="G473">
        <v>0</v>
      </c>
      <c r="H473" t="s">
        <v>3056</v>
      </c>
      <c r="I473">
        <v>10161</v>
      </c>
      <c r="K473" t="s">
        <v>2972</v>
      </c>
    </row>
    <row r="474" spans="1:11" hidden="1">
      <c r="A474">
        <v>90</v>
      </c>
      <c r="B474" t="s">
        <v>1082</v>
      </c>
      <c r="C474" t="s">
        <v>3338</v>
      </c>
      <c r="E474" t="s">
        <v>6289</v>
      </c>
      <c r="F474" t="s">
        <v>3339</v>
      </c>
      <c r="G474">
        <v>0</v>
      </c>
      <c r="H474" t="s">
        <v>3056</v>
      </c>
      <c r="I474">
        <v>101</v>
      </c>
      <c r="K474" t="s">
        <v>2972</v>
      </c>
    </row>
    <row r="475" spans="1:11" hidden="1">
      <c r="A475">
        <v>91</v>
      </c>
      <c r="B475" t="s">
        <v>1082</v>
      </c>
      <c r="C475" t="s">
        <v>3340</v>
      </c>
      <c r="E475" t="s">
        <v>6289</v>
      </c>
      <c r="F475" t="s">
        <v>3341</v>
      </c>
      <c r="G475">
        <v>0</v>
      </c>
      <c r="H475" t="s">
        <v>3056</v>
      </c>
      <c r="I475">
        <v>10047</v>
      </c>
      <c r="K475" t="s">
        <v>2972</v>
      </c>
    </row>
    <row r="476" spans="1:11" hidden="1">
      <c r="A476">
        <v>92</v>
      </c>
      <c r="B476" t="s">
        <v>1082</v>
      </c>
      <c r="C476" t="s">
        <v>3342</v>
      </c>
      <c r="E476" t="s">
        <v>6289</v>
      </c>
      <c r="F476" t="s">
        <v>3343</v>
      </c>
      <c r="G476">
        <v>0</v>
      </c>
      <c r="H476" t="s">
        <v>3056</v>
      </c>
      <c r="I476">
        <v>102</v>
      </c>
      <c r="K476" t="s">
        <v>2972</v>
      </c>
    </row>
    <row r="477" spans="1:11" hidden="1">
      <c r="A477">
        <v>93</v>
      </c>
      <c r="B477" t="s">
        <v>1082</v>
      </c>
      <c r="C477" t="s">
        <v>3344</v>
      </c>
      <c r="E477" t="s">
        <v>6289</v>
      </c>
      <c r="F477" t="s">
        <v>3345</v>
      </c>
      <c r="G477">
        <v>0</v>
      </c>
      <c r="H477" t="s">
        <v>3056</v>
      </c>
      <c r="I477">
        <v>10092</v>
      </c>
      <c r="K477" t="s">
        <v>2972</v>
      </c>
    </row>
    <row r="478" spans="1:11" hidden="1">
      <c r="A478">
        <v>94</v>
      </c>
      <c r="B478" t="s">
        <v>1082</v>
      </c>
      <c r="C478" t="s">
        <v>3346</v>
      </c>
      <c r="E478" t="s">
        <v>6289</v>
      </c>
      <c r="F478" t="s">
        <v>3347</v>
      </c>
      <c r="G478">
        <v>0</v>
      </c>
      <c r="H478" t="s">
        <v>3056</v>
      </c>
      <c r="I478">
        <v>142</v>
      </c>
      <c r="K478" t="s">
        <v>2972</v>
      </c>
    </row>
    <row r="479" spans="1:11" hidden="1">
      <c r="A479">
        <v>95</v>
      </c>
      <c r="B479" t="s">
        <v>1082</v>
      </c>
      <c r="C479" t="s">
        <v>3069</v>
      </c>
      <c r="E479" t="s">
        <v>6289</v>
      </c>
      <c r="F479" t="s">
        <v>3348</v>
      </c>
      <c r="G479">
        <v>0</v>
      </c>
      <c r="H479" t="s">
        <v>3056</v>
      </c>
      <c r="I479">
        <v>2000000141</v>
      </c>
      <c r="K479" t="s">
        <v>2972</v>
      </c>
    </row>
    <row r="480" spans="1:11" hidden="1">
      <c r="A480">
        <v>96</v>
      </c>
      <c r="B480" t="s">
        <v>1082</v>
      </c>
      <c r="C480" t="s">
        <v>3349</v>
      </c>
      <c r="E480" t="s">
        <v>6289</v>
      </c>
      <c r="F480" t="s">
        <v>3350</v>
      </c>
      <c r="G480">
        <v>0</v>
      </c>
      <c r="H480" t="s">
        <v>3056</v>
      </c>
      <c r="I480">
        <v>104</v>
      </c>
      <c r="K480" t="s">
        <v>2972</v>
      </c>
    </row>
    <row r="481" spans="1:11" hidden="1">
      <c r="A481">
        <v>97</v>
      </c>
      <c r="B481" t="s">
        <v>1082</v>
      </c>
      <c r="C481" t="s">
        <v>3351</v>
      </c>
      <c r="E481" t="s">
        <v>6289</v>
      </c>
      <c r="F481" t="s">
        <v>3352</v>
      </c>
      <c r="G481">
        <v>0</v>
      </c>
      <c r="H481" t="s">
        <v>3056</v>
      </c>
      <c r="I481">
        <v>10093</v>
      </c>
      <c r="K481" t="s">
        <v>2972</v>
      </c>
    </row>
    <row r="482" spans="1:11" hidden="1">
      <c r="A482">
        <v>98</v>
      </c>
      <c r="B482" t="s">
        <v>1082</v>
      </c>
      <c r="C482" t="s">
        <v>3353</v>
      </c>
      <c r="E482" t="s">
        <v>6289</v>
      </c>
      <c r="F482" t="s">
        <v>3354</v>
      </c>
      <c r="G482">
        <v>0</v>
      </c>
      <c r="H482" t="s">
        <v>3056</v>
      </c>
      <c r="I482">
        <v>158</v>
      </c>
      <c r="K482" t="s">
        <v>2972</v>
      </c>
    </row>
    <row r="483" spans="1:11" hidden="1">
      <c r="A483">
        <v>99</v>
      </c>
      <c r="B483" t="s">
        <v>1082</v>
      </c>
      <c r="C483" t="s">
        <v>3355</v>
      </c>
      <c r="E483" t="s">
        <v>6289</v>
      </c>
      <c r="F483" t="s">
        <v>3356</v>
      </c>
      <c r="G483">
        <v>0</v>
      </c>
      <c r="H483" t="s">
        <v>3056</v>
      </c>
      <c r="I483">
        <v>165</v>
      </c>
      <c r="K483" t="s">
        <v>2972</v>
      </c>
    </row>
    <row r="484" spans="1:11" hidden="1">
      <c r="A484">
        <v>100</v>
      </c>
      <c r="B484" t="s">
        <v>1082</v>
      </c>
      <c r="C484" t="s">
        <v>3357</v>
      </c>
      <c r="E484" t="s">
        <v>6289</v>
      </c>
      <c r="F484" t="s">
        <v>3358</v>
      </c>
      <c r="G484">
        <v>0</v>
      </c>
      <c r="H484" t="s">
        <v>3056</v>
      </c>
      <c r="I484">
        <v>138</v>
      </c>
      <c r="K484" t="s">
        <v>2972</v>
      </c>
    </row>
    <row r="485" spans="1:11" hidden="1">
      <c r="A485">
        <v>101</v>
      </c>
      <c r="B485" t="s">
        <v>1082</v>
      </c>
      <c r="C485" t="s">
        <v>3359</v>
      </c>
      <c r="E485" t="s">
        <v>6289</v>
      </c>
      <c r="F485" t="s">
        <v>3360</v>
      </c>
      <c r="G485">
        <v>0</v>
      </c>
      <c r="H485" t="s">
        <v>3056</v>
      </c>
      <c r="I485">
        <v>148</v>
      </c>
      <c r="K485" t="s">
        <v>2972</v>
      </c>
    </row>
    <row r="486" spans="1:11" hidden="1">
      <c r="A486">
        <v>102</v>
      </c>
      <c r="B486" t="s">
        <v>1082</v>
      </c>
      <c r="C486" t="s">
        <v>3361</v>
      </c>
      <c r="E486" t="s">
        <v>6289</v>
      </c>
      <c r="F486" t="s">
        <v>3362</v>
      </c>
      <c r="G486">
        <v>0</v>
      </c>
      <c r="H486" t="s">
        <v>3056</v>
      </c>
      <c r="I486">
        <v>10009</v>
      </c>
      <c r="K486" t="s">
        <v>2972</v>
      </c>
    </row>
    <row r="487" spans="1:11" hidden="1">
      <c r="A487">
        <v>103</v>
      </c>
      <c r="B487" t="s">
        <v>1082</v>
      </c>
      <c r="C487" t="s">
        <v>3363</v>
      </c>
      <c r="E487" t="s">
        <v>6289</v>
      </c>
      <c r="F487" t="s">
        <v>3364</v>
      </c>
      <c r="G487">
        <v>0</v>
      </c>
      <c r="H487" t="s">
        <v>3056</v>
      </c>
      <c r="I487">
        <v>146</v>
      </c>
      <c r="K487" t="s">
        <v>2972</v>
      </c>
    </row>
    <row r="488" spans="1:11" hidden="1">
      <c r="A488">
        <v>104</v>
      </c>
      <c r="B488" t="s">
        <v>1082</v>
      </c>
      <c r="C488" t="s">
        <v>3365</v>
      </c>
      <c r="E488" t="s">
        <v>6289</v>
      </c>
      <c r="F488" t="s">
        <v>3366</v>
      </c>
      <c r="G488">
        <v>0</v>
      </c>
      <c r="H488" t="s">
        <v>3056</v>
      </c>
      <c r="I488">
        <v>160</v>
      </c>
      <c r="K488" t="s">
        <v>2972</v>
      </c>
    </row>
    <row r="489" spans="1:11" hidden="1">
      <c r="A489">
        <v>105</v>
      </c>
      <c r="B489" t="s">
        <v>1082</v>
      </c>
      <c r="C489" t="s">
        <v>3367</v>
      </c>
      <c r="E489" t="s">
        <v>6289</v>
      </c>
      <c r="F489" t="s">
        <v>3368</v>
      </c>
      <c r="G489">
        <v>0</v>
      </c>
      <c r="H489" t="s">
        <v>3056</v>
      </c>
      <c r="I489">
        <v>116</v>
      </c>
      <c r="K489" t="s">
        <v>2972</v>
      </c>
    </row>
    <row r="490" spans="1:11" hidden="1">
      <c r="A490">
        <v>106</v>
      </c>
      <c r="B490" t="s">
        <v>1082</v>
      </c>
      <c r="C490" t="s">
        <v>3369</v>
      </c>
      <c r="E490" t="s">
        <v>6289</v>
      </c>
      <c r="F490" t="s">
        <v>3370</v>
      </c>
      <c r="G490">
        <v>0</v>
      </c>
      <c r="H490" t="s">
        <v>3056</v>
      </c>
      <c r="I490">
        <v>117</v>
      </c>
      <c r="K490" t="s">
        <v>2972</v>
      </c>
    </row>
    <row r="491" spans="1:11" hidden="1">
      <c r="A491">
        <v>107</v>
      </c>
      <c r="B491" t="s">
        <v>1082</v>
      </c>
      <c r="C491" t="s">
        <v>3371</v>
      </c>
      <c r="E491" t="s">
        <v>6289</v>
      </c>
      <c r="F491" t="s">
        <v>3372</v>
      </c>
      <c r="G491">
        <v>0</v>
      </c>
      <c r="H491" t="s">
        <v>3056</v>
      </c>
      <c r="I491">
        <v>10094</v>
      </c>
      <c r="K491" t="s">
        <v>2972</v>
      </c>
    </row>
    <row r="492" spans="1:11" hidden="1">
      <c r="A492">
        <v>108</v>
      </c>
      <c r="B492" t="s">
        <v>1082</v>
      </c>
      <c r="C492" t="s">
        <v>3373</v>
      </c>
      <c r="E492" t="s">
        <v>6289</v>
      </c>
      <c r="F492" t="s">
        <v>3374</v>
      </c>
      <c r="G492">
        <v>0</v>
      </c>
      <c r="H492" t="s">
        <v>3056</v>
      </c>
      <c r="I492">
        <v>118</v>
      </c>
      <c r="K492" t="s">
        <v>2972</v>
      </c>
    </row>
    <row r="493" spans="1:11" hidden="1">
      <c r="A493">
        <v>109</v>
      </c>
      <c r="B493" t="s">
        <v>1082</v>
      </c>
      <c r="C493" t="s">
        <v>3375</v>
      </c>
      <c r="E493" t="s">
        <v>6289</v>
      </c>
      <c r="F493" t="s">
        <v>3376</v>
      </c>
      <c r="G493">
        <v>0</v>
      </c>
      <c r="H493" t="s">
        <v>3056</v>
      </c>
      <c r="I493">
        <v>156</v>
      </c>
      <c r="K493" t="s">
        <v>2972</v>
      </c>
    </row>
    <row r="494" spans="1:11" hidden="1">
      <c r="A494">
        <v>110</v>
      </c>
      <c r="B494" t="s">
        <v>1082</v>
      </c>
      <c r="C494" t="s">
        <v>3377</v>
      </c>
      <c r="E494" t="s">
        <v>6289</v>
      </c>
      <c r="F494" t="s">
        <v>3378</v>
      </c>
      <c r="G494">
        <v>0</v>
      </c>
      <c r="H494" t="s">
        <v>3056</v>
      </c>
      <c r="I494">
        <v>157</v>
      </c>
      <c r="K494" t="s">
        <v>2972</v>
      </c>
    </row>
    <row r="495" spans="1:11" hidden="1">
      <c r="A495">
        <v>111</v>
      </c>
      <c r="B495" t="s">
        <v>1082</v>
      </c>
      <c r="C495" t="s">
        <v>3379</v>
      </c>
      <c r="E495" t="s">
        <v>6289</v>
      </c>
      <c r="F495" t="s">
        <v>3380</v>
      </c>
      <c r="G495">
        <v>0</v>
      </c>
      <c r="H495" t="s">
        <v>3056</v>
      </c>
      <c r="I495">
        <v>98</v>
      </c>
      <c r="K495" t="s">
        <v>2972</v>
      </c>
    </row>
    <row r="496" spans="1:11" hidden="1">
      <c r="A496">
        <v>112</v>
      </c>
      <c r="B496" t="s">
        <v>1082</v>
      </c>
      <c r="C496" t="s">
        <v>3381</v>
      </c>
      <c r="E496" t="s">
        <v>6289</v>
      </c>
      <c r="F496" t="s">
        <v>3382</v>
      </c>
      <c r="G496">
        <v>0</v>
      </c>
      <c r="H496" t="s">
        <v>3056</v>
      </c>
      <c r="I496">
        <v>119</v>
      </c>
      <c r="K496" t="s">
        <v>2972</v>
      </c>
    </row>
    <row r="497" spans="1:11" hidden="1">
      <c r="A497">
        <v>113</v>
      </c>
      <c r="B497" t="s">
        <v>1082</v>
      </c>
      <c r="C497" t="s">
        <v>3383</v>
      </c>
      <c r="E497" t="s">
        <v>6289</v>
      </c>
      <c r="F497" t="s">
        <v>3384</v>
      </c>
      <c r="G497">
        <v>0</v>
      </c>
      <c r="H497" t="s">
        <v>3056</v>
      </c>
      <c r="I497">
        <v>10095</v>
      </c>
      <c r="K497" t="s">
        <v>2972</v>
      </c>
    </row>
    <row r="498" spans="1:11" hidden="1">
      <c r="A498">
        <v>114</v>
      </c>
      <c r="B498" t="s">
        <v>1082</v>
      </c>
      <c r="C498" t="s">
        <v>3385</v>
      </c>
      <c r="E498" t="s">
        <v>6289</v>
      </c>
      <c r="F498" t="s">
        <v>3386</v>
      </c>
      <c r="G498">
        <v>0</v>
      </c>
      <c r="H498" t="s">
        <v>3056</v>
      </c>
      <c r="I498">
        <v>10096</v>
      </c>
      <c r="K498" t="s">
        <v>2972</v>
      </c>
    </row>
    <row r="499" spans="1:11" hidden="1">
      <c r="A499">
        <v>115</v>
      </c>
      <c r="B499" t="s">
        <v>1082</v>
      </c>
      <c r="C499" t="s">
        <v>3387</v>
      </c>
      <c r="E499" t="s">
        <v>6289</v>
      </c>
      <c r="F499" t="s">
        <v>3388</v>
      </c>
      <c r="G499">
        <v>0</v>
      </c>
      <c r="H499" t="s">
        <v>3056</v>
      </c>
      <c r="I499">
        <v>10097</v>
      </c>
      <c r="K499" t="s">
        <v>2972</v>
      </c>
    </row>
    <row r="500" spans="1:11" hidden="1">
      <c r="A500">
        <v>116</v>
      </c>
      <c r="B500" t="s">
        <v>1082</v>
      </c>
      <c r="C500" t="s">
        <v>3389</v>
      </c>
      <c r="E500" t="s">
        <v>6289</v>
      </c>
      <c r="F500" t="s">
        <v>3390</v>
      </c>
      <c r="G500">
        <v>0</v>
      </c>
      <c r="H500" t="s">
        <v>3056</v>
      </c>
      <c r="I500">
        <v>168</v>
      </c>
      <c r="K500" t="s">
        <v>2972</v>
      </c>
    </row>
    <row r="501" spans="1:11" hidden="1">
      <c r="A501">
        <v>117</v>
      </c>
      <c r="B501" t="s">
        <v>1082</v>
      </c>
      <c r="C501" t="s">
        <v>3391</v>
      </c>
      <c r="E501" t="s">
        <v>6289</v>
      </c>
      <c r="F501" t="s">
        <v>3392</v>
      </c>
      <c r="G501">
        <v>0</v>
      </c>
      <c r="H501" t="s">
        <v>3056</v>
      </c>
      <c r="I501">
        <v>128</v>
      </c>
      <c r="K501" t="s">
        <v>2972</v>
      </c>
    </row>
    <row r="502" spans="1:11" hidden="1">
      <c r="A502">
        <v>118</v>
      </c>
      <c r="B502" t="s">
        <v>1082</v>
      </c>
      <c r="C502" t="s">
        <v>3393</v>
      </c>
      <c r="E502" t="s">
        <v>6289</v>
      </c>
      <c r="F502" t="s">
        <v>3394</v>
      </c>
      <c r="G502">
        <v>0</v>
      </c>
      <c r="H502" t="s">
        <v>3056</v>
      </c>
      <c r="I502">
        <v>120</v>
      </c>
      <c r="K502" t="s">
        <v>2972</v>
      </c>
    </row>
    <row r="503" spans="1:11" hidden="1">
      <c r="A503">
        <v>119</v>
      </c>
      <c r="B503" t="s">
        <v>1082</v>
      </c>
      <c r="C503" t="s">
        <v>3395</v>
      </c>
      <c r="E503" t="s">
        <v>6289</v>
      </c>
      <c r="F503" t="s">
        <v>3396</v>
      </c>
      <c r="G503">
        <v>0</v>
      </c>
      <c r="H503" t="s">
        <v>3056</v>
      </c>
      <c r="I503">
        <v>10098</v>
      </c>
      <c r="K503" t="s">
        <v>2972</v>
      </c>
    </row>
    <row r="504" spans="1:11" hidden="1">
      <c r="A504">
        <v>120</v>
      </c>
      <c r="B504" t="s">
        <v>1082</v>
      </c>
      <c r="C504" t="s">
        <v>3397</v>
      </c>
      <c r="E504" t="s">
        <v>6289</v>
      </c>
      <c r="F504" t="s">
        <v>3398</v>
      </c>
      <c r="G504">
        <v>0</v>
      </c>
      <c r="H504" t="s">
        <v>3056</v>
      </c>
      <c r="I504">
        <v>1024</v>
      </c>
      <c r="K504" t="s">
        <v>2972</v>
      </c>
    </row>
    <row r="505" spans="1:11" hidden="1">
      <c r="A505">
        <v>121</v>
      </c>
      <c r="B505" t="s">
        <v>1082</v>
      </c>
      <c r="C505" t="s">
        <v>3399</v>
      </c>
      <c r="E505" t="s">
        <v>6289</v>
      </c>
      <c r="G505">
        <v>0</v>
      </c>
      <c r="H505" t="s">
        <v>3056</v>
      </c>
      <c r="I505">
        <v>2000000153</v>
      </c>
      <c r="K505" t="s">
        <v>2972</v>
      </c>
    </row>
    <row r="506" spans="1:11" hidden="1">
      <c r="A506">
        <v>122</v>
      </c>
      <c r="B506" t="s">
        <v>1082</v>
      </c>
      <c r="C506" t="s">
        <v>3400</v>
      </c>
      <c r="E506" t="s">
        <v>6289</v>
      </c>
      <c r="F506" t="s">
        <v>3401</v>
      </c>
      <c r="G506">
        <v>0</v>
      </c>
      <c r="H506" t="s">
        <v>3056</v>
      </c>
      <c r="I506">
        <v>180</v>
      </c>
      <c r="K506" t="s">
        <v>2972</v>
      </c>
    </row>
    <row r="507" spans="1:11" hidden="1">
      <c r="A507">
        <v>123</v>
      </c>
      <c r="B507" t="s">
        <v>1082</v>
      </c>
      <c r="C507" t="s">
        <v>3402</v>
      </c>
      <c r="E507" t="s">
        <v>6289</v>
      </c>
      <c r="F507" t="s">
        <v>3403</v>
      </c>
      <c r="G507">
        <v>0</v>
      </c>
      <c r="H507" t="s">
        <v>3056</v>
      </c>
      <c r="I507">
        <v>10099</v>
      </c>
      <c r="K507" t="s">
        <v>2972</v>
      </c>
    </row>
    <row r="508" spans="1:11" hidden="1">
      <c r="A508">
        <v>124</v>
      </c>
      <c r="B508" t="s">
        <v>1082</v>
      </c>
      <c r="C508" t="s">
        <v>3404</v>
      </c>
      <c r="E508" t="s">
        <v>6289</v>
      </c>
      <c r="F508" t="s">
        <v>3405</v>
      </c>
      <c r="G508">
        <v>0</v>
      </c>
      <c r="H508" t="s">
        <v>3056</v>
      </c>
      <c r="I508">
        <v>175</v>
      </c>
      <c r="K508" t="s">
        <v>2972</v>
      </c>
    </row>
    <row r="509" spans="1:11" hidden="1">
      <c r="A509">
        <v>125</v>
      </c>
      <c r="B509" t="s">
        <v>1082</v>
      </c>
      <c r="C509" t="s">
        <v>3406</v>
      </c>
      <c r="E509" t="s">
        <v>6289</v>
      </c>
      <c r="F509" t="s">
        <v>3407</v>
      </c>
      <c r="G509">
        <v>0</v>
      </c>
      <c r="H509" t="s">
        <v>3056</v>
      </c>
      <c r="I509">
        <v>137</v>
      </c>
      <c r="K509" t="s">
        <v>2972</v>
      </c>
    </row>
    <row r="510" spans="1:11" hidden="1">
      <c r="A510">
        <v>126</v>
      </c>
      <c r="B510" t="s">
        <v>1082</v>
      </c>
      <c r="C510" t="s">
        <v>3408</v>
      </c>
      <c r="E510" t="s">
        <v>6289</v>
      </c>
      <c r="F510" t="s">
        <v>3409</v>
      </c>
      <c r="G510">
        <v>0</v>
      </c>
      <c r="H510" t="s">
        <v>3056</v>
      </c>
      <c r="I510">
        <v>10027</v>
      </c>
      <c r="K510" t="s">
        <v>2972</v>
      </c>
    </row>
    <row r="511" spans="1:11" hidden="1">
      <c r="A511">
        <v>127</v>
      </c>
      <c r="B511" t="s">
        <v>1082</v>
      </c>
      <c r="C511" t="s">
        <v>3410</v>
      </c>
      <c r="E511" t="s">
        <v>6289</v>
      </c>
      <c r="F511" t="s">
        <v>3411</v>
      </c>
      <c r="G511">
        <v>0</v>
      </c>
      <c r="H511" t="s">
        <v>3056</v>
      </c>
      <c r="I511">
        <v>10100</v>
      </c>
      <c r="K511" t="s">
        <v>2972</v>
      </c>
    </row>
    <row r="512" spans="1:11" hidden="1">
      <c r="A512">
        <v>128</v>
      </c>
      <c r="B512" t="s">
        <v>1082</v>
      </c>
      <c r="C512" t="s">
        <v>3412</v>
      </c>
      <c r="E512" t="s">
        <v>6289</v>
      </c>
      <c r="F512" t="s">
        <v>3413</v>
      </c>
      <c r="G512">
        <v>0</v>
      </c>
      <c r="H512" t="s">
        <v>3056</v>
      </c>
      <c r="I512">
        <v>155</v>
      </c>
      <c r="K512" t="s">
        <v>2972</v>
      </c>
    </row>
    <row r="513" spans="1:11" hidden="1">
      <c r="A513">
        <v>129</v>
      </c>
      <c r="B513" t="s">
        <v>1082</v>
      </c>
      <c r="C513" t="s">
        <v>3414</v>
      </c>
      <c r="E513" t="s">
        <v>6289</v>
      </c>
      <c r="F513" t="s">
        <v>3415</v>
      </c>
      <c r="G513">
        <v>0</v>
      </c>
      <c r="H513" t="s">
        <v>3056</v>
      </c>
      <c r="I513">
        <v>121</v>
      </c>
      <c r="K513" t="s">
        <v>2972</v>
      </c>
    </row>
    <row r="514" spans="1:11" hidden="1">
      <c r="A514">
        <v>130</v>
      </c>
      <c r="B514" t="s">
        <v>1082</v>
      </c>
      <c r="C514" t="s">
        <v>3416</v>
      </c>
      <c r="E514" t="s">
        <v>6289</v>
      </c>
      <c r="F514" t="s">
        <v>3417</v>
      </c>
      <c r="G514">
        <v>0</v>
      </c>
      <c r="H514" t="s">
        <v>3056</v>
      </c>
      <c r="I514">
        <v>122</v>
      </c>
      <c r="K514" t="s">
        <v>2972</v>
      </c>
    </row>
    <row r="515" spans="1:11" hidden="1">
      <c r="A515">
        <v>131</v>
      </c>
      <c r="B515" t="s">
        <v>1082</v>
      </c>
      <c r="C515" t="s">
        <v>3418</v>
      </c>
      <c r="E515" t="s">
        <v>6289</v>
      </c>
      <c r="G515">
        <v>0</v>
      </c>
      <c r="H515" t="s">
        <v>3056</v>
      </c>
      <c r="I515">
        <v>2000000152</v>
      </c>
      <c r="K515" t="s">
        <v>2972</v>
      </c>
    </row>
    <row r="516" spans="1:11" hidden="1">
      <c r="A516">
        <v>132</v>
      </c>
      <c r="B516" t="s">
        <v>1082</v>
      </c>
      <c r="C516" t="s">
        <v>3419</v>
      </c>
      <c r="E516" t="s">
        <v>6289</v>
      </c>
      <c r="F516" t="s">
        <v>3420</v>
      </c>
      <c r="G516">
        <v>0</v>
      </c>
      <c r="H516" t="s">
        <v>3056</v>
      </c>
      <c r="I516">
        <v>10102</v>
      </c>
      <c r="K516" t="s">
        <v>2972</v>
      </c>
    </row>
    <row r="517" spans="1:11" hidden="1">
      <c r="A517">
        <v>133</v>
      </c>
      <c r="B517" t="s">
        <v>1082</v>
      </c>
      <c r="C517" t="s">
        <v>3421</v>
      </c>
      <c r="E517" t="s">
        <v>6289</v>
      </c>
      <c r="F517" t="s">
        <v>3421</v>
      </c>
      <c r="G517">
        <v>0</v>
      </c>
      <c r="H517" t="s">
        <v>3056</v>
      </c>
      <c r="I517">
        <v>123</v>
      </c>
      <c r="K517" t="s">
        <v>2972</v>
      </c>
    </row>
    <row r="518" spans="1:11" hidden="1">
      <c r="A518">
        <v>134</v>
      </c>
      <c r="B518" t="s">
        <v>1082</v>
      </c>
      <c r="C518" t="s">
        <v>3422</v>
      </c>
      <c r="E518" t="s">
        <v>6289</v>
      </c>
      <c r="F518" t="s">
        <v>3423</v>
      </c>
      <c r="G518">
        <v>0</v>
      </c>
      <c r="H518" t="s">
        <v>3056</v>
      </c>
      <c r="I518">
        <v>152</v>
      </c>
      <c r="K518" t="s">
        <v>2972</v>
      </c>
    </row>
    <row r="519" spans="1:11" hidden="1">
      <c r="A519">
        <v>135</v>
      </c>
      <c r="B519" t="s">
        <v>1082</v>
      </c>
      <c r="C519" t="s">
        <v>3424</v>
      </c>
      <c r="E519" t="s">
        <v>6289</v>
      </c>
      <c r="F519" t="s">
        <v>3425</v>
      </c>
      <c r="G519">
        <v>0</v>
      </c>
      <c r="H519" t="s">
        <v>3056</v>
      </c>
      <c r="I519">
        <v>149</v>
      </c>
      <c r="K519" t="s">
        <v>2972</v>
      </c>
    </row>
    <row r="520" spans="1:11" hidden="1">
      <c r="A520">
        <v>136</v>
      </c>
      <c r="B520" t="s">
        <v>1082</v>
      </c>
      <c r="C520" t="s">
        <v>3426</v>
      </c>
      <c r="E520" t="s">
        <v>6289</v>
      </c>
      <c r="F520" t="s">
        <v>3427</v>
      </c>
      <c r="G520">
        <v>0</v>
      </c>
      <c r="H520" t="s">
        <v>3056</v>
      </c>
      <c r="I520">
        <v>124</v>
      </c>
      <c r="K520" t="s">
        <v>2972</v>
      </c>
    </row>
    <row r="521" spans="1:11" hidden="1">
      <c r="A521">
        <v>137</v>
      </c>
      <c r="B521" t="s">
        <v>1082</v>
      </c>
      <c r="C521" t="s">
        <v>3428</v>
      </c>
      <c r="E521" t="s">
        <v>6289</v>
      </c>
      <c r="F521" t="s">
        <v>3429</v>
      </c>
      <c r="G521">
        <v>0</v>
      </c>
      <c r="H521" t="s">
        <v>3056</v>
      </c>
      <c r="I521">
        <v>10001</v>
      </c>
      <c r="K521" t="s">
        <v>2972</v>
      </c>
    </row>
    <row r="522" spans="1:11" hidden="1">
      <c r="A522">
        <v>138</v>
      </c>
      <c r="B522" t="s">
        <v>1082</v>
      </c>
      <c r="C522" t="s">
        <v>3430</v>
      </c>
      <c r="E522" t="s">
        <v>6289</v>
      </c>
      <c r="F522" t="s">
        <v>3431</v>
      </c>
      <c r="G522">
        <v>0</v>
      </c>
      <c r="H522" t="s">
        <v>3056</v>
      </c>
      <c r="I522">
        <v>10101</v>
      </c>
      <c r="K522" t="s">
        <v>2972</v>
      </c>
    </row>
    <row r="523" spans="1:11" hidden="1">
      <c r="A523">
        <v>139</v>
      </c>
      <c r="B523" t="s">
        <v>1082</v>
      </c>
      <c r="C523" t="s">
        <v>3432</v>
      </c>
      <c r="E523" t="s">
        <v>6289</v>
      </c>
      <c r="F523" t="s">
        <v>3433</v>
      </c>
      <c r="G523">
        <v>0</v>
      </c>
      <c r="H523" t="s">
        <v>3056</v>
      </c>
      <c r="I523">
        <v>126</v>
      </c>
      <c r="K523" t="s">
        <v>2972</v>
      </c>
    </row>
    <row r="524" spans="1:11" hidden="1">
      <c r="A524">
        <v>1</v>
      </c>
      <c r="B524" t="s">
        <v>3434</v>
      </c>
      <c r="C524" t="s">
        <v>3435</v>
      </c>
      <c r="E524" t="s">
        <v>6289</v>
      </c>
      <c r="G524">
        <v>0</v>
      </c>
      <c r="H524" t="s">
        <v>3056</v>
      </c>
      <c r="I524">
        <v>17820</v>
      </c>
      <c r="K524" t="s">
        <v>2972</v>
      </c>
    </row>
    <row r="525" spans="1:11" hidden="1">
      <c r="A525">
        <v>2</v>
      </c>
      <c r="B525" t="s">
        <v>3434</v>
      </c>
      <c r="C525" t="s">
        <v>1086</v>
      </c>
      <c r="E525" t="s">
        <v>6289</v>
      </c>
      <c r="G525">
        <v>0</v>
      </c>
      <c r="H525" t="s">
        <v>3056</v>
      </c>
      <c r="I525">
        <v>17810</v>
      </c>
      <c r="K525" t="s">
        <v>2972</v>
      </c>
    </row>
    <row r="526" spans="1:11" hidden="1">
      <c r="A526">
        <v>11900</v>
      </c>
      <c r="B526" t="s">
        <v>4077</v>
      </c>
      <c r="C526" t="s">
        <v>4078</v>
      </c>
      <c r="E526" t="s">
        <v>6289</v>
      </c>
      <c r="H526" t="s">
        <v>3056</v>
      </c>
      <c r="I526">
        <v>11900</v>
      </c>
      <c r="K526">
        <v>0</v>
      </c>
    </row>
    <row r="527" spans="1:11" hidden="1">
      <c r="A527">
        <v>11910</v>
      </c>
      <c r="B527" t="s">
        <v>4077</v>
      </c>
      <c r="C527" t="s">
        <v>4042</v>
      </c>
      <c r="E527" t="s">
        <v>6289</v>
      </c>
      <c r="H527" t="s">
        <v>3056</v>
      </c>
      <c r="I527">
        <v>11910</v>
      </c>
      <c r="K527">
        <v>0</v>
      </c>
    </row>
    <row r="528" spans="1:11" hidden="1">
      <c r="A528">
        <v>11920</v>
      </c>
      <c r="B528" t="s">
        <v>4077</v>
      </c>
      <c r="C528" t="s">
        <v>4033</v>
      </c>
      <c r="E528" t="s">
        <v>6289</v>
      </c>
      <c r="H528" t="s">
        <v>3056</v>
      </c>
      <c r="I528">
        <v>11920</v>
      </c>
      <c r="K528">
        <v>0</v>
      </c>
    </row>
    <row r="529" spans="1:11" hidden="1">
      <c r="A529">
        <v>6170</v>
      </c>
      <c r="B529" t="s">
        <v>4079</v>
      </c>
      <c r="C529" t="s">
        <v>4083</v>
      </c>
      <c r="E529" t="s">
        <v>6289</v>
      </c>
      <c r="H529" t="s">
        <v>3056</v>
      </c>
      <c r="I529">
        <v>6170</v>
      </c>
      <c r="K529">
        <v>0</v>
      </c>
    </row>
    <row r="530" spans="1:11" hidden="1">
      <c r="A530">
        <v>6180</v>
      </c>
      <c r="B530" t="s">
        <v>4079</v>
      </c>
      <c r="C530" t="s">
        <v>4084</v>
      </c>
      <c r="E530" t="s">
        <v>6289</v>
      </c>
      <c r="H530" t="s">
        <v>3056</v>
      </c>
      <c r="I530">
        <v>6180</v>
      </c>
      <c r="K530">
        <v>0</v>
      </c>
    </row>
    <row r="531" spans="1:11" hidden="1">
      <c r="A531">
        <v>6190</v>
      </c>
      <c r="B531" t="s">
        <v>4079</v>
      </c>
      <c r="C531" t="s">
        <v>3069</v>
      </c>
      <c r="E531" t="s">
        <v>6289</v>
      </c>
      <c r="H531" t="s">
        <v>3056</v>
      </c>
      <c r="I531">
        <v>6190</v>
      </c>
      <c r="K531">
        <v>0</v>
      </c>
    </row>
    <row r="532" spans="1:11" hidden="1">
      <c r="A532">
        <v>6200</v>
      </c>
      <c r="B532" t="s">
        <v>4079</v>
      </c>
      <c r="C532" t="s">
        <v>4082</v>
      </c>
      <c r="E532" t="s">
        <v>6289</v>
      </c>
      <c r="H532" t="s">
        <v>3056</v>
      </c>
      <c r="I532">
        <v>6200</v>
      </c>
      <c r="K532">
        <v>0</v>
      </c>
    </row>
    <row r="533" spans="1:11" hidden="1">
      <c r="A533">
        <v>17850</v>
      </c>
      <c r="B533" t="s">
        <v>4079</v>
      </c>
      <c r="C533" t="s">
        <v>4080</v>
      </c>
      <c r="E533" t="s">
        <v>6289</v>
      </c>
      <c r="H533" t="s">
        <v>3056</v>
      </c>
      <c r="I533">
        <v>17850</v>
      </c>
      <c r="K533">
        <v>0</v>
      </c>
    </row>
    <row r="534" spans="1:11" hidden="1">
      <c r="A534">
        <v>100083</v>
      </c>
      <c r="B534" t="s">
        <v>4079</v>
      </c>
      <c r="C534" t="s">
        <v>4081</v>
      </c>
      <c r="E534" t="s">
        <v>6289</v>
      </c>
      <c r="H534" t="s">
        <v>3056</v>
      </c>
      <c r="I534">
        <v>100083</v>
      </c>
      <c r="K534">
        <v>0</v>
      </c>
    </row>
    <row r="535" spans="1:11" hidden="1">
      <c r="A535">
        <v>11870</v>
      </c>
      <c r="B535" t="s">
        <v>4085</v>
      </c>
      <c r="C535" t="s">
        <v>3057</v>
      </c>
      <c r="E535" t="s">
        <v>6289</v>
      </c>
      <c r="H535" t="s">
        <v>3056</v>
      </c>
      <c r="I535">
        <v>11870</v>
      </c>
      <c r="K535">
        <v>0</v>
      </c>
    </row>
    <row r="536" spans="1:11" hidden="1">
      <c r="A536">
        <v>11880</v>
      </c>
      <c r="B536" t="s">
        <v>4085</v>
      </c>
      <c r="C536" t="s">
        <v>3058</v>
      </c>
      <c r="E536" t="s">
        <v>6289</v>
      </c>
      <c r="H536" t="s">
        <v>3056</v>
      </c>
      <c r="I536">
        <v>11880</v>
      </c>
      <c r="K536">
        <v>0</v>
      </c>
    </row>
    <row r="537" spans="1:11" hidden="1">
      <c r="A537">
        <v>11890</v>
      </c>
      <c r="B537" t="s">
        <v>4085</v>
      </c>
      <c r="C537" t="s">
        <v>3059</v>
      </c>
      <c r="E537" t="s">
        <v>6289</v>
      </c>
      <c r="H537" t="s">
        <v>3056</v>
      </c>
      <c r="I537">
        <v>11890</v>
      </c>
      <c r="K537">
        <v>0</v>
      </c>
    </row>
    <row r="538" spans="1:11" hidden="1">
      <c r="A538">
        <v>11820</v>
      </c>
      <c r="B538" t="s">
        <v>4086</v>
      </c>
      <c r="C538" t="s">
        <v>4080</v>
      </c>
      <c r="E538" t="s">
        <v>6289</v>
      </c>
      <c r="H538" t="s">
        <v>3056</v>
      </c>
      <c r="I538">
        <v>11820</v>
      </c>
      <c r="K538">
        <v>0</v>
      </c>
    </row>
    <row r="539" spans="1:11" hidden="1">
      <c r="A539">
        <v>11830</v>
      </c>
      <c r="B539" t="s">
        <v>4086</v>
      </c>
      <c r="C539" t="s">
        <v>4087</v>
      </c>
      <c r="E539" t="s">
        <v>6289</v>
      </c>
      <c r="H539" t="s">
        <v>3056</v>
      </c>
      <c r="I539">
        <v>11830</v>
      </c>
      <c r="K539">
        <v>0</v>
      </c>
    </row>
    <row r="540" spans="1:11" hidden="1">
      <c r="A540">
        <v>11840</v>
      </c>
      <c r="B540" t="s">
        <v>4086</v>
      </c>
      <c r="C540" t="s">
        <v>4088</v>
      </c>
      <c r="E540" t="s">
        <v>6289</v>
      </c>
      <c r="H540" t="s">
        <v>3056</v>
      </c>
      <c r="I540">
        <v>11840</v>
      </c>
      <c r="K540">
        <v>0</v>
      </c>
    </row>
    <row r="541" spans="1:11" hidden="1">
      <c r="A541">
        <v>11850</v>
      </c>
      <c r="B541" t="s">
        <v>4086</v>
      </c>
      <c r="C541" t="s">
        <v>3069</v>
      </c>
      <c r="E541" t="s">
        <v>6289</v>
      </c>
      <c r="H541" t="s">
        <v>3056</v>
      </c>
      <c r="I541">
        <v>11850</v>
      </c>
      <c r="K541">
        <v>0</v>
      </c>
    </row>
    <row r="542" spans="1:11" hidden="1">
      <c r="A542">
        <v>11860</v>
      </c>
      <c r="B542" t="s">
        <v>4086</v>
      </c>
      <c r="C542" t="s">
        <v>4089</v>
      </c>
      <c r="E542" t="s">
        <v>6289</v>
      </c>
      <c r="H542" t="s">
        <v>3056</v>
      </c>
      <c r="I542">
        <v>11860</v>
      </c>
      <c r="K542">
        <v>0</v>
      </c>
    </row>
    <row r="543" spans="1:11" hidden="1">
      <c r="A543">
        <v>5049</v>
      </c>
      <c r="B543" t="s">
        <v>4090</v>
      </c>
      <c r="C543" t="s">
        <v>4091</v>
      </c>
      <c r="E543" t="s">
        <v>6289</v>
      </c>
      <c r="H543" t="s">
        <v>3056</v>
      </c>
      <c r="I543">
        <v>5049</v>
      </c>
      <c r="K543">
        <v>0</v>
      </c>
    </row>
    <row r="544" spans="1:11" hidden="1">
      <c r="A544">
        <v>5050</v>
      </c>
      <c r="B544" t="s">
        <v>4090</v>
      </c>
      <c r="C544" t="s">
        <v>4092</v>
      </c>
      <c r="E544" t="s">
        <v>6289</v>
      </c>
      <c r="H544" t="s">
        <v>3056</v>
      </c>
      <c r="I544">
        <v>5050</v>
      </c>
      <c r="K544">
        <v>0</v>
      </c>
    </row>
    <row r="545" spans="1:11" hidden="1">
      <c r="A545">
        <v>5051</v>
      </c>
      <c r="B545" t="s">
        <v>4090</v>
      </c>
      <c r="C545" t="s">
        <v>4036</v>
      </c>
      <c r="E545" t="s">
        <v>6289</v>
      </c>
      <c r="H545" t="s">
        <v>3056</v>
      </c>
      <c r="I545">
        <v>5051</v>
      </c>
      <c r="K545">
        <v>0</v>
      </c>
    </row>
    <row r="546" spans="1:11" hidden="1">
      <c r="A546">
        <v>5052</v>
      </c>
      <c r="B546" t="s">
        <v>4090</v>
      </c>
      <c r="C546" t="s">
        <v>4093</v>
      </c>
      <c r="E546" t="s">
        <v>6289</v>
      </c>
      <c r="H546" t="s">
        <v>3056</v>
      </c>
      <c r="I546">
        <v>5052</v>
      </c>
      <c r="K546">
        <v>0</v>
      </c>
    </row>
    <row r="547" spans="1:11" hidden="1">
      <c r="A547">
        <v>5053</v>
      </c>
      <c r="B547" t="s">
        <v>4090</v>
      </c>
      <c r="C547" t="s">
        <v>4094</v>
      </c>
      <c r="E547" t="s">
        <v>6289</v>
      </c>
      <c r="H547" t="s">
        <v>3056</v>
      </c>
      <c r="I547">
        <v>5053</v>
      </c>
      <c r="K547">
        <v>0</v>
      </c>
    </row>
    <row r="548" spans="1:11" hidden="1">
      <c r="A548">
        <v>5054</v>
      </c>
      <c r="B548" t="s">
        <v>4090</v>
      </c>
      <c r="C548" t="s">
        <v>2117</v>
      </c>
      <c r="E548" t="s">
        <v>6289</v>
      </c>
      <c r="H548" t="s">
        <v>3056</v>
      </c>
      <c r="I548">
        <v>5054</v>
      </c>
      <c r="K548">
        <v>0</v>
      </c>
    </row>
    <row r="549" spans="1:11" hidden="1">
      <c r="A549">
        <v>5055</v>
      </c>
      <c r="B549" t="s">
        <v>4090</v>
      </c>
      <c r="C549" t="s">
        <v>4095</v>
      </c>
      <c r="E549" t="s">
        <v>6289</v>
      </c>
      <c r="H549" t="s">
        <v>3056</v>
      </c>
      <c r="I549">
        <v>5055</v>
      </c>
      <c r="K549">
        <v>0</v>
      </c>
    </row>
    <row r="550" spans="1:11" hidden="1">
      <c r="A550">
        <v>5056</v>
      </c>
      <c r="B550" t="s">
        <v>4090</v>
      </c>
      <c r="C550" t="s">
        <v>4096</v>
      </c>
      <c r="E550" t="s">
        <v>6289</v>
      </c>
      <c r="H550" t="s">
        <v>3056</v>
      </c>
      <c r="I550">
        <v>5056</v>
      </c>
      <c r="K550">
        <v>0</v>
      </c>
    </row>
    <row r="551" spans="1:11" hidden="1">
      <c r="A551">
        <v>5057</v>
      </c>
      <c r="B551" t="s">
        <v>4090</v>
      </c>
      <c r="C551" t="s">
        <v>3847</v>
      </c>
      <c r="E551" t="s">
        <v>6289</v>
      </c>
      <c r="H551" t="s">
        <v>3056</v>
      </c>
      <c r="I551">
        <v>5057</v>
      </c>
      <c r="K551">
        <v>0</v>
      </c>
    </row>
    <row r="552" spans="1:11" hidden="1">
      <c r="A552">
        <v>5058</v>
      </c>
      <c r="B552" t="s">
        <v>4090</v>
      </c>
      <c r="C552" t="s">
        <v>4097</v>
      </c>
      <c r="E552" t="s">
        <v>6289</v>
      </c>
      <c r="H552" t="s">
        <v>3056</v>
      </c>
      <c r="I552">
        <v>5058</v>
      </c>
      <c r="K552">
        <v>0</v>
      </c>
    </row>
    <row r="553" spans="1:11" hidden="1">
      <c r="A553">
        <v>5059</v>
      </c>
      <c r="B553" t="s">
        <v>4090</v>
      </c>
      <c r="C553" t="s">
        <v>4098</v>
      </c>
      <c r="E553" t="s">
        <v>6289</v>
      </c>
      <c r="H553" t="s">
        <v>3056</v>
      </c>
      <c r="I553">
        <v>5059</v>
      </c>
      <c r="K553">
        <v>0</v>
      </c>
    </row>
    <row r="554" spans="1:11" hidden="1">
      <c r="A554">
        <v>5060</v>
      </c>
      <c r="B554" t="s">
        <v>4090</v>
      </c>
      <c r="C554" t="s">
        <v>4099</v>
      </c>
      <c r="E554" t="s">
        <v>6289</v>
      </c>
      <c r="H554" t="s">
        <v>3056</v>
      </c>
      <c r="I554">
        <v>5060</v>
      </c>
      <c r="K554">
        <v>0</v>
      </c>
    </row>
    <row r="555" spans="1:11" hidden="1">
      <c r="A555">
        <v>5061</v>
      </c>
      <c r="B555" t="s">
        <v>4090</v>
      </c>
      <c r="C555" t="s">
        <v>4078</v>
      </c>
      <c r="E555" t="s">
        <v>6289</v>
      </c>
      <c r="H555" t="s">
        <v>3056</v>
      </c>
      <c r="I555">
        <v>5061</v>
      </c>
      <c r="K555">
        <v>0</v>
      </c>
    </row>
    <row r="556" spans="1:11" hidden="1">
      <c r="A556">
        <v>5062</v>
      </c>
      <c r="B556" t="s">
        <v>4090</v>
      </c>
      <c r="C556" t="s">
        <v>4100</v>
      </c>
      <c r="E556" t="s">
        <v>6289</v>
      </c>
      <c r="H556" t="s">
        <v>3056</v>
      </c>
      <c r="I556">
        <v>5062</v>
      </c>
      <c r="K556">
        <v>0</v>
      </c>
    </row>
    <row r="557" spans="1:11" hidden="1">
      <c r="A557">
        <v>6210</v>
      </c>
      <c r="B557" t="s">
        <v>4101</v>
      </c>
      <c r="C557" t="s">
        <v>3954</v>
      </c>
      <c r="E557" t="s">
        <v>6289</v>
      </c>
      <c r="H557" t="s">
        <v>3056</v>
      </c>
      <c r="I557">
        <v>6210</v>
      </c>
      <c r="K557">
        <v>0</v>
      </c>
    </row>
    <row r="558" spans="1:11" hidden="1">
      <c r="A558">
        <v>6220</v>
      </c>
      <c r="B558" t="s">
        <v>4101</v>
      </c>
      <c r="C558" t="s">
        <v>4119</v>
      </c>
      <c r="E558" t="s">
        <v>6289</v>
      </c>
      <c r="H558" t="s">
        <v>3056</v>
      </c>
      <c r="I558">
        <v>6220</v>
      </c>
      <c r="K558">
        <v>0</v>
      </c>
    </row>
    <row r="559" spans="1:11" hidden="1">
      <c r="A559">
        <v>18720</v>
      </c>
      <c r="B559" t="s">
        <v>4101</v>
      </c>
      <c r="C559" t="s">
        <v>4102</v>
      </c>
      <c r="E559" t="s">
        <v>6289</v>
      </c>
      <c r="H559" t="s">
        <v>3056</v>
      </c>
      <c r="I559">
        <v>18720</v>
      </c>
      <c r="K559">
        <v>0</v>
      </c>
    </row>
    <row r="560" spans="1:11" hidden="1">
      <c r="A560">
        <v>18730</v>
      </c>
      <c r="B560" t="s">
        <v>4101</v>
      </c>
      <c r="C560" t="s">
        <v>4103</v>
      </c>
      <c r="E560" t="s">
        <v>6289</v>
      </c>
      <c r="H560" t="s">
        <v>3056</v>
      </c>
      <c r="I560">
        <v>18730</v>
      </c>
      <c r="K560">
        <v>0</v>
      </c>
    </row>
    <row r="561" spans="1:11" hidden="1">
      <c r="A561">
        <v>18740</v>
      </c>
      <c r="B561" t="s">
        <v>4101</v>
      </c>
      <c r="C561" t="s">
        <v>4104</v>
      </c>
      <c r="E561" t="s">
        <v>6289</v>
      </c>
      <c r="H561" t="s">
        <v>3056</v>
      </c>
      <c r="I561">
        <v>18740</v>
      </c>
      <c r="K561">
        <v>0</v>
      </c>
    </row>
    <row r="562" spans="1:11" hidden="1">
      <c r="A562">
        <v>18750</v>
      </c>
      <c r="B562" t="s">
        <v>4101</v>
      </c>
      <c r="C562" t="s">
        <v>4105</v>
      </c>
      <c r="E562" t="s">
        <v>6289</v>
      </c>
      <c r="H562" t="s">
        <v>3056</v>
      </c>
      <c r="I562">
        <v>18750</v>
      </c>
      <c r="K562">
        <v>0</v>
      </c>
    </row>
    <row r="563" spans="1:11" hidden="1">
      <c r="A563">
        <v>18760</v>
      </c>
      <c r="B563" t="s">
        <v>4101</v>
      </c>
      <c r="C563" t="s">
        <v>4106</v>
      </c>
      <c r="E563" t="s">
        <v>6289</v>
      </c>
      <c r="H563" t="s">
        <v>3056</v>
      </c>
      <c r="I563">
        <v>18760</v>
      </c>
      <c r="K563">
        <v>0</v>
      </c>
    </row>
    <row r="564" spans="1:11" hidden="1">
      <c r="A564">
        <v>18770</v>
      </c>
      <c r="B564" t="s">
        <v>4101</v>
      </c>
      <c r="C564" t="s">
        <v>4107</v>
      </c>
      <c r="E564" t="s">
        <v>6289</v>
      </c>
      <c r="H564" t="s">
        <v>3056</v>
      </c>
      <c r="I564">
        <v>18770</v>
      </c>
      <c r="K564">
        <v>0</v>
      </c>
    </row>
    <row r="565" spans="1:11" hidden="1">
      <c r="A565">
        <v>18780</v>
      </c>
      <c r="B565" t="s">
        <v>4101</v>
      </c>
      <c r="C565" t="s">
        <v>4108</v>
      </c>
      <c r="E565" t="s">
        <v>6289</v>
      </c>
      <c r="H565" t="s">
        <v>3056</v>
      </c>
      <c r="I565">
        <v>18780</v>
      </c>
      <c r="K565">
        <v>0</v>
      </c>
    </row>
    <row r="566" spans="1:11" hidden="1">
      <c r="A566">
        <v>18800</v>
      </c>
      <c r="B566" t="s">
        <v>4101</v>
      </c>
      <c r="C566" t="s">
        <v>3952</v>
      </c>
      <c r="E566" t="s">
        <v>6289</v>
      </c>
      <c r="H566" t="s">
        <v>3056</v>
      </c>
      <c r="I566">
        <v>18800</v>
      </c>
      <c r="K566">
        <v>0</v>
      </c>
    </row>
    <row r="567" spans="1:11" hidden="1">
      <c r="A567">
        <v>18810</v>
      </c>
      <c r="B567" t="s">
        <v>4101</v>
      </c>
      <c r="C567" t="s">
        <v>4109</v>
      </c>
      <c r="E567" t="s">
        <v>6289</v>
      </c>
      <c r="H567" t="s">
        <v>3056</v>
      </c>
      <c r="I567">
        <v>18810</v>
      </c>
      <c r="K567">
        <v>0</v>
      </c>
    </row>
    <row r="568" spans="1:11" hidden="1">
      <c r="A568">
        <v>18820</v>
      </c>
      <c r="B568" t="s">
        <v>4101</v>
      </c>
      <c r="C568" t="s">
        <v>4110</v>
      </c>
      <c r="E568" t="s">
        <v>6289</v>
      </c>
      <c r="H568" t="s">
        <v>3056</v>
      </c>
      <c r="I568">
        <v>18820</v>
      </c>
      <c r="K568">
        <v>0</v>
      </c>
    </row>
    <row r="569" spans="1:11" hidden="1">
      <c r="A569">
        <v>18830</v>
      </c>
      <c r="B569" t="s">
        <v>4101</v>
      </c>
      <c r="C569" t="s">
        <v>4111</v>
      </c>
      <c r="E569" t="s">
        <v>6289</v>
      </c>
      <c r="H569" t="s">
        <v>3056</v>
      </c>
      <c r="I569">
        <v>18830</v>
      </c>
      <c r="K569">
        <v>0</v>
      </c>
    </row>
    <row r="570" spans="1:11" hidden="1">
      <c r="A570">
        <v>18840</v>
      </c>
      <c r="B570" t="s">
        <v>4101</v>
      </c>
      <c r="C570" t="s">
        <v>4112</v>
      </c>
      <c r="E570" t="s">
        <v>6289</v>
      </c>
      <c r="H570" t="s">
        <v>3056</v>
      </c>
      <c r="I570">
        <v>18840</v>
      </c>
      <c r="K570">
        <v>0</v>
      </c>
    </row>
    <row r="571" spans="1:11" hidden="1">
      <c r="A571">
        <v>18860</v>
      </c>
      <c r="B571" t="s">
        <v>4101</v>
      </c>
      <c r="C571" t="s">
        <v>4113</v>
      </c>
      <c r="E571" t="s">
        <v>6289</v>
      </c>
      <c r="H571" t="s">
        <v>3056</v>
      </c>
      <c r="I571">
        <v>18860</v>
      </c>
      <c r="K571">
        <v>0</v>
      </c>
    </row>
    <row r="572" spans="1:11" hidden="1">
      <c r="A572">
        <v>18870</v>
      </c>
      <c r="B572" t="s">
        <v>4101</v>
      </c>
      <c r="C572" t="s">
        <v>4114</v>
      </c>
      <c r="E572" t="s">
        <v>6289</v>
      </c>
      <c r="H572" t="s">
        <v>3056</v>
      </c>
      <c r="I572">
        <v>18870</v>
      </c>
      <c r="K572">
        <v>0</v>
      </c>
    </row>
    <row r="573" spans="1:11" hidden="1">
      <c r="A573">
        <v>18880</v>
      </c>
      <c r="B573" t="s">
        <v>4101</v>
      </c>
      <c r="C573" t="s">
        <v>4115</v>
      </c>
      <c r="E573" t="s">
        <v>6289</v>
      </c>
      <c r="H573" t="s">
        <v>3056</v>
      </c>
      <c r="I573">
        <v>18880</v>
      </c>
      <c r="K573">
        <v>0</v>
      </c>
    </row>
    <row r="574" spans="1:11" hidden="1">
      <c r="A574">
        <v>18890</v>
      </c>
      <c r="B574" t="s">
        <v>4101</v>
      </c>
      <c r="C574" t="s">
        <v>4116</v>
      </c>
      <c r="E574" t="s">
        <v>6289</v>
      </c>
      <c r="H574" t="s">
        <v>3056</v>
      </c>
      <c r="I574">
        <v>18890</v>
      </c>
      <c r="K574">
        <v>0</v>
      </c>
    </row>
    <row r="575" spans="1:11" hidden="1">
      <c r="A575">
        <v>18900</v>
      </c>
      <c r="B575" t="s">
        <v>4101</v>
      </c>
      <c r="C575" t="s">
        <v>4117</v>
      </c>
      <c r="E575" t="s">
        <v>6289</v>
      </c>
      <c r="H575" t="s">
        <v>3056</v>
      </c>
      <c r="I575">
        <v>18900</v>
      </c>
      <c r="K575">
        <v>0</v>
      </c>
    </row>
    <row r="576" spans="1:11" hidden="1">
      <c r="A576">
        <v>18910</v>
      </c>
      <c r="B576" t="s">
        <v>4101</v>
      </c>
      <c r="C576" t="s">
        <v>4118</v>
      </c>
      <c r="E576" t="s">
        <v>6289</v>
      </c>
      <c r="H576" t="s">
        <v>3056</v>
      </c>
      <c r="I576">
        <v>18910</v>
      </c>
      <c r="K576">
        <v>0</v>
      </c>
    </row>
    <row r="577" spans="1:11" hidden="1">
      <c r="A577">
        <v>18920</v>
      </c>
      <c r="B577" t="s">
        <v>4101</v>
      </c>
      <c r="C577" t="s">
        <v>4120</v>
      </c>
      <c r="E577" t="s">
        <v>6289</v>
      </c>
      <c r="H577" t="s">
        <v>3056</v>
      </c>
      <c r="I577">
        <v>18920</v>
      </c>
      <c r="K577">
        <v>0</v>
      </c>
    </row>
    <row r="578" spans="1:11" hidden="1">
      <c r="A578">
        <v>15960</v>
      </c>
      <c r="B578" t="s">
        <v>4121</v>
      </c>
      <c r="C578" t="s">
        <v>3770</v>
      </c>
      <c r="E578" t="s">
        <v>6289</v>
      </c>
      <c r="H578" t="s">
        <v>3056</v>
      </c>
      <c r="I578">
        <v>15960</v>
      </c>
      <c r="K578">
        <v>0</v>
      </c>
    </row>
    <row r="579" spans="1:11" hidden="1">
      <c r="A579">
        <v>15970</v>
      </c>
      <c r="B579" t="s">
        <v>4121</v>
      </c>
      <c r="C579" t="s">
        <v>3774</v>
      </c>
      <c r="E579" t="s">
        <v>6289</v>
      </c>
      <c r="H579" t="s">
        <v>3056</v>
      </c>
      <c r="I579">
        <v>15970</v>
      </c>
      <c r="K579">
        <v>0</v>
      </c>
    </row>
    <row r="580" spans="1:11" hidden="1">
      <c r="A580">
        <v>100105</v>
      </c>
      <c r="B580" t="s">
        <v>4121</v>
      </c>
      <c r="C580" t="s">
        <v>4122</v>
      </c>
      <c r="E580" t="s">
        <v>6289</v>
      </c>
      <c r="H580" t="s">
        <v>3056</v>
      </c>
      <c r="I580">
        <v>100105</v>
      </c>
      <c r="K580">
        <v>0</v>
      </c>
    </row>
    <row r="581" spans="1:11" hidden="1">
      <c r="A581">
        <v>100138</v>
      </c>
      <c r="B581" t="s">
        <v>4121</v>
      </c>
      <c r="C581" t="s">
        <v>3871</v>
      </c>
      <c r="E581" t="s">
        <v>6289</v>
      </c>
      <c r="H581" t="s">
        <v>3056</v>
      </c>
      <c r="I581">
        <v>100138</v>
      </c>
      <c r="K581">
        <v>0</v>
      </c>
    </row>
    <row r="582" spans="1:11" hidden="1">
      <c r="A582">
        <v>100146</v>
      </c>
      <c r="B582" t="s">
        <v>4123</v>
      </c>
      <c r="C582" t="s">
        <v>4124</v>
      </c>
      <c r="E582" t="s">
        <v>6289</v>
      </c>
      <c r="H582" t="s">
        <v>3056</v>
      </c>
      <c r="I582">
        <v>100146</v>
      </c>
      <c r="K582">
        <v>0</v>
      </c>
    </row>
    <row r="583" spans="1:11" hidden="1">
      <c r="A583">
        <v>100147</v>
      </c>
      <c r="B583" t="s">
        <v>4123</v>
      </c>
      <c r="C583" t="s">
        <v>4127</v>
      </c>
      <c r="E583" t="s">
        <v>6289</v>
      </c>
      <c r="H583" t="s">
        <v>3056</v>
      </c>
      <c r="I583">
        <v>100147</v>
      </c>
      <c r="K583">
        <v>0</v>
      </c>
    </row>
    <row r="584" spans="1:11" hidden="1">
      <c r="A584">
        <v>100148</v>
      </c>
      <c r="B584" t="s">
        <v>4123</v>
      </c>
      <c r="C584" t="s">
        <v>4125</v>
      </c>
      <c r="E584" t="s">
        <v>6289</v>
      </c>
      <c r="H584" t="s">
        <v>3056</v>
      </c>
      <c r="I584">
        <v>100148</v>
      </c>
      <c r="K584">
        <v>0</v>
      </c>
    </row>
    <row r="585" spans="1:11" hidden="1">
      <c r="A585">
        <v>100149</v>
      </c>
      <c r="B585" t="s">
        <v>4123</v>
      </c>
      <c r="C585" t="s">
        <v>4126</v>
      </c>
      <c r="E585" t="s">
        <v>6289</v>
      </c>
      <c r="H585" t="s">
        <v>3056</v>
      </c>
      <c r="I585">
        <v>100149</v>
      </c>
      <c r="K585">
        <v>0</v>
      </c>
    </row>
    <row r="586" spans="1:11" hidden="1">
      <c r="A586">
        <v>100150</v>
      </c>
      <c r="B586" t="s">
        <v>4123</v>
      </c>
      <c r="C586" t="s">
        <v>4033</v>
      </c>
      <c r="E586" t="s">
        <v>6289</v>
      </c>
      <c r="H586" t="s">
        <v>3056</v>
      </c>
      <c r="I586">
        <v>100150</v>
      </c>
      <c r="K586">
        <v>0</v>
      </c>
    </row>
    <row r="587" spans="1:11" hidden="1">
      <c r="A587">
        <v>100151</v>
      </c>
      <c r="B587" t="s">
        <v>4123</v>
      </c>
      <c r="C587" t="s">
        <v>4128</v>
      </c>
      <c r="E587" t="s">
        <v>6289</v>
      </c>
      <c r="H587" t="s">
        <v>3056</v>
      </c>
      <c r="I587">
        <v>100151</v>
      </c>
      <c r="K587">
        <v>0</v>
      </c>
    </row>
    <row r="588" spans="1:11" hidden="1">
      <c r="A588">
        <v>100152</v>
      </c>
      <c r="B588" t="s">
        <v>4123</v>
      </c>
      <c r="C588" t="s">
        <v>4129</v>
      </c>
      <c r="E588" t="s">
        <v>6289</v>
      </c>
      <c r="H588" t="s">
        <v>3056</v>
      </c>
      <c r="I588">
        <v>100152</v>
      </c>
      <c r="K588">
        <v>0</v>
      </c>
    </row>
    <row r="589" spans="1:11" hidden="1">
      <c r="A589">
        <v>100110</v>
      </c>
      <c r="B589" t="s">
        <v>4130</v>
      </c>
      <c r="C589" t="s">
        <v>4135</v>
      </c>
      <c r="E589" t="s">
        <v>6289</v>
      </c>
      <c r="H589" t="s">
        <v>3056</v>
      </c>
      <c r="I589">
        <v>100110</v>
      </c>
      <c r="K589">
        <v>0</v>
      </c>
    </row>
    <row r="590" spans="1:11" hidden="1">
      <c r="A590">
        <v>100111</v>
      </c>
      <c r="B590" t="s">
        <v>4130</v>
      </c>
      <c r="C590" t="s">
        <v>4134</v>
      </c>
      <c r="E590" t="s">
        <v>6289</v>
      </c>
      <c r="H590" t="s">
        <v>3056</v>
      </c>
      <c r="I590">
        <v>100111</v>
      </c>
      <c r="K590">
        <v>0</v>
      </c>
    </row>
    <row r="591" spans="1:11" hidden="1">
      <c r="A591">
        <v>100112</v>
      </c>
      <c r="B591" t="s">
        <v>4130</v>
      </c>
      <c r="C591" t="s">
        <v>4137</v>
      </c>
      <c r="E591" t="s">
        <v>6289</v>
      </c>
      <c r="H591" t="s">
        <v>3056</v>
      </c>
      <c r="I591">
        <v>100112</v>
      </c>
      <c r="K591">
        <v>0</v>
      </c>
    </row>
    <row r="592" spans="1:11" hidden="1">
      <c r="A592">
        <v>2000000128</v>
      </c>
      <c r="B592" t="s">
        <v>4130</v>
      </c>
      <c r="C592" t="s">
        <v>4138</v>
      </c>
      <c r="E592" t="s">
        <v>6289</v>
      </c>
      <c r="H592" t="s">
        <v>3056</v>
      </c>
      <c r="I592">
        <v>2000000128</v>
      </c>
      <c r="K592">
        <v>0</v>
      </c>
    </row>
    <row r="593" spans="1:11" hidden="1">
      <c r="A593">
        <v>2000000129</v>
      </c>
      <c r="B593" t="s">
        <v>4130</v>
      </c>
      <c r="C593" t="s">
        <v>4132</v>
      </c>
      <c r="E593" t="s">
        <v>6289</v>
      </c>
      <c r="H593" t="s">
        <v>3056</v>
      </c>
      <c r="I593">
        <v>2000000129</v>
      </c>
      <c r="K593">
        <v>0</v>
      </c>
    </row>
    <row r="594" spans="1:11" hidden="1">
      <c r="A594">
        <v>2000000130</v>
      </c>
      <c r="B594" t="s">
        <v>4130</v>
      </c>
      <c r="C594" t="s">
        <v>4143</v>
      </c>
      <c r="E594" t="s">
        <v>6289</v>
      </c>
      <c r="H594" t="s">
        <v>3056</v>
      </c>
      <c r="I594">
        <v>2000000130</v>
      </c>
      <c r="K594">
        <v>0</v>
      </c>
    </row>
    <row r="595" spans="1:11" hidden="1">
      <c r="A595">
        <v>2000000131</v>
      </c>
      <c r="B595" t="s">
        <v>4130</v>
      </c>
      <c r="C595" t="s">
        <v>4131</v>
      </c>
      <c r="E595" t="s">
        <v>6289</v>
      </c>
      <c r="H595" t="s">
        <v>3056</v>
      </c>
      <c r="I595">
        <v>2000000131</v>
      </c>
      <c r="K595">
        <v>0</v>
      </c>
    </row>
    <row r="596" spans="1:11" hidden="1">
      <c r="A596">
        <v>2000000132</v>
      </c>
      <c r="B596" t="s">
        <v>4130</v>
      </c>
      <c r="C596" t="s">
        <v>4140</v>
      </c>
      <c r="E596" t="s">
        <v>6289</v>
      </c>
      <c r="H596" t="s">
        <v>3056</v>
      </c>
      <c r="I596">
        <v>2000000132</v>
      </c>
      <c r="K596">
        <v>0</v>
      </c>
    </row>
    <row r="597" spans="1:11" hidden="1">
      <c r="A597">
        <v>2000000133</v>
      </c>
      <c r="B597" t="s">
        <v>4130</v>
      </c>
      <c r="C597" t="s">
        <v>4139</v>
      </c>
      <c r="E597" t="s">
        <v>6289</v>
      </c>
      <c r="H597" t="s">
        <v>3056</v>
      </c>
      <c r="I597">
        <v>2000000133</v>
      </c>
      <c r="K597">
        <v>0</v>
      </c>
    </row>
    <row r="598" spans="1:11" hidden="1">
      <c r="A598">
        <v>2000000134</v>
      </c>
      <c r="B598" t="s">
        <v>4130</v>
      </c>
      <c r="C598" t="s">
        <v>4133</v>
      </c>
      <c r="E598" t="s">
        <v>6289</v>
      </c>
      <c r="H598" t="s">
        <v>3056</v>
      </c>
      <c r="I598">
        <v>2000000134</v>
      </c>
      <c r="K598">
        <v>0</v>
      </c>
    </row>
    <row r="599" spans="1:11" hidden="1">
      <c r="A599">
        <v>2000000135</v>
      </c>
      <c r="B599" t="s">
        <v>4130</v>
      </c>
      <c r="C599" t="s">
        <v>4142</v>
      </c>
      <c r="E599" t="s">
        <v>6289</v>
      </c>
      <c r="H599" t="s">
        <v>3056</v>
      </c>
      <c r="I599">
        <v>2000000135</v>
      </c>
      <c r="K599">
        <v>0</v>
      </c>
    </row>
    <row r="600" spans="1:11" hidden="1">
      <c r="A600">
        <v>2000000136</v>
      </c>
      <c r="B600" t="s">
        <v>4130</v>
      </c>
      <c r="C600" t="s">
        <v>4144</v>
      </c>
      <c r="E600" t="s">
        <v>6289</v>
      </c>
      <c r="H600" t="s">
        <v>3056</v>
      </c>
      <c r="I600">
        <v>2000000136</v>
      </c>
      <c r="K600">
        <v>0</v>
      </c>
    </row>
    <row r="601" spans="1:11" hidden="1">
      <c r="A601">
        <v>2000000137</v>
      </c>
      <c r="B601" t="s">
        <v>4130</v>
      </c>
      <c r="C601" t="s">
        <v>4141</v>
      </c>
      <c r="E601" t="s">
        <v>6289</v>
      </c>
      <c r="H601" t="s">
        <v>3056</v>
      </c>
      <c r="I601">
        <v>2000000137</v>
      </c>
      <c r="K601">
        <v>0</v>
      </c>
    </row>
    <row r="602" spans="1:11" hidden="1">
      <c r="A602">
        <v>2000000138</v>
      </c>
      <c r="B602" t="s">
        <v>4130</v>
      </c>
      <c r="C602" t="s">
        <v>3120</v>
      </c>
      <c r="E602" t="s">
        <v>6289</v>
      </c>
      <c r="H602" t="s">
        <v>3056</v>
      </c>
      <c r="I602">
        <v>2000000138</v>
      </c>
      <c r="K602">
        <v>0</v>
      </c>
    </row>
    <row r="603" spans="1:11" hidden="1">
      <c r="A603">
        <v>2000000139</v>
      </c>
      <c r="B603" t="s">
        <v>4130</v>
      </c>
      <c r="C603" t="s">
        <v>4136</v>
      </c>
      <c r="E603" t="s">
        <v>6289</v>
      </c>
      <c r="H603" t="s">
        <v>3056</v>
      </c>
      <c r="I603">
        <v>2000000139</v>
      </c>
      <c r="K603">
        <v>0</v>
      </c>
    </row>
    <row r="604" spans="1:11" hidden="1">
      <c r="A604">
        <v>2000000140</v>
      </c>
      <c r="B604" t="s">
        <v>4130</v>
      </c>
      <c r="C604" t="s">
        <v>3069</v>
      </c>
      <c r="E604" t="s">
        <v>6289</v>
      </c>
      <c r="H604" t="s">
        <v>3056</v>
      </c>
      <c r="I604">
        <v>2000000140</v>
      </c>
      <c r="K604">
        <v>0</v>
      </c>
    </row>
    <row r="605" spans="1:11" hidden="1">
      <c r="A605">
        <v>420</v>
      </c>
      <c r="B605" t="s">
        <v>4145</v>
      </c>
      <c r="C605" t="s">
        <v>4146</v>
      </c>
      <c r="E605" t="s">
        <v>6289</v>
      </c>
      <c r="F605" t="s">
        <v>92</v>
      </c>
      <c r="H605" t="s">
        <v>3056</v>
      </c>
      <c r="I605">
        <v>420</v>
      </c>
      <c r="K605">
        <v>0</v>
      </c>
    </row>
    <row r="606" spans="1:11" hidden="1">
      <c r="A606">
        <v>421</v>
      </c>
      <c r="B606" t="s">
        <v>4145</v>
      </c>
      <c r="C606" t="s">
        <v>4148</v>
      </c>
      <c r="E606" t="s">
        <v>6289</v>
      </c>
      <c r="F606" t="s">
        <v>919</v>
      </c>
      <c r="H606" t="s">
        <v>3056</v>
      </c>
      <c r="I606">
        <v>421</v>
      </c>
      <c r="K606">
        <v>0</v>
      </c>
    </row>
    <row r="607" spans="1:11" hidden="1">
      <c r="A607">
        <v>100021</v>
      </c>
      <c r="B607" t="s">
        <v>4145</v>
      </c>
      <c r="C607" t="s">
        <v>4147</v>
      </c>
      <c r="E607" t="s">
        <v>6289</v>
      </c>
      <c r="H607" t="s">
        <v>3056</v>
      </c>
      <c r="I607">
        <v>100021</v>
      </c>
      <c r="K607">
        <v>0</v>
      </c>
    </row>
    <row r="608" spans="1:11" hidden="1">
      <c r="A608">
        <v>100081</v>
      </c>
      <c r="B608" t="s">
        <v>4149</v>
      </c>
      <c r="C608" t="s">
        <v>4150</v>
      </c>
      <c r="E608" t="s">
        <v>6289</v>
      </c>
      <c r="H608" t="s">
        <v>3056</v>
      </c>
      <c r="I608">
        <v>100081</v>
      </c>
      <c r="K608">
        <v>0</v>
      </c>
    </row>
    <row r="609" spans="1:11" hidden="1">
      <c r="A609">
        <v>1701</v>
      </c>
      <c r="B609" t="s">
        <v>4151</v>
      </c>
      <c r="C609" t="s">
        <v>3069</v>
      </c>
      <c r="E609" t="s">
        <v>6289</v>
      </c>
      <c r="F609" t="s">
        <v>4163</v>
      </c>
      <c r="H609" t="s">
        <v>3056</v>
      </c>
      <c r="I609">
        <v>1701</v>
      </c>
      <c r="K609">
        <v>0</v>
      </c>
    </row>
    <row r="610" spans="1:11" hidden="1">
      <c r="A610">
        <v>6240</v>
      </c>
      <c r="B610" t="s">
        <v>4151</v>
      </c>
      <c r="C610" t="s">
        <v>4081</v>
      </c>
      <c r="E610" t="s">
        <v>6289</v>
      </c>
      <c r="F610" t="s">
        <v>4156</v>
      </c>
      <c r="H610" t="s">
        <v>3056</v>
      </c>
      <c r="I610">
        <v>6240</v>
      </c>
      <c r="K610">
        <v>0</v>
      </c>
    </row>
    <row r="611" spans="1:11" hidden="1">
      <c r="A611">
        <v>6250</v>
      </c>
      <c r="B611" t="s">
        <v>4151</v>
      </c>
      <c r="C611" t="s">
        <v>4082</v>
      </c>
      <c r="E611" t="s">
        <v>6289</v>
      </c>
      <c r="F611" t="s">
        <v>4157</v>
      </c>
      <c r="H611" t="s">
        <v>3056</v>
      </c>
      <c r="I611">
        <v>6250</v>
      </c>
      <c r="K611">
        <v>0</v>
      </c>
    </row>
    <row r="612" spans="1:11" hidden="1">
      <c r="A612">
        <v>6260</v>
      </c>
      <c r="B612" t="s">
        <v>4151</v>
      </c>
      <c r="C612" t="s">
        <v>4161</v>
      </c>
      <c r="E612" t="s">
        <v>6289</v>
      </c>
      <c r="F612" t="s">
        <v>4162</v>
      </c>
      <c r="H612" t="s">
        <v>3056</v>
      </c>
      <c r="I612">
        <v>6260</v>
      </c>
      <c r="K612">
        <v>0</v>
      </c>
    </row>
    <row r="613" spans="1:11" hidden="1">
      <c r="A613">
        <v>6270</v>
      </c>
      <c r="B613" t="s">
        <v>4151</v>
      </c>
      <c r="C613" t="s">
        <v>4158</v>
      </c>
      <c r="E613" t="s">
        <v>6289</v>
      </c>
      <c r="F613" t="s">
        <v>4159</v>
      </c>
      <c r="H613" t="s">
        <v>3056</v>
      </c>
      <c r="I613">
        <v>6270</v>
      </c>
      <c r="K613">
        <v>0</v>
      </c>
    </row>
    <row r="614" spans="1:11" hidden="1">
      <c r="A614">
        <v>6280</v>
      </c>
      <c r="B614" t="s">
        <v>4151</v>
      </c>
      <c r="C614" t="s">
        <v>4152</v>
      </c>
      <c r="E614" t="s">
        <v>6289</v>
      </c>
      <c r="F614" t="s">
        <v>4153</v>
      </c>
      <c r="H614" t="s">
        <v>3056</v>
      </c>
      <c r="I614">
        <v>6280</v>
      </c>
      <c r="K614">
        <v>0</v>
      </c>
    </row>
    <row r="615" spans="1:11" hidden="1">
      <c r="A615">
        <v>6290</v>
      </c>
      <c r="B615" t="s">
        <v>4151</v>
      </c>
      <c r="C615" t="s">
        <v>3456</v>
      </c>
      <c r="E615" t="s">
        <v>6289</v>
      </c>
      <c r="F615" t="s">
        <v>4160</v>
      </c>
      <c r="H615" t="s">
        <v>3056</v>
      </c>
      <c r="I615">
        <v>6290</v>
      </c>
      <c r="K615">
        <v>0</v>
      </c>
    </row>
    <row r="616" spans="1:11" hidden="1">
      <c r="A616">
        <v>6300</v>
      </c>
      <c r="B616" t="s">
        <v>4151</v>
      </c>
      <c r="C616" t="s">
        <v>4154</v>
      </c>
      <c r="E616" t="s">
        <v>6289</v>
      </c>
      <c r="F616" t="s">
        <v>4155</v>
      </c>
      <c r="H616" t="s">
        <v>3056</v>
      </c>
      <c r="I616">
        <v>6300</v>
      </c>
      <c r="K616">
        <v>0</v>
      </c>
    </row>
    <row r="617" spans="1:11" hidden="1">
      <c r="A617">
        <v>423</v>
      </c>
      <c r="B617" t="s">
        <v>4164</v>
      </c>
      <c r="C617" t="s">
        <v>4167</v>
      </c>
      <c r="E617" t="s">
        <v>6289</v>
      </c>
      <c r="F617" t="s">
        <v>4168</v>
      </c>
      <c r="H617" t="s">
        <v>3056</v>
      </c>
      <c r="I617">
        <v>423</v>
      </c>
      <c r="K617">
        <v>0</v>
      </c>
    </row>
    <row r="618" spans="1:11" hidden="1">
      <c r="A618">
        <v>10130</v>
      </c>
      <c r="B618" t="s">
        <v>4164</v>
      </c>
      <c r="C618" t="s">
        <v>4169</v>
      </c>
      <c r="E618" t="s">
        <v>6289</v>
      </c>
      <c r="F618" t="s">
        <v>4170</v>
      </c>
      <c r="H618" t="s">
        <v>3056</v>
      </c>
      <c r="I618">
        <v>10130</v>
      </c>
      <c r="K618">
        <v>0</v>
      </c>
    </row>
    <row r="619" spans="1:11" hidden="1">
      <c r="A619">
        <v>10131</v>
      </c>
      <c r="B619" t="s">
        <v>4164</v>
      </c>
      <c r="C619" t="s">
        <v>4165</v>
      </c>
      <c r="E619" t="s">
        <v>6289</v>
      </c>
      <c r="F619" t="s">
        <v>3919</v>
      </c>
      <c r="H619" t="s">
        <v>3056</v>
      </c>
      <c r="I619">
        <v>10131</v>
      </c>
      <c r="K619">
        <v>0</v>
      </c>
    </row>
    <row r="620" spans="1:11" hidden="1">
      <c r="A620">
        <v>10132</v>
      </c>
      <c r="B620" t="s">
        <v>4164</v>
      </c>
      <c r="C620" t="s">
        <v>4166</v>
      </c>
      <c r="E620" t="s">
        <v>6289</v>
      </c>
      <c r="F620" t="s">
        <v>3081</v>
      </c>
      <c r="H620" t="s">
        <v>3056</v>
      </c>
      <c r="I620">
        <v>10132</v>
      </c>
      <c r="K620">
        <v>0</v>
      </c>
    </row>
    <row r="621" spans="1:11" hidden="1">
      <c r="A621">
        <v>100085</v>
      </c>
      <c r="B621" t="s">
        <v>4171</v>
      </c>
      <c r="C621" t="s">
        <v>4165</v>
      </c>
      <c r="E621" t="s">
        <v>6289</v>
      </c>
      <c r="F621" t="s">
        <v>3919</v>
      </c>
      <c r="H621" t="s">
        <v>3056</v>
      </c>
      <c r="I621">
        <v>100085</v>
      </c>
      <c r="K621">
        <v>0</v>
      </c>
    </row>
    <row r="622" spans="1:11" hidden="1">
      <c r="A622">
        <v>100086</v>
      </c>
      <c r="B622" t="s">
        <v>4171</v>
      </c>
      <c r="C622" t="s">
        <v>4166</v>
      </c>
      <c r="E622" t="s">
        <v>6289</v>
      </c>
      <c r="F622" t="s">
        <v>3081</v>
      </c>
      <c r="H622" t="s">
        <v>3056</v>
      </c>
      <c r="I622">
        <v>100086</v>
      </c>
      <c r="K622">
        <v>0</v>
      </c>
    </row>
    <row r="623" spans="1:11" hidden="1">
      <c r="A623">
        <v>100088</v>
      </c>
      <c r="B623" t="s">
        <v>4171</v>
      </c>
      <c r="C623" t="s">
        <v>4167</v>
      </c>
      <c r="E623" t="s">
        <v>6289</v>
      </c>
      <c r="F623" t="s">
        <v>4168</v>
      </c>
      <c r="H623" t="s">
        <v>3056</v>
      </c>
      <c r="I623">
        <v>100088</v>
      </c>
      <c r="K623">
        <v>0</v>
      </c>
    </row>
    <row r="624" spans="1:11" hidden="1">
      <c r="A624">
        <v>100089</v>
      </c>
      <c r="B624" t="s">
        <v>4171</v>
      </c>
      <c r="C624" t="s">
        <v>4169</v>
      </c>
      <c r="E624" t="s">
        <v>6289</v>
      </c>
      <c r="F624" t="s">
        <v>4170</v>
      </c>
      <c r="H624" t="s">
        <v>3056</v>
      </c>
      <c r="I624">
        <v>100089</v>
      </c>
      <c r="K624">
        <v>0</v>
      </c>
    </row>
    <row r="625" spans="1:11" hidden="1">
      <c r="A625">
        <v>100090</v>
      </c>
      <c r="B625" t="s">
        <v>4171</v>
      </c>
      <c r="C625" t="s">
        <v>4128</v>
      </c>
      <c r="E625" t="s">
        <v>6289</v>
      </c>
      <c r="F625" t="s">
        <v>4172</v>
      </c>
      <c r="H625" t="s">
        <v>3056</v>
      </c>
      <c r="I625">
        <v>100090</v>
      </c>
      <c r="K625">
        <v>0</v>
      </c>
    </row>
    <row r="626" spans="1:11" hidden="1">
      <c r="A626">
        <v>11490</v>
      </c>
      <c r="B626" t="s">
        <v>4173</v>
      </c>
      <c r="C626" t="s">
        <v>4174</v>
      </c>
      <c r="E626" t="s">
        <v>6289</v>
      </c>
      <c r="H626" t="s">
        <v>3056</v>
      </c>
      <c r="I626">
        <v>11490</v>
      </c>
      <c r="K626">
        <v>0</v>
      </c>
    </row>
    <row r="627" spans="1:11" hidden="1">
      <c r="A627">
        <v>11500</v>
      </c>
      <c r="B627" t="s">
        <v>4173</v>
      </c>
      <c r="C627" t="s">
        <v>3130</v>
      </c>
      <c r="E627" t="s">
        <v>6289</v>
      </c>
      <c r="H627" t="s">
        <v>3056</v>
      </c>
      <c r="I627">
        <v>11500</v>
      </c>
      <c r="K627">
        <v>0</v>
      </c>
    </row>
    <row r="628" spans="1:11" hidden="1">
      <c r="A628">
        <v>11510</v>
      </c>
      <c r="B628" t="s">
        <v>4173</v>
      </c>
      <c r="C628" t="s">
        <v>3079</v>
      </c>
      <c r="E628" t="s">
        <v>6289</v>
      </c>
      <c r="H628" t="s">
        <v>3056</v>
      </c>
      <c r="I628">
        <v>11510</v>
      </c>
      <c r="K628">
        <v>0</v>
      </c>
    </row>
    <row r="629" spans="1:11" hidden="1">
      <c r="A629">
        <v>6230</v>
      </c>
      <c r="B629" t="s">
        <v>4175</v>
      </c>
      <c r="C629" t="s">
        <v>3899</v>
      </c>
      <c r="E629" t="s">
        <v>6289</v>
      </c>
      <c r="H629" t="s">
        <v>3056</v>
      </c>
      <c r="I629">
        <v>6230</v>
      </c>
      <c r="K629">
        <v>0</v>
      </c>
    </row>
    <row r="630" spans="1:11" hidden="1">
      <c r="A630">
        <v>11660</v>
      </c>
      <c r="B630" t="s">
        <v>4176</v>
      </c>
      <c r="C630" t="s">
        <v>4002</v>
      </c>
      <c r="E630" t="s">
        <v>6289</v>
      </c>
      <c r="H630" t="s">
        <v>3056</v>
      </c>
      <c r="I630">
        <v>11660</v>
      </c>
      <c r="K630">
        <v>0</v>
      </c>
    </row>
    <row r="631" spans="1:11" hidden="1">
      <c r="A631">
        <v>11670</v>
      </c>
      <c r="B631" t="s">
        <v>4176</v>
      </c>
      <c r="C631" t="s">
        <v>4003</v>
      </c>
      <c r="E631" t="s">
        <v>6289</v>
      </c>
      <c r="H631" t="s">
        <v>3056</v>
      </c>
      <c r="I631">
        <v>11670</v>
      </c>
      <c r="K631">
        <v>0</v>
      </c>
    </row>
    <row r="632" spans="1:11" hidden="1">
      <c r="A632">
        <v>11680</v>
      </c>
      <c r="B632" t="s">
        <v>4177</v>
      </c>
      <c r="C632" t="s">
        <v>3072</v>
      </c>
      <c r="E632" t="s">
        <v>6289</v>
      </c>
      <c r="H632" t="s">
        <v>3056</v>
      </c>
      <c r="I632">
        <v>11680</v>
      </c>
      <c r="K632">
        <v>0</v>
      </c>
    </row>
    <row r="633" spans="1:11" hidden="1">
      <c r="A633">
        <v>11690</v>
      </c>
      <c r="B633" t="s">
        <v>4177</v>
      </c>
      <c r="C633" t="s">
        <v>3903</v>
      </c>
      <c r="E633" t="s">
        <v>6289</v>
      </c>
      <c r="H633" t="s">
        <v>3056</v>
      </c>
      <c r="I633">
        <v>11690</v>
      </c>
      <c r="K633">
        <v>0</v>
      </c>
    </row>
    <row r="634" spans="1:11" hidden="1">
      <c r="A634">
        <v>11700</v>
      </c>
      <c r="B634" t="s">
        <v>4177</v>
      </c>
      <c r="C634" t="s">
        <v>3057</v>
      </c>
      <c r="E634" t="s">
        <v>6289</v>
      </c>
      <c r="H634" t="s">
        <v>3056</v>
      </c>
      <c r="I634">
        <v>11700</v>
      </c>
      <c r="K634">
        <v>0</v>
      </c>
    </row>
    <row r="635" spans="1:11" hidden="1">
      <c r="A635">
        <v>11710</v>
      </c>
      <c r="B635" t="s">
        <v>4177</v>
      </c>
      <c r="C635" t="s">
        <v>3058</v>
      </c>
      <c r="E635" t="s">
        <v>6289</v>
      </c>
      <c r="H635" t="s">
        <v>3056</v>
      </c>
      <c r="I635">
        <v>11710</v>
      </c>
      <c r="K635">
        <v>0</v>
      </c>
    </row>
    <row r="636" spans="1:11" hidden="1">
      <c r="A636">
        <v>11720</v>
      </c>
      <c r="B636" t="s">
        <v>4177</v>
      </c>
      <c r="C636" t="s">
        <v>3906</v>
      </c>
      <c r="E636" t="s">
        <v>6289</v>
      </c>
      <c r="H636" t="s">
        <v>3056</v>
      </c>
      <c r="I636">
        <v>11720</v>
      </c>
      <c r="K636">
        <v>0</v>
      </c>
    </row>
    <row r="637" spans="1:11" hidden="1">
      <c r="A637">
        <v>438</v>
      </c>
      <c r="B637" t="s">
        <v>4178</v>
      </c>
      <c r="C637" t="s">
        <v>4182</v>
      </c>
      <c r="E637" t="s">
        <v>6289</v>
      </c>
      <c r="F637" t="s">
        <v>3065</v>
      </c>
      <c r="H637" t="s">
        <v>3056</v>
      </c>
      <c r="I637">
        <v>438</v>
      </c>
      <c r="K637">
        <v>0</v>
      </c>
    </row>
    <row r="638" spans="1:11" hidden="1">
      <c r="A638">
        <v>439</v>
      </c>
      <c r="B638" t="s">
        <v>4178</v>
      </c>
      <c r="C638" t="s">
        <v>4195</v>
      </c>
      <c r="E638" t="s">
        <v>6289</v>
      </c>
      <c r="F638" t="s">
        <v>4196</v>
      </c>
      <c r="H638" t="s">
        <v>3056</v>
      </c>
      <c r="I638">
        <v>439</v>
      </c>
      <c r="K638">
        <v>0</v>
      </c>
    </row>
    <row r="639" spans="1:11" hidden="1">
      <c r="A639">
        <v>440</v>
      </c>
      <c r="B639" t="s">
        <v>4178</v>
      </c>
      <c r="C639" t="s">
        <v>4197</v>
      </c>
      <c r="E639" t="s">
        <v>6289</v>
      </c>
      <c r="F639" t="s">
        <v>3532</v>
      </c>
      <c r="H639" t="s">
        <v>3056</v>
      </c>
      <c r="I639">
        <v>440</v>
      </c>
      <c r="K639">
        <v>0</v>
      </c>
    </row>
    <row r="640" spans="1:11" hidden="1">
      <c r="A640">
        <v>441</v>
      </c>
      <c r="B640" t="s">
        <v>4178</v>
      </c>
      <c r="C640" t="s">
        <v>4183</v>
      </c>
      <c r="E640" t="s">
        <v>6289</v>
      </c>
      <c r="F640" t="s">
        <v>4184</v>
      </c>
      <c r="H640" t="s">
        <v>3056</v>
      </c>
      <c r="I640">
        <v>441</v>
      </c>
      <c r="K640">
        <v>0</v>
      </c>
    </row>
    <row r="641" spans="1:11" hidden="1">
      <c r="A641">
        <v>442</v>
      </c>
      <c r="B641" t="s">
        <v>4178</v>
      </c>
      <c r="C641" t="s">
        <v>4193</v>
      </c>
      <c r="E641" t="s">
        <v>6289</v>
      </c>
      <c r="F641" t="s">
        <v>4194</v>
      </c>
      <c r="H641" t="s">
        <v>3056</v>
      </c>
      <c r="I641">
        <v>442</v>
      </c>
      <c r="K641">
        <v>0</v>
      </c>
    </row>
    <row r="642" spans="1:11" hidden="1">
      <c r="A642">
        <v>443</v>
      </c>
      <c r="B642" t="s">
        <v>4178</v>
      </c>
      <c r="C642" t="s">
        <v>4180</v>
      </c>
      <c r="E642" t="s">
        <v>6289</v>
      </c>
      <c r="F642" t="s">
        <v>4181</v>
      </c>
      <c r="H642" t="s">
        <v>3056</v>
      </c>
      <c r="I642">
        <v>443</v>
      </c>
      <c r="K642">
        <v>0</v>
      </c>
    </row>
    <row r="643" spans="1:11" hidden="1">
      <c r="A643">
        <v>444</v>
      </c>
      <c r="B643" t="s">
        <v>4178</v>
      </c>
      <c r="C643" t="s">
        <v>4185</v>
      </c>
      <c r="E643" t="s">
        <v>6289</v>
      </c>
      <c r="F643" t="s">
        <v>4186</v>
      </c>
      <c r="H643" t="s">
        <v>3056</v>
      </c>
      <c r="I643">
        <v>444</v>
      </c>
      <c r="K643">
        <v>0</v>
      </c>
    </row>
    <row r="644" spans="1:11" hidden="1">
      <c r="A644">
        <v>445</v>
      </c>
      <c r="B644" t="s">
        <v>4178</v>
      </c>
      <c r="C644" t="s">
        <v>4179</v>
      </c>
      <c r="E644" t="s">
        <v>6289</v>
      </c>
      <c r="F644" t="s">
        <v>3129</v>
      </c>
      <c r="H644" t="s">
        <v>3056</v>
      </c>
      <c r="I644">
        <v>445</v>
      </c>
      <c r="K644">
        <v>0</v>
      </c>
    </row>
    <row r="645" spans="1:11" hidden="1">
      <c r="A645">
        <v>446</v>
      </c>
      <c r="B645" t="s">
        <v>4178</v>
      </c>
      <c r="C645" t="s">
        <v>4189</v>
      </c>
      <c r="E645" t="s">
        <v>6289</v>
      </c>
      <c r="F645" t="s">
        <v>171</v>
      </c>
      <c r="H645" t="s">
        <v>3056</v>
      </c>
      <c r="I645">
        <v>446</v>
      </c>
      <c r="K645">
        <v>0</v>
      </c>
    </row>
    <row r="646" spans="1:11" hidden="1">
      <c r="A646">
        <v>10104</v>
      </c>
      <c r="B646" t="s">
        <v>4178</v>
      </c>
      <c r="C646" t="s">
        <v>4190</v>
      </c>
      <c r="E646" t="s">
        <v>6289</v>
      </c>
      <c r="F646" t="s">
        <v>4191</v>
      </c>
      <c r="H646" t="s">
        <v>3056</v>
      </c>
      <c r="I646">
        <v>10104</v>
      </c>
      <c r="K646">
        <v>0</v>
      </c>
    </row>
    <row r="647" spans="1:11" hidden="1">
      <c r="A647">
        <v>10105</v>
      </c>
      <c r="B647" t="s">
        <v>4178</v>
      </c>
      <c r="C647" t="s">
        <v>4187</v>
      </c>
      <c r="E647" t="s">
        <v>6289</v>
      </c>
      <c r="F647" t="s">
        <v>4188</v>
      </c>
      <c r="H647" t="s">
        <v>3056</v>
      </c>
      <c r="I647">
        <v>10105</v>
      </c>
      <c r="K647">
        <v>0</v>
      </c>
    </row>
    <row r="648" spans="1:11" hidden="1">
      <c r="A648">
        <v>10106</v>
      </c>
      <c r="B648" t="s">
        <v>4178</v>
      </c>
      <c r="C648" t="s">
        <v>4192</v>
      </c>
      <c r="E648" t="s">
        <v>6289</v>
      </c>
      <c r="F648" t="s">
        <v>4170</v>
      </c>
      <c r="H648" t="s">
        <v>3056</v>
      </c>
      <c r="I648">
        <v>10106</v>
      </c>
      <c r="K648">
        <v>0</v>
      </c>
    </row>
    <row r="649" spans="1:11" hidden="1">
      <c r="A649">
        <v>49</v>
      </c>
      <c r="B649" t="s">
        <v>4198</v>
      </c>
      <c r="C649" t="s">
        <v>3897</v>
      </c>
      <c r="E649" t="s">
        <v>6289</v>
      </c>
      <c r="F649" t="s">
        <v>3136</v>
      </c>
      <c r="H649" t="s">
        <v>3056</v>
      </c>
      <c r="I649">
        <v>49</v>
      </c>
      <c r="K649">
        <v>0</v>
      </c>
    </row>
    <row r="650" spans="1:11" hidden="1">
      <c r="A650">
        <v>50</v>
      </c>
      <c r="B650" t="s">
        <v>4198</v>
      </c>
      <c r="C650" t="s">
        <v>3898</v>
      </c>
      <c r="E650" t="s">
        <v>6289</v>
      </c>
      <c r="F650" t="s">
        <v>3450</v>
      </c>
      <c r="H650" t="s">
        <v>3056</v>
      </c>
      <c r="I650">
        <v>50</v>
      </c>
      <c r="K650">
        <v>0</v>
      </c>
    </row>
    <row r="651" spans="1:11" hidden="1">
      <c r="A651">
        <v>18</v>
      </c>
      <c r="B651" t="s">
        <v>4199</v>
      </c>
      <c r="C651" t="s">
        <v>4200</v>
      </c>
      <c r="E651" t="s">
        <v>6289</v>
      </c>
      <c r="F651" t="s">
        <v>3066</v>
      </c>
      <c r="H651" t="s">
        <v>3056</v>
      </c>
      <c r="I651">
        <v>18</v>
      </c>
      <c r="K651">
        <v>0</v>
      </c>
    </row>
    <row r="652" spans="1:11" hidden="1">
      <c r="A652">
        <v>802</v>
      </c>
      <c r="B652" t="s">
        <v>4201</v>
      </c>
      <c r="C652" t="s">
        <v>3082</v>
      </c>
      <c r="E652" t="s">
        <v>6289</v>
      </c>
      <c r="H652" t="s">
        <v>3056</v>
      </c>
      <c r="I652">
        <v>802</v>
      </c>
      <c r="K652">
        <v>0</v>
      </c>
    </row>
    <row r="653" spans="1:11" hidden="1">
      <c r="A653">
        <v>803</v>
      </c>
      <c r="B653" t="s">
        <v>4205</v>
      </c>
      <c r="C653" t="s">
        <v>4100</v>
      </c>
      <c r="E653" t="s">
        <v>6289</v>
      </c>
      <c r="H653" t="s">
        <v>3056</v>
      </c>
      <c r="I653">
        <v>803</v>
      </c>
      <c r="K653">
        <v>0</v>
      </c>
    </row>
    <row r="654" spans="1:11" hidden="1">
      <c r="A654">
        <v>804</v>
      </c>
      <c r="B654" t="s">
        <v>4201</v>
      </c>
      <c r="C654" t="s">
        <v>4202</v>
      </c>
      <c r="E654" t="s">
        <v>6289</v>
      </c>
      <c r="H654" t="s">
        <v>3056</v>
      </c>
      <c r="I654">
        <v>804</v>
      </c>
      <c r="K654">
        <v>0</v>
      </c>
    </row>
    <row r="655" spans="1:11" hidden="1">
      <c r="A655">
        <v>805</v>
      </c>
      <c r="B655" t="s">
        <v>4201</v>
      </c>
      <c r="C655" t="s">
        <v>4204</v>
      </c>
      <c r="E655" t="s">
        <v>6289</v>
      </c>
      <c r="H655" t="s">
        <v>3056</v>
      </c>
      <c r="I655">
        <v>805</v>
      </c>
      <c r="K655">
        <v>0</v>
      </c>
    </row>
    <row r="656" spans="1:11" hidden="1">
      <c r="A656">
        <v>806</v>
      </c>
      <c r="B656" t="s">
        <v>4201</v>
      </c>
      <c r="C656" t="s">
        <v>4200</v>
      </c>
      <c r="E656" t="s">
        <v>6289</v>
      </c>
      <c r="H656" t="s">
        <v>3056</v>
      </c>
      <c r="I656">
        <v>806</v>
      </c>
      <c r="K656">
        <v>0</v>
      </c>
    </row>
    <row r="657" spans="1:11" hidden="1">
      <c r="A657">
        <v>807</v>
      </c>
      <c r="B657" t="s">
        <v>4201</v>
      </c>
      <c r="C657" t="s">
        <v>4078</v>
      </c>
      <c r="E657" t="s">
        <v>6289</v>
      </c>
      <c r="H657" t="s">
        <v>3056</v>
      </c>
      <c r="I657">
        <v>807</v>
      </c>
      <c r="K657">
        <v>0</v>
      </c>
    </row>
    <row r="658" spans="1:11" hidden="1">
      <c r="A658">
        <v>1006</v>
      </c>
      <c r="B658" t="s">
        <v>4201</v>
      </c>
      <c r="C658" t="s">
        <v>4203</v>
      </c>
      <c r="E658" t="s">
        <v>6289</v>
      </c>
      <c r="H658" t="s">
        <v>3056</v>
      </c>
      <c r="I658">
        <v>1006</v>
      </c>
      <c r="K658">
        <v>0</v>
      </c>
    </row>
    <row r="659" spans="1:11" hidden="1">
      <c r="A659">
        <v>2000000003</v>
      </c>
      <c r="B659" t="s">
        <v>4206</v>
      </c>
      <c r="C659" t="s">
        <v>132</v>
      </c>
      <c r="D659">
        <v>0</v>
      </c>
      <c r="E659" t="s">
        <v>6289</v>
      </c>
      <c r="F659" t="s">
        <v>2109</v>
      </c>
      <c r="H659" t="s">
        <v>3061</v>
      </c>
      <c r="I659">
        <v>2000000003</v>
      </c>
      <c r="K659">
        <v>0</v>
      </c>
    </row>
    <row r="660" spans="1:11" hidden="1">
      <c r="A660">
        <v>2000000004</v>
      </c>
      <c r="B660" t="s">
        <v>4206</v>
      </c>
      <c r="C660" t="s">
        <v>4207</v>
      </c>
      <c r="D660">
        <v>1</v>
      </c>
      <c r="E660" t="s">
        <v>6289</v>
      </c>
      <c r="F660" t="s">
        <v>3071</v>
      </c>
      <c r="H660" t="s">
        <v>3061</v>
      </c>
      <c r="I660">
        <v>2000000004</v>
      </c>
      <c r="K660">
        <v>0</v>
      </c>
    </row>
    <row r="661" spans="1:11" hidden="1">
      <c r="A661">
        <v>1</v>
      </c>
      <c r="B661" t="s">
        <v>3436</v>
      </c>
      <c r="C661" t="s">
        <v>3440</v>
      </c>
      <c r="E661" t="s">
        <v>6289</v>
      </c>
      <c r="G661">
        <v>0</v>
      </c>
      <c r="H661" t="s">
        <v>3056</v>
      </c>
      <c r="I661">
        <v>18250</v>
      </c>
      <c r="K661" t="s">
        <v>2972</v>
      </c>
    </row>
    <row r="662" spans="1:11" hidden="1">
      <c r="A662">
        <v>2</v>
      </c>
      <c r="B662" t="s">
        <v>3436</v>
      </c>
      <c r="C662" t="s">
        <v>3438</v>
      </c>
      <c r="E662" t="s">
        <v>6289</v>
      </c>
      <c r="G662">
        <v>0</v>
      </c>
      <c r="H662" t="s">
        <v>3056</v>
      </c>
      <c r="I662">
        <v>18190</v>
      </c>
      <c r="K662" t="s">
        <v>2972</v>
      </c>
    </row>
    <row r="663" spans="1:11" hidden="1">
      <c r="A663">
        <v>3</v>
      </c>
      <c r="B663" t="s">
        <v>3436</v>
      </c>
      <c r="C663" t="s">
        <v>3442</v>
      </c>
      <c r="E663" t="s">
        <v>6289</v>
      </c>
      <c r="G663">
        <v>0</v>
      </c>
      <c r="H663" t="s">
        <v>3056</v>
      </c>
      <c r="I663">
        <v>18200</v>
      </c>
      <c r="K663" t="s">
        <v>2972</v>
      </c>
    </row>
    <row r="664" spans="1:11" hidden="1">
      <c r="A664">
        <v>4</v>
      </c>
      <c r="B664" t="s">
        <v>3436</v>
      </c>
      <c r="C664" t="s">
        <v>3443</v>
      </c>
      <c r="E664" t="s">
        <v>6289</v>
      </c>
      <c r="G664">
        <v>0</v>
      </c>
      <c r="H664" t="s">
        <v>3056</v>
      </c>
      <c r="I664">
        <v>18210</v>
      </c>
      <c r="K664" t="s">
        <v>2972</v>
      </c>
    </row>
    <row r="665" spans="1:11" hidden="1">
      <c r="A665">
        <v>5</v>
      </c>
      <c r="B665" t="s">
        <v>3436</v>
      </c>
      <c r="C665" t="s">
        <v>3441</v>
      </c>
      <c r="E665" t="s">
        <v>6289</v>
      </c>
      <c r="G665">
        <v>0</v>
      </c>
      <c r="H665" t="s">
        <v>3056</v>
      </c>
      <c r="I665">
        <v>18220</v>
      </c>
      <c r="K665" t="s">
        <v>2972</v>
      </c>
    </row>
    <row r="666" spans="1:11" hidden="1">
      <c r="A666">
        <v>6</v>
      </c>
      <c r="B666" t="s">
        <v>3436</v>
      </c>
      <c r="C666" t="s">
        <v>3437</v>
      </c>
      <c r="E666" t="s">
        <v>6289</v>
      </c>
      <c r="G666">
        <v>0</v>
      </c>
      <c r="H666" t="s">
        <v>3056</v>
      </c>
      <c r="I666">
        <v>18230</v>
      </c>
      <c r="K666" t="s">
        <v>2972</v>
      </c>
    </row>
    <row r="667" spans="1:11" hidden="1">
      <c r="A667">
        <v>7</v>
      </c>
      <c r="B667" t="s">
        <v>3436</v>
      </c>
      <c r="C667" t="s">
        <v>3439</v>
      </c>
      <c r="E667" t="s">
        <v>6289</v>
      </c>
      <c r="G667">
        <v>0</v>
      </c>
      <c r="H667" t="s">
        <v>3056</v>
      </c>
      <c r="I667">
        <v>18240</v>
      </c>
      <c r="K667" t="s">
        <v>2972</v>
      </c>
    </row>
    <row r="668" spans="1:11" hidden="1">
      <c r="A668">
        <v>595</v>
      </c>
      <c r="B668" t="s">
        <v>4208</v>
      </c>
      <c r="C668" t="s">
        <v>4209</v>
      </c>
      <c r="E668" t="s">
        <v>6289</v>
      </c>
      <c r="F668" t="s">
        <v>3760</v>
      </c>
      <c r="H668" t="s">
        <v>3056</v>
      </c>
      <c r="I668">
        <v>595</v>
      </c>
      <c r="K668">
        <v>0</v>
      </c>
    </row>
    <row r="669" spans="1:11" hidden="1">
      <c r="A669">
        <v>596</v>
      </c>
      <c r="B669" t="s">
        <v>4208</v>
      </c>
      <c r="C669" t="s">
        <v>4210</v>
      </c>
      <c r="E669" t="s">
        <v>6289</v>
      </c>
      <c r="F669" t="s">
        <v>4211</v>
      </c>
      <c r="H669" t="s">
        <v>3056</v>
      </c>
      <c r="I669">
        <v>596</v>
      </c>
      <c r="K669">
        <v>0</v>
      </c>
    </row>
    <row r="670" spans="1:11" hidden="1">
      <c r="A670">
        <v>942</v>
      </c>
      <c r="B670" t="s">
        <v>4208</v>
      </c>
      <c r="C670" t="s">
        <v>3903</v>
      </c>
      <c r="E670" t="s">
        <v>6289</v>
      </c>
      <c r="F670" t="s">
        <v>155</v>
      </c>
      <c r="H670" t="s">
        <v>3056</v>
      </c>
      <c r="I670">
        <v>942</v>
      </c>
      <c r="K670">
        <v>0</v>
      </c>
    </row>
    <row r="671" spans="1:11" hidden="1">
      <c r="A671">
        <v>2000000144</v>
      </c>
      <c r="B671" t="s">
        <v>4208</v>
      </c>
      <c r="C671" t="s">
        <v>3906</v>
      </c>
      <c r="E671" t="s">
        <v>6289</v>
      </c>
      <c r="F671" t="s">
        <v>3071</v>
      </c>
      <c r="H671" t="s">
        <v>3056</v>
      </c>
      <c r="I671">
        <v>2000000144</v>
      </c>
      <c r="K671">
        <v>0</v>
      </c>
    </row>
    <row r="672" spans="1:11" hidden="1">
      <c r="A672">
        <v>6540</v>
      </c>
      <c r="B672" t="s">
        <v>4212</v>
      </c>
      <c r="C672" t="s">
        <v>4213</v>
      </c>
      <c r="E672" t="s">
        <v>6289</v>
      </c>
      <c r="F672" t="s">
        <v>4214</v>
      </c>
      <c r="H672" t="s">
        <v>3056</v>
      </c>
      <c r="I672">
        <v>6540</v>
      </c>
      <c r="K672">
        <v>0</v>
      </c>
    </row>
    <row r="673" spans="1:11" hidden="1">
      <c r="A673">
        <v>11790</v>
      </c>
      <c r="B673" t="s">
        <v>4212</v>
      </c>
      <c r="C673" t="s">
        <v>4215</v>
      </c>
      <c r="E673" t="s">
        <v>6289</v>
      </c>
      <c r="F673" t="s">
        <v>4216</v>
      </c>
      <c r="H673" t="s">
        <v>3056</v>
      </c>
      <c r="I673">
        <v>11790</v>
      </c>
      <c r="K673">
        <v>0</v>
      </c>
    </row>
    <row r="674" spans="1:11" hidden="1">
      <c r="A674">
        <v>11800</v>
      </c>
      <c r="B674" t="s">
        <v>4212</v>
      </c>
      <c r="C674" t="s">
        <v>4217</v>
      </c>
      <c r="E674" t="s">
        <v>6289</v>
      </c>
      <c r="F674" t="s">
        <v>4218</v>
      </c>
      <c r="H674" t="s">
        <v>3056</v>
      </c>
      <c r="I674">
        <v>11800</v>
      </c>
      <c r="K674">
        <v>0</v>
      </c>
    </row>
    <row r="675" spans="1:11" hidden="1">
      <c r="A675">
        <v>662</v>
      </c>
      <c r="B675" t="s">
        <v>1039</v>
      </c>
      <c r="C675" t="s">
        <v>4202</v>
      </c>
      <c r="E675" t="s">
        <v>6289</v>
      </c>
      <c r="F675" t="s">
        <v>142</v>
      </c>
      <c r="H675" t="s">
        <v>3056</v>
      </c>
      <c r="I675">
        <v>662</v>
      </c>
      <c r="K675">
        <v>0</v>
      </c>
    </row>
    <row r="676" spans="1:11" hidden="1">
      <c r="A676">
        <v>721</v>
      </c>
      <c r="B676" t="s">
        <v>1039</v>
      </c>
      <c r="C676" t="s">
        <v>4226</v>
      </c>
      <c r="E676" t="s">
        <v>6289</v>
      </c>
      <c r="F676" t="s">
        <v>3887</v>
      </c>
      <c r="H676" t="s">
        <v>3056</v>
      </c>
      <c r="I676">
        <v>721</v>
      </c>
      <c r="K676">
        <v>0</v>
      </c>
    </row>
    <row r="677" spans="1:11" hidden="1">
      <c r="A677">
        <v>722</v>
      </c>
      <c r="B677" t="s">
        <v>1039</v>
      </c>
      <c r="C677" t="s">
        <v>4227</v>
      </c>
      <c r="E677" t="s">
        <v>6289</v>
      </c>
      <c r="F677" t="s">
        <v>4228</v>
      </c>
      <c r="H677" t="s">
        <v>3056</v>
      </c>
      <c r="I677">
        <v>722</v>
      </c>
      <c r="K677">
        <v>0</v>
      </c>
    </row>
    <row r="678" spans="1:11" hidden="1">
      <c r="A678">
        <v>723</v>
      </c>
      <c r="B678" t="s">
        <v>1039</v>
      </c>
      <c r="C678" t="s">
        <v>4042</v>
      </c>
      <c r="E678" t="s">
        <v>6289</v>
      </c>
      <c r="F678" t="s">
        <v>4234</v>
      </c>
      <c r="H678" t="s">
        <v>3056</v>
      </c>
      <c r="I678">
        <v>723</v>
      </c>
      <c r="K678">
        <v>0</v>
      </c>
    </row>
    <row r="679" spans="1:11" hidden="1">
      <c r="A679">
        <v>724</v>
      </c>
      <c r="B679" t="s">
        <v>1039</v>
      </c>
      <c r="C679" t="s">
        <v>4078</v>
      </c>
      <c r="E679" t="s">
        <v>6289</v>
      </c>
      <c r="F679" t="s">
        <v>3084</v>
      </c>
      <c r="H679" t="s">
        <v>3056</v>
      </c>
      <c r="I679">
        <v>724</v>
      </c>
      <c r="K679">
        <v>0</v>
      </c>
    </row>
    <row r="680" spans="1:11" hidden="1">
      <c r="A680">
        <v>740</v>
      </c>
      <c r="B680" t="s">
        <v>1039</v>
      </c>
      <c r="C680" t="s">
        <v>4204</v>
      </c>
      <c r="E680" t="s">
        <v>6289</v>
      </c>
      <c r="F680" t="s">
        <v>3760</v>
      </c>
      <c r="H680" t="s">
        <v>3056</v>
      </c>
      <c r="I680">
        <v>740</v>
      </c>
      <c r="K680">
        <v>0</v>
      </c>
    </row>
    <row r="681" spans="1:11" hidden="1">
      <c r="A681">
        <v>943</v>
      </c>
      <c r="B681" t="s">
        <v>1039</v>
      </c>
      <c r="C681" t="s">
        <v>4223</v>
      </c>
      <c r="E681" t="s">
        <v>6289</v>
      </c>
      <c r="F681" t="s">
        <v>4224</v>
      </c>
      <c r="H681" t="s">
        <v>3056</v>
      </c>
      <c r="I681">
        <v>943</v>
      </c>
      <c r="K681">
        <v>0</v>
      </c>
    </row>
    <row r="682" spans="1:11" hidden="1">
      <c r="A682">
        <v>944</v>
      </c>
      <c r="B682" t="s">
        <v>1039</v>
      </c>
      <c r="C682" t="s">
        <v>4230</v>
      </c>
      <c r="E682" t="s">
        <v>6289</v>
      </c>
      <c r="F682" t="s">
        <v>4231</v>
      </c>
      <c r="H682" t="s">
        <v>3056</v>
      </c>
      <c r="I682">
        <v>944</v>
      </c>
      <c r="K682">
        <v>0</v>
      </c>
    </row>
    <row r="683" spans="1:11" hidden="1">
      <c r="A683">
        <v>945</v>
      </c>
      <c r="B683" t="s">
        <v>1039</v>
      </c>
      <c r="C683" t="s">
        <v>4233</v>
      </c>
      <c r="E683" t="s">
        <v>6289</v>
      </c>
      <c r="F683" t="s">
        <v>151</v>
      </c>
      <c r="H683" t="s">
        <v>3056</v>
      </c>
      <c r="I683">
        <v>945</v>
      </c>
      <c r="K683">
        <v>0</v>
      </c>
    </row>
    <row r="684" spans="1:11" hidden="1">
      <c r="A684">
        <v>946</v>
      </c>
      <c r="B684" t="s">
        <v>1039</v>
      </c>
      <c r="C684" t="s">
        <v>4100</v>
      </c>
      <c r="E684" t="s">
        <v>6289</v>
      </c>
      <c r="F684" t="s">
        <v>4237</v>
      </c>
      <c r="H684" t="s">
        <v>3056</v>
      </c>
      <c r="I684">
        <v>946</v>
      </c>
      <c r="K684">
        <v>0</v>
      </c>
    </row>
    <row r="685" spans="1:11" hidden="1">
      <c r="A685">
        <v>947</v>
      </c>
      <c r="B685" t="s">
        <v>1039</v>
      </c>
      <c r="C685" t="s">
        <v>4238</v>
      </c>
      <c r="E685" t="s">
        <v>6289</v>
      </c>
      <c r="F685" t="s">
        <v>3122</v>
      </c>
      <c r="H685" t="s">
        <v>3056</v>
      </c>
      <c r="I685">
        <v>947</v>
      </c>
      <c r="K685">
        <v>0</v>
      </c>
    </row>
    <row r="686" spans="1:11" hidden="1">
      <c r="A686">
        <v>948</v>
      </c>
      <c r="B686" t="s">
        <v>1039</v>
      </c>
      <c r="C686" t="s">
        <v>4239</v>
      </c>
      <c r="E686" t="s">
        <v>6289</v>
      </c>
      <c r="F686" t="s">
        <v>4240</v>
      </c>
      <c r="H686" t="s">
        <v>3056</v>
      </c>
      <c r="I686">
        <v>948</v>
      </c>
      <c r="K686">
        <v>0</v>
      </c>
    </row>
    <row r="687" spans="1:11" hidden="1">
      <c r="A687">
        <v>1366</v>
      </c>
      <c r="B687" t="s">
        <v>1039</v>
      </c>
      <c r="C687" t="s">
        <v>4235</v>
      </c>
      <c r="E687" t="s">
        <v>6289</v>
      </c>
      <c r="F687" t="s">
        <v>4236</v>
      </c>
      <c r="H687" t="s">
        <v>3056</v>
      </c>
      <c r="I687">
        <v>1366</v>
      </c>
      <c r="K687">
        <v>0</v>
      </c>
    </row>
    <row r="688" spans="1:11" hidden="1">
      <c r="A688">
        <v>10015</v>
      </c>
      <c r="B688" t="s">
        <v>1039</v>
      </c>
      <c r="C688" t="s">
        <v>3847</v>
      </c>
      <c r="E688" t="s">
        <v>6289</v>
      </c>
      <c r="F688" t="s">
        <v>3848</v>
      </c>
      <c r="H688" t="s">
        <v>3056</v>
      </c>
      <c r="I688">
        <v>10015</v>
      </c>
      <c r="K688">
        <v>0</v>
      </c>
    </row>
    <row r="689" spans="1:11" hidden="1">
      <c r="A689">
        <v>12580</v>
      </c>
      <c r="B689" t="s">
        <v>1039</v>
      </c>
      <c r="C689" t="s">
        <v>4221</v>
      </c>
      <c r="E689" t="s">
        <v>6289</v>
      </c>
      <c r="H689" t="s">
        <v>3056</v>
      </c>
      <c r="I689">
        <v>12580</v>
      </c>
      <c r="K689">
        <v>0</v>
      </c>
    </row>
    <row r="690" spans="1:11" hidden="1">
      <c r="A690">
        <v>12590</v>
      </c>
      <c r="B690" t="s">
        <v>1039</v>
      </c>
      <c r="C690" t="s">
        <v>4229</v>
      </c>
      <c r="E690" t="s">
        <v>6289</v>
      </c>
      <c r="H690" t="s">
        <v>3056</v>
      </c>
      <c r="I690">
        <v>12590</v>
      </c>
      <c r="K690">
        <v>0</v>
      </c>
    </row>
    <row r="691" spans="1:11" hidden="1">
      <c r="A691">
        <v>12600</v>
      </c>
      <c r="B691" t="s">
        <v>1039</v>
      </c>
      <c r="C691" t="s">
        <v>4232</v>
      </c>
      <c r="E691" t="s">
        <v>6289</v>
      </c>
      <c r="H691" t="s">
        <v>3056</v>
      </c>
      <c r="I691">
        <v>12600</v>
      </c>
      <c r="K691">
        <v>0</v>
      </c>
    </row>
    <row r="692" spans="1:11" hidden="1">
      <c r="A692">
        <v>12610</v>
      </c>
      <c r="B692" t="s">
        <v>1039</v>
      </c>
      <c r="C692" t="s">
        <v>4219</v>
      </c>
      <c r="E692" t="s">
        <v>6289</v>
      </c>
      <c r="H692" t="s">
        <v>3056</v>
      </c>
      <c r="I692">
        <v>12610</v>
      </c>
      <c r="K692">
        <v>0</v>
      </c>
    </row>
    <row r="693" spans="1:11" hidden="1">
      <c r="A693">
        <v>12620</v>
      </c>
      <c r="B693" t="s">
        <v>1039</v>
      </c>
      <c r="C693" t="s">
        <v>4222</v>
      </c>
      <c r="E693" t="s">
        <v>6289</v>
      </c>
      <c r="H693" t="s">
        <v>3056</v>
      </c>
      <c r="I693">
        <v>12620</v>
      </c>
      <c r="K693">
        <v>0</v>
      </c>
    </row>
    <row r="694" spans="1:11" hidden="1">
      <c r="A694">
        <v>12630</v>
      </c>
      <c r="B694" t="s">
        <v>1039</v>
      </c>
      <c r="C694" t="s">
        <v>4220</v>
      </c>
      <c r="E694" t="s">
        <v>6289</v>
      </c>
      <c r="H694" t="s">
        <v>3056</v>
      </c>
      <c r="I694">
        <v>12630</v>
      </c>
      <c r="K694">
        <v>0</v>
      </c>
    </row>
    <row r="695" spans="1:11" hidden="1">
      <c r="A695">
        <v>12640</v>
      </c>
      <c r="B695" t="s">
        <v>1039</v>
      </c>
      <c r="C695" t="s">
        <v>4225</v>
      </c>
      <c r="E695" t="s">
        <v>6289</v>
      </c>
      <c r="H695" t="s">
        <v>3056</v>
      </c>
      <c r="I695">
        <v>12640</v>
      </c>
      <c r="K695">
        <v>0</v>
      </c>
    </row>
    <row r="696" spans="1:11" hidden="1">
      <c r="A696">
        <v>1</v>
      </c>
      <c r="B696" t="s">
        <v>2132</v>
      </c>
      <c r="C696" t="s">
        <v>3444</v>
      </c>
      <c r="D696">
        <v>2</v>
      </c>
      <c r="E696" t="s">
        <v>6289</v>
      </c>
      <c r="G696">
        <v>0</v>
      </c>
      <c r="H696" t="s">
        <v>3056</v>
      </c>
      <c r="I696">
        <v>715</v>
      </c>
      <c r="K696" t="s">
        <v>2972</v>
      </c>
    </row>
    <row r="697" spans="1:11" hidden="1">
      <c r="A697">
        <v>2</v>
      </c>
      <c r="B697" t="s">
        <v>2132</v>
      </c>
      <c r="C697" t="s">
        <v>3088</v>
      </c>
      <c r="D697">
        <v>1</v>
      </c>
      <c r="E697" t="s">
        <v>6289</v>
      </c>
      <c r="G697">
        <v>0</v>
      </c>
      <c r="H697" t="s">
        <v>3056</v>
      </c>
      <c r="I697">
        <v>714</v>
      </c>
      <c r="K697" t="s">
        <v>2972</v>
      </c>
    </row>
    <row r="698" spans="1:11" hidden="1">
      <c r="A698">
        <v>222</v>
      </c>
      <c r="B698" t="s">
        <v>1384</v>
      </c>
      <c r="C698" t="s">
        <v>4262</v>
      </c>
      <c r="E698" t="s">
        <v>6289</v>
      </c>
      <c r="F698" t="s">
        <v>4263</v>
      </c>
      <c r="H698" t="s">
        <v>3056</v>
      </c>
      <c r="I698">
        <v>222</v>
      </c>
      <c r="K698">
        <v>0</v>
      </c>
    </row>
    <row r="699" spans="1:11" hidden="1">
      <c r="A699">
        <v>223</v>
      </c>
      <c r="B699" t="s">
        <v>1384</v>
      </c>
      <c r="C699" t="s">
        <v>4253</v>
      </c>
      <c r="E699" t="s">
        <v>6289</v>
      </c>
      <c r="F699" t="s">
        <v>3756</v>
      </c>
      <c r="H699" t="s">
        <v>3056</v>
      </c>
      <c r="I699">
        <v>223</v>
      </c>
      <c r="K699">
        <v>0</v>
      </c>
    </row>
    <row r="700" spans="1:11" hidden="1">
      <c r="A700">
        <v>224</v>
      </c>
      <c r="B700" t="s">
        <v>1384</v>
      </c>
      <c r="C700" t="s">
        <v>4258</v>
      </c>
      <c r="E700" t="s">
        <v>6289</v>
      </c>
      <c r="F700" t="s">
        <v>3756</v>
      </c>
      <c r="H700" t="s">
        <v>3056</v>
      </c>
      <c r="I700">
        <v>224</v>
      </c>
      <c r="K700">
        <v>0</v>
      </c>
    </row>
    <row r="701" spans="1:11" hidden="1">
      <c r="A701">
        <v>225</v>
      </c>
      <c r="B701" t="s">
        <v>1384</v>
      </c>
      <c r="C701" t="s">
        <v>4259</v>
      </c>
      <c r="E701" t="s">
        <v>6289</v>
      </c>
      <c r="F701" t="s">
        <v>4260</v>
      </c>
      <c r="H701" t="s">
        <v>3056</v>
      </c>
      <c r="I701">
        <v>225</v>
      </c>
      <c r="K701">
        <v>0</v>
      </c>
    </row>
    <row r="702" spans="1:11" hidden="1">
      <c r="A702">
        <v>226</v>
      </c>
      <c r="B702" t="s">
        <v>1384</v>
      </c>
      <c r="C702" t="s">
        <v>4261</v>
      </c>
      <c r="E702" t="s">
        <v>6289</v>
      </c>
      <c r="F702" t="s">
        <v>3946</v>
      </c>
      <c r="H702" t="s">
        <v>3056</v>
      </c>
      <c r="I702">
        <v>226</v>
      </c>
      <c r="K702">
        <v>0</v>
      </c>
    </row>
    <row r="703" spans="1:11" hidden="1">
      <c r="A703">
        <v>227</v>
      </c>
      <c r="B703" t="s">
        <v>1384</v>
      </c>
      <c r="C703" t="s">
        <v>4303</v>
      </c>
      <c r="E703" t="s">
        <v>6289</v>
      </c>
      <c r="F703" t="s">
        <v>3987</v>
      </c>
      <c r="H703" t="s">
        <v>3056</v>
      </c>
      <c r="I703">
        <v>227</v>
      </c>
      <c r="K703">
        <v>0</v>
      </c>
    </row>
    <row r="704" spans="1:11" hidden="1">
      <c r="A704">
        <v>228</v>
      </c>
      <c r="B704" t="s">
        <v>1384</v>
      </c>
      <c r="C704" t="s">
        <v>4306</v>
      </c>
      <c r="E704" t="s">
        <v>6289</v>
      </c>
      <c r="F704" t="s">
        <v>4307</v>
      </c>
      <c r="H704" t="s">
        <v>3056</v>
      </c>
      <c r="I704">
        <v>228</v>
      </c>
      <c r="K704">
        <v>0</v>
      </c>
    </row>
    <row r="705" spans="1:11" hidden="1">
      <c r="A705">
        <v>229</v>
      </c>
      <c r="B705" t="s">
        <v>1384</v>
      </c>
      <c r="C705" t="s">
        <v>4310</v>
      </c>
      <c r="E705" t="s">
        <v>6289</v>
      </c>
      <c r="F705" t="s">
        <v>4311</v>
      </c>
      <c r="H705" t="s">
        <v>3056</v>
      </c>
      <c r="I705">
        <v>229</v>
      </c>
      <c r="K705">
        <v>0</v>
      </c>
    </row>
    <row r="706" spans="1:11" hidden="1">
      <c r="A706">
        <v>230</v>
      </c>
      <c r="B706" t="s">
        <v>1384</v>
      </c>
      <c r="C706" t="s">
        <v>4272</v>
      </c>
      <c r="E706" t="s">
        <v>6289</v>
      </c>
      <c r="F706" t="s">
        <v>4273</v>
      </c>
      <c r="H706" t="s">
        <v>3056</v>
      </c>
      <c r="I706">
        <v>230</v>
      </c>
      <c r="K706">
        <v>0</v>
      </c>
    </row>
    <row r="707" spans="1:11" hidden="1">
      <c r="A707">
        <v>231</v>
      </c>
      <c r="B707" t="s">
        <v>1384</v>
      </c>
      <c r="C707" t="s">
        <v>4293</v>
      </c>
      <c r="E707" t="s">
        <v>6289</v>
      </c>
      <c r="F707" t="s">
        <v>4294</v>
      </c>
      <c r="H707" t="s">
        <v>3056</v>
      </c>
      <c r="I707">
        <v>231</v>
      </c>
      <c r="K707">
        <v>0</v>
      </c>
    </row>
    <row r="708" spans="1:11" hidden="1">
      <c r="A708">
        <v>232</v>
      </c>
      <c r="B708" t="s">
        <v>1384</v>
      </c>
      <c r="C708" t="s">
        <v>4279</v>
      </c>
      <c r="E708" t="s">
        <v>6289</v>
      </c>
      <c r="F708" t="s">
        <v>4280</v>
      </c>
      <c r="H708" t="s">
        <v>3056</v>
      </c>
      <c r="I708">
        <v>232</v>
      </c>
      <c r="K708">
        <v>0</v>
      </c>
    </row>
    <row r="709" spans="1:11" hidden="1">
      <c r="A709">
        <v>233</v>
      </c>
      <c r="B709" t="s">
        <v>1384</v>
      </c>
      <c r="C709" t="s">
        <v>4287</v>
      </c>
      <c r="E709" t="s">
        <v>6289</v>
      </c>
      <c r="F709" t="s">
        <v>4288</v>
      </c>
      <c r="H709" t="s">
        <v>3056</v>
      </c>
      <c r="I709">
        <v>233</v>
      </c>
      <c r="K709">
        <v>0</v>
      </c>
    </row>
    <row r="710" spans="1:11" hidden="1">
      <c r="A710">
        <v>234</v>
      </c>
      <c r="B710" t="s">
        <v>1384</v>
      </c>
      <c r="C710" t="s">
        <v>4291</v>
      </c>
      <c r="E710" t="s">
        <v>6289</v>
      </c>
      <c r="F710" t="s">
        <v>4292</v>
      </c>
      <c r="H710" t="s">
        <v>3056</v>
      </c>
      <c r="I710">
        <v>234</v>
      </c>
      <c r="K710">
        <v>0</v>
      </c>
    </row>
    <row r="711" spans="1:11" hidden="1">
      <c r="A711">
        <v>235</v>
      </c>
      <c r="B711" t="s">
        <v>1384</v>
      </c>
      <c r="C711" t="s">
        <v>4285</v>
      </c>
      <c r="E711" t="s">
        <v>6289</v>
      </c>
      <c r="F711" t="s">
        <v>4286</v>
      </c>
      <c r="H711" t="s">
        <v>3056</v>
      </c>
      <c r="I711">
        <v>235</v>
      </c>
      <c r="K711">
        <v>0</v>
      </c>
    </row>
    <row r="712" spans="1:11" hidden="1">
      <c r="A712">
        <v>236</v>
      </c>
      <c r="B712" t="s">
        <v>1384</v>
      </c>
      <c r="C712" t="s">
        <v>4281</v>
      </c>
      <c r="E712" t="s">
        <v>6289</v>
      </c>
      <c r="F712" t="s">
        <v>4282</v>
      </c>
      <c r="H712" t="s">
        <v>3056</v>
      </c>
      <c r="I712">
        <v>236</v>
      </c>
      <c r="K712">
        <v>0</v>
      </c>
    </row>
    <row r="713" spans="1:11" hidden="1">
      <c r="A713">
        <v>237</v>
      </c>
      <c r="B713" t="s">
        <v>1384</v>
      </c>
      <c r="C713" t="s">
        <v>4289</v>
      </c>
      <c r="E713" t="s">
        <v>6289</v>
      </c>
      <c r="F713" t="s">
        <v>4290</v>
      </c>
      <c r="H713" t="s">
        <v>3056</v>
      </c>
      <c r="I713">
        <v>237</v>
      </c>
      <c r="K713">
        <v>0</v>
      </c>
    </row>
    <row r="714" spans="1:11" hidden="1">
      <c r="A714">
        <v>238</v>
      </c>
      <c r="B714" t="s">
        <v>1384</v>
      </c>
      <c r="C714" t="s">
        <v>4274</v>
      </c>
      <c r="E714" t="s">
        <v>6289</v>
      </c>
      <c r="F714" t="s">
        <v>4275</v>
      </c>
      <c r="H714" t="s">
        <v>3056</v>
      </c>
      <c r="I714">
        <v>238</v>
      </c>
      <c r="K714">
        <v>0</v>
      </c>
    </row>
    <row r="715" spans="1:11" hidden="1">
      <c r="A715">
        <v>239</v>
      </c>
      <c r="B715" t="s">
        <v>1384</v>
      </c>
      <c r="C715" t="s">
        <v>4295</v>
      </c>
      <c r="E715" t="s">
        <v>6289</v>
      </c>
      <c r="F715" t="s">
        <v>4296</v>
      </c>
      <c r="H715" t="s">
        <v>3056</v>
      </c>
      <c r="I715">
        <v>239</v>
      </c>
      <c r="K715">
        <v>0</v>
      </c>
    </row>
    <row r="716" spans="1:11" hidden="1">
      <c r="A716">
        <v>240</v>
      </c>
      <c r="B716" t="s">
        <v>1384</v>
      </c>
      <c r="C716" t="s">
        <v>4270</v>
      </c>
      <c r="E716" t="s">
        <v>6289</v>
      </c>
      <c r="F716" t="s">
        <v>4271</v>
      </c>
      <c r="H716" t="s">
        <v>3056</v>
      </c>
      <c r="I716">
        <v>240</v>
      </c>
      <c r="K716">
        <v>0</v>
      </c>
    </row>
    <row r="717" spans="1:11" hidden="1">
      <c r="A717">
        <v>241</v>
      </c>
      <c r="B717" t="s">
        <v>1384</v>
      </c>
      <c r="C717" t="s">
        <v>4312</v>
      </c>
      <c r="E717" t="s">
        <v>6289</v>
      </c>
      <c r="F717" t="s">
        <v>4313</v>
      </c>
      <c r="H717" t="s">
        <v>3056</v>
      </c>
      <c r="I717">
        <v>241</v>
      </c>
      <c r="K717">
        <v>0</v>
      </c>
    </row>
    <row r="718" spans="1:11" hidden="1">
      <c r="A718">
        <v>242</v>
      </c>
      <c r="B718" t="s">
        <v>1384</v>
      </c>
      <c r="C718" t="s">
        <v>4316</v>
      </c>
      <c r="E718" t="s">
        <v>6289</v>
      </c>
      <c r="F718" t="s">
        <v>4317</v>
      </c>
      <c r="H718" t="s">
        <v>3056</v>
      </c>
      <c r="I718">
        <v>242</v>
      </c>
      <c r="K718">
        <v>0</v>
      </c>
    </row>
    <row r="719" spans="1:11" hidden="1">
      <c r="A719">
        <v>243</v>
      </c>
      <c r="B719" t="s">
        <v>1384</v>
      </c>
      <c r="C719" t="s">
        <v>4266</v>
      </c>
      <c r="E719" t="s">
        <v>6289</v>
      </c>
      <c r="F719" t="s">
        <v>4267</v>
      </c>
      <c r="H719" t="s">
        <v>3056</v>
      </c>
      <c r="I719">
        <v>243</v>
      </c>
      <c r="K719">
        <v>0</v>
      </c>
    </row>
    <row r="720" spans="1:11" hidden="1">
      <c r="A720">
        <v>244</v>
      </c>
      <c r="B720" t="s">
        <v>1384</v>
      </c>
      <c r="C720" t="s">
        <v>4314</v>
      </c>
      <c r="E720" t="s">
        <v>6289</v>
      </c>
      <c r="F720" t="s">
        <v>4315</v>
      </c>
      <c r="H720" t="s">
        <v>3056</v>
      </c>
      <c r="I720">
        <v>244</v>
      </c>
      <c r="K720">
        <v>0</v>
      </c>
    </row>
    <row r="721" spans="1:11" hidden="1">
      <c r="A721">
        <v>245</v>
      </c>
      <c r="B721" t="s">
        <v>1384</v>
      </c>
      <c r="C721" t="s">
        <v>4264</v>
      </c>
      <c r="E721" t="s">
        <v>6289</v>
      </c>
      <c r="F721" t="s">
        <v>4265</v>
      </c>
      <c r="H721" t="s">
        <v>3056</v>
      </c>
      <c r="I721">
        <v>245</v>
      </c>
      <c r="K721">
        <v>0</v>
      </c>
    </row>
    <row r="722" spans="1:11" hidden="1">
      <c r="A722">
        <v>246</v>
      </c>
      <c r="B722" t="s">
        <v>1384</v>
      </c>
      <c r="C722" t="s">
        <v>4241</v>
      </c>
      <c r="E722" t="s">
        <v>6289</v>
      </c>
      <c r="F722" t="s">
        <v>4242</v>
      </c>
      <c r="H722" t="s">
        <v>3056</v>
      </c>
      <c r="I722">
        <v>246</v>
      </c>
      <c r="K722">
        <v>0</v>
      </c>
    </row>
    <row r="723" spans="1:11" hidden="1">
      <c r="A723">
        <v>247</v>
      </c>
      <c r="B723" t="s">
        <v>1384</v>
      </c>
      <c r="C723" t="s">
        <v>4247</v>
      </c>
      <c r="E723" t="s">
        <v>6289</v>
      </c>
      <c r="F723" t="s">
        <v>4248</v>
      </c>
      <c r="H723" t="s">
        <v>3056</v>
      </c>
      <c r="I723">
        <v>247</v>
      </c>
      <c r="K723">
        <v>0</v>
      </c>
    </row>
    <row r="724" spans="1:11" hidden="1">
      <c r="A724">
        <v>248</v>
      </c>
      <c r="B724" t="s">
        <v>1384</v>
      </c>
      <c r="C724" t="s">
        <v>4245</v>
      </c>
      <c r="E724" t="s">
        <v>6289</v>
      </c>
      <c r="F724" t="s">
        <v>4246</v>
      </c>
      <c r="H724" t="s">
        <v>3056</v>
      </c>
      <c r="I724">
        <v>248</v>
      </c>
      <c r="K724">
        <v>0</v>
      </c>
    </row>
    <row r="725" spans="1:11" hidden="1">
      <c r="A725">
        <v>249</v>
      </c>
      <c r="B725" t="s">
        <v>1384</v>
      </c>
      <c r="C725" t="s">
        <v>4243</v>
      </c>
      <c r="E725" t="s">
        <v>6289</v>
      </c>
      <c r="F725" t="s">
        <v>4244</v>
      </c>
      <c r="H725" t="s">
        <v>3056</v>
      </c>
      <c r="I725">
        <v>249</v>
      </c>
      <c r="K725">
        <v>0</v>
      </c>
    </row>
    <row r="726" spans="1:11" hidden="1">
      <c r="A726">
        <v>250</v>
      </c>
      <c r="B726" t="s">
        <v>1384</v>
      </c>
      <c r="C726" t="s">
        <v>4304</v>
      </c>
      <c r="E726" t="s">
        <v>6289</v>
      </c>
      <c r="F726" t="s">
        <v>4305</v>
      </c>
      <c r="H726" t="s">
        <v>3056</v>
      </c>
      <c r="I726">
        <v>250</v>
      </c>
      <c r="K726">
        <v>0</v>
      </c>
    </row>
    <row r="727" spans="1:11" hidden="1">
      <c r="A727">
        <v>251</v>
      </c>
      <c r="B727" t="s">
        <v>1384</v>
      </c>
      <c r="C727" t="s">
        <v>4299</v>
      </c>
      <c r="E727" t="s">
        <v>6289</v>
      </c>
      <c r="F727" t="s">
        <v>4300</v>
      </c>
      <c r="H727" t="s">
        <v>3056</v>
      </c>
      <c r="I727">
        <v>251</v>
      </c>
      <c r="K727">
        <v>0</v>
      </c>
    </row>
    <row r="728" spans="1:11" hidden="1">
      <c r="A728">
        <v>252</v>
      </c>
      <c r="B728" t="s">
        <v>1384</v>
      </c>
      <c r="C728" t="s">
        <v>4256</v>
      </c>
      <c r="E728" t="s">
        <v>6289</v>
      </c>
      <c r="F728" t="s">
        <v>4257</v>
      </c>
      <c r="H728" t="s">
        <v>3056</v>
      </c>
      <c r="I728">
        <v>252</v>
      </c>
      <c r="K728">
        <v>0</v>
      </c>
    </row>
    <row r="729" spans="1:11" hidden="1">
      <c r="A729">
        <v>253</v>
      </c>
      <c r="B729" t="s">
        <v>1384</v>
      </c>
      <c r="C729" t="s">
        <v>4249</v>
      </c>
      <c r="E729" t="s">
        <v>6289</v>
      </c>
      <c r="F729" t="s">
        <v>4250</v>
      </c>
      <c r="H729" t="s">
        <v>3056</v>
      </c>
      <c r="I729">
        <v>253</v>
      </c>
      <c r="K729">
        <v>0</v>
      </c>
    </row>
    <row r="730" spans="1:11" hidden="1">
      <c r="A730">
        <v>254</v>
      </c>
      <c r="B730" t="s">
        <v>1384</v>
      </c>
      <c r="C730" t="s">
        <v>4277</v>
      </c>
      <c r="E730" t="s">
        <v>6289</v>
      </c>
      <c r="F730" t="s">
        <v>4278</v>
      </c>
      <c r="H730" t="s">
        <v>3056</v>
      </c>
      <c r="I730">
        <v>254</v>
      </c>
      <c r="K730">
        <v>0</v>
      </c>
    </row>
    <row r="731" spans="1:11" hidden="1">
      <c r="A731">
        <v>255</v>
      </c>
      <c r="B731" t="s">
        <v>1384</v>
      </c>
      <c r="C731" t="s">
        <v>4251</v>
      </c>
      <c r="E731" t="s">
        <v>6289</v>
      </c>
      <c r="F731" t="s">
        <v>4252</v>
      </c>
      <c r="H731" t="s">
        <v>3056</v>
      </c>
      <c r="I731">
        <v>255</v>
      </c>
      <c r="K731">
        <v>0</v>
      </c>
    </row>
    <row r="732" spans="1:11" hidden="1">
      <c r="A732">
        <v>256</v>
      </c>
      <c r="B732" t="s">
        <v>1384</v>
      </c>
      <c r="C732" t="s">
        <v>4283</v>
      </c>
      <c r="E732" t="s">
        <v>6289</v>
      </c>
      <c r="F732" t="s">
        <v>4284</v>
      </c>
      <c r="H732" t="s">
        <v>3056</v>
      </c>
      <c r="I732">
        <v>256</v>
      </c>
      <c r="K732">
        <v>0</v>
      </c>
    </row>
    <row r="733" spans="1:11" hidden="1">
      <c r="A733">
        <v>257</v>
      </c>
      <c r="B733" t="s">
        <v>1384</v>
      </c>
      <c r="C733" t="s">
        <v>4301</v>
      </c>
      <c r="E733" t="s">
        <v>6289</v>
      </c>
      <c r="F733" t="s">
        <v>4302</v>
      </c>
      <c r="H733" t="s">
        <v>3056</v>
      </c>
      <c r="I733">
        <v>257</v>
      </c>
      <c r="K733">
        <v>0</v>
      </c>
    </row>
    <row r="734" spans="1:11" hidden="1">
      <c r="A734">
        <v>258</v>
      </c>
      <c r="B734" t="s">
        <v>1384</v>
      </c>
      <c r="C734" t="s">
        <v>4297</v>
      </c>
      <c r="E734" t="s">
        <v>6289</v>
      </c>
      <c r="F734" t="s">
        <v>4298</v>
      </c>
      <c r="H734" t="s">
        <v>3056</v>
      </c>
      <c r="I734">
        <v>258</v>
      </c>
      <c r="K734">
        <v>0</v>
      </c>
    </row>
    <row r="735" spans="1:11" hidden="1">
      <c r="A735">
        <v>259</v>
      </c>
      <c r="B735" t="s">
        <v>1384</v>
      </c>
      <c r="C735" t="s">
        <v>4276</v>
      </c>
      <c r="E735" t="s">
        <v>6289</v>
      </c>
      <c r="F735" t="s">
        <v>3255</v>
      </c>
      <c r="H735" t="s">
        <v>3056</v>
      </c>
      <c r="I735">
        <v>259</v>
      </c>
      <c r="K735">
        <v>0</v>
      </c>
    </row>
    <row r="736" spans="1:11" hidden="1">
      <c r="A736">
        <v>260</v>
      </c>
      <c r="B736" t="s">
        <v>1384</v>
      </c>
      <c r="C736" t="s">
        <v>4308</v>
      </c>
      <c r="E736" t="s">
        <v>6289</v>
      </c>
      <c r="F736" t="s">
        <v>4309</v>
      </c>
      <c r="H736" t="s">
        <v>3056</v>
      </c>
      <c r="I736">
        <v>260</v>
      </c>
      <c r="K736">
        <v>0</v>
      </c>
    </row>
    <row r="737" spans="1:11" hidden="1">
      <c r="A737">
        <v>261</v>
      </c>
      <c r="B737" t="s">
        <v>1384</v>
      </c>
      <c r="C737" t="s">
        <v>4254</v>
      </c>
      <c r="E737" t="s">
        <v>6289</v>
      </c>
      <c r="F737" t="s">
        <v>4255</v>
      </c>
      <c r="H737" t="s">
        <v>3056</v>
      </c>
      <c r="I737">
        <v>261</v>
      </c>
      <c r="K737">
        <v>0</v>
      </c>
    </row>
    <row r="738" spans="1:11" hidden="1">
      <c r="A738">
        <v>262</v>
      </c>
      <c r="B738" t="s">
        <v>1384</v>
      </c>
      <c r="C738" t="s">
        <v>4268</v>
      </c>
      <c r="E738" t="s">
        <v>6289</v>
      </c>
      <c r="F738" t="s">
        <v>4269</v>
      </c>
      <c r="H738" t="s">
        <v>3056</v>
      </c>
      <c r="I738">
        <v>262</v>
      </c>
      <c r="K738">
        <v>0</v>
      </c>
    </row>
    <row r="739" spans="1:11" hidden="1">
      <c r="A739">
        <v>1850</v>
      </c>
      <c r="B739" t="s">
        <v>4318</v>
      </c>
      <c r="C739" t="s">
        <v>4328</v>
      </c>
      <c r="E739" t="s">
        <v>6289</v>
      </c>
      <c r="F739" t="s">
        <v>4329</v>
      </c>
      <c r="H739" t="s">
        <v>3056</v>
      </c>
      <c r="I739">
        <v>1850</v>
      </c>
      <c r="K739">
        <v>0</v>
      </c>
    </row>
    <row r="740" spans="1:11" hidden="1">
      <c r="A740">
        <v>1851</v>
      </c>
      <c r="B740" t="s">
        <v>4318</v>
      </c>
      <c r="C740" t="s">
        <v>4319</v>
      </c>
      <c r="E740" t="s">
        <v>6289</v>
      </c>
      <c r="F740" t="s">
        <v>4320</v>
      </c>
      <c r="H740" t="s">
        <v>3056</v>
      </c>
      <c r="I740">
        <v>1851</v>
      </c>
      <c r="K740">
        <v>0</v>
      </c>
    </row>
    <row r="741" spans="1:11" hidden="1">
      <c r="A741">
        <v>1852</v>
      </c>
      <c r="B741" t="s">
        <v>4318</v>
      </c>
      <c r="C741" t="s">
        <v>4325</v>
      </c>
      <c r="E741" t="s">
        <v>6289</v>
      </c>
      <c r="F741" t="s">
        <v>4326</v>
      </c>
      <c r="H741" t="s">
        <v>3056</v>
      </c>
      <c r="I741">
        <v>1852</v>
      </c>
      <c r="K741">
        <v>0</v>
      </c>
    </row>
    <row r="742" spans="1:11" hidden="1">
      <c r="A742">
        <v>1853</v>
      </c>
      <c r="B742" t="s">
        <v>4318</v>
      </c>
      <c r="C742" t="s">
        <v>4327</v>
      </c>
      <c r="E742" t="s">
        <v>6289</v>
      </c>
      <c r="F742" t="s">
        <v>3891</v>
      </c>
      <c r="H742" t="s">
        <v>3056</v>
      </c>
      <c r="I742">
        <v>1853</v>
      </c>
      <c r="K742">
        <v>0</v>
      </c>
    </row>
    <row r="743" spans="1:11" hidden="1">
      <c r="A743">
        <v>1854</v>
      </c>
      <c r="B743" t="s">
        <v>4318</v>
      </c>
      <c r="C743" t="s">
        <v>4321</v>
      </c>
      <c r="E743" t="s">
        <v>6289</v>
      </c>
      <c r="F743" t="s">
        <v>3103</v>
      </c>
      <c r="H743" t="s">
        <v>3056</v>
      </c>
      <c r="I743">
        <v>1854</v>
      </c>
      <c r="K743">
        <v>0</v>
      </c>
    </row>
    <row r="744" spans="1:11" hidden="1">
      <c r="A744">
        <v>1855</v>
      </c>
      <c r="B744" t="s">
        <v>4318</v>
      </c>
      <c r="C744" t="s">
        <v>4323</v>
      </c>
      <c r="E744" t="s">
        <v>6289</v>
      </c>
      <c r="F744" t="s">
        <v>4324</v>
      </c>
      <c r="H744" t="s">
        <v>3056</v>
      </c>
      <c r="I744">
        <v>1855</v>
      </c>
      <c r="K744">
        <v>0</v>
      </c>
    </row>
    <row r="745" spans="1:11" hidden="1">
      <c r="A745">
        <v>1856</v>
      </c>
      <c r="B745" t="s">
        <v>4318</v>
      </c>
      <c r="C745" t="s">
        <v>4322</v>
      </c>
      <c r="E745" t="s">
        <v>6289</v>
      </c>
      <c r="F745" t="s">
        <v>3477</v>
      </c>
      <c r="H745" t="s">
        <v>3056</v>
      </c>
      <c r="I745">
        <v>1856</v>
      </c>
      <c r="K745">
        <v>0</v>
      </c>
    </row>
    <row r="746" spans="1:11" hidden="1">
      <c r="A746">
        <v>1059</v>
      </c>
      <c r="B746" t="s">
        <v>4330</v>
      </c>
      <c r="C746" t="s">
        <v>4331</v>
      </c>
      <c r="E746" t="s">
        <v>6289</v>
      </c>
      <c r="H746" t="s">
        <v>3056</v>
      </c>
      <c r="I746">
        <v>1059</v>
      </c>
      <c r="K746">
        <v>0</v>
      </c>
    </row>
    <row r="747" spans="1:11" hidden="1">
      <c r="A747">
        <v>1060</v>
      </c>
      <c r="B747" t="s">
        <v>4330</v>
      </c>
      <c r="C747" t="s">
        <v>3058</v>
      </c>
      <c r="E747" t="s">
        <v>6289</v>
      </c>
      <c r="H747" t="s">
        <v>3056</v>
      </c>
      <c r="I747">
        <v>1060</v>
      </c>
      <c r="K747">
        <v>0</v>
      </c>
    </row>
    <row r="748" spans="1:11" hidden="1">
      <c r="A748">
        <v>667</v>
      </c>
      <c r="B748" t="s">
        <v>4332</v>
      </c>
      <c r="E748" t="s">
        <v>6289</v>
      </c>
      <c r="F748">
        <v>1</v>
      </c>
      <c r="H748" t="s">
        <v>3056</v>
      </c>
      <c r="I748">
        <v>667</v>
      </c>
      <c r="K748">
        <v>0</v>
      </c>
    </row>
    <row r="749" spans="1:11" hidden="1">
      <c r="A749">
        <v>664</v>
      </c>
      <c r="B749" t="s">
        <v>4333</v>
      </c>
      <c r="C749" t="s">
        <v>4337</v>
      </c>
      <c r="E749" t="s">
        <v>6289</v>
      </c>
      <c r="H749" t="s">
        <v>3056</v>
      </c>
      <c r="I749">
        <v>664</v>
      </c>
      <c r="K749">
        <v>0</v>
      </c>
    </row>
    <row r="750" spans="1:11" hidden="1">
      <c r="A750">
        <v>665</v>
      </c>
      <c r="B750" t="s">
        <v>4333</v>
      </c>
      <c r="C750" t="s">
        <v>4344</v>
      </c>
      <c r="E750" t="s">
        <v>6289</v>
      </c>
      <c r="H750" t="s">
        <v>3056</v>
      </c>
      <c r="I750">
        <v>665</v>
      </c>
      <c r="K750">
        <v>0</v>
      </c>
    </row>
    <row r="751" spans="1:11" hidden="1">
      <c r="A751">
        <v>874</v>
      </c>
      <c r="B751" t="s">
        <v>4333</v>
      </c>
      <c r="C751" t="s">
        <v>4341</v>
      </c>
      <c r="E751" t="s">
        <v>6289</v>
      </c>
      <c r="H751" t="s">
        <v>3056</v>
      </c>
      <c r="I751">
        <v>874</v>
      </c>
      <c r="K751">
        <v>0</v>
      </c>
    </row>
    <row r="752" spans="1:11" hidden="1">
      <c r="A752">
        <v>875</v>
      </c>
      <c r="B752" t="s">
        <v>4333</v>
      </c>
      <c r="C752" t="s">
        <v>4347</v>
      </c>
      <c r="E752" t="s">
        <v>6289</v>
      </c>
      <c r="H752" t="s">
        <v>3056</v>
      </c>
      <c r="I752">
        <v>875</v>
      </c>
      <c r="K752">
        <v>0</v>
      </c>
    </row>
    <row r="753" spans="1:11" hidden="1">
      <c r="A753">
        <v>13240</v>
      </c>
      <c r="B753" t="s">
        <v>4333</v>
      </c>
      <c r="C753" t="s">
        <v>4343</v>
      </c>
      <c r="E753" t="s">
        <v>6289</v>
      </c>
      <c r="H753" t="s">
        <v>3056</v>
      </c>
      <c r="I753">
        <v>13240</v>
      </c>
      <c r="K753">
        <v>0</v>
      </c>
    </row>
    <row r="754" spans="1:11" hidden="1">
      <c r="A754">
        <v>13250</v>
      </c>
      <c r="B754" t="s">
        <v>4333</v>
      </c>
      <c r="C754" t="s">
        <v>4338</v>
      </c>
      <c r="E754" t="s">
        <v>6289</v>
      </c>
      <c r="H754" t="s">
        <v>3056</v>
      </c>
      <c r="I754">
        <v>13250</v>
      </c>
      <c r="K754">
        <v>0</v>
      </c>
    </row>
    <row r="755" spans="1:11" hidden="1">
      <c r="A755">
        <v>13260</v>
      </c>
      <c r="B755" t="s">
        <v>4333</v>
      </c>
      <c r="C755" t="s">
        <v>4335</v>
      </c>
      <c r="E755" t="s">
        <v>6289</v>
      </c>
      <c r="H755" t="s">
        <v>3056</v>
      </c>
      <c r="I755">
        <v>13260</v>
      </c>
      <c r="K755">
        <v>0</v>
      </c>
    </row>
    <row r="756" spans="1:11" hidden="1">
      <c r="A756">
        <v>13270</v>
      </c>
      <c r="B756" t="s">
        <v>4333</v>
      </c>
      <c r="C756" t="s">
        <v>4342</v>
      </c>
      <c r="E756" t="s">
        <v>6289</v>
      </c>
      <c r="H756" t="s">
        <v>3056</v>
      </c>
      <c r="I756">
        <v>13270</v>
      </c>
      <c r="K756">
        <v>0</v>
      </c>
    </row>
    <row r="757" spans="1:11" hidden="1">
      <c r="A757">
        <v>13280</v>
      </c>
      <c r="B757" t="s">
        <v>4333</v>
      </c>
      <c r="C757" t="s">
        <v>4346</v>
      </c>
      <c r="E757" t="s">
        <v>6289</v>
      </c>
      <c r="H757" t="s">
        <v>3056</v>
      </c>
      <c r="I757">
        <v>13280</v>
      </c>
      <c r="K757">
        <v>0</v>
      </c>
    </row>
    <row r="758" spans="1:11" hidden="1">
      <c r="A758">
        <v>13290</v>
      </c>
      <c r="B758" t="s">
        <v>4333</v>
      </c>
      <c r="C758" t="s">
        <v>4345</v>
      </c>
      <c r="E758" t="s">
        <v>6289</v>
      </c>
      <c r="H758" t="s">
        <v>3056</v>
      </c>
      <c r="I758">
        <v>13290</v>
      </c>
      <c r="K758">
        <v>0</v>
      </c>
    </row>
    <row r="759" spans="1:11" hidden="1">
      <c r="A759">
        <v>13300</v>
      </c>
      <c r="B759" t="s">
        <v>4333</v>
      </c>
      <c r="C759" t="s">
        <v>4340</v>
      </c>
      <c r="E759" t="s">
        <v>6289</v>
      </c>
      <c r="H759" t="s">
        <v>3056</v>
      </c>
      <c r="I759">
        <v>13300</v>
      </c>
      <c r="K759">
        <v>0</v>
      </c>
    </row>
    <row r="760" spans="1:11" hidden="1">
      <c r="A760">
        <v>13310</v>
      </c>
      <c r="B760" t="s">
        <v>4333</v>
      </c>
      <c r="C760" t="s">
        <v>4339</v>
      </c>
      <c r="E760" t="s">
        <v>6289</v>
      </c>
      <c r="H760" t="s">
        <v>3056</v>
      </c>
      <c r="I760">
        <v>13310</v>
      </c>
      <c r="K760">
        <v>0</v>
      </c>
    </row>
    <row r="761" spans="1:11" hidden="1">
      <c r="A761">
        <v>13320</v>
      </c>
      <c r="B761" t="s">
        <v>4333</v>
      </c>
      <c r="C761" t="s">
        <v>4336</v>
      </c>
      <c r="E761" t="s">
        <v>6289</v>
      </c>
      <c r="H761" t="s">
        <v>3056</v>
      </c>
      <c r="I761">
        <v>13320</v>
      </c>
      <c r="K761">
        <v>0</v>
      </c>
    </row>
    <row r="762" spans="1:11" hidden="1">
      <c r="A762">
        <v>13330</v>
      </c>
      <c r="B762" t="s">
        <v>4333</v>
      </c>
      <c r="C762" t="s">
        <v>4348</v>
      </c>
      <c r="E762" t="s">
        <v>6289</v>
      </c>
      <c r="H762" t="s">
        <v>3056</v>
      </c>
      <c r="I762">
        <v>13330</v>
      </c>
      <c r="K762">
        <v>0</v>
      </c>
    </row>
    <row r="763" spans="1:11" hidden="1">
      <c r="A763">
        <v>13340</v>
      </c>
      <c r="B763" t="s">
        <v>4333</v>
      </c>
      <c r="C763" t="s">
        <v>4334</v>
      </c>
      <c r="E763" t="s">
        <v>6289</v>
      </c>
      <c r="H763" t="s">
        <v>3056</v>
      </c>
      <c r="I763">
        <v>13340</v>
      </c>
      <c r="K763">
        <v>0</v>
      </c>
    </row>
    <row r="764" spans="1:11" hidden="1">
      <c r="A764">
        <v>663</v>
      </c>
      <c r="B764" t="s">
        <v>4349</v>
      </c>
      <c r="C764" t="s">
        <v>4354</v>
      </c>
      <c r="E764" t="s">
        <v>6289</v>
      </c>
      <c r="F764" t="s">
        <v>2109</v>
      </c>
      <c r="H764" t="s">
        <v>3056</v>
      </c>
      <c r="I764">
        <v>663</v>
      </c>
      <c r="K764">
        <v>0</v>
      </c>
    </row>
    <row r="765" spans="1:11" hidden="1">
      <c r="A765">
        <v>775</v>
      </c>
      <c r="B765" t="s">
        <v>4349</v>
      </c>
      <c r="C765" t="s">
        <v>4391</v>
      </c>
      <c r="E765" t="s">
        <v>6289</v>
      </c>
      <c r="F765" t="s">
        <v>3068</v>
      </c>
      <c r="H765" t="s">
        <v>3056</v>
      </c>
      <c r="I765">
        <v>775</v>
      </c>
      <c r="K765">
        <v>0</v>
      </c>
    </row>
    <row r="766" spans="1:11" hidden="1">
      <c r="A766">
        <v>846</v>
      </c>
      <c r="B766" t="s">
        <v>4349</v>
      </c>
      <c r="C766" t="s">
        <v>4360</v>
      </c>
      <c r="E766" t="s">
        <v>6289</v>
      </c>
      <c r="H766" t="s">
        <v>3056</v>
      </c>
      <c r="I766">
        <v>846</v>
      </c>
      <c r="K766">
        <v>0</v>
      </c>
    </row>
    <row r="767" spans="1:11" hidden="1">
      <c r="A767">
        <v>847</v>
      </c>
      <c r="B767" t="s">
        <v>4349</v>
      </c>
      <c r="C767" t="s">
        <v>4359</v>
      </c>
      <c r="E767" t="s">
        <v>6289</v>
      </c>
      <c r="H767" t="s">
        <v>3056</v>
      </c>
      <c r="I767">
        <v>847</v>
      </c>
      <c r="K767">
        <v>0</v>
      </c>
    </row>
    <row r="768" spans="1:11" hidden="1">
      <c r="A768">
        <v>848</v>
      </c>
      <c r="B768" t="s">
        <v>4349</v>
      </c>
      <c r="C768" t="s">
        <v>4362</v>
      </c>
      <c r="E768" t="s">
        <v>6289</v>
      </c>
      <c r="H768" t="s">
        <v>3056</v>
      </c>
      <c r="I768">
        <v>848</v>
      </c>
      <c r="K768">
        <v>0</v>
      </c>
    </row>
    <row r="769" spans="1:11" hidden="1">
      <c r="A769">
        <v>849</v>
      </c>
      <c r="B769" t="s">
        <v>4349</v>
      </c>
      <c r="C769" t="s">
        <v>4361</v>
      </c>
      <c r="E769" t="s">
        <v>6289</v>
      </c>
      <c r="F769" t="s">
        <v>3131</v>
      </c>
      <c r="H769" t="s">
        <v>3056</v>
      </c>
      <c r="I769">
        <v>849</v>
      </c>
      <c r="K769">
        <v>0</v>
      </c>
    </row>
    <row r="770" spans="1:11" hidden="1">
      <c r="A770">
        <v>850</v>
      </c>
      <c r="B770" t="s">
        <v>4349</v>
      </c>
      <c r="C770" t="s">
        <v>4363</v>
      </c>
      <c r="E770" t="s">
        <v>6289</v>
      </c>
      <c r="F770" t="s">
        <v>170</v>
      </c>
      <c r="H770" t="s">
        <v>3056</v>
      </c>
      <c r="I770">
        <v>850</v>
      </c>
      <c r="K770">
        <v>0</v>
      </c>
    </row>
    <row r="771" spans="1:11" hidden="1">
      <c r="A771">
        <v>851</v>
      </c>
      <c r="B771" t="s">
        <v>4349</v>
      </c>
      <c r="C771" t="s">
        <v>4366</v>
      </c>
      <c r="E771" t="s">
        <v>6289</v>
      </c>
      <c r="F771" t="s">
        <v>3066</v>
      </c>
      <c r="H771" t="s">
        <v>3056</v>
      </c>
      <c r="I771">
        <v>851</v>
      </c>
      <c r="K771">
        <v>0</v>
      </c>
    </row>
    <row r="772" spans="1:11" hidden="1">
      <c r="A772">
        <v>852</v>
      </c>
      <c r="B772" t="s">
        <v>4349</v>
      </c>
      <c r="C772" t="s">
        <v>4367</v>
      </c>
      <c r="E772" t="s">
        <v>6289</v>
      </c>
      <c r="F772" t="s">
        <v>3065</v>
      </c>
      <c r="H772" t="s">
        <v>3056</v>
      </c>
      <c r="I772">
        <v>852</v>
      </c>
      <c r="K772">
        <v>0</v>
      </c>
    </row>
    <row r="773" spans="1:11" hidden="1">
      <c r="A773">
        <v>853</v>
      </c>
      <c r="B773" t="s">
        <v>4349</v>
      </c>
      <c r="C773" t="s">
        <v>4371</v>
      </c>
      <c r="E773" t="s">
        <v>6289</v>
      </c>
      <c r="F773" t="s">
        <v>3134</v>
      </c>
      <c r="H773" t="s">
        <v>3056</v>
      </c>
      <c r="I773">
        <v>853</v>
      </c>
      <c r="K773">
        <v>0</v>
      </c>
    </row>
    <row r="774" spans="1:11" hidden="1">
      <c r="A774">
        <v>854</v>
      </c>
      <c r="B774" t="s">
        <v>4349</v>
      </c>
      <c r="C774" t="s">
        <v>4369</v>
      </c>
      <c r="E774" t="s">
        <v>6289</v>
      </c>
      <c r="F774" t="s">
        <v>4370</v>
      </c>
      <c r="H774" t="s">
        <v>3056</v>
      </c>
      <c r="I774">
        <v>854</v>
      </c>
      <c r="K774">
        <v>0</v>
      </c>
    </row>
    <row r="775" spans="1:11" hidden="1">
      <c r="A775">
        <v>855</v>
      </c>
      <c r="B775" t="s">
        <v>4349</v>
      </c>
      <c r="C775" t="s">
        <v>4368</v>
      </c>
      <c r="E775" t="s">
        <v>6289</v>
      </c>
      <c r="H775" t="s">
        <v>3056</v>
      </c>
      <c r="I775">
        <v>855</v>
      </c>
      <c r="K775">
        <v>0</v>
      </c>
    </row>
    <row r="776" spans="1:11" hidden="1">
      <c r="A776">
        <v>856</v>
      </c>
      <c r="B776" t="s">
        <v>4349</v>
      </c>
      <c r="C776" t="s">
        <v>4373</v>
      </c>
      <c r="E776" t="s">
        <v>6289</v>
      </c>
      <c r="F776" t="s">
        <v>3136</v>
      </c>
      <c r="H776" t="s">
        <v>3056</v>
      </c>
      <c r="I776">
        <v>856</v>
      </c>
      <c r="K776">
        <v>0</v>
      </c>
    </row>
    <row r="777" spans="1:11" hidden="1">
      <c r="A777">
        <v>857</v>
      </c>
      <c r="B777" t="s">
        <v>4349</v>
      </c>
      <c r="C777" t="s">
        <v>4374</v>
      </c>
      <c r="E777" t="s">
        <v>6289</v>
      </c>
      <c r="F777" t="s">
        <v>146</v>
      </c>
      <c r="H777" t="s">
        <v>3056</v>
      </c>
      <c r="I777">
        <v>857</v>
      </c>
      <c r="K777">
        <v>0</v>
      </c>
    </row>
    <row r="778" spans="1:11" hidden="1">
      <c r="A778">
        <v>858</v>
      </c>
      <c r="B778" t="s">
        <v>4349</v>
      </c>
      <c r="C778" t="s">
        <v>4377</v>
      </c>
      <c r="E778" t="s">
        <v>6289</v>
      </c>
      <c r="H778" t="s">
        <v>3056</v>
      </c>
      <c r="I778">
        <v>858</v>
      </c>
      <c r="K778">
        <v>0</v>
      </c>
    </row>
    <row r="779" spans="1:11" hidden="1">
      <c r="A779">
        <v>859</v>
      </c>
      <c r="B779" t="s">
        <v>4349</v>
      </c>
      <c r="C779" t="s">
        <v>4378</v>
      </c>
      <c r="E779" t="s">
        <v>6289</v>
      </c>
      <c r="F779" t="s">
        <v>4160</v>
      </c>
      <c r="H779" t="s">
        <v>3056</v>
      </c>
      <c r="I779">
        <v>859</v>
      </c>
      <c r="K779">
        <v>0</v>
      </c>
    </row>
    <row r="780" spans="1:11" hidden="1">
      <c r="A780">
        <v>860</v>
      </c>
      <c r="B780" t="s">
        <v>4349</v>
      </c>
      <c r="C780" t="s">
        <v>4379</v>
      </c>
      <c r="E780" t="s">
        <v>6289</v>
      </c>
      <c r="F780" t="s">
        <v>4380</v>
      </c>
      <c r="H780" t="s">
        <v>3056</v>
      </c>
      <c r="I780">
        <v>860</v>
      </c>
      <c r="K780">
        <v>0</v>
      </c>
    </row>
    <row r="781" spans="1:11" hidden="1">
      <c r="A781">
        <v>861</v>
      </c>
      <c r="B781" t="s">
        <v>4349</v>
      </c>
      <c r="C781" t="s">
        <v>4383</v>
      </c>
      <c r="E781" t="s">
        <v>6289</v>
      </c>
      <c r="H781" t="s">
        <v>3056</v>
      </c>
      <c r="I781">
        <v>861</v>
      </c>
      <c r="K781">
        <v>0</v>
      </c>
    </row>
    <row r="782" spans="1:11" hidden="1">
      <c r="A782">
        <v>862</v>
      </c>
      <c r="B782" t="s">
        <v>4349</v>
      </c>
      <c r="C782" t="s">
        <v>4382</v>
      </c>
      <c r="E782" t="s">
        <v>6289</v>
      </c>
      <c r="H782" t="s">
        <v>3056</v>
      </c>
      <c r="I782">
        <v>862</v>
      </c>
      <c r="K782">
        <v>0</v>
      </c>
    </row>
    <row r="783" spans="1:11" hidden="1">
      <c r="A783">
        <v>863</v>
      </c>
      <c r="B783" t="s">
        <v>4349</v>
      </c>
      <c r="C783" t="s">
        <v>4393</v>
      </c>
      <c r="E783" t="s">
        <v>6289</v>
      </c>
      <c r="F783" t="s">
        <v>3138</v>
      </c>
      <c r="H783" t="s">
        <v>3056</v>
      </c>
      <c r="I783">
        <v>863</v>
      </c>
      <c r="K783">
        <v>0</v>
      </c>
    </row>
    <row r="784" spans="1:11" hidden="1">
      <c r="A784">
        <v>864</v>
      </c>
      <c r="B784" t="s">
        <v>4349</v>
      </c>
      <c r="C784" t="s">
        <v>4395</v>
      </c>
      <c r="E784" t="s">
        <v>6289</v>
      </c>
      <c r="F784" t="s">
        <v>4396</v>
      </c>
      <c r="H784" t="s">
        <v>3056</v>
      </c>
      <c r="I784">
        <v>864</v>
      </c>
      <c r="K784">
        <v>0</v>
      </c>
    </row>
    <row r="785" spans="1:11" hidden="1">
      <c r="A785">
        <v>865</v>
      </c>
      <c r="B785" t="s">
        <v>4349</v>
      </c>
      <c r="C785" t="s">
        <v>4394</v>
      </c>
      <c r="E785" t="s">
        <v>6289</v>
      </c>
      <c r="F785" t="s">
        <v>0</v>
      </c>
      <c r="H785" t="s">
        <v>3056</v>
      </c>
      <c r="I785">
        <v>865</v>
      </c>
      <c r="K785">
        <v>0</v>
      </c>
    </row>
    <row r="786" spans="1:11" hidden="1">
      <c r="A786">
        <v>866</v>
      </c>
      <c r="B786" t="s">
        <v>4349</v>
      </c>
      <c r="C786" t="s">
        <v>3630</v>
      </c>
      <c r="E786" t="s">
        <v>6289</v>
      </c>
      <c r="F786" t="s">
        <v>4397</v>
      </c>
      <c r="H786" t="s">
        <v>3056</v>
      </c>
      <c r="I786">
        <v>866</v>
      </c>
      <c r="K786">
        <v>0</v>
      </c>
    </row>
    <row r="787" spans="1:11" hidden="1">
      <c r="A787">
        <v>867</v>
      </c>
      <c r="B787" t="s">
        <v>4349</v>
      </c>
      <c r="C787" t="s">
        <v>4365</v>
      </c>
      <c r="E787" t="s">
        <v>6289</v>
      </c>
      <c r="F787" t="s">
        <v>3484</v>
      </c>
      <c r="H787" t="s">
        <v>3056</v>
      </c>
      <c r="I787">
        <v>867</v>
      </c>
      <c r="K787">
        <v>0</v>
      </c>
    </row>
    <row r="788" spans="1:11" hidden="1">
      <c r="A788">
        <v>868</v>
      </c>
      <c r="B788" t="s">
        <v>4349</v>
      </c>
      <c r="C788" t="s">
        <v>4364</v>
      </c>
      <c r="E788" t="s">
        <v>6289</v>
      </c>
      <c r="H788" t="s">
        <v>3056</v>
      </c>
      <c r="I788">
        <v>868</v>
      </c>
      <c r="K788">
        <v>0</v>
      </c>
    </row>
    <row r="789" spans="1:11" hidden="1">
      <c r="A789">
        <v>869</v>
      </c>
      <c r="B789" t="s">
        <v>4349</v>
      </c>
      <c r="C789" t="s">
        <v>4386</v>
      </c>
      <c r="E789" t="s">
        <v>6289</v>
      </c>
      <c r="H789" t="s">
        <v>3056</v>
      </c>
      <c r="I789">
        <v>869</v>
      </c>
      <c r="K789">
        <v>0</v>
      </c>
    </row>
    <row r="790" spans="1:11" hidden="1">
      <c r="A790">
        <v>870</v>
      </c>
      <c r="B790" t="s">
        <v>4349</v>
      </c>
      <c r="C790" t="s">
        <v>4390</v>
      </c>
      <c r="E790" t="s">
        <v>6289</v>
      </c>
      <c r="F790" t="s">
        <v>3140</v>
      </c>
      <c r="H790" t="s">
        <v>3056</v>
      </c>
      <c r="I790">
        <v>870</v>
      </c>
      <c r="K790">
        <v>0</v>
      </c>
    </row>
    <row r="791" spans="1:11" hidden="1">
      <c r="A791">
        <v>871</v>
      </c>
      <c r="B791" t="s">
        <v>4349</v>
      </c>
      <c r="C791" t="s">
        <v>4387</v>
      </c>
      <c r="E791" t="s">
        <v>6289</v>
      </c>
      <c r="F791" t="s">
        <v>919</v>
      </c>
      <c r="H791" t="s">
        <v>3056</v>
      </c>
      <c r="I791">
        <v>871</v>
      </c>
      <c r="K791">
        <v>0</v>
      </c>
    </row>
    <row r="792" spans="1:11" hidden="1">
      <c r="A792">
        <v>872</v>
      </c>
      <c r="B792" t="s">
        <v>4349</v>
      </c>
      <c r="C792" t="s">
        <v>4389</v>
      </c>
      <c r="E792" t="s">
        <v>6289</v>
      </c>
      <c r="F792" t="s">
        <v>3141</v>
      </c>
      <c r="H792" t="s">
        <v>3056</v>
      </c>
      <c r="I792">
        <v>872</v>
      </c>
      <c r="K792">
        <v>0</v>
      </c>
    </row>
    <row r="793" spans="1:11" hidden="1">
      <c r="A793">
        <v>873</v>
      </c>
      <c r="B793" t="s">
        <v>4349</v>
      </c>
      <c r="C793" t="s">
        <v>4372</v>
      </c>
      <c r="E793" t="s">
        <v>6289</v>
      </c>
      <c r="F793" t="s">
        <v>3060</v>
      </c>
      <c r="H793" t="s">
        <v>3056</v>
      </c>
      <c r="I793">
        <v>873</v>
      </c>
      <c r="K793">
        <v>0</v>
      </c>
    </row>
    <row r="794" spans="1:11" hidden="1">
      <c r="A794">
        <v>937</v>
      </c>
      <c r="B794" t="s">
        <v>4349</v>
      </c>
      <c r="C794" t="s">
        <v>4350</v>
      </c>
      <c r="E794" t="s">
        <v>6289</v>
      </c>
      <c r="H794" t="s">
        <v>3056</v>
      </c>
      <c r="I794">
        <v>937</v>
      </c>
      <c r="K794">
        <v>0</v>
      </c>
    </row>
    <row r="795" spans="1:11" hidden="1">
      <c r="A795">
        <v>938</v>
      </c>
      <c r="B795" t="s">
        <v>4349</v>
      </c>
      <c r="C795" t="s">
        <v>4351</v>
      </c>
      <c r="E795" t="s">
        <v>6289</v>
      </c>
      <c r="F795" t="s">
        <v>4352</v>
      </c>
      <c r="H795" t="s">
        <v>3056</v>
      </c>
      <c r="I795">
        <v>938</v>
      </c>
      <c r="K795">
        <v>0</v>
      </c>
    </row>
    <row r="796" spans="1:11" hidden="1">
      <c r="A796">
        <v>1510</v>
      </c>
      <c r="B796" t="s">
        <v>4349</v>
      </c>
      <c r="C796" t="s">
        <v>4375</v>
      </c>
      <c r="E796" t="s">
        <v>6289</v>
      </c>
      <c r="F796" t="s">
        <v>4376</v>
      </c>
      <c r="H796" t="s">
        <v>3056</v>
      </c>
      <c r="I796">
        <v>1510</v>
      </c>
      <c r="K796">
        <v>0</v>
      </c>
    </row>
    <row r="797" spans="1:11" hidden="1">
      <c r="A797">
        <v>13350</v>
      </c>
      <c r="B797" t="s">
        <v>4349</v>
      </c>
      <c r="C797" t="s">
        <v>4353</v>
      </c>
      <c r="E797" t="s">
        <v>6289</v>
      </c>
      <c r="H797" t="s">
        <v>3056</v>
      </c>
      <c r="I797">
        <v>13350</v>
      </c>
      <c r="K797">
        <v>0</v>
      </c>
    </row>
    <row r="798" spans="1:11" hidden="1">
      <c r="A798">
        <v>13360</v>
      </c>
      <c r="B798" t="s">
        <v>4349</v>
      </c>
      <c r="C798" t="s">
        <v>4355</v>
      </c>
      <c r="E798" t="s">
        <v>6289</v>
      </c>
      <c r="H798" t="s">
        <v>3056</v>
      </c>
      <c r="I798">
        <v>13360</v>
      </c>
      <c r="K798">
        <v>0</v>
      </c>
    </row>
    <row r="799" spans="1:11" hidden="1">
      <c r="A799">
        <v>13370</v>
      </c>
      <c r="B799" t="s">
        <v>4349</v>
      </c>
      <c r="C799" t="s">
        <v>4385</v>
      </c>
      <c r="E799" t="s">
        <v>6289</v>
      </c>
      <c r="H799" t="s">
        <v>3056</v>
      </c>
      <c r="I799">
        <v>13370</v>
      </c>
      <c r="K799">
        <v>0</v>
      </c>
    </row>
    <row r="800" spans="1:11" hidden="1">
      <c r="A800">
        <v>13380</v>
      </c>
      <c r="B800" t="s">
        <v>4349</v>
      </c>
      <c r="C800" t="s">
        <v>4358</v>
      </c>
      <c r="E800" t="s">
        <v>6289</v>
      </c>
      <c r="H800" t="s">
        <v>3056</v>
      </c>
      <c r="I800">
        <v>13380</v>
      </c>
      <c r="K800">
        <v>0</v>
      </c>
    </row>
    <row r="801" spans="1:11" hidden="1">
      <c r="A801">
        <v>13390</v>
      </c>
      <c r="B801" t="s">
        <v>4349</v>
      </c>
      <c r="C801" t="s">
        <v>4381</v>
      </c>
      <c r="E801" t="s">
        <v>6289</v>
      </c>
      <c r="H801" t="s">
        <v>3056</v>
      </c>
      <c r="I801">
        <v>13390</v>
      </c>
      <c r="K801">
        <v>0</v>
      </c>
    </row>
    <row r="802" spans="1:11" hidden="1">
      <c r="A802">
        <v>13400</v>
      </c>
      <c r="B802" t="s">
        <v>4349</v>
      </c>
      <c r="C802" t="s">
        <v>4384</v>
      </c>
      <c r="E802" t="s">
        <v>6289</v>
      </c>
      <c r="H802" t="s">
        <v>3056</v>
      </c>
      <c r="I802">
        <v>13400</v>
      </c>
      <c r="K802">
        <v>0</v>
      </c>
    </row>
    <row r="803" spans="1:11" hidden="1">
      <c r="A803">
        <v>13410</v>
      </c>
      <c r="B803" t="s">
        <v>4349</v>
      </c>
      <c r="C803" t="s">
        <v>4388</v>
      </c>
      <c r="E803" t="s">
        <v>6289</v>
      </c>
      <c r="H803" t="s">
        <v>3056</v>
      </c>
      <c r="I803">
        <v>13410</v>
      </c>
      <c r="K803">
        <v>0</v>
      </c>
    </row>
    <row r="804" spans="1:11" hidden="1">
      <c r="A804">
        <v>13420</v>
      </c>
      <c r="B804" t="s">
        <v>4349</v>
      </c>
      <c r="C804" t="s">
        <v>4392</v>
      </c>
      <c r="E804" t="s">
        <v>6289</v>
      </c>
      <c r="H804" t="s">
        <v>3056</v>
      </c>
      <c r="I804">
        <v>13420</v>
      </c>
      <c r="K804">
        <v>0</v>
      </c>
    </row>
    <row r="805" spans="1:11" hidden="1">
      <c r="A805">
        <v>13430</v>
      </c>
      <c r="B805" t="s">
        <v>4349</v>
      </c>
      <c r="C805" t="s">
        <v>4356</v>
      </c>
      <c r="E805" t="s">
        <v>6289</v>
      </c>
      <c r="H805" t="s">
        <v>3056</v>
      </c>
      <c r="I805">
        <v>13430</v>
      </c>
      <c r="K805">
        <v>0</v>
      </c>
    </row>
    <row r="806" spans="1:11" hidden="1">
      <c r="A806">
        <v>13440</v>
      </c>
      <c r="B806" t="s">
        <v>4349</v>
      </c>
      <c r="C806" t="s">
        <v>4357</v>
      </c>
      <c r="E806" t="s">
        <v>6289</v>
      </c>
      <c r="H806" t="s">
        <v>3056</v>
      </c>
      <c r="I806">
        <v>13440</v>
      </c>
      <c r="K806">
        <v>0</v>
      </c>
    </row>
    <row r="807" spans="1:11" hidden="1">
      <c r="A807">
        <v>666</v>
      </c>
      <c r="B807" t="s">
        <v>4398</v>
      </c>
      <c r="C807" t="s">
        <v>4409</v>
      </c>
      <c r="E807" t="s">
        <v>6289</v>
      </c>
      <c r="F807">
        <v>105</v>
      </c>
      <c r="H807" t="s">
        <v>3056</v>
      </c>
      <c r="I807">
        <v>666</v>
      </c>
      <c r="K807">
        <v>0</v>
      </c>
    </row>
    <row r="808" spans="1:11" hidden="1">
      <c r="A808">
        <v>876</v>
      </c>
      <c r="B808" t="s">
        <v>4398</v>
      </c>
      <c r="C808" t="s">
        <v>4435</v>
      </c>
      <c r="E808" t="s">
        <v>6289</v>
      </c>
      <c r="F808">
        <v>201</v>
      </c>
      <c r="H808" t="s">
        <v>3056</v>
      </c>
      <c r="I808">
        <v>876</v>
      </c>
      <c r="K808">
        <v>0</v>
      </c>
    </row>
    <row r="809" spans="1:11" hidden="1">
      <c r="A809">
        <v>877</v>
      </c>
      <c r="B809" t="s">
        <v>4398</v>
      </c>
      <c r="C809" t="s">
        <v>4419</v>
      </c>
      <c r="E809" t="s">
        <v>6289</v>
      </c>
      <c r="F809">
        <v>202</v>
      </c>
      <c r="H809" t="s">
        <v>3056</v>
      </c>
      <c r="I809">
        <v>877</v>
      </c>
      <c r="K809">
        <v>0</v>
      </c>
    </row>
    <row r="810" spans="1:11" hidden="1">
      <c r="A810">
        <v>878</v>
      </c>
      <c r="B810" t="s">
        <v>4398</v>
      </c>
      <c r="C810" t="s">
        <v>4438</v>
      </c>
      <c r="E810" t="s">
        <v>6289</v>
      </c>
      <c r="F810">
        <v>203</v>
      </c>
      <c r="H810" t="s">
        <v>3056</v>
      </c>
      <c r="I810">
        <v>878</v>
      </c>
      <c r="K810">
        <v>0</v>
      </c>
    </row>
    <row r="811" spans="1:11" hidden="1">
      <c r="A811">
        <v>879</v>
      </c>
      <c r="B811" t="s">
        <v>4398</v>
      </c>
      <c r="C811" t="s">
        <v>4416</v>
      </c>
      <c r="E811" t="s">
        <v>6289</v>
      </c>
      <c r="F811">
        <v>204</v>
      </c>
      <c r="H811" t="s">
        <v>3056</v>
      </c>
      <c r="I811">
        <v>879</v>
      </c>
      <c r="K811">
        <v>0</v>
      </c>
    </row>
    <row r="812" spans="1:11" hidden="1">
      <c r="A812">
        <v>880</v>
      </c>
      <c r="B812" t="s">
        <v>4398</v>
      </c>
      <c r="C812" t="s">
        <v>4422</v>
      </c>
      <c r="E812" t="s">
        <v>6289</v>
      </c>
      <c r="F812">
        <v>205</v>
      </c>
      <c r="H812" t="s">
        <v>3056</v>
      </c>
      <c r="I812">
        <v>880</v>
      </c>
      <c r="K812">
        <v>0</v>
      </c>
    </row>
    <row r="813" spans="1:11" hidden="1">
      <c r="A813">
        <v>881</v>
      </c>
      <c r="B813" t="s">
        <v>4398</v>
      </c>
      <c r="C813" t="s">
        <v>4443</v>
      </c>
      <c r="E813" t="s">
        <v>6289</v>
      </c>
      <c r="F813">
        <v>207</v>
      </c>
      <c r="H813" t="s">
        <v>3056</v>
      </c>
      <c r="I813">
        <v>881</v>
      </c>
      <c r="K813">
        <v>0</v>
      </c>
    </row>
    <row r="814" spans="1:11" hidden="1">
      <c r="A814">
        <v>882</v>
      </c>
      <c r="B814" t="s">
        <v>4398</v>
      </c>
      <c r="C814" t="s">
        <v>4406</v>
      </c>
      <c r="E814" t="s">
        <v>6289</v>
      </c>
      <c r="F814">
        <v>208</v>
      </c>
      <c r="H814" t="s">
        <v>3056</v>
      </c>
      <c r="I814">
        <v>882</v>
      </c>
      <c r="K814">
        <v>0</v>
      </c>
    </row>
    <row r="815" spans="1:11" hidden="1">
      <c r="A815">
        <v>883</v>
      </c>
      <c r="B815" t="s">
        <v>4398</v>
      </c>
      <c r="C815" t="s">
        <v>4400</v>
      </c>
      <c r="E815" t="s">
        <v>6289</v>
      </c>
      <c r="F815">
        <v>209</v>
      </c>
      <c r="H815" t="s">
        <v>3056</v>
      </c>
      <c r="I815">
        <v>883</v>
      </c>
      <c r="K815">
        <v>0</v>
      </c>
    </row>
    <row r="816" spans="1:11" hidden="1">
      <c r="A816">
        <v>884</v>
      </c>
      <c r="B816" t="s">
        <v>4398</v>
      </c>
      <c r="C816" t="s">
        <v>4407</v>
      </c>
      <c r="E816" t="s">
        <v>6289</v>
      </c>
      <c r="F816">
        <v>210</v>
      </c>
      <c r="H816" t="s">
        <v>3056</v>
      </c>
      <c r="I816">
        <v>884</v>
      </c>
      <c r="K816">
        <v>0</v>
      </c>
    </row>
    <row r="817" spans="1:11" hidden="1">
      <c r="A817">
        <v>885</v>
      </c>
      <c r="B817" t="s">
        <v>4398</v>
      </c>
      <c r="C817" t="s">
        <v>4444</v>
      </c>
      <c r="E817" t="s">
        <v>6289</v>
      </c>
      <c r="F817">
        <v>213</v>
      </c>
      <c r="H817" t="s">
        <v>3056</v>
      </c>
      <c r="I817">
        <v>885</v>
      </c>
      <c r="K817">
        <v>0</v>
      </c>
    </row>
    <row r="818" spans="1:11" hidden="1">
      <c r="A818">
        <v>886</v>
      </c>
      <c r="B818" t="s">
        <v>4398</v>
      </c>
      <c r="C818" t="s">
        <v>4411</v>
      </c>
      <c r="E818" t="s">
        <v>6289</v>
      </c>
      <c r="F818">
        <v>214</v>
      </c>
      <c r="H818" t="s">
        <v>3056</v>
      </c>
      <c r="I818">
        <v>886</v>
      </c>
      <c r="K818">
        <v>0</v>
      </c>
    </row>
    <row r="819" spans="1:11" hidden="1">
      <c r="A819">
        <v>887</v>
      </c>
      <c r="B819" t="s">
        <v>4398</v>
      </c>
      <c r="C819" t="s">
        <v>4408</v>
      </c>
      <c r="E819" t="s">
        <v>6289</v>
      </c>
      <c r="F819">
        <v>215</v>
      </c>
      <c r="H819" t="s">
        <v>3056</v>
      </c>
      <c r="I819">
        <v>887</v>
      </c>
      <c r="K819">
        <v>0</v>
      </c>
    </row>
    <row r="820" spans="1:11" hidden="1">
      <c r="A820">
        <v>888</v>
      </c>
      <c r="B820" t="s">
        <v>4398</v>
      </c>
      <c r="C820" t="s">
        <v>4403</v>
      </c>
      <c r="E820" t="s">
        <v>6289</v>
      </c>
      <c r="F820">
        <v>216</v>
      </c>
      <c r="H820" t="s">
        <v>3056</v>
      </c>
      <c r="I820">
        <v>888</v>
      </c>
      <c r="K820">
        <v>0</v>
      </c>
    </row>
    <row r="821" spans="1:11" hidden="1">
      <c r="A821">
        <v>889</v>
      </c>
      <c r="B821" t="s">
        <v>4398</v>
      </c>
      <c r="C821" t="s">
        <v>4437</v>
      </c>
      <c r="E821" t="s">
        <v>6289</v>
      </c>
      <c r="F821">
        <v>217</v>
      </c>
      <c r="H821" t="s">
        <v>3056</v>
      </c>
      <c r="I821">
        <v>889</v>
      </c>
      <c r="K821">
        <v>0</v>
      </c>
    </row>
    <row r="822" spans="1:11" hidden="1">
      <c r="A822">
        <v>890</v>
      </c>
      <c r="B822" t="s">
        <v>4398</v>
      </c>
      <c r="C822" t="s">
        <v>4447</v>
      </c>
      <c r="E822" t="s">
        <v>6289</v>
      </c>
      <c r="F822">
        <v>218</v>
      </c>
      <c r="H822" t="s">
        <v>3056</v>
      </c>
      <c r="I822">
        <v>890</v>
      </c>
      <c r="K822">
        <v>0</v>
      </c>
    </row>
    <row r="823" spans="1:11" hidden="1">
      <c r="A823">
        <v>891</v>
      </c>
      <c r="B823" t="s">
        <v>4398</v>
      </c>
      <c r="C823" t="s">
        <v>4404</v>
      </c>
      <c r="E823" t="s">
        <v>6289</v>
      </c>
      <c r="F823">
        <v>302</v>
      </c>
      <c r="H823" t="s">
        <v>3056</v>
      </c>
      <c r="I823">
        <v>891</v>
      </c>
      <c r="K823">
        <v>0</v>
      </c>
    </row>
    <row r="824" spans="1:11" hidden="1">
      <c r="A824">
        <v>892</v>
      </c>
      <c r="B824" t="s">
        <v>4398</v>
      </c>
      <c r="C824" t="s">
        <v>4410</v>
      </c>
      <c r="E824" t="s">
        <v>6289</v>
      </c>
      <c r="F824">
        <v>303</v>
      </c>
      <c r="H824" t="s">
        <v>3056</v>
      </c>
      <c r="I824">
        <v>892</v>
      </c>
      <c r="K824">
        <v>0</v>
      </c>
    </row>
    <row r="825" spans="1:11" hidden="1">
      <c r="A825">
        <v>893</v>
      </c>
      <c r="B825" t="s">
        <v>4398</v>
      </c>
      <c r="C825" t="s">
        <v>4417</v>
      </c>
      <c r="E825" t="s">
        <v>6289</v>
      </c>
      <c r="F825">
        <v>601</v>
      </c>
      <c r="H825" t="s">
        <v>3056</v>
      </c>
      <c r="I825">
        <v>893</v>
      </c>
      <c r="K825">
        <v>0</v>
      </c>
    </row>
    <row r="826" spans="1:11" hidden="1">
      <c r="A826">
        <v>894</v>
      </c>
      <c r="B826" t="s">
        <v>4398</v>
      </c>
      <c r="C826" t="s">
        <v>4442</v>
      </c>
      <c r="E826" t="s">
        <v>6289</v>
      </c>
      <c r="F826">
        <v>612</v>
      </c>
      <c r="H826" t="s">
        <v>3056</v>
      </c>
      <c r="I826">
        <v>894</v>
      </c>
      <c r="K826">
        <v>0</v>
      </c>
    </row>
    <row r="827" spans="1:11" hidden="1">
      <c r="A827">
        <v>895</v>
      </c>
      <c r="B827" t="s">
        <v>4398</v>
      </c>
      <c r="C827" t="s">
        <v>4420</v>
      </c>
      <c r="E827" t="s">
        <v>6289</v>
      </c>
      <c r="F827" t="s">
        <v>4421</v>
      </c>
      <c r="H827" t="s">
        <v>3056</v>
      </c>
      <c r="I827">
        <v>895</v>
      </c>
      <c r="K827">
        <v>0</v>
      </c>
    </row>
    <row r="828" spans="1:11" hidden="1">
      <c r="A828">
        <v>896</v>
      </c>
      <c r="B828" t="s">
        <v>4398</v>
      </c>
      <c r="C828" t="s">
        <v>4399</v>
      </c>
      <c r="E828" t="s">
        <v>6289</v>
      </c>
      <c r="F828" t="s">
        <v>3833</v>
      </c>
      <c r="H828" t="s">
        <v>3056</v>
      </c>
      <c r="I828">
        <v>896</v>
      </c>
      <c r="K828">
        <v>0</v>
      </c>
    </row>
    <row r="829" spans="1:11" hidden="1">
      <c r="A829">
        <v>897</v>
      </c>
      <c r="B829" t="s">
        <v>4398</v>
      </c>
      <c r="C829" t="s">
        <v>4401</v>
      </c>
      <c r="E829" t="s">
        <v>6289</v>
      </c>
      <c r="F829" t="s">
        <v>4402</v>
      </c>
      <c r="H829" t="s">
        <v>3056</v>
      </c>
      <c r="I829">
        <v>897</v>
      </c>
      <c r="K829">
        <v>0</v>
      </c>
    </row>
    <row r="830" spans="1:11" hidden="1">
      <c r="A830">
        <v>898</v>
      </c>
      <c r="B830" t="s">
        <v>4398</v>
      </c>
      <c r="C830" t="s">
        <v>4405</v>
      </c>
      <c r="E830" t="s">
        <v>6289</v>
      </c>
      <c r="F830" t="s">
        <v>3760</v>
      </c>
      <c r="H830" t="s">
        <v>3056</v>
      </c>
      <c r="I830">
        <v>898</v>
      </c>
      <c r="K830">
        <v>0</v>
      </c>
    </row>
    <row r="831" spans="1:11" hidden="1">
      <c r="A831">
        <v>899</v>
      </c>
      <c r="B831" t="s">
        <v>4398</v>
      </c>
      <c r="C831" t="s">
        <v>4412</v>
      </c>
      <c r="E831" t="s">
        <v>6289</v>
      </c>
      <c r="F831" t="s">
        <v>4413</v>
      </c>
      <c r="H831" t="s">
        <v>3056</v>
      </c>
      <c r="I831">
        <v>899</v>
      </c>
      <c r="K831">
        <v>0</v>
      </c>
    </row>
    <row r="832" spans="1:11" hidden="1">
      <c r="A832">
        <v>900</v>
      </c>
      <c r="B832" t="s">
        <v>4398</v>
      </c>
      <c r="C832" t="s">
        <v>4414</v>
      </c>
      <c r="E832" t="s">
        <v>6289</v>
      </c>
      <c r="F832" t="s">
        <v>4415</v>
      </c>
      <c r="H832" t="s">
        <v>3056</v>
      </c>
      <c r="I832">
        <v>900</v>
      </c>
      <c r="K832">
        <v>0</v>
      </c>
    </row>
    <row r="833" spans="1:11" hidden="1">
      <c r="A833">
        <v>901</v>
      </c>
      <c r="B833" t="s">
        <v>4398</v>
      </c>
      <c r="C833" t="s">
        <v>4418</v>
      </c>
      <c r="E833" t="s">
        <v>6289</v>
      </c>
      <c r="F833" t="s">
        <v>3851</v>
      </c>
      <c r="H833" t="s">
        <v>3056</v>
      </c>
      <c r="I833">
        <v>901</v>
      </c>
      <c r="K833">
        <v>0</v>
      </c>
    </row>
    <row r="834" spans="1:11" hidden="1">
      <c r="A834">
        <v>902</v>
      </c>
      <c r="B834" t="s">
        <v>4398</v>
      </c>
      <c r="C834" t="s">
        <v>4423</v>
      </c>
      <c r="E834" t="s">
        <v>6289</v>
      </c>
      <c r="F834" t="s">
        <v>4424</v>
      </c>
      <c r="H834" t="s">
        <v>3056</v>
      </c>
      <c r="I834">
        <v>902</v>
      </c>
      <c r="K834">
        <v>0</v>
      </c>
    </row>
    <row r="835" spans="1:11" hidden="1">
      <c r="A835">
        <v>903</v>
      </c>
      <c r="B835" t="s">
        <v>4398</v>
      </c>
      <c r="C835" t="s">
        <v>3069</v>
      </c>
      <c r="E835" t="s">
        <v>6289</v>
      </c>
      <c r="F835" t="s">
        <v>3348</v>
      </c>
      <c r="H835" t="s">
        <v>3056</v>
      </c>
      <c r="I835">
        <v>903</v>
      </c>
      <c r="K835">
        <v>0</v>
      </c>
    </row>
    <row r="836" spans="1:11" hidden="1">
      <c r="A836">
        <v>904</v>
      </c>
      <c r="B836" t="s">
        <v>4398</v>
      </c>
      <c r="C836" t="s">
        <v>4431</v>
      </c>
      <c r="E836" t="s">
        <v>6289</v>
      </c>
      <c r="F836" t="s">
        <v>4432</v>
      </c>
      <c r="H836" t="s">
        <v>3056</v>
      </c>
      <c r="I836">
        <v>904</v>
      </c>
      <c r="K836">
        <v>0</v>
      </c>
    </row>
    <row r="837" spans="1:11" hidden="1">
      <c r="A837">
        <v>905</v>
      </c>
      <c r="B837" t="s">
        <v>4398</v>
      </c>
      <c r="C837" t="s">
        <v>4425</v>
      </c>
      <c r="E837" t="s">
        <v>6289</v>
      </c>
      <c r="F837" t="s">
        <v>4426</v>
      </c>
      <c r="H837" t="s">
        <v>3056</v>
      </c>
      <c r="I837">
        <v>905</v>
      </c>
      <c r="K837">
        <v>0</v>
      </c>
    </row>
    <row r="838" spans="1:11" hidden="1">
      <c r="A838">
        <v>906</v>
      </c>
      <c r="B838" t="s">
        <v>4398</v>
      </c>
      <c r="C838" t="s">
        <v>4429</v>
      </c>
      <c r="E838" t="s">
        <v>6289</v>
      </c>
      <c r="F838" t="s">
        <v>4430</v>
      </c>
      <c r="H838" t="s">
        <v>3056</v>
      </c>
      <c r="I838">
        <v>906</v>
      </c>
      <c r="K838">
        <v>0</v>
      </c>
    </row>
    <row r="839" spans="1:11" hidden="1">
      <c r="A839">
        <v>907</v>
      </c>
      <c r="B839" t="s">
        <v>4398</v>
      </c>
      <c r="C839" t="s">
        <v>4427</v>
      </c>
      <c r="E839" t="s">
        <v>6289</v>
      </c>
      <c r="F839" t="s">
        <v>4428</v>
      </c>
      <c r="H839" t="s">
        <v>3056</v>
      </c>
      <c r="I839">
        <v>907</v>
      </c>
      <c r="K839">
        <v>0</v>
      </c>
    </row>
    <row r="840" spans="1:11" hidden="1">
      <c r="A840">
        <v>908</v>
      </c>
      <c r="B840" t="s">
        <v>4398</v>
      </c>
      <c r="C840" t="s">
        <v>4433</v>
      </c>
      <c r="E840" t="s">
        <v>6289</v>
      </c>
      <c r="F840" t="s">
        <v>4434</v>
      </c>
      <c r="H840" t="s">
        <v>3056</v>
      </c>
      <c r="I840">
        <v>908</v>
      </c>
      <c r="K840">
        <v>0</v>
      </c>
    </row>
    <row r="841" spans="1:11" hidden="1">
      <c r="A841">
        <v>909</v>
      </c>
      <c r="B841" t="s">
        <v>4398</v>
      </c>
      <c r="C841" t="s">
        <v>4436</v>
      </c>
      <c r="E841" t="s">
        <v>6289</v>
      </c>
      <c r="F841" t="s">
        <v>3085</v>
      </c>
      <c r="H841" t="s">
        <v>3056</v>
      </c>
      <c r="I841">
        <v>909</v>
      </c>
      <c r="K841">
        <v>0</v>
      </c>
    </row>
    <row r="842" spans="1:11" hidden="1">
      <c r="A842">
        <v>910</v>
      </c>
      <c r="B842" t="s">
        <v>4398</v>
      </c>
      <c r="C842" t="s">
        <v>4439</v>
      </c>
      <c r="E842" t="s">
        <v>6289</v>
      </c>
      <c r="F842" t="s">
        <v>3860</v>
      </c>
      <c r="H842" t="s">
        <v>3056</v>
      </c>
      <c r="I842">
        <v>910</v>
      </c>
      <c r="K842">
        <v>0</v>
      </c>
    </row>
    <row r="843" spans="1:11" hidden="1">
      <c r="A843">
        <v>911</v>
      </c>
      <c r="B843" t="s">
        <v>4398</v>
      </c>
      <c r="C843" t="s">
        <v>4440</v>
      </c>
      <c r="E843" t="s">
        <v>6289</v>
      </c>
      <c r="F843" t="s">
        <v>4441</v>
      </c>
      <c r="H843" t="s">
        <v>3056</v>
      </c>
      <c r="I843">
        <v>911</v>
      </c>
      <c r="K843">
        <v>0</v>
      </c>
    </row>
    <row r="844" spans="1:11" hidden="1">
      <c r="A844">
        <v>912</v>
      </c>
      <c r="B844" t="s">
        <v>4398</v>
      </c>
      <c r="C844" t="s">
        <v>4445</v>
      </c>
      <c r="E844" t="s">
        <v>6289</v>
      </c>
      <c r="F844" t="s">
        <v>4446</v>
      </c>
      <c r="H844" t="s">
        <v>3056</v>
      </c>
      <c r="I844">
        <v>912</v>
      </c>
      <c r="K844">
        <v>0</v>
      </c>
    </row>
    <row r="845" spans="1:11" hidden="1">
      <c r="A845">
        <v>1</v>
      </c>
      <c r="B845" t="s">
        <v>3445</v>
      </c>
      <c r="C845" t="s">
        <v>3446</v>
      </c>
      <c r="E845" t="s">
        <v>6289</v>
      </c>
      <c r="G845">
        <v>0</v>
      </c>
      <c r="H845" t="s">
        <v>3056</v>
      </c>
      <c r="I845">
        <v>18980</v>
      </c>
      <c r="K845" t="s">
        <v>2972</v>
      </c>
    </row>
    <row r="846" spans="1:11" hidden="1">
      <c r="A846">
        <v>2</v>
      </c>
      <c r="B846" t="s">
        <v>3445</v>
      </c>
      <c r="C846" t="s">
        <v>3447</v>
      </c>
      <c r="E846" t="s">
        <v>6289</v>
      </c>
      <c r="G846">
        <v>0</v>
      </c>
      <c r="H846" t="s">
        <v>3056</v>
      </c>
      <c r="I846">
        <v>18990</v>
      </c>
      <c r="K846" t="s">
        <v>2972</v>
      </c>
    </row>
    <row r="847" spans="1:11" hidden="1">
      <c r="A847">
        <v>3000</v>
      </c>
      <c r="B847" t="s">
        <v>4448</v>
      </c>
      <c r="C847" t="s">
        <v>4509</v>
      </c>
      <c r="E847" t="s">
        <v>6289</v>
      </c>
      <c r="F847" t="s">
        <v>4510</v>
      </c>
      <c r="H847" t="s">
        <v>3061</v>
      </c>
      <c r="I847">
        <v>3000</v>
      </c>
      <c r="K847">
        <v>0</v>
      </c>
    </row>
    <row r="848" spans="1:11" hidden="1">
      <c r="A848">
        <v>3001</v>
      </c>
      <c r="B848" t="s">
        <v>4448</v>
      </c>
      <c r="C848" t="s">
        <v>4481</v>
      </c>
      <c r="E848" t="s">
        <v>6289</v>
      </c>
      <c r="F848" t="s">
        <v>4482</v>
      </c>
      <c r="H848" t="s">
        <v>3061</v>
      </c>
      <c r="I848">
        <v>3001</v>
      </c>
      <c r="K848">
        <v>0</v>
      </c>
    </row>
    <row r="849" spans="1:11" hidden="1">
      <c r="A849">
        <v>3002</v>
      </c>
      <c r="B849" t="s">
        <v>4448</v>
      </c>
      <c r="C849" t="s">
        <v>4470</v>
      </c>
      <c r="E849" t="s">
        <v>6289</v>
      </c>
      <c r="F849" t="s">
        <v>4471</v>
      </c>
      <c r="H849" t="s">
        <v>3061</v>
      </c>
      <c r="I849">
        <v>3002</v>
      </c>
      <c r="K849">
        <v>0</v>
      </c>
    </row>
    <row r="850" spans="1:11" hidden="1">
      <c r="A850">
        <v>3003</v>
      </c>
      <c r="B850" t="s">
        <v>4448</v>
      </c>
      <c r="C850" t="s">
        <v>4493</v>
      </c>
      <c r="E850" t="s">
        <v>6289</v>
      </c>
      <c r="F850" t="s">
        <v>4494</v>
      </c>
      <c r="H850" t="s">
        <v>3061</v>
      </c>
      <c r="I850">
        <v>3003</v>
      </c>
      <c r="K850">
        <v>0</v>
      </c>
    </row>
    <row r="851" spans="1:11" hidden="1">
      <c r="A851">
        <v>3004</v>
      </c>
      <c r="B851" t="s">
        <v>4448</v>
      </c>
      <c r="C851" t="s">
        <v>4505</v>
      </c>
      <c r="E851" t="s">
        <v>6289</v>
      </c>
      <c r="F851" t="s">
        <v>4506</v>
      </c>
      <c r="H851" t="s">
        <v>3061</v>
      </c>
      <c r="I851">
        <v>3004</v>
      </c>
      <c r="K851">
        <v>0</v>
      </c>
    </row>
    <row r="852" spans="1:11" hidden="1">
      <c r="A852">
        <v>3005</v>
      </c>
      <c r="B852" t="s">
        <v>4448</v>
      </c>
      <c r="C852" t="s">
        <v>4507</v>
      </c>
      <c r="E852" t="s">
        <v>6289</v>
      </c>
      <c r="F852" t="s">
        <v>4508</v>
      </c>
      <c r="H852" t="s">
        <v>3061</v>
      </c>
      <c r="I852">
        <v>3005</v>
      </c>
      <c r="K852">
        <v>0</v>
      </c>
    </row>
    <row r="853" spans="1:11" hidden="1">
      <c r="A853">
        <v>3006</v>
      </c>
      <c r="B853" t="s">
        <v>4448</v>
      </c>
      <c r="C853" t="s">
        <v>4495</v>
      </c>
      <c r="E853" t="s">
        <v>6289</v>
      </c>
      <c r="F853" t="s">
        <v>4496</v>
      </c>
      <c r="H853" t="s">
        <v>3061</v>
      </c>
      <c r="I853">
        <v>3006</v>
      </c>
      <c r="K853">
        <v>0</v>
      </c>
    </row>
    <row r="854" spans="1:11" hidden="1">
      <c r="A854">
        <v>3007</v>
      </c>
      <c r="B854" t="s">
        <v>4448</v>
      </c>
      <c r="C854" t="s">
        <v>4468</v>
      </c>
      <c r="E854" t="s">
        <v>6289</v>
      </c>
      <c r="F854" t="s">
        <v>4469</v>
      </c>
      <c r="H854" t="s">
        <v>3061</v>
      </c>
      <c r="I854">
        <v>3007</v>
      </c>
      <c r="K854">
        <v>0</v>
      </c>
    </row>
    <row r="855" spans="1:11" hidden="1">
      <c r="A855">
        <v>3008</v>
      </c>
      <c r="B855" t="s">
        <v>4448</v>
      </c>
      <c r="C855" t="s">
        <v>4472</v>
      </c>
      <c r="E855" t="s">
        <v>6289</v>
      </c>
      <c r="F855" t="s">
        <v>4473</v>
      </c>
      <c r="H855" t="s">
        <v>3061</v>
      </c>
      <c r="I855">
        <v>3008</v>
      </c>
      <c r="K855">
        <v>0</v>
      </c>
    </row>
    <row r="856" spans="1:11" hidden="1">
      <c r="A856">
        <v>3009</v>
      </c>
      <c r="B856" t="s">
        <v>4448</v>
      </c>
      <c r="C856" t="s">
        <v>4483</v>
      </c>
      <c r="E856" t="s">
        <v>6289</v>
      </c>
      <c r="F856" t="s">
        <v>4484</v>
      </c>
      <c r="H856" t="s">
        <v>3061</v>
      </c>
      <c r="I856">
        <v>3009</v>
      </c>
      <c r="K856">
        <v>0</v>
      </c>
    </row>
    <row r="857" spans="1:11" hidden="1">
      <c r="A857">
        <v>3010</v>
      </c>
      <c r="B857" t="s">
        <v>4448</v>
      </c>
      <c r="C857" t="s">
        <v>4466</v>
      </c>
      <c r="E857" t="s">
        <v>6289</v>
      </c>
      <c r="F857" t="s">
        <v>4467</v>
      </c>
      <c r="H857" t="s">
        <v>3061</v>
      </c>
      <c r="I857">
        <v>3010</v>
      </c>
      <c r="K857">
        <v>0</v>
      </c>
    </row>
    <row r="858" spans="1:11" hidden="1">
      <c r="A858">
        <v>3011</v>
      </c>
      <c r="B858" t="s">
        <v>4448</v>
      </c>
      <c r="C858" t="s">
        <v>4501</v>
      </c>
      <c r="E858" t="s">
        <v>6289</v>
      </c>
      <c r="F858" t="s">
        <v>4502</v>
      </c>
      <c r="H858" t="s">
        <v>3061</v>
      </c>
      <c r="I858">
        <v>3011</v>
      </c>
      <c r="K858">
        <v>0</v>
      </c>
    </row>
    <row r="859" spans="1:11" hidden="1">
      <c r="A859">
        <v>3012</v>
      </c>
      <c r="B859" t="s">
        <v>4448</v>
      </c>
      <c r="C859" t="s">
        <v>4462</v>
      </c>
      <c r="E859" t="s">
        <v>6289</v>
      </c>
      <c r="F859" t="s">
        <v>4463</v>
      </c>
      <c r="H859" t="s">
        <v>3061</v>
      </c>
      <c r="I859">
        <v>3012</v>
      </c>
      <c r="K859">
        <v>0</v>
      </c>
    </row>
    <row r="860" spans="1:11" hidden="1">
      <c r="A860">
        <v>3013</v>
      </c>
      <c r="B860" t="s">
        <v>4448</v>
      </c>
      <c r="C860" t="s">
        <v>4479</v>
      </c>
      <c r="E860" t="s">
        <v>6289</v>
      </c>
      <c r="F860" t="s">
        <v>4480</v>
      </c>
      <c r="H860" t="s">
        <v>3061</v>
      </c>
      <c r="I860">
        <v>3013</v>
      </c>
      <c r="K860">
        <v>0</v>
      </c>
    </row>
    <row r="861" spans="1:11" hidden="1">
      <c r="A861">
        <v>3014</v>
      </c>
      <c r="B861" t="s">
        <v>4448</v>
      </c>
      <c r="C861" t="s">
        <v>4511</v>
      </c>
      <c r="E861" t="s">
        <v>6289</v>
      </c>
      <c r="F861" t="s">
        <v>4512</v>
      </c>
      <c r="H861" t="s">
        <v>3061</v>
      </c>
      <c r="I861">
        <v>3014</v>
      </c>
      <c r="K861">
        <v>0</v>
      </c>
    </row>
    <row r="862" spans="1:11" hidden="1">
      <c r="A862">
        <v>3015</v>
      </c>
      <c r="B862" t="s">
        <v>4448</v>
      </c>
      <c r="C862" t="s">
        <v>4487</v>
      </c>
      <c r="E862" t="s">
        <v>6289</v>
      </c>
      <c r="F862" t="s">
        <v>4488</v>
      </c>
      <c r="H862" t="s">
        <v>3061</v>
      </c>
      <c r="I862">
        <v>3015</v>
      </c>
      <c r="K862">
        <v>0</v>
      </c>
    </row>
    <row r="863" spans="1:11" hidden="1">
      <c r="A863">
        <v>3016</v>
      </c>
      <c r="B863" t="s">
        <v>4448</v>
      </c>
      <c r="C863" t="s">
        <v>4489</v>
      </c>
      <c r="E863" t="s">
        <v>6289</v>
      </c>
      <c r="F863" t="s">
        <v>4490</v>
      </c>
      <c r="H863" t="s">
        <v>3061</v>
      </c>
      <c r="I863">
        <v>3016</v>
      </c>
      <c r="K863">
        <v>0</v>
      </c>
    </row>
    <row r="864" spans="1:11" hidden="1">
      <c r="A864">
        <v>3017</v>
      </c>
      <c r="B864" t="s">
        <v>4448</v>
      </c>
      <c r="C864" t="s">
        <v>4491</v>
      </c>
      <c r="E864" t="s">
        <v>6289</v>
      </c>
      <c r="F864" t="s">
        <v>4492</v>
      </c>
      <c r="H864" t="s">
        <v>3061</v>
      </c>
      <c r="I864">
        <v>3017</v>
      </c>
      <c r="K864">
        <v>0</v>
      </c>
    </row>
    <row r="865" spans="1:11" hidden="1">
      <c r="A865">
        <v>3018</v>
      </c>
      <c r="B865" t="s">
        <v>4448</v>
      </c>
      <c r="C865" t="s">
        <v>4475</v>
      </c>
      <c r="E865" t="s">
        <v>6289</v>
      </c>
      <c r="F865" t="s">
        <v>4476</v>
      </c>
      <c r="H865" t="s">
        <v>3061</v>
      </c>
      <c r="I865">
        <v>3018</v>
      </c>
      <c r="K865">
        <v>0</v>
      </c>
    </row>
    <row r="866" spans="1:11" hidden="1">
      <c r="A866">
        <v>3019</v>
      </c>
      <c r="B866" t="s">
        <v>4448</v>
      </c>
      <c r="C866" t="s">
        <v>4449</v>
      </c>
      <c r="E866" t="s">
        <v>6289</v>
      </c>
      <c r="F866" t="s">
        <v>4450</v>
      </c>
      <c r="H866" t="s">
        <v>3061</v>
      </c>
      <c r="I866">
        <v>3019</v>
      </c>
      <c r="K866">
        <v>0</v>
      </c>
    </row>
    <row r="867" spans="1:11" hidden="1">
      <c r="A867">
        <v>3020</v>
      </c>
      <c r="B867" t="s">
        <v>4448</v>
      </c>
      <c r="C867" t="s">
        <v>4460</v>
      </c>
      <c r="E867" t="s">
        <v>6289</v>
      </c>
      <c r="F867" t="s">
        <v>4461</v>
      </c>
      <c r="H867" t="s">
        <v>3061</v>
      </c>
      <c r="I867">
        <v>3020</v>
      </c>
      <c r="K867">
        <v>0</v>
      </c>
    </row>
    <row r="868" spans="1:11" hidden="1">
      <c r="A868">
        <v>3021</v>
      </c>
      <c r="B868" t="s">
        <v>4448</v>
      </c>
      <c r="C868" t="s">
        <v>4464</v>
      </c>
      <c r="E868" t="s">
        <v>6289</v>
      </c>
      <c r="F868" t="s">
        <v>4465</v>
      </c>
      <c r="H868" t="s">
        <v>3061</v>
      </c>
      <c r="I868">
        <v>3021</v>
      </c>
      <c r="K868">
        <v>0</v>
      </c>
    </row>
    <row r="869" spans="1:11" hidden="1">
      <c r="A869">
        <v>3022</v>
      </c>
      <c r="B869" t="s">
        <v>4448</v>
      </c>
      <c r="C869" t="s">
        <v>4477</v>
      </c>
      <c r="E869" t="s">
        <v>6289</v>
      </c>
      <c r="F869" t="s">
        <v>4478</v>
      </c>
      <c r="H869" t="s">
        <v>3061</v>
      </c>
      <c r="I869">
        <v>3022</v>
      </c>
      <c r="K869">
        <v>0</v>
      </c>
    </row>
    <row r="870" spans="1:11" hidden="1">
      <c r="A870">
        <v>3023</v>
      </c>
      <c r="B870" t="s">
        <v>4448</v>
      </c>
      <c r="C870" t="s">
        <v>4499</v>
      </c>
      <c r="E870" t="s">
        <v>6289</v>
      </c>
      <c r="F870" t="s">
        <v>4500</v>
      </c>
      <c r="H870" t="s">
        <v>3061</v>
      </c>
      <c r="I870">
        <v>3023</v>
      </c>
      <c r="K870">
        <v>0</v>
      </c>
    </row>
    <row r="871" spans="1:11" hidden="1">
      <c r="A871">
        <v>3024</v>
      </c>
      <c r="B871" t="s">
        <v>4448</v>
      </c>
      <c r="C871" t="s">
        <v>4454</v>
      </c>
      <c r="E871" t="s">
        <v>6289</v>
      </c>
      <c r="F871" t="s">
        <v>4455</v>
      </c>
      <c r="H871" t="s">
        <v>3061</v>
      </c>
      <c r="I871">
        <v>3024</v>
      </c>
      <c r="K871">
        <v>0</v>
      </c>
    </row>
    <row r="872" spans="1:11" hidden="1">
      <c r="A872">
        <v>3025</v>
      </c>
      <c r="B872" t="s">
        <v>4448</v>
      </c>
      <c r="C872" t="s">
        <v>4456</v>
      </c>
      <c r="E872" t="s">
        <v>6289</v>
      </c>
      <c r="F872" t="s">
        <v>4457</v>
      </c>
      <c r="H872" t="s">
        <v>3061</v>
      </c>
      <c r="I872">
        <v>3025</v>
      </c>
      <c r="K872">
        <v>0</v>
      </c>
    </row>
    <row r="873" spans="1:11" hidden="1">
      <c r="A873">
        <v>3026</v>
      </c>
      <c r="B873" t="s">
        <v>4448</v>
      </c>
      <c r="C873" t="s">
        <v>4458</v>
      </c>
      <c r="E873" t="s">
        <v>6289</v>
      </c>
      <c r="F873" t="s">
        <v>4459</v>
      </c>
      <c r="H873" t="s">
        <v>3061</v>
      </c>
      <c r="I873">
        <v>3026</v>
      </c>
      <c r="K873">
        <v>0</v>
      </c>
    </row>
    <row r="874" spans="1:11" hidden="1">
      <c r="A874">
        <v>3027</v>
      </c>
      <c r="B874" t="s">
        <v>4448</v>
      </c>
      <c r="C874" t="s">
        <v>4497</v>
      </c>
      <c r="E874" t="s">
        <v>6289</v>
      </c>
      <c r="F874" t="s">
        <v>4498</v>
      </c>
      <c r="H874" t="s">
        <v>3061</v>
      </c>
      <c r="I874">
        <v>3027</v>
      </c>
      <c r="K874">
        <v>0</v>
      </c>
    </row>
    <row r="875" spans="1:11" hidden="1">
      <c r="A875">
        <v>3028</v>
      </c>
      <c r="B875" t="s">
        <v>4448</v>
      </c>
      <c r="C875" t="s">
        <v>4513</v>
      </c>
      <c r="E875" t="s">
        <v>6289</v>
      </c>
      <c r="F875" t="s">
        <v>4514</v>
      </c>
      <c r="H875" t="s">
        <v>3061</v>
      </c>
      <c r="I875">
        <v>3028</v>
      </c>
      <c r="K875">
        <v>0</v>
      </c>
    </row>
    <row r="876" spans="1:11" hidden="1">
      <c r="A876">
        <v>3029</v>
      </c>
      <c r="B876" t="s">
        <v>4448</v>
      </c>
      <c r="C876" t="s">
        <v>4451</v>
      </c>
      <c r="E876" t="s">
        <v>6289</v>
      </c>
      <c r="F876" t="s">
        <v>3301</v>
      </c>
      <c r="H876" t="s">
        <v>3061</v>
      </c>
      <c r="I876">
        <v>3029</v>
      </c>
      <c r="K876">
        <v>0</v>
      </c>
    </row>
    <row r="877" spans="1:11" hidden="1">
      <c r="A877">
        <v>3030</v>
      </c>
      <c r="B877" t="s">
        <v>4448</v>
      </c>
      <c r="C877" t="s">
        <v>4452</v>
      </c>
      <c r="E877" t="s">
        <v>6289</v>
      </c>
      <c r="F877" t="s">
        <v>4453</v>
      </c>
      <c r="H877" t="s">
        <v>3061</v>
      </c>
      <c r="I877">
        <v>3030</v>
      </c>
      <c r="K877">
        <v>0</v>
      </c>
    </row>
    <row r="878" spans="1:11" hidden="1">
      <c r="A878">
        <v>3031</v>
      </c>
      <c r="B878" t="s">
        <v>4448</v>
      </c>
      <c r="C878" t="s">
        <v>4485</v>
      </c>
      <c r="E878" t="s">
        <v>6289</v>
      </c>
      <c r="F878" t="s">
        <v>4486</v>
      </c>
      <c r="H878" t="s">
        <v>3061</v>
      </c>
      <c r="I878">
        <v>3031</v>
      </c>
      <c r="K878">
        <v>0</v>
      </c>
    </row>
    <row r="879" spans="1:11" hidden="1">
      <c r="A879">
        <v>3032</v>
      </c>
      <c r="B879" t="s">
        <v>4448</v>
      </c>
      <c r="C879" t="s">
        <v>3141</v>
      </c>
      <c r="E879" t="s">
        <v>6289</v>
      </c>
      <c r="F879" t="s">
        <v>3141</v>
      </c>
      <c r="H879" t="s">
        <v>3061</v>
      </c>
      <c r="I879">
        <v>3032</v>
      </c>
      <c r="K879">
        <v>0</v>
      </c>
    </row>
    <row r="880" spans="1:11" hidden="1">
      <c r="A880">
        <v>3033</v>
      </c>
      <c r="B880" t="s">
        <v>4448</v>
      </c>
      <c r="C880" t="s">
        <v>3144</v>
      </c>
      <c r="E880" t="s">
        <v>6289</v>
      </c>
      <c r="F880" t="s">
        <v>3145</v>
      </c>
      <c r="H880" t="s">
        <v>3061</v>
      </c>
      <c r="I880">
        <v>3033</v>
      </c>
      <c r="K880">
        <v>0</v>
      </c>
    </row>
    <row r="881" spans="1:11" hidden="1">
      <c r="A881">
        <v>3036</v>
      </c>
      <c r="B881" t="s">
        <v>4448</v>
      </c>
      <c r="C881" t="s">
        <v>4503</v>
      </c>
      <c r="E881" t="s">
        <v>6289</v>
      </c>
      <c r="F881" t="s">
        <v>4504</v>
      </c>
      <c r="H881" t="s">
        <v>3061</v>
      </c>
      <c r="I881">
        <v>3036</v>
      </c>
      <c r="K881">
        <v>0</v>
      </c>
    </row>
    <row r="882" spans="1:11" hidden="1">
      <c r="A882">
        <v>160012</v>
      </c>
      <c r="B882" t="s">
        <v>4448</v>
      </c>
      <c r="C882" t="s">
        <v>4474</v>
      </c>
      <c r="E882" t="s">
        <v>6289</v>
      </c>
      <c r="F882" t="s">
        <v>4474</v>
      </c>
      <c r="H882" t="s">
        <v>3061</v>
      </c>
      <c r="I882">
        <v>160012</v>
      </c>
      <c r="K882">
        <v>0</v>
      </c>
    </row>
    <row r="883" spans="1:11" hidden="1">
      <c r="A883">
        <v>3100</v>
      </c>
      <c r="B883" t="s">
        <v>4515</v>
      </c>
      <c r="C883" t="s">
        <v>4450</v>
      </c>
      <c r="E883" t="s">
        <v>6289</v>
      </c>
      <c r="F883" t="s">
        <v>4517</v>
      </c>
      <c r="H883" t="s">
        <v>3061</v>
      </c>
      <c r="I883">
        <v>3100</v>
      </c>
      <c r="K883">
        <v>0</v>
      </c>
    </row>
    <row r="884" spans="1:11" hidden="1">
      <c r="A884">
        <v>3101</v>
      </c>
      <c r="B884" t="s">
        <v>4515</v>
      </c>
      <c r="C884" t="s">
        <v>4476</v>
      </c>
      <c r="E884" t="s">
        <v>6289</v>
      </c>
      <c r="F884" t="s">
        <v>4517</v>
      </c>
      <c r="H884" t="s">
        <v>3061</v>
      </c>
      <c r="I884">
        <v>3101</v>
      </c>
      <c r="K884">
        <v>0</v>
      </c>
    </row>
    <row r="885" spans="1:11" hidden="1">
      <c r="A885">
        <v>3102</v>
      </c>
      <c r="B885" t="s">
        <v>4515</v>
      </c>
      <c r="C885" t="s">
        <v>4500</v>
      </c>
      <c r="E885" t="s">
        <v>6289</v>
      </c>
      <c r="F885" t="s">
        <v>4517</v>
      </c>
      <c r="H885" t="s">
        <v>3061</v>
      </c>
      <c r="I885">
        <v>3102</v>
      </c>
      <c r="K885">
        <v>0</v>
      </c>
    </row>
    <row r="886" spans="1:11" hidden="1">
      <c r="A886">
        <v>3103</v>
      </c>
      <c r="B886" t="s">
        <v>4515</v>
      </c>
      <c r="C886" t="s">
        <v>4482</v>
      </c>
      <c r="E886" t="s">
        <v>6289</v>
      </c>
      <c r="F886" t="s">
        <v>4516</v>
      </c>
      <c r="H886" t="s">
        <v>3061</v>
      </c>
      <c r="I886">
        <v>3103</v>
      </c>
      <c r="K886">
        <v>0</v>
      </c>
    </row>
    <row r="887" spans="1:11" hidden="1">
      <c r="A887">
        <v>3104</v>
      </c>
      <c r="B887" t="s">
        <v>4515</v>
      </c>
      <c r="C887" t="s">
        <v>4484</v>
      </c>
      <c r="E887" t="s">
        <v>6289</v>
      </c>
      <c r="F887" t="s">
        <v>4516</v>
      </c>
      <c r="H887" t="s">
        <v>3061</v>
      </c>
      <c r="I887">
        <v>3104</v>
      </c>
      <c r="K887">
        <v>0</v>
      </c>
    </row>
    <row r="888" spans="1:11" hidden="1">
      <c r="A888">
        <v>3105</v>
      </c>
      <c r="B888" t="s">
        <v>4515</v>
      </c>
      <c r="C888" t="s">
        <v>4455</v>
      </c>
      <c r="E888" t="s">
        <v>6289</v>
      </c>
      <c r="F888" t="s">
        <v>3155</v>
      </c>
      <c r="H888" t="s">
        <v>3061</v>
      </c>
      <c r="I888">
        <v>3105</v>
      </c>
      <c r="K888">
        <v>0</v>
      </c>
    </row>
    <row r="889" spans="1:11" hidden="1">
      <c r="A889">
        <v>3106</v>
      </c>
      <c r="B889" t="s">
        <v>4515</v>
      </c>
      <c r="C889" t="s">
        <v>4457</v>
      </c>
      <c r="E889" t="s">
        <v>6289</v>
      </c>
      <c r="F889" t="s">
        <v>3155</v>
      </c>
      <c r="H889" t="s">
        <v>3061</v>
      </c>
      <c r="I889">
        <v>3106</v>
      </c>
      <c r="K889">
        <v>0</v>
      </c>
    </row>
    <row r="890" spans="1:11" hidden="1">
      <c r="A890">
        <v>3107</v>
      </c>
      <c r="B890" t="s">
        <v>4515</v>
      </c>
      <c r="C890" t="s">
        <v>4461</v>
      </c>
      <c r="E890" t="s">
        <v>6289</v>
      </c>
      <c r="F890" t="s">
        <v>3155</v>
      </c>
      <c r="H890" t="s">
        <v>3061</v>
      </c>
      <c r="I890">
        <v>3107</v>
      </c>
      <c r="K890">
        <v>0</v>
      </c>
    </row>
    <row r="891" spans="1:11" hidden="1">
      <c r="A891">
        <v>3108</v>
      </c>
      <c r="B891" t="s">
        <v>4515</v>
      </c>
      <c r="C891" t="s">
        <v>4463</v>
      </c>
      <c r="E891" t="s">
        <v>6289</v>
      </c>
      <c r="F891" t="s">
        <v>3155</v>
      </c>
      <c r="H891" t="s">
        <v>3061</v>
      </c>
      <c r="I891">
        <v>3108</v>
      </c>
      <c r="K891">
        <v>0</v>
      </c>
    </row>
    <row r="892" spans="1:11" hidden="1">
      <c r="A892">
        <v>3109</v>
      </c>
      <c r="B892" t="s">
        <v>4515</v>
      </c>
      <c r="C892" t="s">
        <v>4465</v>
      </c>
      <c r="E892" t="s">
        <v>6289</v>
      </c>
      <c r="F892" t="s">
        <v>3155</v>
      </c>
      <c r="H892" t="s">
        <v>3061</v>
      </c>
      <c r="I892">
        <v>3109</v>
      </c>
      <c r="K892">
        <v>0</v>
      </c>
    </row>
    <row r="893" spans="1:11" hidden="1">
      <c r="A893">
        <v>3110</v>
      </c>
      <c r="B893" t="s">
        <v>4515</v>
      </c>
      <c r="C893" t="s">
        <v>4467</v>
      </c>
      <c r="E893" t="s">
        <v>6289</v>
      </c>
      <c r="F893" t="s">
        <v>3155</v>
      </c>
      <c r="H893" t="s">
        <v>3061</v>
      </c>
      <c r="I893">
        <v>3110</v>
      </c>
      <c r="K893">
        <v>0</v>
      </c>
    </row>
    <row r="894" spans="1:11" hidden="1">
      <c r="A894">
        <v>3111</v>
      </c>
      <c r="B894" t="s">
        <v>4515</v>
      </c>
      <c r="C894" t="s">
        <v>4469</v>
      </c>
      <c r="E894" t="s">
        <v>6289</v>
      </c>
      <c r="F894" t="s">
        <v>3155</v>
      </c>
      <c r="H894" t="s">
        <v>3061</v>
      </c>
      <c r="I894">
        <v>3111</v>
      </c>
      <c r="K894">
        <v>0</v>
      </c>
    </row>
    <row r="895" spans="1:11" hidden="1">
      <c r="A895">
        <v>3112</v>
      </c>
      <c r="B895" t="s">
        <v>4515</v>
      </c>
      <c r="C895" t="s">
        <v>4471</v>
      </c>
      <c r="E895" t="s">
        <v>6289</v>
      </c>
      <c r="F895" t="s">
        <v>138</v>
      </c>
      <c r="H895" t="s">
        <v>3061</v>
      </c>
      <c r="I895">
        <v>3112</v>
      </c>
      <c r="K895">
        <v>0</v>
      </c>
    </row>
    <row r="896" spans="1:11" hidden="1">
      <c r="A896">
        <v>3113</v>
      </c>
      <c r="B896" t="s">
        <v>4515</v>
      </c>
      <c r="C896" t="s">
        <v>4473</v>
      </c>
      <c r="E896" t="s">
        <v>6289</v>
      </c>
      <c r="F896" t="s">
        <v>138</v>
      </c>
      <c r="H896" t="s">
        <v>3061</v>
      </c>
      <c r="I896">
        <v>3113</v>
      </c>
      <c r="K896">
        <v>0</v>
      </c>
    </row>
    <row r="897" spans="1:11" hidden="1">
      <c r="A897">
        <v>3114</v>
      </c>
      <c r="B897" t="s">
        <v>4515</v>
      </c>
      <c r="C897" t="s">
        <v>4478</v>
      </c>
      <c r="E897" t="s">
        <v>6289</v>
      </c>
      <c r="F897" t="s">
        <v>3155</v>
      </c>
      <c r="H897" t="s">
        <v>3061</v>
      </c>
      <c r="I897">
        <v>3114</v>
      </c>
      <c r="K897">
        <v>0</v>
      </c>
    </row>
    <row r="898" spans="1:11" hidden="1">
      <c r="A898">
        <v>3115</v>
      </c>
      <c r="B898" t="s">
        <v>4515</v>
      </c>
      <c r="C898" t="s">
        <v>4480</v>
      </c>
      <c r="E898" t="s">
        <v>6289</v>
      </c>
      <c r="F898" t="s">
        <v>3155</v>
      </c>
      <c r="H898" t="s">
        <v>3061</v>
      </c>
      <c r="I898">
        <v>3115</v>
      </c>
      <c r="K898">
        <v>0</v>
      </c>
    </row>
    <row r="899" spans="1:11" hidden="1">
      <c r="A899">
        <v>3116</v>
      </c>
      <c r="B899" t="s">
        <v>4515</v>
      </c>
      <c r="C899" t="s">
        <v>4488</v>
      </c>
      <c r="E899" t="s">
        <v>6289</v>
      </c>
      <c r="F899" t="s">
        <v>3155</v>
      </c>
      <c r="H899" t="s">
        <v>3061</v>
      </c>
      <c r="I899">
        <v>3116</v>
      </c>
      <c r="K899">
        <v>0</v>
      </c>
    </row>
    <row r="900" spans="1:11" hidden="1">
      <c r="A900">
        <v>3117</v>
      </c>
      <c r="B900" t="s">
        <v>4515</v>
      </c>
      <c r="C900" t="s">
        <v>4490</v>
      </c>
      <c r="E900" t="s">
        <v>6289</v>
      </c>
      <c r="F900" t="s">
        <v>3155</v>
      </c>
      <c r="H900" t="s">
        <v>3061</v>
      </c>
      <c r="I900">
        <v>3117</v>
      </c>
      <c r="K900">
        <v>0</v>
      </c>
    </row>
    <row r="901" spans="1:11" hidden="1">
      <c r="A901">
        <v>3118</v>
      </c>
      <c r="B901" t="s">
        <v>4515</v>
      </c>
      <c r="C901" t="s">
        <v>4518</v>
      </c>
      <c r="E901" t="s">
        <v>6289</v>
      </c>
      <c r="F901" t="s">
        <v>3155</v>
      </c>
      <c r="H901" t="s">
        <v>3061</v>
      </c>
      <c r="I901">
        <v>3118</v>
      </c>
      <c r="K901">
        <v>0</v>
      </c>
    </row>
    <row r="902" spans="1:11" hidden="1">
      <c r="A902">
        <v>3119</v>
      </c>
      <c r="B902" t="s">
        <v>4515</v>
      </c>
      <c r="C902" t="s">
        <v>4492</v>
      </c>
      <c r="E902" t="s">
        <v>6289</v>
      </c>
      <c r="F902" t="s">
        <v>3155</v>
      </c>
      <c r="H902" t="s">
        <v>3061</v>
      </c>
      <c r="I902">
        <v>3119</v>
      </c>
      <c r="K902">
        <v>0</v>
      </c>
    </row>
    <row r="903" spans="1:11" hidden="1">
      <c r="A903">
        <v>3120</v>
      </c>
      <c r="B903" t="s">
        <v>4515</v>
      </c>
      <c r="C903" t="s">
        <v>4494</v>
      </c>
      <c r="E903" t="s">
        <v>6289</v>
      </c>
      <c r="F903" t="s">
        <v>3155</v>
      </c>
      <c r="H903" t="s">
        <v>3061</v>
      </c>
      <c r="I903">
        <v>3120</v>
      </c>
      <c r="K903">
        <v>0</v>
      </c>
    </row>
    <row r="904" spans="1:11" hidden="1">
      <c r="A904">
        <v>3121</v>
      </c>
      <c r="B904" t="s">
        <v>4515</v>
      </c>
      <c r="C904" t="s">
        <v>4496</v>
      </c>
      <c r="E904" t="s">
        <v>6289</v>
      </c>
      <c r="F904" t="s">
        <v>3155</v>
      </c>
      <c r="H904" t="s">
        <v>3061</v>
      </c>
      <c r="I904">
        <v>3121</v>
      </c>
      <c r="K904">
        <v>0</v>
      </c>
    </row>
    <row r="905" spans="1:11" hidden="1">
      <c r="A905">
        <v>3122</v>
      </c>
      <c r="B905" t="s">
        <v>4515</v>
      </c>
      <c r="C905" t="s">
        <v>4498</v>
      </c>
      <c r="E905" t="s">
        <v>6289</v>
      </c>
      <c r="F905" t="s">
        <v>3155</v>
      </c>
      <c r="H905" t="s">
        <v>3061</v>
      </c>
      <c r="I905">
        <v>3122</v>
      </c>
      <c r="K905">
        <v>0</v>
      </c>
    </row>
    <row r="906" spans="1:11" hidden="1">
      <c r="A906">
        <v>3123</v>
      </c>
      <c r="B906" t="s">
        <v>4515</v>
      </c>
      <c r="C906" t="s">
        <v>4502</v>
      </c>
      <c r="E906" t="s">
        <v>6289</v>
      </c>
      <c r="F906" t="s">
        <v>3155</v>
      </c>
      <c r="H906" t="s">
        <v>3061</v>
      </c>
      <c r="I906">
        <v>3123</v>
      </c>
      <c r="K906">
        <v>0</v>
      </c>
    </row>
    <row r="907" spans="1:11" hidden="1">
      <c r="A907">
        <v>3124</v>
      </c>
      <c r="B907" t="s">
        <v>4515</v>
      </c>
      <c r="C907" t="s">
        <v>4506</v>
      </c>
      <c r="E907" t="s">
        <v>6289</v>
      </c>
      <c r="F907" t="s">
        <v>3155</v>
      </c>
      <c r="H907" t="s">
        <v>3061</v>
      </c>
      <c r="I907">
        <v>3124</v>
      </c>
      <c r="K907">
        <v>0</v>
      </c>
    </row>
    <row r="908" spans="1:11" hidden="1">
      <c r="A908">
        <v>3125</v>
      </c>
      <c r="B908" t="s">
        <v>4515</v>
      </c>
      <c r="C908" t="s">
        <v>4508</v>
      </c>
      <c r="E908" t="s">
        <v>6289</v>
      </c>
      <c r="F908" t="s">
        <v>3155</v>
      </c>
      <c r="H908" t="s">
        <v>3061</v>
      </c>
      <c r="I908">
        <v>3125</v>
      </c>
      <c r="K908">
        <v>0</v>
      </c>
    </row>
    <row r="909" spans="1:11" hidden="1">
      <c r="A909">
        <v>3126</v>
      </c>
      <c r="B909" t="s">
        <v>4515</v>
      </c>
      <c r="C909" t="s">
        <v>4510</v>
      </c>
      <c r="E909" t="s">
        <v>6289</v>
      </c>
      <c r="F909" t="s">
        <v>3155</v>
      </c>
      <c r="H909" t="s">
        <v>3061</v>
      </c>
      <c r="I909">
        <v>3126</v>
      </c>
      <c r="K909">
        <v>0</v>
      </c>
    </row>
    <row r="910" spans="1:11" hidden="1">
      <c r="A910">
        <v>3127</v>
      </c>
      <c r="B910" t="s">
        <v>4515</v>
      </c>
      <c r="C910" t="s">
        <v>4512</v>
      </c>
      <c r="E910" t="s">
        <v>6289</v>
      </c>
      <c r="F910" t="s">
        <v>3155</v>
      </c>
      <c r="H910" t="s">
        <v>3061</v>
      </c>
      <c r="I910">
        <v>3127</v>
      </c>
      <c r="K910">
        <v>0</v>
      </c>
    </row>
    <row r="911" spans="1:11" hidden="1">
      <c r="A911">
        <v>3128</v>
      </c>
      <c r="B911" t="s">
        <v>4515</v>
      </c>
      <c r="C911" t="s">
        <v>4459</v>
      </c>
      <c r="E911" t="s">
        <v>6289</v>
      </c>
      <c r="F911" t="s">
        <v>3155</v>
      </c>
      <c r="H911" t="s">
        <v>3061</v>
      </c>
      <c r="I911">
        <v>3128</v>
      </c>
      <c r="K911">
        <v>0</v>
      </c>
    </row>
    <row r="912" spans="1:11" hidden="1">
      <c r="A912">
        <v>3129</v>
      </c>
      <c r="B912" t="s">
        <v>4515</v>
      </c>
      <c r="C912" t="s">
        <v>4514</v>
      </c>
      <c r="E912" t="s">
        <v>6289</v>
      </c>
      <c r="F912" t="s">
        <v>3155</v>
      </c>
      <c r="H912" t="s">
        <v>3061</v>
      </c>
      <c r="I912">
        <v>3129</v>
      </c>
      <c r="K912">
        <v>0</v>
      </c>
    </row>
    <row r="913" spans="1:11" hidden="1">
      <c r="A913">
        <v>3130</v>
      </c>
      <c r="B913" t="s">
        <v>4515</v>
      </c>
      <c r="C913" t="s">
        <v>3301</v>
      </c>
      <c r="E913" t="s">
        <v>6289</v>
      </c>
      <c r="F913" t="s">
        <v>138</v>
      </c>
      <c r="H913" t="s">
        <v>3061</v>
      </c>
      <c r="I913">
        <v>3130</v>
      </c>
      <c r="K913">
        <v>0</v>
      </c>
    </row>
    <row r="914" spans="1:11" hidden="1">
      <c r="A914">
        <v>3131</v>
      </c>
      <c r="B914" t="s">
        <v>4515</v>
      </c>
      <c r="C914" t="s">
        <v>4453</v>
      </c>
      <c r="E914" t="s">
        <v>6289</v>
      </c>
      <c r="F914" t="s">
        <v>4516</v>
      </c>
      <c r="H914" t="s">
        <v>3061</v>
      </c>
      <c r="I914">
        <v>3131</v>
      </c>
      <c r="K914">
        <v>0</v>
      </c>
    </row>
    <row r="915" spans="1:11" hidden="1">
      <c r="A915">
        <v>3132</v>
      </c>
      <c r="B915" t="s">
        <v>4515</v>
      </c>
      <c r="C915" t="s">
        <v>4486</v>
      </c>
      <c r="E915" t="s">
        <v>6289</v>
      </c>
      <c r="F915" t="s">
        <v>3155</v>
      </c>
      <c r="H915" t="s">
        <v>3061</v>
      </c>
      <c r="I915">
        <v>3132</v>
      </c>
      <c r="K915">
        <v>0</v>
      </c>
    </row>
    <row r="916" spans="1:11" hidden="1">
      <c r="A916">
        <v>3133</v>
      </c>
      <c r="B916" t="s">
        <v>4515</v>
      </c>
      <c r="C916" t="s">
        <v>3141</v>
      </c>
      <c r="E916" t="s">
        <v>6289</v>
      </c>
      <c r="F916" t="s">
        <v>3141</v>
      </c>
      <c r="H916" t="s">
        <v>3061</v>
      </c>
      <c r="I916">
        <v>3133</v>
      </c>
      <c r="K916">
        <v>0</v>
      </c>
    </row>
    <row r="917" spans="1:11" hidden="1">
      <c r="A917">
        <v>3134</v>
      </c>
      <c r="B917" t="s">
        <v>4515</v>
      </c>
      <c r="C917" t="s">
        <v>3144</v>
      </c>
      <c r="E917" t="s">
        <v>6289</v>
      </c>
      <c r="F917" t="s">
        <v>3145</v>
      </c>
      <c r="H917" t="s">
        <v>3061</v>
      </c>
      <c r="I917">
        <v>3134</v>
      </c>
      <c r="K917">
        <v>0</v>
      </c>
    </row>
    <row r="918" spans="1:11" hidden="1">
      <c r="A918">
        <v>6900</v>
      </c>
      <c r="B918" t="s">
        <v>4519</v>
      </c>
      <c r="C918" t="s">
        <v>4525</v>
      </c>
      <c r="E918" t="s">
        <v>6289</v>
      </c>
      <c r="F918" t="s">
        <v>3071</v>
      </c>
      <c r="H918" t="s">
        <v>3061</v>
      </c>
      <c r="I918">
        <v>6900</v>
      </c>
      <c r="K918">
        <v>0</v>
      </c>
    </row>
    <row r="919" spans="1:11" hidden="1">
      <c r="A919">
        <v>6901</v>
      </c>
      <c r="B919" t="s">
        <v>4519</v>
      </c>
      <c r="C919" t="s">
        <v>4521</v>
      </c>
      <c r="E919" t="s">
        <v>6289</v>
      </c>
      <c r="F919" t="s">
        <v>3068</v>
      </c>
      <c r="H919" t="s">
        <v>3061</v>
      </c>
      <c r="I919">
        <v>6901</v>
      </c>
      <c r="K919">
        <v>0</v>
      </c>
    </row>
    <row r="920" spans="1:11" hidden="1">
      <c r="A920">
        <v>6902</v>
      </c>
      <c r="B920" t="s">
        <v>4519</v>
      </c>
      <c r="C920" t="s">
        <v>4524</v>
      </c>
      <c r="E920" t="s">
        <v>6289</v>
      </c>
      <c r="F920" t="s">
        <v>3140</v>
      </c>
      <c r="H920" t="s">
        <v>3061</v>
      </c>
      <c r="I920">
        <v>6902</v>
      </c>
      <c r="K920">
        <v>0</v>
      </c>
    </row>
    <row r="921" spans="1:11" hidden="1">
      <c r="A921">
        <v>6903</v>
      </c>
      <c r="B921" t="s">
        <v>4519</v>
      </c>
      <c r="C921" t="s">
        <v>4520</v>
      </c>
      <c r="E921" t="s">
        <v>6289</v>
      </c>
      <c r="F921" t="s">
        <v>4160</v>
      </c>
      <c r="H921" t="s">
        <v>3061</v>
      </c>
      <c r="I921">
        <v>6903</v>
      </c>
      <c r="K921">
        <v>0</v>
      </c>
    </row>
    <row r="922" spans="1:11" hidden="1">
      <c r="A922">
        <v>6904</v>
      </c>
      <c r="B922" t="s">
        <v>4519</v>
      </c>
      <c r="C922" t="s">
        <v>4522</v>
      </c>
      <c r="E922" t="s">
        <v>6289</v>
      </c>
      <c r="F922" t="s">
        <v>4523</v>
      </c>
      <c r="H922" t="s">
        <v>3061</v>
      </c>
      <c r="I922">
        <v>6904</v>
      </c>
      <c r="K922">
        <v>0</v>
      </c>
    </row>
    <row r="923" spans="1:11" hidden="1">
      <c r="A923">
        <v>15040</v>
      </c>
      <c r="B923" t="s">
        <v>4526</v>
      </c>
      <c r="C923" t="s">
        <v>4527</v>
      </c>
      <c r="E923" t="s">
        <v>6289</v>
      </c>
      <c r="H923" t="s">
        <v>3056</v>
      </c>
      <c r="I923">
        <v>15040</v>
      </c>
      <c r="K923">
        <v>0</v>
      </c>
    </row>
    <row r="924" spans="1:11" hidden="1">
      <c r="A924">
        <v>15050</v>
      </c>
      <c r="B924" t="s">
        <v>4526</v>
      </c>
      <c r="C924" t="s">
        <v>4529</v>
      </c>
      <c r="E924" t="s">
        <v>6289</v>
      </c>
      <c r="H924" t="s">
        <v>3056</v>
      </c>
      <c r="I924">
        <v>15050</v>
      </c>
      <c r="K924">
        <v>0</v>
      </c>
    </row>
    <row r="925" spans="1:11" hidden="1">
      <c r="A925">
        <v>15060</v>
      </c>
      <c r="B925" t="s">
        <v>4526</v>
      </c>
      <c r="C925" t="s">
        <v>4528</v>
      </c>
      <c r="E925" t="s">
        <v>6289</v>
      </c>
      <c r="H925" t="s">
        <v>3056</v>
      </c>
      <c r="I925">
        <v>15060</v>
      </c>
      <c r="K925">
        <v>0</v>
      </c>
    </row>
    <row r="926" spans="1:11" hidden="1">
      <c r="A926">
        <v>15070</v>
      </c>
      <c r="B926" t="s">
        <v>4526</v>
      </c>
      <c r="C926" t="s">
        <v>4530</v>
      </c>
      <c r="E926" t="s">
        <v>6289</v>
      </c>
      <c r="H926" t="s">
        <v>3056</v>
      </c>
      <c r="I926">
        <v>15070</v>
      </c>
      <c r="K926">
        <v>0</v>
      </c>
    </row>
    <row r="927" spans="1:11" hidden="1">
      <c r="A927">
        <v>15080</v>
      </c>
      <c r="B927" t="s">
        <v>4526</v>
      </c>
      <c r="C927" t="s">
        <v>4531</v>
      </c>
      <c r="E927" t="s">
        <v>6289</v>
      </c>
      <c r="H927" t="s">
        <v>3056</v>
      </c>
      <c r="I927">
        <v>15080</v>
      </c>
      <c r="K927">
        <v>0</v>
      </c>
    </row>
    <row r="928" spans="1:11" hidden="1">
      <c r="A928">
        <v>17620</v>
      </c>
      <c r="B928" t="s">
        <v>4532</v>
      </c>
      <c r="C928" t="s">
        <v>4534</v>
      </c>
      <c r="E928" t="s">
        <v>6289</v>
      </c>
      <c r="H928" t="s">
        <v>3056</v>
      </c>
      <c r="I928">
        <v>17620</v>
      </c>
      <c r="K928">
        <v>0</v>
      </c>
    </row>
    <row r="929" spans="1:11" hidden="1">
      <c r="A929">
        <v>17630</v>
      </c>
      <c r="B929" t="s">
        <v>4532</v>
      </c>
      <c r="C929" t="s">
        <v>4535</v>
      </c>
      <c r="E929" t="s">
        <v>6289</v>
      </c>
      <c r="H929" t="s">
        <v>3056</v>
      </c>
      <c r="I929">
        <v>17630</v>
      </c>
      <c r="K929">
        <v>0</v>
      </c>
    </row>
    <row r="930" spans="1:11" hidden="1">
      <c r="A930">
        <v>17640</v>
      </c>
      <c r="B930" t="s">
        <v>4532</v>
      </c>
      <c r="C930" t="s">
        <v>4533</v>
      </c>
      <c r="E930" t="s">
        <v>6289</v>
      </c>
      <c r="H930" t="s">
        <v>3056</v>
      </c>
      <c r="I930">
        <v>17640</v>
      </c>
      <c r="K930">
        <v>0</v>
      </c>
    </row>
    <row r="931" spans="1:11" hidden="1">
      <c r="A931">
        <v>17650</v>
      </c>
      <c r="B931" t="s">
        <v>4532</v>
      </c>
      <c r="C931" t="s">
        <v>4536</v>
      </c>
      <c r="E931" t="s">
        <v>6289</v>
      </c>
      <c r="H931" t="s">
        <v>3056</v>
      </c>
      <c r="I931">
        <v>17650</v>
      </c>
      <c r="K931">
        <v>0</v>
      </c>
    </row>
    <row r="932" spans="1:11" hidden="1">
      <c r="A932">
        <v>1803</v>
      </c>
      <c r="B932" t="s">
        <v>4537</v>
      </c>
      <c r="C932" t="s">
        <v>4540</v>
      </c>
      <c r="D932">
        <v>0</v>
      </c>
      <c r="E932" t="s">
        <v>6289</v>
      </c>
      <c r="F932" t="s">
        <v>4541</v>
      </c>
      <c r="H932" t="s">
        <v>3056</v>
      </c>
      <c r="I932">
        <v>1803</v>
      </c>
      <c r="K932">
        <v>0</v>
      </c>
    </row>
    <row r="933" spans="1:11" hidden="1">
      <c r="A933">
        <v>1804</v>
      </c>
      <c r="B933" t="s">
        <v>4537</v>
      </c>
      <c r="C933" t="s">
        <v>4538</v>
      </c>
      <c r="D933">
        <v>1</v>
      </c>
      <c r="E933" t="s">
        <v>6289</v>
      </c>
      <c r="F933" t="s">
        <v>4539</v>
      </c>
      <c r="H933" t="s">
        <v>3056</v>
      </c>
      <c r="I933">
        <v>1804</v>
      </c>
      <c r="K933">
        <v>0</v>
      </c>
    </row>
    <row r="934" spans="1:11" hidden="1">
      <c r="A934">
        <v>1805</v>
      </c>
      <c r="B934" t="s">
        <v>4537</v>
      </c>
      <c r="C934" t="s">
        <v>4543</v>
      </c>
      <c r="D934">
        <v>2</v>
      </c>
      <c r="E934" t="s">
        <v>6289</v>
      </c>
      <c r="F934" t="s">
        <v>4544</v>
      </c>
      <c r="H934" t="s">
        <v>3056</v>
      </c>
      <c r="I934">
        <v>1805</v>
      </c>
      <c r="K934">
        <v>0</v>
      </c>
    </row>
    <row r="935" spans="1:11" hidden="1">
      <c r="A935">
        <v>1806</v>
      </c>
      <c r="B935" t="s">
        <v>4537</v>
      </c>
      <c r="C935" t="s">
        <v>4542</v>
      </c>
      <c r="D935">
        <v>3</v>
      </c>
      <c r="E935" t="s">
        <v>6289</v>
      </c>
      <c r="F935" t="s">
        <v>3348</v>
      </c>
      <c r="H935" t="s">
        <v>3056</v>
      </c>
      <c r="I935">
        <v>1806</v>
      </c>
      <c r="K935">
        <v>0</v>
      </c>
    </row>
    <row r="936" spans="1:11" hidden="1">
      <c r="A936">
        <v>1752</v>
      </c>
      <c r="B936" t="s">
        <v>4545</v>
      </c>
      <c r="C936" t="s">
        <v>4550</v>
      </c>
      <c r="E936" t="s">
        <v>6289</v>
      </c>
      <c r="F936" t="s">
        <v>4551</v>
      </c>
      <c r="H936" t="s">
        <v>3056</v>
      </c>
      <c r="I936">
        <v>1752</v>
      </c>
      <c r="K936">
        <v>0</v>
      </c>
    </row>
    <row r="937" spans="1:11" hidden="1">
      <c r="A937">
        <v>1753</v>
      </c>
      <c r="B937" t="s">
        <v>4545</v>
      </c>
      <c r="C937" t="s">
        <v>4548</v>
      </c>
      <c r="E937" t="s">
        <v>6289</v>
      </c>
      <c r="F937" t="s">
        <v>4549</v>
      </c>
      <c r="H937" t="s">
        <v>3056</v>
      </c>
      <c r="I937">
        <v>1753</v>
      </c>
      <c r="K937">
        <v>0</v>
      </c>
    </row>
    <row r="938" spans="1:11" hidden="1">
      <c r="A938">
        <v>1754</v>
      </c>
      <c r="B938" t="s">
        <v>4545</v>
      </c>
      <c r="C938" t="s">
        <v>4546</v>
      </c>
      <c r="E938" t="s">
        <v>6289</v>
      </c>
      <c r="F938" t="s">
        <v>4547</v>
      </c>
      <c r="H938" t="s">
        <v>3056</v>
      </c>
      <c r="I938">
        <v>1754</v>
      </c>
      <c r="K938">
        <v>0</v>
      </c>
    </row>
    <row r="939" spans="1:11" hidden="1">
      <c r="A939">
        <v>11780</v>
      </c>
      <c r="B939" t="s">
        <v>4552</v>
      </c>
      <c r="C939" t="s">
        <v>4554</v>
      </c>
      <c r="E939" t="s">
        <v>6289</v>
      </c>
      <c r="H939" t="s">
        <v>3056</v>
      </c>
      <c r="I939">
        <v>11780</v>
      </c>
      <c r="K939">
        <v>0</v>
      </c>
    </row>
    <row r="940" spans="1:11" hidden="1">
      <c r="A940">
        <v>18690</v>
      </c>
      <c r="B940" t="s">
        <v>4552</v>
      </c>
      <c r="C940" t="s">
        <v>4553</v>
      </c>
      <c r="E940" t="s">
        <v>6289</v>
      </c>
      <c r="H940" t="s">
        <v>3056</v>
      </c>
      <c r="I940">
        <v>18690</v>
      </c>
      <c r="K940">
        <v>0</v>
      </c>
    </row>
    <row r="941" spans="1:11" hidden="1">
      <c r="A941">
        <v>18700</v>
      </c>
      <c r="B941" t="s">
        <v>4552</v>
      </c>
      <c r="C941" t="s">
        <v>4555</v>
      </c>
      <c r="E941" t="s">
        <v>6289</v>
      </c>
      <c r="H941" t="s">
        <v>3056</v>
      </c>
      <c r="I941">
        <v>18700</v>
      </c>
      <c r="K941">
        <v>0</v>
      </c>
    </row>
    <row r="942" spans="1:11" hidden="1">
      <c r="A942">
        <v>18710</v>
      </c>
      <c r="B942" t="s">
        <v>4552</v>
      </c>
      <c r="C942" t="s">
        <v>4556</v>
      </c>
      <c r="E942" t="s">
        <v>6289</v>
      </c>
      <c r="H942" t="s">
        <v>3056</v>
      </c>
      <c r="I942">
        <v>18710</v>
      </c>
      <c r="K942">
        <v>0</v>
      </c>
    </row>
    <row r="943" spans="1:11" hidden="1">
      <c r="A943">
        <v>1007</v>
      </c>
      <c r="B943" t="s">
        <v>4557</v>
      </c>
      <c r="C943" t="s">
        <v>4558</v>
      </c>
      <c r="E943" t="s">
        <v>6289</v>
      </c>
      <c r="F943" t="s">
        <v>4559</v>
      </c>
      <c r="H943" t="s">
        <v>3056</v>
      </c>
      <c r="I943">
        <v>1007</v>
      </c>
      <c r="K943">
        <v>0</v>
      </c>
    </row>
    <row r="944" spans="1:11" hidden="1">
      <c r="A944">
        <v>1008</v>
      </c>
      <c r="B944" t="s">
        <v>4557</v>
      </c>
      <c r="C944" t="s">
        <v>4560</v>
      </c>
      <c r="E944" t="s">
        <v>6289</v>
      </c>
      <c r="F944" t="s">
        <v>4561</v>
      </c>
      <c r="H944" t="s">
        <v>3056</v>
      </c>
      <c r="I944">
        <v>1008</v>
      </c>
      <c r="K944">
        <v>0</v>
      </c>
    </row>
    <row r="945" spans="1:11" hidden="1">
      <c r="A945">
        <v>1009</v>
      </c>
      <c r="B945" t="s">
        <v>4557</v>
      </c>
      <c r="C945" t="s">
        <v>4562</v>
      </c>
      <c r="E945" t="s">
        <v>6289</v>
      </c>
      <c r="F945" t="s">
        <v>4563</v>
      </c>
      <c r="H945" t="s">
        <v>3056</v>
      </c>
      <c r="I945">
        <v>1009</v>
      </c>
      <c r="K945">
        <v>0</v>
      </c>
    </row>
    <row r="946" spans="1:11" hidden="1">
      <c r="A946">
        <v>1010</v>
      </c>
      <c r="B946" t="s">
        <v>4557</v>
      </c>
      <c r="C946" t="s">
        <v>4567</v>
      </c>
      <c r="E946" t="s">
        <v>6289</v>
      </c>
      <c r="F946" t="s">
        <v>4568</v>
      </c>
      <c r="H946" t="s">
        <v>3056</v>
      </c>
      <c r="I946">
        <v>1010</v>
      </c>
      <c r="K946">
        <v>0</v>
      </c>
    </row>
    <row r="947" spans="1:11" hidden="1">
      <c r="A947">
        <v>1011</v>
      </c>
      <c r="B947" t="s">
        <v>4557</v>
      </c>
      <c r="C947" t="s">
        <v>4565</v>
      </c>
      <c r="E947" t="s">
        <v>6289</v>
      </c>
      <c r="F947" t="s">
        <v>4566</v>
      </c>
      <c r="H947" t="s">
        <v>3056</v>
      </c>
      <c r="I947">
        <v>1011</v>
      </c>
      <c r="K947">
        <v>0</v>
      </c>
    </row>
    <row r="948" spans="1:11" hidden="1">
      <c r="A948">
        <v>1012</v>
      </c>
      <c r="B948" t="s">
        <v>4557</v>
      </c>
      <c r="C948" t="s">
        <v>4564</v>
      </c>
      <c r="E948" t="s">
        <v>6289</v>
      </c>
      <c r="F948" t="s">
        <v>2622</v>
      </c>
      <c r="H948" t="s">
        <v>3056</v>
      </c>
      <c r="I948">
        <v>1012</v>
      </c>
      <c r="K948">
        <v>0</v>
      </c>
    </row>
    <row r="949" spans="1:11" hidden="1">
      <c r="A949">
        <v>1013</v>
      </c>
      <c r="B949" t="s">
        <v>4557</v>
      </c>
      <c r="C949" t="s">
        <v>4569</v>
      </c>
      <c r="E949" t="s">
        <v>6289</v>
      </c>
      <c r="F949" t="s">
        <v>3776</v>
      </c>
      <c r="H949" t="s">
        <v>3056</v>
      </c>
      <c r="I949">
        <v>1013</v>
      </c>
      <c r="K949">
        <v>0</v>
      </c>
    </row>
    <row r="950" spans="1:11" hidden="1">
      <c r="A950">
        <v>1017</v>
      </c>
      <c r="B950" t="s">
        <v>4570</v>
      </c>
      <c r="C950" t="s">
        <v>4573</v>
      </c>
      <c r="E950" t="s">
        <v>6289</v>
      </c>
      <c r="H950" t="s">
        <v>3056</v>
      </c>
      <c r="I950">
        <v>1017</v>
      </c>
      <c r="K950">
        <v>0</v>
      </c>
    </row>
    <row r="951" spans="1:11" hidden="1">
      <c r="A951">
        <v>1018</v>
      </c>
      <c r="B951" t="s">
        <v>4570</v>
      </c>
      <c r="C951" t="s">
        <v>4572</v>
      </c>
      <c r="E951" t="s">
        <v>6289</v>
      </c>
      <c r="H951" t="s">
        <v>3056</v>
      </c>
      <c r="I951">
        <v>1018</v>
      </c>
      <c r="K951">
        <v>0</v>
      </c>
    </row>
    <row r="952" spans="1:11" hidden="1">
      <c r="A952">
        <v>1609</v>
      </c>
      <c r="B952" t="s">
        <v>4570</v>
      </c>
      <c r="C952" t="s">
        <v>4571</v>
      </c>
      <c r="E952" t="s">
        <v>6289</v>
      </c>
      <c r="H952" t="s">
        <v>3056</v>
      </c>
      <c r="I952">
        <v>1609</v>
      </c>
      <c r="K952">
        <v>0</v>
      </c>
    </row>
    <row r="953" spans="1:11" hidden="1">
      <c r="A953">
        <v>10124</v>
      </c>
      <c r="B953" t="s">
        <v>4570</v>
      </c>
      <c r="C953" t="s">
        <v>3149</v>
      </c>
      <c r="E953" t="s">
        <v>6289</v>
      </c>
      <c r="H953" t="s">
        <v>3056</v>
      </c>
      <c r="I953">
        <v>10124</v>
      </c>
      <c r="K953">
        <v>0</v>
      </c>
    </row>
    <row r="954" spans="1:11" hidden="1">
      <c r="A954">
        <v>1014</v>
      </c>
      <c r="B954" t="s">
        <v>4574</v>
      </c>
      <c r="C954" t="s">
        <v>4576</v>
      </c>
      <c r="E954" t="s">
        <v>6289</v>
      </c>
      <c r="H954" t="s">
        <v>3056</v>
      </c>
      <c r="I954">
        <v>1014</v>
      </c>
      <c r="K954">
        <v>0</v>
      </c>
    </row>
    <row r="955" spans="1:11" hidden="1">
      <c r="A955">
        <v>1015</v>
      </c>
      <c r="B955" t="s">
        <v>4574</v>
      </c>
      <c r="C955" t="s">
        <v>4577</v>
      </c>
      <c r="E955" t="s">
        <v>6289</v>
      </c>
      <c r="H955" t="s">
        <v>3056</v>
      </c>
      <c r="I955">
        <v>1015</v>
      </c>
      <c r="K955">
        <v>0</v>
      </c>
    </row>
    <row r="956" spans="1:11" hidden="1">
      <c r="A956">
        <v>1016</v>
      </c>
      <c r="B956" t="s">
        <v>4574</v>
      </c>
      <c r="C956" t="s">
        <v>4575</v>
      </c>
      <c r="E956" t="s">
        <v>6289</v>
      </c>
      <c r="H956" t="s">
        <v>3056</v>
      </c>
      <c r="I956">
        <v>1016</v>
      </c>
      <c r="K956">
        <v>0</v>
      </c>
    </row>
    <row r="957" spans="1:11" hidden="1">
      <c r="A957">
        <v>562</v>
      </c>
      <c r="B957" t="s">
        <v>4578</v>
      </c>
      <c r="C957" t="s">
        <v>4579</v>
      </c>
      <c r="E957" t="s">
        <v>6289</v>
      </c>
      <c r="F957" t="s">
        <v>4580</v>
      </c>
      <c r="H957" t="s">
        <v>3056</v>
      </c>
      <c r="I957">
        <v>562</v>
      </c>
      <c r="K957">
        <v>0</v>
      </c>
    </row>
    <row r="958" spans="1:11" hidden="1">
      <c r="A958">
        <v>563</v>
      </c>
      <c r="B958" t="s">
        <v>4578</v>
      </c>
      <c r="C958" t="s">
        <v>4583</v>
      </c>
      <c r="E958" t="s">
        <v>6289</v>
      </c>
      <c r="F958" t="s">
        <v>3141</v>
      </c>
      <c r="H958" t="s">
        <v>3056</v>
      </c>
      <c r="I958">
        <v>563</v>
      </c>
      <c r="K958">
        <v>0</v>
      </c>
    </row>
    <row r="959" spans="1:11" hidden="1">
      <c r="A959">
        <v>564</v>
      </c>
      <c r="B959" t="s">
        <v>4578</v>
      </c>
      <c r="C959" t="s">
        <v>3855</v>
      </c>
      <c r="E959" t="s">
        <v>6289</v>
      </c>
      <c r="F959" t="s">
        <v>3856</v>
      </c>
      <c r="H959" t="s">
        <v>3056</v>
      </c>
      <c r="I959">
        <v>564</v>
      </c>
      <c r="K959">
        <v>0</v>
      </c>
    </row>
    <row r="960" spans="1:11" hidden="1">
      <c r="A960">
        <v>565</v>
      </c>
      <c r="B960" t="s">
        <v>4578</v>
      </c>
      <c r="C960" t="s">
        <v>4585</v>
      </c>
      <c r="E960" t="s">
        <v>6289</v>
      </c>
      <c r="F960" t="s">
        <v>4586</v>
      </c>
      <c r="H960" t="s">
        <v>3056</v>
      </c>
      <c r="I960">
        <v>565</v>
      </c>
      <c r="K960">
        <v>0</v>
      </c>
    </row>
    <row r="961" spans="1:11" hidden="1">
      <c r="A961">
        <v>566</v>
      </c>
      <c r="B961" t="s">
        <v>4578</v>
      </c>
      <c r="C961" t="s">
        <v>4581</v>
      </c>
      <c r="E961" t="s">
        <v>6289</v>
      </c>
      <c r="F961" t="s">
        <v>4582</v>
      </c>
      <c r="H961" t="s">
        <v>3056</v>
      </c>
      <c r="I961">
        <v>566</v>
      </c>
      <c r="K961">
        <v>0</v>
      </c>
    </row>
    <row r="962" spans="1:11" hidden="1">
      <c r="A962">
        <v>567</v>
      </c>
      <c r="B962" t="s">
        <v>4578</v>
      </c>
      <c r="C962" t="s">
        <v>3850</v>
      </c>
      <c r="E962" t="s">
        <v>6289</v>
      </c>
      <c r="F962" t="s">
        <v>3558</v>
      </c>
      <c r="H962" t="s">
        <v>3056</v>
      </c>
      <c r="I962">
        <v>567</v>
      </c>
      <c r="K962">
        <v>0</v>
      </c>
    </row>
    <row r="963" spans="1:11" hidden="1">
      <c r="A963">
        <v>568</v>
      </c>
      <c r="B963" t="s">
        <v>4578</v>
      </c>
      <c r="C963" t="s">
        <v>3838</v>
      </c>
      <c r="E963" t="s">
        <v>6289</v>
      </c>
      <c r="F963" t="s">
        <v>3839</v>
      </c>
      <c r="H963" t="s">
        <v>3056</v>
      </c>
      <c r="I963">
        <v>568</v>
      </c>
      <c r="K963">
        <v>0</v>
      </c>
    </row>
    <row r="964" spans="1:11" hidden="1">
      <c r="A964">
        <v>569</v>
      </c>
      <c r="B964" t="s">
        <v>4578</v>
      </c>
      <c r="C964" t="s">
        <v>4584</v>
      </c>
      <c r="E964" t="s">
        <v>6289</v>
      </c>
      <c r="F964" t="s">
        <v>151</v>
      </c>
      <c r="H964" t="s">
        <v>3056</v>
      </c>
      <c r="I964">
        <v>569</v>
      </c>
      <c r="K964">
        <v>0</v>
      </c>
    </row>
    <row r="965" spans="1:11" hidden="1">
      <c r="A965">
        <v>1</v>
      </c>
      <c r="B965" t="s">
        <v>3448</v>
      </c>
      <c r="C965" t="s">
        <v>132</v>
      </c>
      <c r="E965" t="s">
        <v>6289</v>
      </c>
      <c r="F965" t="s">
        <v>2109</v>
      </c>
      <c r="G965">
        <v>0</v>
      </c>
      <c r="H965" t="s">
        <v>3056</v>
      </c>
      <c r="I965">
        <v>531</v>
      </c>
      <c r="K965" t="s">
        <v>2972</v>
      </c>
    </row>
    <row r="966" spans="1:11" hidden="1">
      <c r="A966">
        <v>2</v>
      </c>
      <c r="B966" t="s">
        <v>3448</v>
      </c>
      <c r="C966" t="s">
        <v>3449</v>
      </c>
      <c r="E966" t="s">
        <v>6289</v>
      </c>
      <c r="F966" t="s">
        <v>3138</v>
      </c>
      <c r="G966">
        <v>0</v>
      </c>
      <c r="H966" t="s">
        <v>3056</v>
      </c>
      <c r="I966">
        <v>532</v>
      </c>
      <c r="K966" t="s">
        <v>2972</v>
      </c>
    </row>
    <row r="967" spans="1:11" hidden="1">
      <c r="A967">
        <v>3</v>
      </c>
      <c r="B967" t="s">
        <v>3448</v>
      </c>
      <c r="C967" t="s">
        <v>3088</v>
      </c>
      <c r="E967" t="s">
        <v>6289</v>
      </c>
      <c r="F967" t="s">
        <v>3450</v>
      </c>
      <c r="G967">
        <v>0</v>
      </c>
      <c r="H967" t="s">
        <v>3056</v>
      </c>
      <c r="I967">
        <v>533</v>
      </c>
      <c r="K967" t="s">
        <v>2972</v>
      </c>
    </row>
    <row r="968" spans="1:11" hidden="1">
      <c r="A968">
        <v>534</v>
      </c>
      <c r="B968" t="s">
        <v>4587</v>
      </c>
      <c r="C968" t="s">
        <v>4590</v>
      </c>
      <c r="E968" t="s">
        <v>6289</v>
      </c>
      <c r="F968" t="s">
        <v>138</v>
      </c>
      <c r="H968" t="s">
        <v>3056</v>
      </c>
      <c r="I968">
        <v>534</v>
      </c>
      <c r="K968">
        <v>0</v>
      </c>
    </row>
    <row r="969" spans="1:11" hidden="1">
      <c r="A969">
        <v>535</v>
      </c>
      <c r="B969" t="s">
        <v>4587</v>
      </c>
      <c r="C969" t="s">
        <v>4591</v>
      </c>
      <c r="E969" t="s">
        <v>6289</v>
      </c>
      <c r="F969" t="s">
        <v>4592</v>
      </c>
      <c r="H969" t="s">
        <v>3056</v>
      </c>
      <c r="I969">
        <v>535</v>
      </c>
      <c r="K969">
        <v>0</v>
      </c>
    </row>
    <row r="970" spans="1:11" hidden="1">
      <c r="A970">
        <v>536</v>
      </c>
      <c r="B970" t="s">
        <v>4587</v>
      </c>
      <c r="C970" t="s">
        <v>4595</v>
      </c>
      <c r="E970" t="s">
        <v>6289</v>
      </c>
      <c r="F970" t="s">
        <v>3726</v>
      </c>
      <c r="H970" t="s">
        <v>3056</v>
      </c>
      <c r="I970">
        <v>536</v>
      </c>
      <c r="K970">
        <v>0</v>
      </c>
    </row>
    <row r="971" spans="1:11" hidden="1">
      <c r="A971">
        <v>537</v>
      </c>
      <c r="B971" t="s">
        <v>4587</v>
      </c>
      <c r="C971" t="s">
        <v>4593</v>
      </c>
      <c r="E971" t="s">
        <v>6289</v>
      </c>
      <c r="F971" t="s">
        <v>4594</v>
      </c>
      <c r="H971" t="s">
        <v>3056</v>
      </c>
      <c r="I971">
        <v>537</v>
      </c>
      <c r="K971">
        <v>0</v>
      </c>
    </row>
    <row r="972" spans="1:11" hidden="1">
      <c r="A972">
        <v>538</v>
      </c>
      <c r="B972" t="s">
        <v>4587</v>
      </c>
      <c r="C972" t="s">
        <v>4610</v>
      </c>
      <c r="E972" t="s">
        <v>6289</v>
      </c>
      <c r="F972" t="s">
        <v>4611</v>
      </c>
      <c r="H972" t="s">
        <v>3056</v>
      </c>
      <c r="I972">
        <v>538</v>
      </c>
      <c r="K972">
        <v>0</v>
      </c>
    </row>
    <row r="973" spans="1:11" hidden="1">
      <c r="A973">
        <v>539</v>
      </c>
      <c r="B973" t="s">
        <v>4587</v>
      </c>
      <c r="C973" t="s">
        <v>4596</v>
      </c>
      <c r="E973" t="s">
        <v>6289</v>
      </c>
      <c r="F973" t="s">
        <v>4597</v>
      </c>
      <c r="H973" t="s">
        <v>3056</v>
      </c>
      <c r="I973">
        <v>539</v>
      </c>
      <c r="K973">
        <v>0</v>
      </c>
    </row>
    <row r="974" spans="1:11" hidden="1">
      <c r="A974">
        <v>540</v>
      </c>
      <c r="B974" t="s">
        <v>4587</v>
      </c>
      <c r="C974" t="s">
        <v>4599</v>
      </c>
      <c r="E974" t="s">
        <v>6289</v>
      </c>
      <c r="F974" t="s">
        <v>4600</v>
      </c>
      <c r="H974" t="s">
        <v>3056</v>
      </c>
      <c r="I974">
        <v>540</v>
      </c>
      <c r="K974">
        <v>0</v>
      </c>
    </row>
    <row r="975" spans="1:11" hidden="1">
      <c r="A975">
        <v>541</v>
      </c>
      <c r="B975" t="s">
        <v>4587</v>
      </c>
      <c r="C975" t="s">
        <v>4601</v>
      </c>
      <c r="E975" t="s">
        <v>6289</v>
      </c>
      <c r="F975" t="s">
        <v>3321</v>
      </c>
      <c r="H975" t="s">
        <v>3056</v>
      </c>
      <c r="I975">
        <v>541</v>
      </c>
      <c r="K975">
        <v>0</v>
      </c>
    </row>
    <row r="976" spans="1:11" hidden="1">
      <c r="A976">
        <v>542</v>
      </c>
      <c r="B976" t="s">
        <v>4587</v>
      </c>
      <c r="C976" t="s">
        <v>4602</v>
      </c>
      <c r="E976" t="s">
        <v>6289</v>
      </c>
      <c r="F976" t="s">
        <v>4603</v>
      </c>
      <c r="H976" t="s">
        <v>3056</v>
      </c>
      <c r="I976">
        <v>542</v>
      </c>
      <c r="K976">
        <v>0</v>
      </c>
    </row>
    <row r="977" spans="1:11" hidden="1">
      <c r="A977">
        <v>543</v>
      </c>
      <c r="B977" t="s">
        <v>4587</v>
      </c>
      <c r="C977" t="s">
        <v>4604</v>
      </c>
      <c r="E977" t="s">
        <v>6289</v>
      </c>
      <c r="F977" t="s">
        <v>3878</v>
      </c>
      <c r="H977" t="s">
        <v>3056</v>
      </c>
      <c r="I977">
        <v>543</v>
      </c>
      <c r="K977">
        <v>0</v>
      </c>
    </row>
    <row r="978" spans="1:11" hidden="1">
      <c r="A978">
        <v>544</v>
      </c>
      <c r="B978" t="s">
        <v>4587</v>
      </c>
      <c r="C978" t="s">
        <v>4612</v>
      </c>
      <c r="E978" t="s">
        <v>6289</v>
      </c>
      <c r="F978" t="s">
        <v>4613</v>
      </c>
      <c r="H978" t="s">
        <v>3056</v>
      </c>
      <c r="I978">
        <v>544</v>
      </c>
      <c r="K978">
        <v>0</v>
      </c>
    </row>
    <row r="979" spans="1:11" hidden="1">
      <c r="A979">
        <v>545</v>
      </c>
      <c r="B979" t="s">
        <v>4587</v>
      </c>
      <c r="C979" t="s">
        <v>4607</v>
      </c>
      <c r="E979" t="s">
        <v>6289</v>
      </c>
      <c r="F979" t="s">
        <v>4608</v>
      </c>
      <c r="H979" t="s">
        <v>3056</v>
      </c>
      <c r="I979">
        <v>545</v>
      </c>
      <c r="K979">
        <v>0</v>
      </c>
    </row>
    <row r="980" spans="1:11" hidden="1">
      <c r="A980">
        <v>546</v>
      </c>
      <c r="B980" t="s">
        <v>4587</v>
      </c>
      <c r="C980" t="s">
        <v>4615</v>
      </c>
      <c r="E980" t="s">
        <v>6289</v>
      </c>
      <c r="F980" t="s">
        <v>4616</v>
      </c>
      <c r="H980" t="s">
        <v>3056</v>
      </c>
      <c r="I980">
        <v>546</v>
      </c>
      <c r="K980">
        <v>0</v>
      </c>
    </row>
    <row r="981" spans="1:11" hidden="1">
      <c r="A981">
        <v>547</v>
      </c>
      <c r="B981" t="s">
        <v>4587</v>
      </c>
      <c r="C981" t="s">
        <v>4617</v>
      </c>
      <c r="E981" t="s">
        <v>6289</v>
      </c>
      <c r="F981" t="s">
        <v>4618</v>
      </c>
      <c r="H981" t="s">
        <v>3056</v>
      </c>
      <c r="I981">
        <v>547</v>
      </c>
      <c r="K981">
        <v>0</v>
      </c>
    </row>
    <row r="982" spans="1:11" hidden="1">
      <c r="A982">
        <v>548</v>
      </c>
      <c r="B982" t="s">
        <v>4587</v>
      </c>
      <c r="C982" t="s">
        <v>4598</v>
      </c>
      <c r="E982" t="s">
        <v>6289</v>
      </c>
      <c r="F982" t="s">
        <v>3558</v>
      </c>
      <c r="H982" t="s">
        <v>3056</v>
      </c>
      <c r="I982">
        <v>548</v>
      </c>
      <c r="K982">
        <v>0</v>
      </c>
    </row>
    <row r="983" spans="1:11" hidden="1">
      <c r="A983">
        <v>1036</v>
      </c>
      <c r="B983" t="s">
        <v>4587</v>
      </c>
      <c r="C983" t="s">
        <v>4609</v>
      </c>
      <c r="E983" t="s">
        <v>6289</v>
      </c>
      <c r="F983" t="s">
        <v>4236</v>
      </c>
      <c r="H983" t="s">
        <v>3056</v>
      </c>
      <c r="I983">
        <v>1036</v>
      </c>
      <c r="K983">
        <v>0</v>
      </c>
    </row>
    <row r="984" spans="1:11" hidden="1">
      <c r="A984">
        <v>1506</v>
      </c>
      <c r="B984" t="s">
        <v>4587</v>
      </c>
      <c r="C984" t="s">
        <v>3057</v>
      </c>
      <c r="E984" t="s">
        <v>6289</v>
      </c>
      <c r="F984" t="s">
        <v>152</v>
      </c>
      <c r="H984" t="s">
        <v>3056</v>
      </c>
      <c r="I984">
        <v>1506</v>
      </c>
      <c r="K984">
        <v>0</v>
      </c>
    </row>
    <row r="985" spans="1:11" hidden="1">
      <c r="A985">
        <v>1601</v>
      </c>
      <c r="B985" t="s">
        <v>4587</v>
      </c>
      <c r="C985" t="s">
        <v>4605</v>
      </c>
      <c r="E985" t="s">
        <v>6289</v>
      </c>
      <c r="F985" t="s">
        <v>4606</v>
      </c>
      <c r="H985" t="s">
        <v>3056</v>
      </c>
      <c r="I985">
        <v>1601</v>
      </c>
      <c r="K985">
        <v>0</v>
      </c>
    </row>
    <row r="986" spans="1:11" hidden="1">
      <c r="A986">
        <v>10062</v>
      </c>
      <c r="B986" t="s">
        <v>4587</v>
      </c>
      <c r="C986" t="s">
        <v>4588</v>
      </c>
      <c r="E986" t="s">
        <v>6289</v>
      </c>
      <c r="F986" t="s">
        <v>4589</v>
      </c>
      <c r="H986" t="s">
        <v>3056</v>
      </c>
      <c r="I986">
        <v>10062</v>
      </c>
      <c r="K986">
        <v>0</v>
      </c>
    </row>
    <row r="987" spans="1:11" hidden="1">
      <c r="A987">
        <v>10144</v>
      </c>
      <c r="B987" t="s">
        <v>4587</v>
      </c>
      <c r="C987" t="s">
        <v>4614</v>
      </c>
      <c r="E987" t="s">
        <v>6289</v>
      </c>
      <c r="F987" t="s">
        <v>137</v>
      </c>
      <c r="H987" t="s">
        <v>3056</v>
      </c>
      <c r="I987">
        <v>10144</v>
      </c>
      <c r="K987">
        <v>0</v>
      </c>
    </row>
    <row r="988" spans="1:11" hidden="1">
      <c r="A988">
        <v>550</v>
      </c>
      <c r="B988" t="s">
        <v>4619</v>
      </c>
      <c r="C988" t="s">
        <v>4624</v>
      </c>
      <c r="E988" t="s">
        <v>6289</v>
      </c>
      <c r="F988" t="s">
        <v>3129</v>
      </c>
      <c r="H988" t="s">
        <v>3056</v>
      </c>
      <c r="I988">
        <v>550</v>
      </c>
      <c r="K988">
        <v>0</v>
      </c>
    </row>
    <row r="989" spans="1:11" hidden="1">
      <c r="A989">
        <v>551</v>
      </c>
      <c r="B989" t="s">
        <v>4619</v>
      </c>
      <c r="C989" t="s">
        <v>4622</v>
      </c>
      <c r="E989" t="s">
        <v>6289</v>
      </c>
      <c r="F989" t="s">
        <v>138</v>
      </c>
      <c r="H989" t="s">
        <v>3056</v>
      </c>
      <c r="I989">
        <v>551</v>
      </c>
      <c r="K989">
        <v>0</v>
      </c>
    </row>
    <row r="990" spans="1:11" hidden="1">
      <c r="A990">
        <v>552</v>
      </c>
      <c r="B990" t="s">
        <v>4619</v>
      </c>
      <c r="C990" t="s">
        <v>4623</v>
      </c>
      <c r="E990" t="s">
        <v>6289</v>
      </c>
      <c r="F990" t="s">
        <v>4155</v>
      </c>
      <c r="H990" t="s">
        <v>3056</v>
      </c>
      <c r="I990">
        <v>552</v>
      </c>
      <c r="K990">
        <v>0</v>
      </c>
    </row>
    <row r="991" spans="1:11" hidden="1">
      <c r="A991">
        <v>553</v>
      </c>
      <c r="B991" t="s">
        <v>4619</v>
      </c>
      <c r="C991" t="s">
        <v>4628</v>
      </c>
      <c r="E991" t="s">
        <v>6289</v>
      </c>
      <c r="F991" t="s">
        <v>3558</v>
      </c>
      <c r="H991" t="s">
        <v>3056</v>
      </c>
      <c r="I991">
        <v>553</v>
      </c>
      <c r="K991">
        <v>0</v>
      </c>
    </row>
    <row r="992" spans="1:11" hidden="1">
      <c r="A992">
        <v>554</v>
      </c>
      <c r="B992" t="s">
        <v>4619</v>
      </c>
      <c r="C992" t="s">
        <v>4633</v>
      </c>
      <c r="E992" t="s">
        <v>6289</v>
      </c>
      <c r="F992" t="s">
        <v>3105</v>
      </c>
      <c r="H992" t="s">
        <v>3056</v>
      </c>
      <c r="I992">
        <v>554</v>
      </c>
      <c r="K992">
        <v>0</v>
      </c>
    </row>
    <row r="993" spans="1:11" hidden="1">
      <c r="A993">
        <v>555</v>
      </c>
      <c r="B993" t="s">
        <v>4619</v>
      </c>
      <c r="C993" t="s">
        <v>4636</v>
      </c>
      <c r="E993" t="s">
        <v>6289</v>
      </c>
      <c r="F993" t="s">
        <v>4637</v>
      </c>
      <c r="H993" t="s">
        <v>3056</v>
      </c>
      <c r="I993">
        <v>555</v>
      </c>
      <c r="K993">
        <v>0</v>
      </c>
    </row>
    <row r="994" spans="1:11" hidden="1">
      <c r="A994">
        <v>556</v>
      </c>
      <c r="B994" t="s">
        <v>4619</v>
      </c>
      <c r="C994" t="s">
        <v>4634</v>
      </c>
      <c r="E994" t="s">
        <v>6289</v>
      </c>
      <c r="F994" t="s">
        <v>4635</v>
      </c>
      <c r="H994" t="s">
        <v>3056</v>
      </c>
      <c r="I994">
        <v>556</v>
      </c>
      <c r="K994">
        <v>0</v>
      </c>
    </row>
    <row r="995" spans="1:11" hidden="1">
      <c r="A995">
        <v>558</v>
      </c>
      <c r="B995" t="s">
        <v>4619</v>
      </c>
      <c r="C995" t="s">
        <v>4631</v>
      </c>
      <c r="E995" t="s">
        <v>6289</v>
      </c>
      <c r="F995" t="s">
        <v>147</v>
      </c>
      <c r="H995" t="s">
        <v>3056</v>
      </c>
      <c r="I995">
        <v>558</v>
      </c>
      <c r="K995">
        <v>0</v>
      </c>
    </row>
    <row r="996" spans="1:11" hidden="1">
      <c r="A996">
        <v>559</v>
      </c>
      <c r="B996" t="s">
        <v>4619</v>
      </c>
      <c r="C996" t="s">
        <v>4632</v>
      </c>
      <c r="E996" t="s">
        <v>6289</v>
      </c>
      <c r="F996" t="s">
        <v>157</v>
      </c>
      <c r="H996" t="s">
        <v>3056</v>
      </c>
      <c r="I996">
        <v>559</v>
      </c>
      <c r="K996">
        <v>0</v>
      </c>
    </row>
    <row r="997" spans="1:11" hidden="1">
      <c r="A997">
        <v>560</v>
      </c>
      <c r="B997" t="s">
        <v>4619</v>
      </c>
      <c r="C997" t="s">
        <v>4641</v>
      </c>
      <c r="E997" t="s">
        <v>6289</v>
      </c>
      <c r="F997" t="s">
        <v>4589</v>
      </c>
      <c r="H997" t="s">
        <v>3056</v>
      </c>
      <c r="I997">
        <v>560</v>
      </c>
      <c r="K997">
        <v>0</v>
      </c>
    </row>
    <row r="998" spans="1:11" hidden="1">
      <c r="A998">
        <v>561</v>
      </c>
      <c r="B998" t="s">
        <v>4619</v>
      </c>
      <c r="C998" t="s">
        <v>4642</v>
      </c>
      <c r="E998" t="s">
        <v>6289</v>
      </c>
      <c r="F998" t="s">
        <v>4643</v>
      </c>
      <c r="H998" t="s">
        <v>3056</v>
      </c>
      <c r="I998">
        <v>561</v>
      </c>
      <c r="K998">
        <v>0</v>
      </c>
    </row>
    <row r="999" spans="1:11" hidden="1">
      <c r="A999">
        <v>1037</v>
      </c>
      <c r="B999" t="s">
        <v>4619</v>
      </c>
      <c r="C999" t="s">
        <v>4620</v>
      </c>
      <c r="E999" t="s">
        <v>6289</v>
      </c>
      <c r="F999" t="s">
        <v>164</v>
      </c>
      <c r="H999" t="s">
        <v>3056</v>
      </c>
      <c r="I999">
        <v>1037</v>
      </c>
      <c r="K999">
        <v>0</v>
      </c>
    </row>
    <row r="1000" spans="1:11" hidden="1">
      <c r="A1000">
        <v>1038</v>
      </c>
      <c r="B1000" t="s">
        <v>4619</v>
      </c>
      <c r="C1000" t="s">
        <v>4627</v>
      </c>
      <c r="E1000" t="s">
        <v>6289</v>
      </c>
      <c r="F1000" t="s">
        <v>3881</v>
      </c>
      <c r="H1000" t="s">
        <v>3056</v>
      </c>
      <c r="I1000">
        <v>1038</v>
      </c>
      <c r="K1000">
        <v>0</v>
      </c>
    </row>
    <row r="1001" spans="1:11" hidden="1">
      <c r="A1001">
        <v>1040</v>
      </c>
      <c r="B1001" t="s">
        <v>4619</v>
      </c>
      <c r="C1001" t="s">
        <v>4638</v>
      </c>
      <c r="E1001" t="s">
        <v>6289</v>
      </c>
      <c r="F1001" t="s">
        <v>4639</v>
      </c>
      <c r="H1001" t="s">
        <v>3056</v>
      </c>
      <c r="I1001">
        <v>1040</v>
      </c>
      <c r="K1001">
        <v>0</v>
      </c>
    </row>
    <row r="1002" spans="1:11" hidden="1">
      <c r="A1002">
        <v>1041</v>
      </c>
      <c r="B1002" t="s">
        <v>4619</v>
      </c>
      <c r="C1002" t="s">
        <v>4644</v>
      </c>
      <c r="E1002" t="s">
        <v>6289</v>
      </c>
      <c r="F1002" t="s">
        <v>4618</v>
      </c>
      <c r="H1002" t="s">
        <v>3056</v>
      </c>
      <c r="I1002">
        <v>1041</v>
      </c>
      <c r="K1002">
        <v>0</v>
      </c>
    </row>
    <row r="1003" spans="1:11" hidden="1">
      <c r="A1003">
        <v>10010</v>
      </c>
      <c r="B1003" t="s">
        <v>4619</v>
      </c>
      <c r="C1003" t="s">
        <v>4625</v>
      </c>
      <c r="E1003" t="s">
        <v>6289</v>
      </c>
      <c r="F1003" t="s">
        <v>4626</v>
      </c>
      <c r="H1003" t="s">
        <v>3056</v>
      </c>
      <c r="I1003">
        <v>10010</v>
      </c>
      <c r="K1003">
        <v>0</v>
      </c>
    </row>
    <row r="1004" spans="1:11" hidden="1">
      <c r="A1004">
        <v>10011</v>
      </c>
      <c r="B1004" t="s">
        <v>4619</v>
      </c>
      <c r="C1004" t="s">
        <v>4640</v>
      </c>
      <c r="E1004" t="s">
        <v>6289</v>
      </c>
      <c r="F1004" t="s">
        <v>86</v>
      </c>
      <c r="H1004" t="s">
        <v>3056</v>
      </c>
      <c r="I1004">
        <v>10011</v>
      </c>
      <c r="K1004">
        <v>0</v>
      </c>
    </row>
    <row r="1005" spans="1:11" hidden="1">
      <c r="A1005">
        <v>10012</v>
      </c>
      <c r="B1005" t="s">
        <v>4619</v>
      </c>
      <c r="C1005" t="s">
        <v>4621</v>
      </c>
      <c r="E1005" t="s">
        <v>6289</v>
      </c>
      <c r="F1005" t="s">
        <v>148</v>
      </c>
      <c r="H1005" t="s">
        <v>3056</v>
      </c>
      <c r="I1005">
        <v>10012</v>
      </c>
      <c r="K1005">
        <v>0</v>
      </c>
    </row>
    <row r="1006" spans="1:11" hidden="1">
      <c r="A1006">
        <v>10013</v>
      </c>
      <c r="B1006" t="s">
        <v>4619</v>
      </c>
      <c r="C1006" t="s">
        <v>22</v>
      </c>
      <c r="E1006" t="s">
        <v>6289</v>
      </c>
      <c r="F1006" t="s">
        <v>3141</v>
      </c>
      <c r="H1006" t="s">
        <v>3056</v>
      </c>
      <c r="I1006">
        <v>10013</v>
      </c>
      <c r="K1006">
        <v>0</v>
      </c>
    </row>
    <row r="1007" spans="1:11" hidden="1">
      <c r="A1007">
        <v>10133</v>
      </c>
      <c r="B1007" t="s">
        <v>4619</v>
      </c>
      <c r="C1007" t="s">
        <v>4033</v>
      </c>
      <c r="E1007" t="s">
        <v>6289</v>
      </c>
      <c r="F1007" t="s">
        <v>4034</v>
      </c>
      <c r="H1007" t="s">
        <v>3056</v>
      </c>
      <c r="I1007">
        <v>10133</v>
      </c>
      <c r="K1007">
        <v>0</v>
      </c>
    </row>
    <row r="1008" spans="1:11" hidden="1">
      <c r="A1008">
        <v>10134</v>
      </c>
      <c r="B1008" t="s">
        <v>4619</v>
      </c>
      <c r="C1008" t="s">
        <v>4629</v>
      </c>
      <c r="E1008" t="s">
        <v>6289</v>
      </c>
      <c r="F1008" t="s">
        <v>3081</v>
      </c>
      <c r="H1008" t="s">
        <v>3056</v>
      </c>
      <c r="I1008">
        <v>10134</v>
      </c>
      <c r="K1008">
        <v>0</v>
      </c>
    </row>
    <row r="1009" spans="1:11" hidden="1">
      <c r="A1009">
        <v>100100</v>
      </c>
      <c r="B1009" t="s">
        <v>4619</v>
      </c>
      <c r="C1009" t="s">
        <v>4630</v>
      </c>
      <c r="E1009" t="s">
        <v>6289</v>
      </c>
      <c r="F1009" t="s">
        <v>3321</v>
      </c>
      <c r="H1009" t="s">
        <v>3056</v>
      </c>
      <c r="I1009">
        <v>100100</v>
      </c>
      <c r="K1009">
        <v>0</v>
      </c>
    </row>
    <row r="1010" spans="1:11" hidden="1">
      <c r="A1010">
        <v>1921</v>
      </c>
      <c r="B1010" t="s">
        <v>4645</v>
      </c>
      <c r="C1010" t="s">
        <v>4648</v>
      </c>
      <c r="E1010" t="s">
        <v>6289</v>
      </c>
      <c r="F1010" t="s">
        <v>4647</v>
      </c>
      <c r="H1010" t="s">
        <v>3056</v>
      </c>
      <c r="I1010">
        <v>1921</v>
      </c>
      <c r="K1010">
        <v>0</v>
      </c>
    </row>
    <row r="1011" spans="1:11" hidden="1">
      <c r="A1011">
        <v>1922</v>
      </c>
      <c r="B1011" t="s">
        <v>4645</v>
      </c>
      <c r="C1011" t="s">
        <v>4653</v>
      </c>
      <c r="E1011" t="s">
        <v>6289</v>
      </c>
      <c r="F1011" t="s">
        <v>4654</v>
      </c>
      <c r="H1011" t="s">
        <v>3056</v>
      </c>
      <c r="I1011">
        <v>1922</v>
      </c>
      <c r="K1011">
        <v>0</v>
      </c>
    </row>
    <row r="1012" spans="1:11" hidden="1">
      <c r="A1012">
        <v>1923</v>
      </c>
      <c r="B1012" t="s">
        <v>4645</v>
      </c>
      <c r="C1012" t="s">
        <v>4651</v>
      </c>
      <c r="E1012" t="s">
        <v>6289</v>
      </c>
      <c r="F1012" t="s">
        <v>4652</v>
      </c>
      <c r="H1012" t="s">
        <v>3056</v>
      </c>
      <c r="I1012">
        <v>1923</v>
      </c>
      <c r="K1012">
        <v>0</v>
      </c>
    </row>
    <row r="1013" spans="1:11" hidden="1">
      <c r="A1013">
        <v>10061</v>
      </c>
      <c r="B1013" t="s">
        <v>4645</v>
      </c>
      <c r="C1013" t="s">
        <v>4646</v>
      </c>
      <c r="E1013" t="s">
        <v>6289</v>
      </c>
      <c r="F1013" t="s">
        <v>4647</v>
      </c>
      <c r="H1013" t="s">
        <v>3056</v>
      </c>
      <c r="I1013">
        <v>10061</v>
      </c>
      <c r="K1013">
        <v>0</v>
      </c>
    </row>
    <row r="1014" spans="1:11" hidden="1">
      <c r="A1014">
        <v>10065</v>
      </c>
      <c r="B1014" t="s">
        <v>4645</v>
      </c>
      <c r="C1014" t="s">
        <v>4649</v>
      </c>
      <c r="E1014" t="s">
        <v>6289</v>
      </c>
      <c r="F1014" t="s">
        <v>4650</v>
      </c>
      <c r="H1014" t="s">
        <v>3056</v>
      </c>
      <c r="I1014">
        <v>10065</v>
      </c>
      <c r="K1014">
        <v>0</v>
      </c>
    </row>
    <row r="1015" spans="1:11" hidden="1">
      <c r="A1015">
        <v>1703</v>
      </c>
      <c r="B1015" t="s">
        <v>4655</v>
      </c>
      <c r="E1015" t="s">
        <v>6289</v>
      </c>
      <c r="F1015">
        <v>48</v>
      </c>
      <c r="H1015" t="s">
        <v>3056</v>
      </c>
      <c r="I1015">
        <v>1703</v>
      </c>
      <c r="K1015">
        <v>0</v>
      </c>
    </row>
    <row r="1016" spans="1:11" hidden="1">
      <c r="A1016">
        <v>771</v>
      </c>
      <c r="B1016" t="s">
        <v>4656</v>
      </c>
      <c r="C1016" t="s">
        <v>4661</v>
      </c>
      <c r="E1016" t="s">
        <v>6289</v>
      </c>
      <c r="H1016" t="s">
        <v>3056</v>
      </c>
      <c r="I1016">
        <v>771</v>
      </c>
      <c r="K1016">
        <v>0</v>
      </c>
    </row>
    <row r="1017" spans="1:11" hidden="1">
      <c r="A1017">
        <v>772</v>
      </c>
      <c r="B1017" t="s">
        <v>4656</v>
      </c>
      <c r="C1017" t="s">
        <v>3661</v>
      </c>
      <c r="E1017" t="s">
        <v>6289</v>
      </c>
      <c r="H1017" t="s">
        <v>3056</v>
      </c>
      <c r="I1017">
        <v>772</v>
      </c>
      <c r="K1017">
        <v>0</v>
      </c>
    </row>
    <row r="1018" spans="1:11" hidden="1">
      <c r="A1018">
        <v>773</v>
      </c>
      <c r="B1018" t="s">
        <v>4656</v>
      </c>
      <c r="C1018" t="s">
        <v>4659</v>
      </c>
      <c r="E1018" t="s">
        <v>6289</v>
      </c>
      <c r="H1018" t="s">
        <v>3056</v>
      </c>
      <c r="I1018">
        <v>773</v>
      </c>
      <c r="K1018">
        <v>0</v>
      </c>
    </row>
    <row r="1019" spans="1:11" hidden="1">
      <c r="A1019">
        <v>774</v>
      </c>
      <c r="B1019" t="s">
        <v>4656</v>
      </c>
      <c r="C1019" t="s">
        <v>3681</v>
      </c>
      <c r="E1019" t="s">
        <v>6289</v>
      </c>
      <c r="H1019" t="s">
        <v>3056</v>
      </c>
      <c r="I1019">
        <v>774</v>
      </c>
      <c r="K1019">
        <v>0</v>
      </c>
    </row>
    <row r="1020" spans="1:11" hidden="1">
      <c r="A1020">
        <v>11980</v>
      </c>
      <c r="B1020" t="s">
        <v>4656</v>
      </c>
      <c r="C1020" t="s">
        <v>4657</v>
      </c>
      <c r="E1020" t="s">
        <v>6289</v>
      </c>
      <c r="H1020" t="s">
        <v>3056</v>
      </c>
      <c r="I1020">
        <v>11980</v>
      </c>
      <c r="K1020">
        <v>0</v>
      </c>
    </row>
    <row r="1021" spans="1:11" hidden="1">
      <c r="A1021">
        <v>11990</v>
      </c>
      <c r="B1021" t="s">
        <v>4656</v>
      </c>
      <c r="C1021" t="s">
        <v>4658</v>
      </c>
      <c r="E1021" t="s">
        <v>6289</v>
      </c>
      <c r="H1021" t="s">
        <v>3056</v>
      </c>
      <c r="I1021">
        <v>11990</v>
      </c>
      <c r="K1021">
        <v>0</v>
      </c>
    </row>
    <row r="1022" spans="1:11" hidden="1">
      <c r="A1022">
        <v>12000</v>
      </c>
      <c r="B1022" t="s">
        <v>4656</v>
      </c>
      <c r="C1022" t="s">
        <v>4660</v>
      </c>
      <c r="E1022" t="s">
        <v>6289</v>
      </c>
      <c r="H1022" t="s">
        <v>3056</v>
      </c>
      <c r="I1022">
        <v>12000</v>
      </c>
      <c r="K1022">
        <v>0</v>
      </c>
    </row>
    <row r="1023" spans="1:11" hidden="1">
      <c r="A1023">
        <v>12010</v>
      </c>
      <c r="B1023" t="s">
        <v>4656</v>
      </c>
      <c r="C1023" t="s">
        <v>41</v>
      </c>
      <c r="E1023" t="s">
        <v>6289</v>
      </c>
      <c r="H1023" t="s">
        <v>3056</v>
      </c>
      <c r="I1023">
        <v>12010</v>
      </c>
      <c r="K1023">
        <v>0</v>
      </c>
    </row>
    <row r="1024" spans="1:11" hidden="1">
      <c r="A1024">
        <v>12020</v>
      </c>
      <c r="B1024" t="s">
        <v>4656</v>
      </c>
      <c r="C1024" t="s">
        <v>3781</v>
      </c>
      <c r="E1024" t="s">
        <v>6289</v>
      </c>
      <c r="H1024" t="s">
        <v>3056</v>
      </c>
      <c r="I1024">
        <v>12020</v>
      </c>
      <c r="K1024">
        <v>0</v>
      </c>
    </row>
    <row r="1025" spans="1:11" hidden="1">
      <c r="A1025">
        <v>1</v>
      </c>
      <c r="B1025" t="s">
        <v>3451</v>
      </c>
      <c r="C1025" t="s">
        <v>3452</v>
      </c>
      <c r="E1025" t="s">
        <v>6289</v>
      </c>
      <c r="F1025" t="s">
        <v>3453</v>
      </c>
      <c r="G1025">
        <v>0</v>
      </c>
      <c r="H1025" t="s">
        <v>3056</v>
      </c>
      <c r="I1025">
        <v>462</v>
      </c>
      <c r="K1025" t="s">
        <v>2972</v>
      </c>
    </row>
    <row r="1026" spans="1:11" hidden="1">
      <c r="A1026">
        <v>2</v>
      </c>
      <c r="B1026" t="s">
        <v>3451</v>
      </c>
      <c r="C1026" t="s">
        <v>3454</v>
      </c>
      <c r="E1026" t="s">
        <v>6289</v>
      </c>
      <c r="F1026" t="s">
        <v>3455</v>
      </c>
      <c r="G1026">
        <v>0</v>
      </c>
      <c r="H1026" t="s">
        <v>3056</v>
      </c>
      <c r="I1026">
        <v>459</v>
      </c>
      <c r="K1026" t="s">
        <v>2972</v>
      </c>
    </row>
    <row r="1027" spans="1:11" hidden="1">
      <c r="A1027">
        <v>3</v>
      </c>
      <c r="B1027" t="s">
        <v>3451</v>
      </c>
      <c r="C1027" t="s">
        <v>3456</v>
      </c>
      <c r="E1027" t="s">
        <v>6289</v>
      </c>
      <c r="F1027" t="s">
        <v>3457</v>
      </c>
      <c r="G1027">
        <v>0</v>
      </c>
      <c r="H1027" t="s">
        <v>3056</v>
      </c>
      <c r="I1027">
        <v>460</v>
      </c>
      <c r="K1027" t="s">
        <v>2972</v>
      </c>
    </row>
    <row r="1028" spans="1:11" hidden="1">
      <c r="A1028">
        <v>4</v>
      </c>
      <c r="B1028" t="s">
        <v>3451</v>
      </c>
      <c r="C1028" t="s">
        <v>447</v>
      </c>
      <c r="E1028" t="s">
        <v>6289</v>
      </c>
      <c r="F1028" t="s">
        <v>3279</v>
      </c>
      <c r="G1028">
        <v>0</v>
      </c>
      <c r="H1028" t="s">
        <v>3056</v>
      </c>
      <c r="I1028">
        <v>458</v>
      </c>
      <c r="K1028" t="s">
        <v>2972</v>
      </c>
    </row>
    <row r="1029" spans="1:11" hidden="1">
      <c r="A1029">
        <v>5</v>
      </c>
      <c r="B1029" t="s">
        <v>3451</v>
      </c>
      <c r="C1029" t="s">
        <v>3458</v>
      </c>
      <c r="E1029" t="s">
        <v>6289</v>
      </c>
      <c r="F1029" t="s">
        <v>3459</v>
      </c>
      <c r="G1029">
        <v>0</v>
      </c>
      <c r="H1029" t="s">
        <v>3056</v>
      </c>
      <c r="I1029">
        <v>464</v>
      </c>
      <c r="K1029" t="s">
        <v>2972</v>
      </c>
    </row>
    <row r="1030" spans="1:11" hidden="1">
      <c r="A1030">
        <v>6</v>
      </c>
      <c r="B1030" t="s">
        <v>3451</v>
      </c>
      <c r="C1030" t="s">
        <v>3460</v>
      </c>
      <c r="E1030" t="s">
        <v>6289</v>
      </c>
      <c r="F1030" t="s">
        <v>3461</v>
      </c>
      <c r="G1030">
        <v>0</v>
      </c>
      <c r="H1030" t="s">
        <v>3056</v>
      </c>
      <c r="I1030">
        <v>465</v>
      </c>
      <c r="K1030" t="s">
        <v>2972</v>
      </c>
    </row>
    <row r="1031" spans="1:11" hidden="1">
      <c r="A1031">
        <v>7</v>
      </c>
      <c r="B1031" t="s">
        <v>3451</v>
      </c>
      <c r="C1031" t="s">
        <v>3462</v>
      </c>
      <c r="E1031" t="s">
        <v>6289</v>
      </c>
      <c r="F1031" t="s">
        <v>3463</v>
      </c>
      <c r="G1031">
        <v>0</v>
      </c>
      <c r="H1031" t="s">
        <v>3056</v>
      </c>
      <c r="I1031">
        <v>466</v>
      </c>
      <c r="K1031" t="s">
        <v>2972</v>
      </c>
    </row>
    <row r="1032" spans="1:11" hidden="1">
      <c r="A1032">
        <v>8</v>
      </c>
      <c r="B1032" t="s">
        <v>3451</v>
      </c>
      <c r="C1032" t="s">
        <v>3464</v>
      </c>
      <c r="E1032" t="s">
        <v>6289</v>
      </c>
      <c r="F1032" t="s">
        <v>3465</v>
      </c>
      <c r="G1032">
        <v>0</v>
      </c>
      <c r="H1032" t="s">
        <v>3056</v>
      </c>
      <c r="I1032">
        <v>467</v>
      </c>
      <c r="K1032" t="s">
        <v>2972</v>
      </c>
    </row>
    <row r="1033" spans="1:11" hidden="1">
      <c r="A1033">
        <v>9</v>
      </c>
      <c r="B1033" t="s">
        <v>3451</v>
      </c>
      <c r="C1033" t="s">
        <v>3466</v>
      </c>
      <c r="E1033" t="s">
        <v>6289</v>
      </c>
      <c r="F1033" t="s">
        <v>3467</v>
      </c>
      <c r="G1033">
        <v>0</v>
      </c>
      <c r="H1033" t="s">
        <v>3056</v>
      </c>
      <c r="I1033">
        <v>463</v>
      </c>
      <c r="K1033" t="s">
        <v>2972</v>
      </c>
    </row>
    <row r="1034" spans="1:11" hidden="1">
      <c r="A1034">
        <v>10</v>
      </c>
      <c r="B1034" t="s">
        <v>3451</v>
      </c>
      <c r="C1034" t="s">
        <v>3468</v>
      </c>
      <c r="E1034" t="s">
        <v>6289</v>
      </c>
      <c r="F1034" t="s">
        <v>3469</v>
      </c>
      <c r="G1034">
        <v>0</v>
      </c>
      <c r="H1034" t="s">
        <v>3056</v>
      </c>
      <c r="I1034">
        <v>469</v>
      </c>
      <c r="K1034" t="s">
        <v>2972</v>
      </c>
    </row>
    <row r="1035" spans="1:11" hidden="1">
      <c r="A1035">
        <v>11</v>
      </c>
      <c r="B1035" t="s">
        <v>3451</v>
      </c>
      <c r="C1035" t="s">
        <v>3470</v>
      </c>
      <c r="E1035" t="s">
        <v>6289</v>
      </c>
      <c r="F1035" t="s">
        <v>3471</v>
      </c>
      <c r="G1035">
        <v>0</v>
      </c>
      <c r="H1035" t="s">
        <v>3056</v>
      </c>
      <c r="I1035">
        <v>461</v>
      </c>
      <c r="K1035" t="s">
        <v>2972</v>
      </c>
    </row>
    <row r="1036" spans="1:11" hidden="1">
      <c r="A1036">
        <v>12</v>
      </c>
      <c r="B1036" t="s">
        <v>3451</v>
      </c>
      <c r="C1036" t="s">
        <v>3472</v>
      </c>
      <c r="E1036" t="s">
        <v>6289</v>
      </c>
      <c r="F1036" t="s">
        <v>3473</v>
      </c>
      <c r="G1036">
        <v>0</v>
      </c>
      <c r="H1036" t="s">
        <v>3056</v>
      </c>
      <c r="I1036">
        <v>457</v>
      </c>
      <c r="K1036" t="s">
        <v>2972</v>
      </c>
    </row>
    <row r="1037" spans="1:11" hidden="1">
      <c r="A1037">
        <v>15190</v>
      </c>
      <c r="B1037" t="s">
        <v>4662</v>
      </c>
      <c r="C1037" t="s">
        <v>4663</v>
      </c>
      <c r="E1037" t="s">
        <v>6289</v>
      </c>
      <c r="H1037" t="s">
        <v>3056</v>
      </c>
      <c r="I1037">
        <v>15190</v>
      </c>
      <c r="K1037">
        <v>0</v>
      </c>
    </row>
    <row r="1038" spans="1:11" hidden="1">
      <c r="A1038">
        <v>15200</v>
      </c>
      <c r="B1038" t="s">
        <v>4662</v>
      </c>
      <c r="C1038" t="s">
        <v>4664</v>
      </c>
      <c r="E1038" t="s">
        <v>6289</v>
      </c>
      <c r="H1038" t="s">
        <v>3056</v>
      </c>
      <c r="I1038">
        <v>15200</v>
      </c>
      <c r="K1038">
        <v>0</v>
      </c>
    </row>
    <row r="1039" spans="1:11" hidden="1">
      <c r="A1039">
        <v>15210</v>
      </c>
      <c r="B1039" t="s">
        <v>4662</v>
      </c>
      <c r="C1039" t="s">
        <v>4665</v>
      </c>
      <c r="E1039" t="s">
        <v>6289</v>
      </c>
      <c r="H1039" t="s">
        <v>3056</v>
      </c>
      <c r="I1039">
        <v>15210</v>
      </c>
      <c r="K1039">
        <v>0</v>
      </c>
    </row>
    <row r="1040" spans="1:11" hidden="1">
      <c r="A1040">
        <v>15220</v>
      </c>
      <c r="B1040" t="s">
        <v>4662</v>
      </c>
      <c r="C1040" t="s">
        <v>4667</v>
      </c>
      <c r="E1040" t="s">
        <v>6289</v>
      </c>
      <c r="H1040" t="s">
        <v>3056</v>
      </c>
      <c r="I1040">
        <v>15220</v>
      </c>
      <c r="K1040">
        <v>0</v>
      </c>
    </row>
    <row r="1041" spans="1:11" hidden="1">
      <c r="A1041">
        <v>15230</v>
      </c>
      <c r="B1041" t="s">
        <v>4662</v>
      </c>
      <c r="C1041" t="s">
        <v>4666</v>
      </c>
      <c r="E1041" t="s">
        <v>6289</v>
      </c>
      <c r="H1041" t="s">
        <v>3056</v>
      </c>
      <c r="I1041">
        <v>15230</v>
      </c>
      <c r="K1041">
        <v>0</v>
      </c>
    </row>
    <row r="1042" spans="1:11" hidden="1">
      <c r="A1042">
        <v>15240</v>
      </c>
      <c r="B1042" t="s">
        <v>4662</v>
      </c>
      <c r="C1042" t="s">
        <v>3069</v>
      </c>
      <c r="E1042" t="s">
        <v>6289</v>
      </c>
      <c r="H1042" t="s">
        <v>3056</v>
      </c>
      <c r="I1042">
        <v>15240</v>
      </c>
      <c r="K1042">
        <v>0</v>
      </c>
    </row>
    <row r="1043" spans="1:11" hidden="1">
      <c r="A1043">
        <v>15250</v>
      </c>
      <c r="B1043" t="s">
        <v>4668</v>
      </c>
      <c r="C1043" t="s">
        <v>4669</v>
      </c>
      <c r="E1043" t="s">
        <v>6289</v>
      </c>
      <c r="H1043" t="s">
        <v>3056</v>
      </c>
      <c r="I1043">
        <v>15250</v>
      </c>
      <c r="K1043">
        <v>0</v>
      </c>
    </row>
    <row r="1044" spans="1:11" hidden="1">
      <c r="A1044">
        <v>15260</v>
      </c>
      <c r="B1044" t="s">
        <v>4668</v>
      </c>
      <c r="C1044" t="s">
        <v>4670</v>
      </c>
      <c r="E1044" t="s">
        <v>6289</v>
      </c>
      <c r="H1044" t="s">
        <v>3056</v>
      </c>
      <c r="I1044">
        <v>15260</v>
      </c>
      <c r="K1044">
        <v>0</v>
      </c>
    </row>
    <row r="1045" spans="1:11" hidden="1">
      <c r="A1045">
        <v>15270</v>
      </c>
      <c r="B1045" t="s">
        <v>4668</v>
      </c>
      <c r="C1045" t="s">
        <v>4671</v>
      </c>
      <c r="E1045" t="s">
        <v>6289</v>
      </c>
      <c r="H1045" t="s">
        <v>3056</v>
      </c>
      <c r="I1045">
        <v>15270</v>
      </c>
      <c r="K1045">
        <v>0</v>
      </c>
    </row>
    <row r="1046" spans="1:11" hidden="1">
      <c r="A1046">
        <v>100115</v>
      </c>
      <c r="B1046" t="s">
        <v>4672</v>
      </c>
      <c r="C1046" t="s">
        <v>4673</v>
      </c>
      <c r="E1046" t="s">
        <v>6289</v>
      </c>
      <c r="H1046" t="s">
        <v>3056</v>
      </c>
      <c r="I1046">
        <v>100115</v>
      </c>
      <c r="K1046">
        <v>0</v>
      </c>
    </row>
    <row r="1047" spans="1:11" hidden="1">
      <c r="A1047">
        <v>3300</v>
      </c>
      <c r="B1047" t="s">
        <v>4674</v>
      </c>
      <c r="C1047" t="s">
        <v>4683</v>
      </c>
      <c r="E1047" t="s">
        <v>6289</v>
      </c>
      <c r="H1047" t="s">
        <v>3061</v>
      </c>
      <c r="I1047">
        <v>3300</v>
      </c>
      <c r="K1047">
        <v>0</v>
      </c>
    </row>
    <row r="1048" spans="1:11" hidden="1">
      <c r="A1048">
        <v>3301</v>
      </c>
      <c r="B1048" t="s">
        <v>4674</v>
      </c>
      <c r="C1048" t="s">
        <v>4681</v>
      </c>
      <c r="E1048" t="s">
        <v>6289</v>
      </c>
      <c r="H1048" t="s">
        <v>3061</v>
      </c>
      <c r="I1048">
        <v>3301</v>
      </c>
      <c r="K1048">
        <v>0</v>
      </c>
    </row>
    <row r="1049" spans="1:11" hidden="1">
      <c r="A1049">
        <v>3302</v>
      </c>
      <c r="B1049" t="s">
        <v>4674</v>
      </c>
      <c r="C1049" t="s">
        <v>4684</v>
      </c>
      <c r="E1049" t="s">
        <v>6289</v>
      </c>
      <c r="H1049" t="s">
        <v>3061</v>
      </c>
      <c r="I1049">
        <v>3302</v>
      </c>
      <c r="K1049">
        <v>0</v>
      </c>
    </row>
    <row r="1050" spans="1:11" hidden="1">
      <c r="A1050">
        <v>3303</v>
      </c>
      <c r="B1050" t="s">
        <v>4674</v>
      </c>
      <c r="C1050" t="s">
        <v>4680</v>
      </c>
      <c r="E1050" t="s">
        <v>6289</v>
      </c>
      <c r="H1050" t="s">
        <v>3061</v>
      </c>
      <c r="I1050">
        <v>3303</v>
      </c>
      <c r="K1050">
        <v>0</v>
      </c>
    </row>
    <row r="1051" spans="1:11" hidden="1">
      <c r="A1051">
        <v>3304</v>
      </c>
      <c r="B1051" t="s">
        <v>4674</v>
      </c>
      <c r="C1051" t="s">
        <v>4686</v>
      </c>
      <c r="E1051" t="s">
        <v>6289</v>
      </c>
      <c r="H1051" t="s">
        <v>3061</v>
      </c>
      <c r="I1051">
        <v>3304</v>
      </c>
      <c r="K1051">
        <v>0</v>
      </c>
    </row>
    <row r="1052" spans="1:11" hidden="1">
      <c r="A1052">
        <v>3305</v>
      </c>
      <c r="B1052" t="s">
        <v>4674</v>
      </c>
      <c r="C1052" t="s">
        <v>4685</v>
      </c>
      <c r="E1052" t="s">
        <v>6289</v>
      </c>
      <c r="H1052" t="s">
        <v>3061</v>
      </c>
      <c r="I1052">
        <v>3305</v>
      </c>
      <c r="K1052">
        <v>0</v>
      </c>
    </row>
    <row r="1053" spans="1:11" hidden="1">
      <c r="A1053">
        <v>3306</v>
      </c>
      <c r="B1053" t="s">
        <v>4674</v>
      </c>
      <c r="C1053" t="s">
        <v>4675</v>
      </c>
      <c r="E1053" t="s">
        <v>6289</v>
      </c>
      <c r="H1053" t="s">
        <v>3061</v>
      </c>
      <c r="I1053">
        <v>3306</v>
      </c>
      <c r="K1053">
        <v>0</v>
      </c>
    </row>
    <row r="1054" spans="1:11" hidden="1">
      <c r="A1054">
        <v>3307</v>
      </c>
      <c r="B1054" t="s">
        <v>4674</v>
      </c>
      <c r="C1054" t="s">
        <v>4682</v>
      </c>
      <c r="E1054" t="s">
        <v>6289</v>
      </c>
      <c r="H1054" t="s">
        <v>3061</v>
      </c>
      <c r="I1054">
        <v>3307</v>
      </c>
      <c r="K1054">
        <v>0</v>
      </c>
    </row>
    <row r="1055" spans="1:11" hidden="1">
      <c r="A1055">
        <v>3308</v>
      </c>
      <c r="B1055" t="s">
        <v>4674</v>
      </c>
      <c r="C1055" t="s">
        <v>4687</v>
      </c>
      <c r="E1055" t="s">
        <v>6289</v>
      </c>
      <c r="H1055" t="s">
        <v>3061</v>
      </c>
      <c r="I1055">
        <v>3308</v>
      </c>
      <c r="K1055">
        <v>0</v>
      </c>
    </row>
    <row r="1056" spans="1:11" hidden="1">
      <c r="A1056">
        <v>3309</v>
      </c>
      <c r="B1056" t="s">
        <v>4674</v>
      </c>
      <c r="C1056" t="s">
        <v>4676</v>
      </c>
      <c r="E1056" t="s">
        <v>6289</v>
      </c>
      <c r="H1056" t="s">
        <v>3061</v>
      </c>
      <c r="I1056">
        <v>3309</v>
      </c>
      <c r="K1056">
        <v>0</v>
      </c>
    </row>
    <row r="1057" spans="1:11" hidden="1">
      <c r="A1057">
        <v>3310</v>
      </c>
      <c r="B1057" t="s">
        <v>4674</v>
      </c>
      <c r="C1057" t="s">
        <v>4677</v>
      </c>
      <c r="E1057" t="s">
        <v>6289</v>
      </c>
      <c r="H1057" t="s">
        <v>3061</v>
      </c>
      <c r="I1057">
        <v>3310</v>
      </c>
      <c r="K1057">
        <v>0</v>
      </c>
    </row>
    <row r="1058" spans="1:11" hidden="1">
      <c r="A1058">
        <v>3311</v>
      </c>
      <c r="B1058" t="s">
        <v>4674</v>
      </c>
      <c r="C1058" t="s">
        <v>4679</v>
      </c>
      <c r="E1058" t="s">
        <v>6289</v>
      </c>
      <c r="H1058" t="s">
        <v>3061</v>
      </c>
      <c r="I1058">
        <v>3311</v>
      </c>
      <c r="K1058">
        <v>0</v>
      </c>
    </row>
    <row r="1059" spans="1:11" hidden="1">
      <c r="A1059">
        <v>3312</v>
      </c>
      <c r="B1059" t="s">
        <v>4674</v>
      </c>
      <c r="C1059" t="s">
        <v>4678</v>
      </c>
      <c r="E1059" t="s">
        <v>6289</v>
      </c>
      <c r="H1059" t="s">
        <v>3061</v>
      </c>
      <c r="I1059">
        <v>3312</v>
      </c>
      <c r="K1059">
        <v>0</v>
      </c>
    </row>
    <row r="1060" spans="1:11" hidden="1">
      <c r="A1060">
        <v>3313</v>
      </c>
      <c r="B1060" t="s">
        <v>4674</v>
      </c>
      <c r="C1060" t="s">
        <v>4688</v>
      </c>
      <c r="E1060" t="s">
        <v>6289</v>
      </c>
      <c r="H1060" t="s">
        <v>3061</v>
      </c>
      <c r="I1060">
        <v>3313</v>
      </c>
      <c r="K1060">
        <v>0</v>
      </c>
    </row>
    <row r="1061" spans="1:11" hidden="1">
      <c r="A1061">
        <v>3314</v>
      </c>
      <c r="B1061" t="s">
        <v>4674</v>
      </c>
      <c r="C1061" t="s">
        <v>3141</v>
      </c>
      <c r="E1061" t="s">
        <v>6289</v>
      </c>
      <c r="H1061" t="s">
        <v>3061</v>
      </c>
      <c r="I1061">
        <v>3314</v>
      </c>
      <c r="K1061">
        <v>0</v>
      </c>
    </row>
    <row r="1062" spans="1:11" hidden="1">
      <c r="A1062">
        <v>3315</v>
      </c>
      <c r="B1062" t="s">
        <v>4674</v>
      </c>
      <c r="C1062" t="s">
        <v>3144</v>
      </c>
      <c r="E1062" t="s">
        <v>6289</v>
      </c>
      <c r="H1062" t="s">
        <v>3061</v>
      </c>
      <c r="I1062">
        <v>3315</v>
      </c>
      <c r="K1062">
        <v>0</v>
      </c>
    </row>
    <row r="1063" spans="1:11" hidden="1">
      <c r="A1063">
        <v>503</v>
      </c>
      <c r="B1063" t="s">
        <v>4689</v>
      </c>
      <c r="C1063" t="s">
        <v>4692</v>
      </c>
      <c r="D1063">
        <v>0</v>
      </c>
      <c r="E1063" t="s">
        <v>6289</v>
      </c>
      <c r="H1063" t="s">
        <v>3056</v>
      </c>
      <c r="I1063">
        <v>503</v>
      </c>
      <c r="K1063">
        <v>0</v>
      </c>
    </row>
    <row r="1064" spans="1:11" hidden="1">
      <c r="A1064">
        <v>504</v>
      </c>
      <c r="B1064" t="s">
        <v>4689</v>
      </c>
      <c r="C1064" t="s">
        <v>4690</v>
      </c>
      <c r="D1064">
        <v>1</v>
      </c>
      <c r="E1064" t="s">
        <v>6289</v>
      </c>
      <c r="H1064" t="s">
        <v>3056</v>
      </c>
      <c r="I1064">
        <v>504</v>
      </c>
      <c r="K1064">
        <v>0</v>
      </c>
    </row>
    <row r="1065" spans="1:11" hidden="1">
      <c r="A1065">
        <v>1910</v>
      </c>
      <c r="B1065" t="s">
        <v>4689</v>
      </c>
      <c r="C1065" t="s">
        <v>4691</v>
      </c>
      <c r="D1065">
        <v>2</v>
      </c>
      <c r="E1065" t="s">
        <v>6289</v>
      </c>
      <c r="H1065" t="s">
        <v>3056</v>
      </c>
      <c r="I1065">
        <v>1910</v>
      </c>
      <c r="K1065">
        <v>0</v>
      </c>
    </row>
    <row r="1066" spans="1:11" hidden="1">
      <c r="A1066">
        <v>2000000113</v>
      </c>
      <c r="B1066" t="s">
        <v>4693</v>
      </c>
      <c r="C1066" t="s">
        <v>4695</v>
      </c>
      <c r="E1066" t="s">
        <v>6289</v>
      </c>
      <c r="H1066" t="s">
        <v>3056</v>
      </c>
      <c r="I1066">
        <v>2000000113</v>
      </c>
      <c r="K1066">
        <v>0</v>
      </c>
    </row>
    <row r="1067" spans="1:11" hidden="1">
      <c r="A1067">
        <v>2000000114</v>
      </c>
      <c r="B1067" t="s">
        <v>4693</v>
      </c>
      <c r="C1067" t="s">
        <v>4694</v>
      </c>
      <c r="E1067" t="s">
        <v>6289</v>
      </c>
      <c r="H1067" t="s">
        <v>3056</v>
      </c>
      <c r="I1067">
        <v>2000000114</v>
      </c>
      <c r="K1067">
        <v>0</v>
      </c>
    </row>
    <row r="1068" spans="1:11" hidden="1">
      <c r="A1068">
        <v>2000000115</v>
      </c>
      <c r="B1068" t="s">
        <v>4693</v>
      </c>
      <c r="C1068" t="s">
        <v>4696</v>
      </c>
      <c r="E1068" t="s">
        <v>6289</v>
      </c>
      <c r="H1068" t="s">
        <v>3056</v>
      </c>
      <c r="I1068">
        <v>2000000115</v>
      </c>
      <c r="K1068">
        <v>0</v>
      </c>
    </row>
    <row r="1069" spans="1:11" hidden="1">
      <c r="A1069">
        <v>183</v>
      </c>
      <c r="B1069" t="s">
        <v>4697</v>
      </c>
      <c r="C1069" t="s">
        <v>4703</v>
      </c>
      <c r="E1069" t="s">
        <v>6289</v>
      </c>
      <c r="F1069" t="s">
        <v>4704</v>
      </c>
      <c r="H1069" t="s">
        <v>3056</v>
      </c>
      <c r="I1069">
        <v>183</v>
      </c>
      <c r="K1069">
        <v>0</v>
      </c>
    </row>
    <row r="1070" spans="1:11" hidden="1">
      <c r="A1070">
        <v>184</v>
      </c>
      <c r="B1070" t="s">
        <v>4697</v>
      </c>
      <c r="C1070" t="s">
        <v>4699</v>
      </c>
      <c r="E1070" t="s">
        <v>6289</v>
      </c>
      <c r="F1070" t="s">
        <v>4700</v>
      </c>
      <c r="H1070" t="s">
        <v>3056</v>
      </c>
      <c r="I1070">
        <v>184</v>
      </c>
      <c r="K1070">
        <v>0</v>
      </c>
    </row>
    <row r="1071" spans="1:11" hidden="1">
      <c r="A1071">
        <v>185</v>
      </c>
      <c r="B1071" t="s">
        <v>4697</v>
      </c>
      <c r="C1071" t="s">
        <v>4708</v>
      </c>
      <c r="E1071" t="s">
        <v>6289</v>
      </c>
      <c r="F1071" t="s">
        <v>4709</v>
      </c>
      <c r="H1071" t="s">
        <v>3056</v>
      </c>
      <c r="I1071">
        <v>185</v>
      </c>
      <c r="K1071">
        <v>0</v>
      </c>
    </row>
    <row r="1072" spans="1:11" hidden="1">
      <c r="A1072">
        <v>186</v>
      </c>
      <c r="B1072" t="s">
        <v>4697</v>
      </c>
      <c r="C1072" t="s">
        <v>4713</v>
      </c>
      <c r="E1072" t="s">
        <v>6289</v>
      </c>
      <c r="F1072" t="s">
        <v>4714</v>
      </c>
      <c r="H1072" t="s">
        <v>3056</v>
      </c>
      <c r="I1072">
        <v>186</v>
      </c>
      <c r="K1072">
        <v>0</v>
      </c>
    </row>
    <row r="1073" spans="1:11" hidden="1">
      <c r="A1073">
        <v>187</v>
      </c>
      <c r="B1073" t="s">
        <v>4697</v>
      </c>
      <c r="C1073" t="s">
        <v>4717</v>
      </c>
      <c r="E1073" t="s">
        <v>6289</v>
      </c>
      <c r="F1073" t="s">
        <v>3239</v>
      </c>
      <c r="H1073" t="s">
        <v>3056</v>
      </c>
      <c r="I1073">
        <v>187</v>
      </c>
      <c r="K1073">
        <v>0</v>
      </c>
    </row>
    <row r="1074" spans="1:11" hidden="1">
      <c r="A1074">
        <v>188</v>
      </c>
      <c r="B1074" t="s">
        <v>4697</v>
      </c>
      <c r="C1074" t="s">
        <v>3454</v>
      </c>
      <c r="E1074" t="s">
        <v>6289</v>
      </c>
      <c r="F1074" t="s">
        <v>3455</v>
      </c>
      <c r="H1074" t="s">
        <v>3056</v>
      </c>
      <c r="I1074">
        <v>188</v>
      </c>
      <c r="K1074">
        <v>0</v>
      </c>
    </row>
    <row r="1075" spans="1:11" hidden="1">
      <c r="A1075">
        <v>189</v>
      </c>
      <c r="B1075" t="s">
        <v>4697</v>
      </c>
      <c r="C1075" t="s">
        <v>4720</v>
      </c>
      <c r="E1075" t="s">
        <v>6289</v>
      </c>
      <c r="F1075" t="s">
        <v>3247</v>
      </c>
      <c r="H1075" t="s">
        <v>3056</v>
      </c>
      <c r="I1075">
        <v>189</v>
      </c>
      <c r="K1075">
        <v>0</v>
      </c>
    </row>
    <row r="1076" spans="1:11" hidden="1">
      <c r="A1076">
        <v>190</v>
      </c>
      <c r="B1076" t="s">
        <v>4697</v>
      </c>
      <c r="C1076" t="s">
        <v>4727</v>
      </c>
      <c r="E1076" t="s">
        <v>6289</v>
      </c>
      <c r="F1076" t="s">
        <v>3255</v>
      </c>
      <c r="H1076" t="s">
        <v>3056</v>
      </c>
      <c r="I1076">
        <v>190</v>
      </c>
      <c r="K1076">
        <v>0</v>
      </c>
    </row>
    <row r="1077" spans="1:11" hidden="1">
      <c r="A1077">
        <v>191</v>
      </c>
      <c r="B1077" t="s">
        <v>4697</v>
      </c>
      <c r="C1077" t="s">
        <v>4732</v>
      </c>
      <c r="E1077" t="s">
        <v>6289</v>
      </c>
      <c r="F1077" t="s">
        <v>4733</v>
      </c>
      <c r="H1077" t="s">
        <v>3056</v>
      </c>
      <c r="I1077">
        <v>191</v>
      </c>
      <c r="K1077">
        <v>0</v>
      </c>
    </row>
    <row r="1078" spans="1:11" hidden="1">
      <c r="A1078">
        <v>192</v>
      </c>
      <c r="B1078" t="s">
        <v>4697</v>
      </c>
      <c r="C1078" t="s">
        <v>3458</v>
      </c>
      <c r="E1078" t="s">
        <v>6289</v>
      </c>
      <c r="F1078" t="s">
        <v>3459</v>
      </c>
      <c r="H1078" t="s">
        <v>3056</v>
      </c>
      <c r="I1078">
        <v>192</v>
      </c>
      <c r="K1078">
        <v>0</v>
      </c>
    </row>
    <row r="1079" spans="1:11" hidden="1">
      <c r="A1079">
        <v>193</v>
      </c>
      <c r="B1079" t="s">
        <v>4697</v>
      </c>
      <c r="C1079" t="s">
        <v>4744</v>
      </c>
      <c r="E1079" t="s">
        <v>6289</v>
      </c>
      <c r="F1079" t="s">
        <v>4745</v>
      </c>
      <c r="H1079" t="s">
        <v>3056</v>
      </c>
      <c r="I1079">
        <v>193</v>
      </c>
      <c r="K1079">
        <v>0</v>
      </c>
    </row>
    <row r="1080" spans="1:11" hidden="1">
      <c r="A1080">
        <v>194</v>
      </c>
      <c r="B1080" t="s">
        <v>4697</v>
      </c>
      <c r="C1080" t="s">
        <v>4748</v>
      </c>
      <c r="E1080" t="s">
        <v>6289</v>
      </c>
      <c r="F1080" t="s">
        <v>3083</v>
      </c>
      <c r="H1080" t="s">
        <v>3056</v>
      </c>
      <c r="I1080">
        <v>194</v>
      </c>
      <c r="K1080">
        <v>0</v>
      </c>
    </row>
    <row r="1081" spans="1:11" hidden="1">
      <c r="A1081">
        <v>195</v>
      </c>
      <c r="B1081" t="s">
        <v>4697</v>
      </c>
      <c r="C1081" t="s">
        <v>4753</v>
      </c>
      <c r="E1081" t="s">
        <v>6289</v>
      </c>
      <c r="F1081" t="s">
        <v>4754</v>
      </c>
      <c r="H1081" t="s">
        <v>3056</v>
      </c>
      <c r="I1081">
        <v>195</v>
      </c>
      <c r="K1081">
        <v>0</v>
      </c>
    </row>
    <row r="1082" spans="1:11" hidden="1">
      <c r="A1082">
        <v>196</v>
      </c>
      <c r="B1082" t="s">
        <v>4697</v>
      </c>
      <c r="C1082" t="s">
        <v>4755</v>
      </c>
      <c r="E1082" t="s">
        <v>6289</v>
      </c>
      <c r="F1082" t="s">
        <v>4756</v>
      </c>
      <c r="H1082" t="s">
        <v>3056</v>
      </c>
      <c r="I1082">
        <v>196</v>
      </c>
      <c r="K1082">
        <v>0</v>
      </c>
    </row>
    <row r="1083" spans="1:11" hidden="1">
      <c r="A1083">
        <v>197</v>
      </c>
      <c r="B1083" t="s">
        <v>4697</v>
      </c>
      <c r="C1083" t="s">
        <v>4758</v>
      </c>
      <c r="E1083" t="s">
        <v>6289</v>
      </c>
      <c r="F1083" t="s">
        <v>4759</v>
      </c>
      <c r="H1083" t="s">
        <v>3056</v>
      </c>
      <c r="I1083">
        <v>197</v>
      </c>
      <c r="K1083">
        <v>0</v>
      </c>
    </row>
    <row r="1084" spans="1:11" hidden="1">
      <c r="A1084">
        <v>198</v>
      </c>
      <c r="B1084" t="s">
        <v>4697</v>
      </c>
      <c r="C1084" t="s">
        <v>4765</v>
      </c>
      <c r="E1084" t="s">
        <v>6289</v>
      </c>
      <c r="F1084" t="s">
        <v>4766</v>
      </c>
      <c r="H1084" t="s">
        <v>3056</v>
      </c>
      <c r="I1084">
        <v>198</v>
      </c>
      <c r="K1084">
        <v>0</v>
      </c>
    </row>
    <row r="1085" spans="1:11" hidden="1">
      <c r="A1085">
        <v>199</v>
      </c>
      <c r="B1085" t="s">
        <v>4697</v>
      </c>
      <c r="C1085" t="s">
        <v>4751</v>
      </c>
      <c r="E1085" t="s">
        <v>6289</v>
      </c>
      <c r="F1085" t="s">
        <v>4752</v>
      </c>
      <c r="H1085" t="s">
        <v>3056</v>
      </c>
      <c r="I1085">
        <v>199</v>
      </c>
      <c r="K1085">
        <v>0</v>
      </c>
    </row>
    <row r="1086" spans="1:11" hidden="1">
      <c r="A1086">
        <v>200</v>
      </c>
      <c r="B1086" t="s">
        <v>4697</v>
      </c>
      <c r="C1086" t="s">
        <v>4715</v>
      </c>
      <c r="E1086" t="s">
        <v>6289</v>
      </c>
      <c r="F1086" t="s">
        <v>4716</v>
      </c>
      <c r="H1086" t="s">
        <v>3056</v>
      </c>
      <c r="I1086">
        <v>200</v>
      </c>
      <c r="K1086">
        <v>0</v>
      </c>
    </row>
    <row r="1087" spans="1:11" hidden="1">
      <c r="A1087">
        <v>201</v>
      </c>
      <c r="B1087" t="s">
        <v>4697</v>
      </c>
      <c r="C1087" t="s">
        <v>3069</v>
      </c>
      <c r="E1087" t="s">
        <v>6289</v>
      </c>
      <c r="F1087" t="s">
        <v>3348</v>
      </c>
      <c r="H1087" t="s">
        <v>3056</v>
      </c>
      <c r="I1087">
        <v>201</v>
      </c>
      <c r="K1087">
        <v>0</v>
      </c>
    </row>
    <row r="1088" spans="1:11" hidden="1">
      <c r="A1088">
        <v>202</v>
      </c>
      <c r="B1088" t="s">
        <v>4697</v>
      </c>
      <c r="C1088" t="s">
        <v>4712</v>
      </c>
      <c r="E1088" t="s">
        <v>6289</v>
      </c>
      <c r="F1088" t="s">
        <v>3760</v>
      </c>
      <c r="H1088" t="s">
        <v>3056</v>
      </c>
      <c r="I1088">
        <v>202</v>
      </c>
      <c r="K1088">
        <v>0</v>
      </c>
    </row>
    <row r="1089" spans="1:11" hidden="1">
      <c r="A1089">
        <v>203</v>
      </c>
      <c r="B1089" t="s">
        <v>4697</v>
      </c>
      <c r="C1089" t="s">
        <v>4743</v>
      </c>
      <c r="E1089" t="s">
        <v>6289</v>
      </c>
      <c r="F1089" t="s">
        <v>3080</v>
      </c>
      <c r="H1089" t="s">
        <v>3056</v>
      </c>
      <c r="I1089">
        <v>203</v>
      </c>
      <c r="K1089">
        <v>0</v>
      </c>
    </row>
    <row r="1090" spans="1:11" hidden="1">
      <c r="A1090">
        <v>204</v>
      </c>
      <c r="B1090" t="s">
        <v>4697</v>
      </c>
      <c r="C1090" t="s">
        <v>4721</v>
      </c>
      <c r="E1090" t="s">
        <v>6289</v>
      </c>
      <c r="F1090" t="s">
        <v>4722</v>
      </c>
      <c r="H1090" t="s">
        <v>3056</v>
      </c>
      <c r="I1090">
        <v>204</v>
      </c>
      <c r="K1090">
        <v>0</v>
      </c>
    </row>
    <row r="1091" spans="1:11" hidden="1">
      <c r="A1091">
        <v>205</v>
      </c>
      <c r="B1091" t="s">
        <v>4697</v>
      </c>
      <c r="C1091" t="s">
        <v>4202</v>
      </c>
      <c r="E1091" t="s">
        <v>6289</v>
      </c>
      <c r="F1091" t="s">
        <v>4698</v>
      </c>
      <c r="H1091" t="s">
        <v>3056</v>
      </c>
      <c r="I1091">
        <v>205</v>
      </c>
      <c r="K1091">
        <v>0</v>
      </c>
    </row>
    <row r="1092" spans="1:11" hidden="1">
      <c r="A1092">
        <v>206</v>
      </c>
      <c r="B1092" t="s">
        <v>4697</v>
      </c>
      <c r="C1092" t="s">
        <v>4767</v>
      </c>
      <c r="E1092" t="s">
        <v>6289</v>
      </c>
      <c r="F1092" t="s">
        <v>4768</v>
      </c>
      <c r="H1092" t="s">
        <v>3056</v>
      </c>
      <c r="I1092">
        <v>206</v>
      </c>
      <c r="K1092">
        <v>0</v>
      </c>
    </row>
    <row r="1093" spans="1:11" hidden="1">
      <c r="A1093">
        <v>207</v>
      </c>
      <c r="B1093" t="s">
        <v>4697</v>
      </c>
      <c r="C1093" t="s">
        <v>4718</v>
      </c>
      <c r="E1093" t="s">
        <v>6289</v>
      </c>
      <c r="F1093" t="s">
        <v>4719</v>
      </c>
      <c r="H1093" t="s">
        <v>3056</v>
      </c>
      <c r="I1093">
        <v>207</v>
      </c>
      <c r="K1093">
        <v>0</v>
      </c>
    </row>
    <row r="1094" spans="1:11" hidden="1">
      <c r="A1094">
        <v>208</v>
      </c>
      <c r="B1094" t="s">
        <v>4697</v>
      </c>
      <c r="C1094" t="s">
        <v>3829</v>
      </c>
      <c r="E1094" t="s">
        <v>6289</v>
      </c>
      <c r="F1094" t="s">
        <v>3830</v>
      </c>
      <c r="H1094" t="s">
        <v>3056</v>
      </c>
      <c r="I1094">
        <v>208</v>
      </c>
      <c r="K1094">
        <v>0</v>
      </c>
    </row>
    <row r="1095" spans="1:11" hidden="1">
      <c r="A1095">
        <v>209</v>
      </c>
      <c r="B1095" t="s">
        <v>4697</v>
      </c>
      <c r="C1095" t="s">
        <v>4738</v>
      </c>
      <c r="E1095" t="s">
        <v>6289</v>
      </c>
      <c r="F1095" t="s">
        <v>0</v>
      </c>
      <c r="H1095" t="s">
        <v>3056</v>
      </c>
      <c r="I1095">
        <v>209</v>
      </c>
      <c r="K1095">
        <v>0</v>
      </c>
    </row>
    <row r="1096" spans="1:11" hidden="1">
      <c r="A1096">
        <v>210</v>
      </c>
      <c r="B1096" t="s">
        <v>4697</v>
      </c>
      <c r="C1096" t="s">
        <v>4763</v>
      </c>
      <c r="E1096" t="s">
        <v>6289</v>
      </c>
      <c r="F1096" t="s">
        <v>4764</v>
      </c>
      <c r="H1096" t="s">
        <v>3056</v>
      </c>
      <c r="I1096">
        <v>210</v>
      </c>
      <c r="K1096">
        <v>0</v>
      </c>
    </row>
    <row r="1097" spans="1:11" hidden="1">
      <c r="A1097">
        <v>211</v>
      </c>
      <c r="B1097" t="s">
        <v>4697</v>
      </c>
      <c r="C1097" t="s">
        <v>4749</v>
      </c>
      <c r="E1097" t="s">
        <v>6289</v>
      </c>
      <c r="F1097" t="s">
        <v>4750</v>
      </c>
      <c r="H1097" t="s">
        <v>3056</v>
      </c>
      <c r="I1097">
        <v>211</v>
      </c>
      <c r="K1097">
        <v>0</v>
      </c>
    </row>
    <row r="1098" spans="1:11" hidden="1">
      <c r="A1098">
        <v>212</v>
      </c>
      <c r="B1098" t="s">
        <v>4697</v>
      </c>
      <c r="C1098" t="s">
        <v>4730</v>
      </c>
      <c r="E1098" t="s">
        <v>6289</v>
      </c>
      <c r="F1098" t="s">
        <v>4731</v>
      </c>
      <c r="H1098" t="s">
        <v>3056</v>
      </c>
      <c r="I1098">
        <v>212</v>
      </c>
      <c r="K1098">
        <v>0</v>
      </c>
    </row>
    <row r="1099" spans="1:11" hidden="1">
      <c r="A1099">
        <v>213</v>
      </c>
      <c r="B1099" t="s">
        <v>4697</v>
      </c>
      <c r="C1099" t="s">
        <v>4757</v>
      </c>
      <c r="E1099" t="s">
        <v>6289</v>
      </c>
      <c r="F1099" t="s">
        <v>3354</v>
      </c>
      <c r="H1099" t="s">
        <v>3056</v>
      </c>
      <c r="I1099">
        <v>213</v>
      </c>
      <c r="K1099">
        <v>0</v>
      </c>
    </row>
    <row r="1100" spans="1:11" hidden="1">
      <c r="A1100">
        <v>214</v>
      </c>
      <c r="B1100" t="s">
        <v>4697</v>
      </c>
      <c r="C1100" t="s">
        <v>4729</v>
      </c>
      <c r="E1100" t="s">
        <v>6289</v>
      </c>
      <c r="F1100" t="s">
        <v>4597</v>
      </c>
      <c r="H1100" t="s">
        <v>3056</v>
      </c>
      <c r="I1100">
        <v>214</v>
      </c>
      <c r="K1100">
        <v>0</v>
      </c>
    </row>
    <row r="1101" spans="1:11" hidden="1">
      <c r="A1101">
        <v>215</v>
      </c>
      <c r="B1101" t="s">
        <v>4697</v>
      </c>
      <c r="C1101" t="s">
        <v>4746</v>
      </c>
      <c r="E1101" t="s">
        <v>6289</v>
      </c>
      <c r="F1101" t="s">
        <v>4747</v>
      </c>
      <c r="H1101" t="s">
        <v>3056</v>
      </c>
      <c r="I1101">
        <v>215</v>
      </c>
      <c r="K1101">
        <v>0</v>
      </c>
    </row>
    <row r="1102" spans="1:11" hidden="1">
      <c r="A1102">
        <v>216</v>
      </c>
      <c r="B1102" t="s">
        <v>4697</v>
      </c>
      <c r="C1102" t="s">
        <v>4728</v>
      </c>
      <c r="E1102" t="s">
        <v>6289</v>
      </c>
      <c r="F1102" t="s">
        <v>3766</v>
      </c>
      <c r="H1102" t="s">
        <v>3056</v>
      </c>
      <c r="I1102">
        <v>216</v>
      </c>
      <c r="K1102">
        <v>0</v>
      </c>
    </row>
    <row r="1103" spans="1:11" hidden="1">
      <c r="A1103">
        <v>217</v>
      </c>
      <c r="B1103" t="s">
        <v>4697</v>
      </c>
      <c r="C1103" t="s">
        <v>4741</v>
      </c>
      <c r="E1103" t="s">
        <v>6289</v>
      </c>
      <c r="F1103" t="s">
        <v>4742</v>
      </c>
      <c r="H1103" t="s">
        <v>3056</v>
      </c>
      <c r="I1103">
        <v>217</v>
      </c>
      <c r="K1103">
        <v>0</v>
      </c>
    </row>
    <row r="1104" spans="1:11" hidden="1">
      <c r="A1104">
        <v>10147</v>
      </c>
      <c r="B1104" t="s">
        <v>4697</v>
      </c>
      <c r="C1104" t="s">
        <v>4707</v>
      </c>
      <c r="E1104" t="s">
        <v>6289</v>
      </c>
      <c r="F1104" t="s">
        <v>153</v>
      </c>
      <c r="H1104" t="s">
        <v>3056</v>
      </c>
      <c r="I1104">
        <v>10147</v>
      </c>
      <c r="K1104">
        <v>0</v>
      </c>
    </row>
    <row r="1105" spans="1:11" hidden="1">
      <c r="A1105">
        <v>10150</v>
      </c>
      <c r="B1105" t="s">
        <v>4697</v>
      </c>
      <c r="C1105" t="s">
        <v>4725</v>
      </c>
      <c r="E1105" t="s">
        <v>6289</v>
      </c>
      <c r="F1105" t="s">
        <v>4726</v>
      </c>
      <c r="H1105" t="s">
        <v>3056</v>
      </c>
      <c r="I1105">
        <v>10150</v>
      </c>
      <c r="K1105">
        <v>0</v>
      </c>
    </row>
    <row r="1106" spans="1:11" hidden="1">
      <c r="A1106">
        <v>10158</v>
      </c>
      <c r="B1106" t="s">
        <v>4697</v>
      </c>
      <c r="C1106" t="s">
        <v>4710</v>
      </c>
      <c r="E1106" t="s">
        <v>6289</v>
      </c>
      <c r="F1106" t="s">
        <v>4711</v>
      </c>
      <c r="H1106" t="s">
        <v>3056</v>
      </c>
      <c r="I1106">
        <v>10158</v>
      </c>
      <c r="K1106">
        <v>0</v>
      </c>
    </row>
    <row r="1107" spans="1:11" hidden="1">
      <c r="A1107">
        <v>10159</v>
      </c>
      <c r="B1107" t="s">
        <v>4697</v>
      </c>
      <c r="C1107" t="s">
        <v>4701</v>
      </c>
      <c r="E1107" t="s">
        <v>6289</v>
      </c>
      <c r="F1107" t="s">
        <v>4702</v>
      </c>
      <c r="H1107" t="s">
        <v>3056</v>
      </c>
      <c r="I1107">
        <v>10159</v>
      </c>
      <c r="K1107">
        <v>0</v>
      </c>
    </row>
    <row r="1108" spans="1:11" hidden="1">
      <c r="A1108">
        <v>10164</v>
      </c>
      <c r="B1108" t="s">
        <v>4697</v>
      </c>
      <c r="C1108" t="s">
        <v>4723</v>
      </c>
      <c r="E1108" t="s">
        <v>6289</v>
      </c>
      <c r="F1108" t="s">
        <v>4724</v>
      </c>
      <c r="H1108" t="s">
        <v>3056</v>
      </c>
      <c r="I1108">
        <v>10164</v>
      </c>
      <c r="K1108">
        <v>0</v>
      </c>
    </row>
    <row r="1109" spans="1:11" hidden="1">
      <c r="A1109">
        <v>10165</v>
      </c>
      <c r="B1109" t="s">
        <v>4697</v>
      </c>
      <c r="C1109" t="s">
        <v>4739</v>
      </c>
      <c r="E1109" t="s">
        <v>6289</v>
      </c>
      <c r="F1109" t="s">
        <v>4740</v>
      </c>
      <c r="H1109" t="s">
        <v>3056</v>
      </c>
      <c r="I1109">
        <v>10165</v>
      </c>
      <c r="K1109">
        <v>0</v>
      </c>
    </row>
    <row r="1110" spans="1:11" hidden="1">
      <c r="A1110">
        <v>10166</v>
      </c>
      <c r="B1110" t="s">
        <v>4697</v>
      </c>
      <c r="C1110" t="s">
        <v>4761</v>
      </c>
      <c r="E1110" t="s">
        <v>6289</v>
      </c>
      <c r="F1110" t="s">
        <v>4762</v>
      </c>
      <c r="H1110" t="s">
        <v>3056</v>
      </c>
      <c r="I1110">
        <v>10166</v>
      </c>
      <c r="K1110">
        <v>0</v>
      </c>
    </row>
    <row r="1111" spans="1:11" hidden="1">
      <c r="A1111">
        <v>10168</v>
      </c>
      <c r="B1111" t="s">
        <v>4697</v>
      </c>
      <c r="C1111" t="s">
        <v>4705</v>
      </c>
      <c r="E1111" t="s">
        <v>6289</v>
      </c>
      <c r="F1111" t="s">
        <v>4706</v>
      </c>
      <c r="H1111" t="s">
        <v>3056</v>
      </c>
      <c r="I1111">
        <v>10168</v>
      </c>
      <c r="K1111">
        <v>0</v>
      </c>
    </row>
    <row r="1112" spans="1:11" hidden="1">
      <c r="A1112">
        <v>10177</v>
      </c>
      <c r="B1112" t="s">
        <v>4697</v>
      </c>
      <c r="C1112" t="s">
        <v>4734</v>
      </c>
      <c r="E1112" t="s">
        <v>6289</v>
      </c>
      <c r="F1112" t="s">
        <v>4735</v>
      </c>
      <c r="H1112" t="s">
        <v>3056</v>
      </c>
      <c r="I1112">
        <v>10177</v>
      </c>
      <c r="K1112">
        <v>0</v>
      </c>
    </row>
    <row r="1113" spans="1:11" hidden="1">
      <c r="A1113">
        <v>10179</v>
      </c>
      <c r="B1113" t="s">
        <v>4697</v>
      </c>
      <c r="C1113" t="s">
        <v>4736</v>
      </c>
      <c r="E1113" t="s">
        <v>6289</v>
      </c>
      <c r="F1113" t="s">
        <v>4737</v>
      </c>
      <c r="H1113" t="s">
        <v>3056</v>
      </c>
      <c r="I1113">
        <v>10179</v>
      </c>
      <c r="K1113">
        <v>0</v>
      </c>
    </row>
    <row r="1114" spans="1:11" hidden="1">
      <c r="A1114">
        <v>11810</v>
      </c>
      <c r="B1114" t="s">
        <v>4697</v>
      </c>
      <c r="C1114" t="s">
        <v>4760</v>
      </c>
      <c r="E1114" t="s">
        <v>6289</v>
      </c>
      <c r="H1114" t="s">
        <v>3056</v>
      </c>
      <c r="I1114">
        <v>11810</v>
      </c>
      <c r="K1114">
        <v>0</v>
      </c>
    </row>
    <row r="1115" spans="1:11" hidden="1">
      <c r="A1115">
        <v>523</v>
      </c>
      <c r="B1115" t="s">
        <v>4769</v>
      </c>
      <c r="C1115" t="s">
        <v>4770</v>
      </c>
      <c r="E1115" t="s">
        <v>6289</v>
      </c>
      <c r="F1115" t="s">
        <v>3068</v>
      </c>
      <c r="H1115" t="s">
        <v>3056</v>
      </c>
      <c r="I1115">
        <v>523</v>
      </c>
      <c r="K1115">
        <v>0</v>
      </c>
    </row>
    <row r="1116" spans="1:11" hidden="1">
      <c r="A1116">
        <v>524</v>
      </c>
      <c r="B1116" t="s">
        <v>4769</v>
      </c>
      <c r="C1116" t="s">
        <v>132</v>
      </c>
      <c r="E1116" t="s">
        <v>6289</v>
      </c>
      <c r="F1116" t="s">
        <v>2109</v>
      </c>
      <c r="H1116" t="s">
        <v>3056</v>
      </c>
      <c r="I1116">
        <v>524</v>
      </c>
      <c r="K1116">
        <v>0</v>
      </c>
    </row>
    <row r="1117" spans="1:11" hidden="1">
      <c r="A1117">
        <v>525</v>
      </c>
      <c r="B1117" t="s">
        <v>4769</v>
      </c>
      <c r="C1117" t="s">
        <v>3630</v>
      </c>
      <c r="E1117" t="s">
        <v>6289</v>
      </c>
      <c r="F1117" t="s">
        <v>4771</v>
      </c>
      <c r="H1117" t="s">
        <v>3056</v>
      </c>
      <c r="I1117">
        <v>525</v>
      </c>
      <c r="K1117">
        <v>0</v>
      </c>
    </row>
    <row r="1118" spans="1:11" hidden="1">
      <c r="A1118">
        <v>680</v>
      </c>
      <c r="B1118" t="s">
        <v>4772</v>
      </c>
      <c r="C1118" t="s">
        <v>4783</v>
      </c>
      <c r="E1118" t="s">
        <v>6289</v>
      </c>
      <c r="H1118" t="s">
        <v>3056</v>
      </c>
      <c r="I1118">
        <v>680</v>
      </c>
      <c r="K1118">
        <v>0</v>
      </c>
    </row>
    <row r="1119" spans="1:11" hidden="1">
      <c r="A1119">
        <v>681</v>
      </c>
      <c r="B1119" t="s">
        <v>4772</v>
      </c>
      <c r="C1119" t="s">
        <v>4790</v>
      </c>
      <c r="E1119" t="s">
        <v>6289</v>
      </c>
      <c r="H1119" t="s">
        <v>3056</v>
      </c>
      <c r="I1119">
        <v>681</v>
      </c>
      <c r="K1119">
        <v>0</v>
      </c>
    </row>
    <row r="1120" spans="1:11" hidden="1">
      <c r="A1120">
        <v>682</v>
      </c>
      <c r="B1120" t="s">
        <v>4772</v>
      </c>
      <c r="C1120" t="s">
        <v>4774</v>
      </c>
      <c r="E1120" t="s">
        <v>6289</v>
      </c>
      <c r="H1120" t="s">
        <v>3056</v>
      </c>
      <c r="I1120">
        <v>682</v>
      </c>
      <c r="K1120">
        <v>0</v>
      </c>
    </row>
    <row r="1121" spans="1:11" hidden="1">
      <c r="A1121">
        <v>683</v>
      </c>
      <c r="B1121" t="s">
        <v>4772</v>
      </c>
      <c r="C1121" t="s">
        <v>4373</v>
      </c>
      <c r="E1121" t="s">
        <v>6289</v>
      </c>
      <c r="H1121" t="s">
        <v>3056</v>
      </c>
      <c r="I1121">
        <v>683</v>
      </c>
      <c r="K1121">
        <v>0</v>
      </c>
    </row>
    <row r="1122" spans="1:11" hidden="1">
      <c r="A1122">
        <v>684</v>
      </c>
      <c r="B1122" t="s">
        <v>4772</v>
      </c>
      <c r="C1122" t="s">
        <v>4793</v>
      </c>
      <c r="E1122" t="s">
        <v>6289</v>
      </c>
      <c r="H1122" t="s">
        <v>3056</v>
      </c>
      <c r="I1122">
        <v>684</v>
      </c>
      <c r="K1122">
        <v>0</v>
      </c>
    </row>
    <row r="1123" spans="1:11" hidden="1">
      <c r="A1123">
        <v>813</v>
      </c>
      <c r="B1123" t="s">
        <v>4772</v>
      </c>
      <c r="C1123" t="s">
        <v>4782</v>
      </c>
      <c r="E1123" t="s">
        <v>6289</v>
      </c>
      <c r="H1123" t="s">
        <v>3056</v>
      </c>
      <c r="I1123">
        <v>813</v>
      </c>
      <c r="K1123">
        <v>0</v>
      </c>
    </row>
    <row r="1124" spans="1:11" hidden="1">
      <c r="A1124">
        <v>814</v>
      </c>
      <c r="B1124" t="s">
        <v>4772</v>
      </c>
      <c r="C1124" t="s">
        <v>4781</v>
      </c>
      <c r="E1124" t="s">
        <v>6289</v>
      </c>
      <c r="H1124" t="s">
        <v>3056</v>
      </c>
      <c r="I1124">
        <v>814</v>
      </c>
      <c r="K1124">
        <v>0</v>
      </c>
    </row>
    <row r="1125" spans="1:11" hidden="1">
      <c r="A1125">
        <v>815</v>
      </c>
      <c r="B1125" t="s">
        <v>4772</v>
      </c>
      <c r="C1125" t="s">
        <v>4791</v>
      </c>
      <c r="E1125" t="s">
        <v>6289</v>
      </c>
      <c r="H1125" t="s">
        <v>3056</v>
      </c>
      <c r="I1125">
        <v>815</v>
      </c>
      <c r="K1125">
        <v>0</v>
      </c>
    </row>
    <row r="1126" spans="1:11" hidden="1">
      <c r="A1126">
        <v>816</v>
      </c>
      <c r="B1126" t="s">
        <v>4772</v>
      </c>
      <c r="C1126" t="s">
        <v>4775</v>
      </c>
      <c r="E1126" t="s">
        <v>6289</v>
      </c>
      <c r="H1126" t="s">
        <v>3056</v>
      </c>
      <c r="I1126">
        <v>816</v>
      </c>
      <c r="K1126">
        <v>0</v>
      </c>
    </row>
    <row r="1127" spans="1:11" hidden="1">
      <c r="A1127">
        <v>817</v>
      </c>
      <c r="B1127" t="s">
        <v>4772</v>
      </c>
      <c r="C1127" t="s">
        <v>4784</v>
      </c>
      <c r="E1127" t="s">
        <v>6289</v>
      </c>
      <c r="H1127" t="s">
        <v>3056</v>
      </c>
      <c r="I1127">
        <v>817</v>
      </c>
      <c r="K1127">
        <v>0</v>
      </c>
    </row>
    <row r="1128" spans="1:11" hidden="1">
      <c r="A1128">
        <v>1043</v>
      </c>
      <c r="B1128" t="s">
        <v>4772</v>
      </c>
      <c r="C1128" t="s">
        <v>4792</v>
      </c>
      <c r="E1128" t="s">
        <v>6289</v>
      </c>
      <c r="H1128" t="s">
        <v>3056</v>
      </c>
      <c r="I1128">
        <v>1043</v>
      </c>
      <c r="K1128">
        <v>0</v>
      </c>
    </row>
    <row r="1129" spans="1:11" hidden="1">
      <c r="A1129">
        <v>13450</v>
      </c>
      <c r="B1129" t="s">
        <v>4772</v>
      </c>
      <c r="C1129" t="s">
        <v>4776</v>
      </c>
      <c r="E1129" t="s">
        <v>6289</v>
      </c>
      <c r="H1129" t="s">
        <v>3056</v>
      </c>
      <c r="I1129">
        <v>13450</v>
      </c>
      <c r="K1129">
        <v>0</v>
      </c>
    </row>
    <row r="1130" spans="1:11" hidden="1">
      <c r="A1130">
        <v>13460</v>
      </c>
      <c r="B1130" t="s">
        <v>4772</v>
      </c>
      <c r="C1130" t="s">
        <v>4773</v>
      </c>
      <c r="E1130" t="s">
        <v>6289</v>
      </c>
      <c r="H1130" t="s">
        <v>3056</v>
      </c>
      <c r="I1130">
        <v>13460</v>
      </c>
      <c r="K1130">
        <v>0</v>
      </c>
    </row>
    <row r="1131" spans="1:11" hidden="1">
      <c r="A1131">
        <v>13470</v>
      </c>
      <c r="B1131" t="s">
        <v>4772</v>
      </c>
      <c r="C1131" t="s">
        <v>4777</v>
      </c>
      <c r="E1131" t="s">
        <v>6289</v>
      </c>
      <c r="H1131" t="s">
        <v>3056</v>
      </c>
      <c r="I1131">
        <v>13470</v>
      </c>
      <c r="K1131">
        <v>0</v>
      </c>
    </row>
    <row r="1132" spans="1:11" hidden="1">
      <c r="A1132">
        <v>13480</v>
      </c>
      <c r="B1132" t="s">
        <v>4772</v>
      </c>
      <c r="C1132" t="s">
        <v>4778</v>
      </c>
      <c r="E1132" t="s">
        <v>6289</v>
      </c>
      <c r="H1132" t="s">
        <v>3056</v>
      </c>
      <c r="I1132">
        <v>13480</v>
      </c>
      <c r="K1132">
        <v>0</v>
      </c>
    </row>
    <row r="1133" spans="1:11" hidden="1">
      <c r="A1133">
        <v>13490</v>
      </c>
      <c r="B1133" t="s">
        <v>4772</v>
      </c>
      <c r="C1133" t="s">
        <v>4779</v>
      </c>
      <c r="E1133" t="s">
        <v>6289</v>
      </c>
      <c r="H1133" t="s">
        <v>3056</v>
      </c>
      <c r="I1133">
        <v>13490</v>
      </c>
      <c r="K1133">
        <v>0</v>
      </c>
    </row>
    <row r="1134" spans="1:11" hidden="1">
      <c r="A1134">
        <v>13500</v>
      </c>
      <c r="B1134" t="s">
        <v>4772</v>
      </c>
      <c r="C1134" t="s">
        <v>4780</v>
      </c>
      <c r="E1134" t="s">
        <v>6289</v>
      </c>
      <c r="H1134" t="s">
        <v>3056</v>
      </c>
      <c r="I1134">
        <v>13500</v>
      </c>
      <c r="K1134">
        <v>0</v>
      </c>
    </row>
    <row r="1135" spans="1:11" hidden="1">
      <c r="A1135">
        <v>13510</v>
      </c>
      <c r="B1135" t="s">
        <v>4772</v>
      </c>
      <c r="C1135" t="s">
        <v>4786</v>
      </c>
      <c r="E1135" t="s">
        <v>6289</v>
      </c>
      <c r="H1135" t="s">
        <v>3056</v>
      </c>
      <c r="I1135">
        <v>13510</v>
      </c>
      <c r="K1135">
        <v>0</v>
      </c>
    </row>
    <row r="1136" spans="1:11" hidden="1">
      <c r="A1136">
        <v>13520</v>
      </c>
      <c r="B1136" t="s">
        <v>4772</v>
      </c>
      <c r="C1136" t="s">
        <v>4785</v>
      </c>
      <c r="E1136" t="s">
        <v>6289</v>
      </c>
      <c r="H1136" t="s">
        <v>3056</v>
      </c>
      <c r="I1136">
        <v>13520</v>
      </c>
      <c r="K1136">
        <v>0</v>
      </c>
    </row>
    <row r="1137" spans="1:11" hidden="1">
      <c r="A1137">
        <v>13530</v>
      </c>
      <c r="B1137" t="s">
        <v>4772</v>
      </c>
      <c r="C1137" t="s">
        <v>4787</v>
      </c>
      <c r="E1137" t="s">
        <v>6289</v>
      </c>
      <c r="H1137" t="s">
        <v>3056</v>
      </c>
      <c r="I1137">
        <v>13530</v>
      </c>
      <c r="K1137">
        <v>0</v>
      </c>
    </row>
    <row r="1138" spans="1:11" hidden="1">
      <c r="A1138">
        <v>13540</v>
      </c>
      <c r="B1138" t="s">
        <v>4772</v>
      </c>
      <c r="C1138" t="s">
        <v>4788</v>
      </c>
      <c r="E1138" t="s">
        <v>6289</v>
      </c>
      <c r="H1138" t="s">
        <v>3056</v>
      </c>
      <c r="I1138">
        <v>13540</v>
      </c>
      <c r="K1138">
        <v>0</v>
      </c>
    </row>
    <row r="1139" spans="1:11" hidden="1">
      <c r="A1139">
        <v>13550</v>
      </c>
      <c r="B1139" t="s">
        <v>4772</v>
      </c>
      <c r="C1139" t="s">
        <v>4789</v>
      </c>
      <c r="E1139" t="s">
        <v>6289</v>
      </c>
      <c r="H1139" t="s">
        <v>3056</v>
      </c>
      <c r="I1139">
        <v>13550</v>
      </c>
      <c r="K1139">
        <v>0</v>
      </c>
    </row>
    <row r="1140" spans="1:11" hidden="1">
      <c r="A1140">
        <v>13560</v>
      </c>
      <c r="B1140" t="s">
        <v>4772</v>
      </c>
      <c r="C1140" t="s">
        <v>3513</v>
      </c>
      <c r="E1140" t="s">
        <v>6289</v>
      </c>
      <c r="H1140" t="s">
        <v>3056</v>
      </c>
      <c r="I1140">
        <v>13560</v>
      </c>
      <c r="K1140">
        <v>0</v>
      </c>
    </row>
    <row r="1141" spans="1:11" hidden="1">
      <c r="A1141">
        <v>1610</v>
      </c>
      <c r="B1141" t="s">
        <v>4794</v>
      </c>
      <c r="C1141" t="s">
        <v>4795</v>
      </c>
      <c r="E1141" t="s">
        <v>6289</v>
      </c>
      <c r="F1141" t="s">
        <v>152</v>
      </c>
      <c r="H1141" t="s">
        <v>3056</v>
      </c>
      <c r="I1141">
        <v>1610</v>
      </c>
      <c r="K1141">
        <v>0</v>
      </c>
    </row>
    <row r="1142" spans="1:11" hidden="1">
      <c r="A1142">
        <v>1611</v>
      </c>
      <c r="B1142" t="s">
        <v>4794</v>
      </c>
      <c r="C1142" t="s">
        <v>4796</v>
      </c>
      <c r="E1142" t="s">
        <v>6289</v>
      </c>
      <c r="F1142" t="s">
        <v>4797</v>
      </c>
      <c r="H1142" t="s">
        <v>3056</v>
      </c>
      <c r="I1142">
        <v>1611</v>
      </c>
      <c r="K1142">
        <v>0</v>
      </c>
    </row>
    <row r="1143" spans="1:11" hidden="1">
      <c r="A1143">
        <v>15320</v>
      </c>
      <c r="B1143" t="s">
        <v>4794</v>
      </c>
      <c r="C1143" t="s">
        <v>3069</v>
      </c>
      <c r="E1143" t="s">
        <v>6289</v>
      </c>
      <c r="H1143" t="s">
        <v>3056</v>
      </c>
      <c r="I1143">
        <v>15320</v>
      </c>
      <c r="K1143">
        <v>0</v>
      </c>
    </row>
    <row r="1144" spans="1:11" hidden="1">
      <c r="A1144">
        <v>17100</v>
      </c>
      <c r="B1144" t="s">
        <v>4798</v>
      </c>
      <c r="C1144" t="s">
        <v>4699</v>
      </c>
      <c r="E1144" t="s">
        <v>6289</v>
      </c>
      <c r="H1144" t="s">
        <v>3056</v>
      </c>
      <c r="I1144">
        <v>17100</v>
      </c>
      <c r="K1144">
        <v>0</v>
      </c>
    </row>
    <row r="1145" spans="1:11" hidden="1">
      <c r="A1145">
        <v>17110</v>
      </c>
      <c r="B1145" t="s">
        <v>4798</v>
      </c>
      <c r="C1145" t="s">
        <v>3454</v>
      </c>
      <c r="E1145" t="s">
        <v>6289</v>
      </c>
      <c r="H1145" t="s">
        <v>3056</v>
      </c>
      <c r="I1145">
        <v>17110</v>
      </c>
      <c r="K1145">
        <v>0</v>
      </c>
    </row>
    <row r="1146" spans="1:11" hidden="1">
      <c r="A1146">
        <v>17120</v>
      </c>
      <c r="B1146" t="s">
        <v>4798</v>
      </c>
      <c r="C1146" t="s">
        <v>4800</v>
      </c>
      <c r="E1146" t="s">
        <v>6289</v>
      </c>
      <c r="H1146" t="s">
        <v>3056</v>
      </c>
      <c r="I1146">
        <v>17120</v>
      </c>
      <c r="K1146">
        <v>0</v>
      </c>
    </row>
    <row r="1147" spans="1:11" hidden="1">
      <c r="A1147">
        <v>17130</v>
      </c>
      <c r="B1147" t="s">
        <v>4798</v>
      </c>
      <c r="C1147" t="s">
        <v>4802</v>
      </c>
      <c r="E1147" t="s">
        <v>6289</v>
      </c>
      <c r="H1147" t="s">
        <v>3056</v>
      </c>
      <c r="I1147">
        <v>17130</v>
      </c>
      <c r="K1147">
        <v>0</v>
      </c>
    </row>
    <row r="1148" spans="1:11" hidden="1">
      <c r="A1148">
        <v>17140</v>
      </c>
      <c r="B1148" t="s">
        <v>4798</v>
      </c>
      <c r="C1148" t="s">
        <v>3108</v>
      </c>
      <c r="E1148" t="s">
        <v>6289</v>
      </c>
      <c r="H1148" t="s">
        <v>3056</v>
      </c>
      <c r="I1148">
        <v>17140</v>
      </c>
      <c r="K1148">
        <v>0</v>
      </c>
    </row>
    <row r="1149" spans="1:11" hidden="1">
      <c r="A1149">
        <v>17150</v>
      </c>
      <c r="B1149" t="s">
        <v>4798</v>
      </c>
      <c r="C1149" t="s">
        <v>4805</v>
      </c>
      <c r="E1149" t="s">
        <v>6289</v>
      </c>
      <c r="H1149" t="s">
        <v>3056</v>
      </c>
      <c r="I1149">
        <v>17150</v>
      </c>
      <c r="K1149">
        <v>0</v>
      </c>
    </row>
    <row r="1150" spans="1:11" hidden="1">
      <c r="A1150">
        <v>17160</v>
      </c>
      <c r="B1150" t="s">
        <v>4798</v>
      </c>
      <c r="C1150" t="s">
        <v>4806</v>
      </c>
      <c r="E1150" t="s">
        <v>6289</v>
      </c>
      <c r="H1150" t="s">
        <v>3056</v>
      </c>
      <c r="I1150">
        <v>17160</v>
      </c>
      <c r="K1150">
        <v>0</v>
      </c>
    </row>
    <row r="1151" spans="1:11" hidden="1">
      <c r="A1151">
        <v>17170</v>
      </c>
      <c r="B1151" t="s">
        <v>4798</v>
      </c>
      <c r="C1151" t="s">
        <v>3069</v>
      </c>
      <c r="E1151" t="s">
        <v>6289</v>
      </c>
      <c r="H1151" t="s">
        <v>3056</v>
      </c>
      <c r="I1151">
        <v>17170</v>
      </c>
      <c r="K1151">
        <v>0</v>
      </c>
    </row>
    <row r="1152" spans="1:11" hidden="1">
      <c r="A1152">
        <v>17180</v>
      </c>
      <c r="B1152" t="s">
        <v>4798</v>
      </c>
      <c r="C1152" t="s">
        <v>4799</v>
      </c>
      <c r="E1152" t="s">
        <v>6289</v>
      </c>
      <c r="H1152" t="s">
        <v>3056</v>
      </c>
      <c r="I1152">
        <v>17180</v>
      </c>
      <c r="K1152">
        <v>0</v>
      </c>
    </row>
    <row r="1153" spans="1:11" hidden="1">
      <c r="A1153">
        <v>17190</v>
      </c>
      <c r="B1153" t="s">
        <v>4798</v>
      </c>
      <c r="C1153" t="s">
        <v>3456</v>
      </c>
      <c r="E1153" t="s">
        <v>6289</v>
      </c>
      <c r="H1153" t="s">
        <v>3056</v>
      </c>
      <c r="I1153">
        <v>17190</v>
      </c>
      <c r="K1153">
        <v>0</v>
      </c>
    </row>
    <row r="1154" spans="1:11" hidden="1">
      <c r="A1154">
        <v>17200</v>
      </c>
      <c r="B1154" t="s">
        <v>4798</v>
      </c>
      <c r="C1154" t="s">
        <v>4801</v>
      </c>
      <c r="E1154" t="s">
        <v>6289</v>
      </c>
      <c r="H1154" t="s">
        <v>3056</v>
      </c>
      <c r="I1154">
        <v>17200</v>
      </c>
      <c r="K1154">
        <v>0</v>
      </c>
    </row>
    <row r="1155" spans="1:11" hidden="1">
      <c r="A1155">
        <v>17210</v>
      </c>
      <c r="B1155" t="s">
        <v>4798</v>
      </c>
      <c r="C1155" t="s">
        <v>4803</v>
      </c>
      <c r="E1155" t="s">
        <v>6289</v>
      </c>
      <c r="H1155" t="s">
        <v>3056</v>
      </c>
      <c r="I1155">
        <v>17210</v>
      </c>
      <c r="K1155">
        <v>0</v>
      </c>
    </row>
    <row r="1156" spans="1:11" hidden="1">
      <c r="A1156">
        <v>17220</v>
      </c>
      <c r="B1156" t="s">
        <v>4798</v>
      </c>
      <c r="C1156" t="s">
        <v>4343</v>
      </c>
      <c r="E1156" t="s">
        <v>6289</v>
      </c>
      <c r="H1156" t="s">
        <v>3056</v>
      </c>
      <c r="I1156">
        <v>17220</v>
      </c>
      <c r="K1156">
        <v>0</v>
      </c>
    </row>
    <row r="1157" spans="1:11" hidden="1">
      <c r="A1157">
        <v>17230</v>
      </c>
      <c r="B1157" t="s">
        <v>4798</v>
      </c>
      <c r="C1157" t="s">
        <v>4804</v>
      </c>
      <c r="E1157" t="s">
        <v>6289</v>
      </c>
      <c r="H1157" t="s">
        <v>3056</v>
      </c>
      <c r="I1157">
        <v>17230</v>
      </c>
      <c r="K1157">
        <v>0</v>
      </c>
    </row>
    <row r="1158" spans="1:11" hidden="1">
      <c r="A1158">
        <v>16700</v>
      </c>
      <c r="B1158" t="s">
        <v>4807</v>
      </c>
      <c r="C1158" t="s">
        <v>4808</v>
      </c>
      <c r="E1158" t="s">
        <v>6289</v>
      </c>
      <c r="H1158" t="s">
        <v>3056</v>
      </c>
      <c r="I1158">
        <v>16700</v>
      </c>
      <c r="K1158">
        <v>0</v>
      </c>
    </row>
    <row r="1159" spans="1:11" hidden="1">
      <c r="A1159">
        <v>16710</v>
      </c>
      <c r="B1159" t="s">
        <v>4807</v>
      </c>
      <c r="C1159" t="s">
        <v>4810</v>
      </c>
      <c r="E1159" t="s">
        <v>6289</v>
      </c>
      <c r="H1159" t="s">
        <v>3056</v>
      </c>
      <c r="I1159">
        <v>16710</v>
      </c>
      <c r="K1159">
        <v>0</v>
      </c>
    </row>
    <row r="1160" spans="1:11" hidden="1">
      <c r="A1160">
        <v>16720</v>
      </c>
      <c r="B1160" t="s">
        <v>4807</v>
      </c>
      <c r="C1160" t="s">
        <v>4812</v>
      </c>
      <c r="E1160" t="s">
        <v>6289</v>
      </c>
      <c r="H1160" t="s">
        <v>3056</v>
      </c>
      <c r="I1160">
        <v>16720</v>
      </c>
      <c r="K1160">
        <v>0</v>
      </c>
    </row>
    <row r="1161" spans="1:11" hidden="1">
      <c r="A1161">
        <v>16730</v>
      </c>
      <c r="B1161" t="s">
        <v>4807</v>
      </c>
      <c r="C1161" t="s">
        <v>4814</v>
      </c>
      <c r="E1161" t="s">
        <v>6289</v>
      </c>
      <c r="H1161" t="s">
        <v>3056</v>
      </c>
      <c r="I1161">
        <v>16730</v>
      </c>
      <c r="K1161">
        <v>0</v>
      </c>
    </row>
    <row r="1162" spans="1:11" hidden="1">
      <c r="A1162">
        <v>16740</v>
      </c>
      <c r="B1162" t="s">
        <v>4807</v>
      </c>
      <c r="C1162" t="s">
        <v>4809</v>
      </c>
      <c r="E1162" t="s">
        <v>6289</v>
      </c>
      <c r="H1162" t="s">
        <v>3056</v>
      </c>
      <c r="I1162">
        <v>16740</v>
      </c>
      <c r="K1162">
        <v>0</v>
      </c>
    </row>
    <row r="1163" spans="1:11" hidden="1">
      <c r="A1163">
        <v>16750</v>
      </c>
      <c r="B1163" t="s">
        <v>4807</v>
      </c>
      <c r="C1163" t="s">
        <v>4811</v>
      </c>
      <c r="E1163" t="s">
        <v>6289</v>
      </c>
      <c r="H1163" t="s">
        <v>3056</v>
      </c>
      <c r="I1163">
        <v>16750</v>
      </c>
      <c r="K1163">
        <v>0</v>
      </c>
    </row>
    <row r="1164" spans="1:11" hidden="1">
      <c r="A1164">
        <v>16760</v>
      </c>
      <c r="B1164" t="s">
        <v>4807</v>
      </c>
      <c r="C1164" t="s">
        <v>4813</v>
      </c>
      <c r="E1164" t="s">
        <v>6289</v>
      </c>
      <c r="H1164" t="s">
        <v>3056</v>
      </c>
      <c r="I1164">
        <v>16760</v>
      </c>
      <c r="K1164">
        <v>0</v>
      </c>
    </row>
    <row r="1165" spans="1:11" hidden="1">
      <c r="A1165">
        <v>16770</v>
      </c>
      <c r="B1165" t="s">
        <v>4807</v>
      </c>
      <c r="C1165" t="s">
        <v>4815</v>
      </c>
      <c r="E1165" t="s">
        <v>6289</v>
      </c>
      <c r="H1165" t="s">
        <v>3056</v>
      </c>
      <c r="I1165">
        <v>16770</v>
      </c>
      <c r="K1165">
        <v>0</v>
      </c>
    </row>
    <row r="1166" spans="1:11" hidden="1">
      <c r="A1166">
        <v>16780</v>
      </c>
      <c r="B1166" t="s">
        <v>4807</v>
      </c>
      <c r="C1166" t="s">
        <v>4840</v>
      </c>
      <c r="E1166" t="s">
        <v>6289</v>
      </c>
      <c r="H1166" t="s">
        <v>3056</v>
      </c>
      <c r="I1166">
        <v>16780</v>
      </c>
      <c r="K1166">
        <v>0</v>
      </c>
    </row>
    <row r="1167" spans="1:11" hidden="1">
      <c r="A1167">
        <v>16790</v>
      </c>
      <c r="B1167" t="s">
        <v>4807</v>
      </c>
      <c r="C1167" t="s">
        <v>4842</v>
      </c>
      <c r="E1167" t="s">
        <v>6289</v>
      </c>
      <c r="H1167" t="s">
        <v>3056</v>
      </c>
      <c r="I1167">
        <v>16790</v>
      </c>
      <c r="K1167">
        <v>0</v>
      </c>
    </row>
    <row r="1168" spans="1:11" hidden="1">
      <c r="A1168">
        <v>16800</v>
      </c>
      <c r="B1168" t="s">
        <v>4807</v>
      </c>
      <c r="C1168" t="s">
        <v>4844</v>
      </c>
      <c r="E1168" t="s">
        <v>6289</v>
      </c>
      <c r="H1168" t="s">
        <v>3056</v>
      </c>
      <c r="I1168">
        <v>16800</v>
      </c>
      <c r="K1168">
        <v>0</v>
      </c>
    </row>
    <row r="1169" spans="1:11" hidden="1">
      <c r="A1169">
        <v>16810</v>
      </c>
      <c r="B1169" t="s">
        <v>4807</v>
      </c>
      <c r="C1169" t="s">
        <v>4846</v>
      </c>
      <c r="E1169" t="s">
        <v>6289</v>
      </c>
      <c r="H1169" t="s">
        <v>3056</v>
      </c>
      <c r="I1169">
        <v>16810</v>
      </c>
      <c r="K1169">
        <v>0</v>
      </c>
    </row>
    <row r="1170" spans="1:11" hidden="1">
      <c r="A1170">
        <v>16820</v>
      </c>
      <c r="B1170" t="s">
        <v>4807</v>
      </c>
      <c r="C1170" t="s">
        <v>4841</v>
      </c>
      <c r="E1170" t="s">
        <v>6289</v>
      </c>
      <c r="H1170" t="s">
        <v>3056</v>
      </c>
      <c r="I1170">
        <v>16820</v>
      </c>
      <c r="K1170">
        <v>0</v>
      </c>
    </row>
    <row r="1171" spans="1:11" hidden="1">
      <c r="A1171">
        <v>16830</v>
      </c>
      <c r="B1171" t="s">
        <v>4807</v>
      </c>
      <c r="C1171" t="s">
        <v>4843</v>
      </c>
      <c r="E1171" t="s">
        <v>6289</v>
      </c>
      <c r="H1171" t="s">
        <v>3056</v>
      </c>
      <c r="I1171">
        <v>16830</v>
      </c>
      <c r="K1171">
        <v>0</v>
      </c>
    </row>
    <row r="1172" spans="1:11" hidden="1">
      <c r="A1172">
        <v>16840</v>
      </c>
      <c r="B1172" t="s">
        <v>4807</v>
      </c>
      <c r="C1172" t="s">
        <v>4845</v>
      </c>
      <c r="E1172" t="s">
        <v>6289</v>
      </c>
      <c r="H1172" t="s">
        <v>3056</v>
      </c>
      <c r="I1172">
        <v>16840</v>
      </c>
      <c r="K1172">
        <v>0</v>
      </c>
    </row>
    <row r="1173" spans="1:11" hidden="1">
      <c r="A1173">
        <v>16850</v>
      </c>
      <c r="B1173" t="s">
        <v>4807</v>
      </c>
      <c r="C1173" t="s">
        <v>4847</v>
      </c>
      <c r="E1173" t="s">
        <v>6289</v>
      </c>
      <c r="H1173" t="s">
        <v>3056</v>
      </c>
      <c r="I1173">
        <v>16850</v>
      </c>
      <c r="K1173">
        <v>0</v>
      </c>
    </row>
    <row r="1174" spans="1:11" hidden="1">
      <c r="A1174">
        <v>16860</v>
      </c>
      <c r="B1174" t="s">
        <v>4807</v>
      </c>
      <c r="C1174" t="s">
        <v>4823</v>
      </c>
      <c r="E1174" t="s">
        <v>6289</v>
      </c>
      <c r="H1174" t="s">
        <v>3056</v>
      </c>
      <c r="I1174">
        <v>16860</v>
      </c>
      <c r="K1174">
        <v>0</v>
      </c>
    </row>
    <row r="1175" spans="1:11" hidden="1">
      <c r="A1175">
        <v>16870</v>
      </c>
      <c r="B1175" t="s">
        <v>4807</v>
      </c>
      <c r="C1175" t="s">
        <v>4825</v>
      </c>
      <c r="E1175" t="s">
        <v>6289</v>
      </c>
      <c r="H1175" t="s">
        <v>3056</v>
      </c>
      <c r="I1175">
        <v>16870</v>
      </c>
      <c r="K1175">
        <v>0</v>
      </c>
    </row>
    <row r="1176" spans="1:11" hidden="1">
      <c r="A1176">
        <v>16880</v>
      </c>
      <c r="B1176" t="s">
        <v>4807</v>
      </c>
      <c r="C1176" t="s">
        <v>4824</v>
      </c>
      <c r="E1176" t="s">
        <v>6289</v>
      </c>
      <c r="H1176" t="s">
        <v>3056</v>
      </c>
      <c r="I1176">
        <v>16880</v>
      </c>
      <c r="K1176">
        <v>0</v>
      </c>
    </row>
    <row r="1177" spans="1:11" hidden="1">
      <c r="A1177">
        <v>16890</v>
      </c>
      <c r="B1177" t="s">
        <v>4807</v>
      </c>
      <c r="C1177" t="s">
        <v>4826</v>
      </c>
      <c r="E1177" t="s">
        <v>6289</v>
      </c>
      <c r="H1177" t="s">
        <v>3056</v>
      </c>
      <c r="I1177">
        <v>16890</v>
      </c>
      <c r="K1177">
        <v>0</v>
      </c>
    </row>
    <row r="1178" spans="1:11" hidden="1">
      <c r="A1178">
        <v>16900</v>
      </c>
      <c r="B1178" t="s">
        <v>4807</v>
      </c>
      <c r="C1178" t="s">
        <v>4816</v>
      </c>
      <c r="E1178" t="s">
        <v>6289</v>
      </c>
      <c r="H1178" t="s">
        <v>3056</v>
      </c>
      <c r="I1178">
        <v>16900</v>
      </c>
      <c r="K1178">
        <v>0</v>
      </c>
    </row>
    <row r="1179" spans="1:11" hidden="1">
      <c r="A1179">
        <v>16910</v>
      </c>
      <c r="B1179" t="s">
        <v>4807</v>
      </c>
      <c r="C1179" t="s">
        <v>4818</v>
      </c>
      <c r="E1179" t="s">
        <v>6289</v>
      </c>
      <c r="H1179" t="s">
        <v>3056</v>
      </c>
      <c r="I1179">
        <v>16910</v>
      </c>
      <c r="K1179">
        <v>0</v>
      </c>
    </row>
    <row r="1180" spans="1:11" hidden="1">
      <c r="A1180">
        <v>16920</v>
      </c>
      <c r="B1180" t="s">
        <v>4807</v>
      </c>
      <c r="C1180" t="s">
        <v>4820</v>
      </c>
      <c r="E1180" t="s">
        <v>6289</v>
      </c>
      <c r="H1180" t="s">
        <v>3056</v>
      </c>
      <c r="I1180">
        <v>16920</v>
      </c>
      <c r="K1180">
        <v>0</v>
      </c>
    </row>
    <row r="1181" spans="1:11" hidden="1">
      <c r="A1181">
        <v>16930</v>
      </c>
      <c r="B1181" t="s">
        <v>4807</v>
      </c>
      <c r="C1181" t="s">
        <v>4822</v>
      </c>
      <c r="E1181" t="s">
        <v>6289</v>
      </c>
      <c r="H1181" t="s">
        <v>3056</v>
      </c>
      <c r="I1181">
        <v>16930</v>
      </c>
      <c r="K1181">
        <v>0</v>
      </c>
    </row>
    <row r="1182" spans="1:11" hidden="1">
      <c r="A1182">
        <v>16940</v>
      </c>
      <c r="B1182" t="s">
        <v>4807</v>
      </c>
      <c r="C1182" t="s">
        <v>4817</v>
      </c>
      <c r="E1182" t="s">
        <v>6289</v>
      </c>
      <c r="H1182" t="s">
        <v>3056</v>
      </c>
      <c r="I1182">
        <v>16940</v>
      </c>
      <c r="K1182">
        <v>0</v>
      </c>
    </row>
    <row r="1183" spans="1:11" hidden="1">
      <c r="A1183">
        <v>16950</v>
      </c>
      <c r="B1183" t="s">
        <v>4807</v>
      </c>
      <c r="C1183" t="s">
        <v>4819</v>
      </c>
      <c r="E1183" t="s">
        <v>6289</v>
      </c>
      <c r="H1183" t="s">
        <v>3056</v>
      </c>
      <c r="I1183">
        <v>16950</v>
      </c>
      <c r="K1183">
        <v>0</v>
      </c>
    </row>
    <row r="1184" spans="1:11" hidden="1">
      <c r="A1184">
        <v>16960</v>
      </c>
      <c r="B1184" t="s">
        <v>4807</v>
      </c>
      <c r="C1184" t="s">
        <v>4821</v>
      </c>
      <c r="E1184" t="s">
        <v>6289</v>
      </c>
      <c r="H1184" t="s">
        <v>3056</v>
      </c>
      <c r="I1184">
        <v>16960</v>
      </c>
      <c r="K1184">
        <v>0</v>
      </c>
    </row>
    <row r="1185" spans="1:11" hidden="1">
      <c r="A1185">
        <v>16970</v>
      </c>
      <c r="B1185" t="s">
        <v>4807</v>
      </c>
      <c r="C1185" t="s">
        <v>4827</v>
      </c>
      <c r="E1185" t="s">
        <v>6289</v>
      </c>
      <c r="H1185" t="s">
        <v>3056</v>
      </c>
      <c r="I1185">
        <v>16970</v>
      </c>
      <c r="K1185">
        <v>0</v>
      </c>
    </row>
    <row r="1186" spans="1:11" hidden="1">
      <c r="A1186">
        <v>16980</v>
      </c>
      <c r="B1186" t="s">
        <v>4807</v>
      </c>
      <c r="C1186" t="s">
        <v>4829</v>
      </c>
      <c r="E1186" t="s">
        <v>6289</v>
      </c>
      <c r="H1186" t="s">
        <v>3056</v>
      </c>
      <c r="I1186">
        <v>16980</v>
      </c>
      <c r="K1186">
        <v>0</v>
      </c>
    </row>
    <row r="1187" spans="1:11" hidden="1">
      <c r="A1187">
        <v>16990</v>
      </c>
      <c r="B1187" t="s">
        <v>4807</v>
      </c>
      <c r="C1187" t="s">
        <v>4828</v>
      </c>
      <c r="E1187" t="s">
        <v>6289</v>
      </c>
      <c r="H1187" t="s">
        <v>3056</v>
      </c>
      <c r="I1187">
        <v>16990</v>
      </c>
      <c r="K1187">
        <v>0</v>
      </c>
    </row>
    <row r="1188" spans="1:11" hidden="1">
      <c r="A1188">
        <v>17000</v>
      </c>
      <c r="B1188" t="s">
        <v>4807</v>
      </c>
      <c r="C1188" t="s">
        <v>4830</v>
      </c>
      <c r="E1188" t="s">
        <v>6289</v>
      </c>
      <c r="H1188" t="s">
        <v>3056</v>
      </c>
      <c r="I1188">
        <v>17000</v>
      </c>
      <c r="K1188">
        <v>0</v>
      </c>
    </row>
    <row r="1189" spans="1:11" hidden="1">
      <c r="A1189">
        <v>17010</v>
      </c>
      <c r="B1189" t="s">
        <v>4807</v>
      </c>
      <c r="C1189" t="s">
        <v>4831</v>
      </c>
      <c r="E1189" t="s">
        <v>6289</v>
      </c>
      <c r="H1189" t="s">
        <v>3056</v>
      </c>
      <c r="I1189">
        <v>17010</v>
      </c>
      <c r="K1189">
        <v>0</v>
      </c>
    </row>
    <row r="1190" spans="1:11" hidden="1">
      <c r="A1190">
        <v>17020</v>
      </c>
      <c r="B1190" t="s">
        <v>4807</v>
      </c>
      <c r="C1190" t="s">
        <v>4832</v>
      </c>
      <c r="E1190" t="s">
        <v>6289</v>
      </c>
      <c r="H1190" t="s">
        <v>3056</v>
      </c>
      <c r="I1190">
        <v>17020</v>
      </c>
      <c r="K1190">
        <v>0</v>
      </c>
    </row>
    <row r="1191" spans="1:11" hidden="1">
      <c r="A1191">
        <v>17030</v>
      </c>
      <c r="B1191" t="s">
        <v>4807</v>
      </c>
      <c r="C1191" t="s">
        <v>4835</v>
      </c>
      <c r="E1191" t="s">
        <v>6289</v>
      </c>
      <c r="H1191" t="s">
        <v>3056</v>
      </c>
      <c r="I1191">
        <v>17030</v>
      </c>
      <c r="K1191">
        <v>0</v>
      </c>
    </row>
    <row r="1192" spans="1:11" hidden="1">
      <c r="A1192">
        <v>17040</v>
      </c>
      <c r="B1192" t="s">
        <v>4807</v>
      </c>
      <c r="C1192" t="s">
        <v>4837</v>
      </c>
      <c r="E1192" t="s">
        <v>6289</v>
      </c>
      <c r="H1192" t="s">
        <v>3056</v>
      </c>
      <c r="I1192">
        <v>17040</v>
      </c>
      <c r="K1192">
        <v>0</v>
      </c>
    </row>
    <row r="1193" spans="1:11" hidden="1">
      <c r="A1193">
        <v>17050</v>
      </c>
      <c r="B1193" t="s">
        <v>4807</v>
      </c>
      <c r="C1193" t="s">
        <v>4839</v>
      </c>
      <c r="E1193" t="s">
        <v>6289</v>
      </c>
      <c r="H1193" t="s">
        <v>3056</v>
      </c>
      <c r="I1193">
        <v>17050</v>
      </c>
      <c r="K1193">
        <v>0</v>
      </c>
    </row>
    <row r="1194" spans="1:11" hidden="1">
      <c r="A1194">
        <v>17060</v>
      </c>
      <c r="B1194" t="s">
        <v>4807</v>
      </c>
      <c r="C1194" t="s">
        <v>4833</v>
      </c>
      <c r="E1194" t="s">
        <v>6289</v>
      </c>
      <c r="H1194" t="s">
        <v>3056</v>
      </c>
      <c r="I1194">
        <v>17060</v>
      </c>
      <c r="K1194">
        <v>0</v>
      </c>
    </row>
    <row r="1195" spans="1:11" hidden="1">
      <c r="A1195">
        <v>17070</v>
      </c>
      <c r="B1195" t="s">
        <v>4807</v>
      </c>
      <c r="C1195" t="s">
        <v>4834</v>
      </c>
      <c r="E1195" t="s">
        <v>6289</v>
      </c>
      <c r="H1195" t="s">
        <v>3056</v>
      </c>
      <c r="I1195">
        <v>17070</v>
      </c>
      <c r="K1195">
        <v>0</v>
      </c>
    </row>
    <row r="1196" spans="1:11" hidden="1">
      <c r="A1196">
        <v>17080</v>
      </c>
      <c r="B1196" t="s">
        <v>4807</v>
      </c>
      <c r="C1196" t="s">
        <v>4836</v>
      </c>
      <c r="E1196" t="s">
        <v>6289</v>
      </c>
      <c r="H1196" t="s">
        <v>3056</v>
      </c>
      <c r="I1196">
        <v>17080</v>
      </c>
      <c r="K1196">
        <v>0</v>
      </c>
    </row>
    <row r="1197" spans="1:11" hidden="1">
      <c r="A1197">
        <v>17090</v>
      </c>
      <c r="B1197" t="s">
        <v>4807</v>
      </c>
      <c r="C1197" t="s">
        <v>4838</v>
      </c>
      <c r="E1197" t="s">
        <v>6289</v>
      </c>
      <c r="H1197" t="s">
        <v>3056</v>
      </c>
      <c r="I1197">
        <v>17090</v>
      </c>
      <c r="K1197">
        <v>0</v>
      </c>
    </row>
    <row r="1198" spans="1:11" hidden="1">
      <c r="A1198">
        <v>1603</v>
      </c>
      <c r="B1198" t="s">
        <v>4848</v>
      </c>
      <c r="C1198" t="s">
        <v>3661</v>
      </c>
      <c r="D1198">
        <v>0</v>
      </c>
      <c r="E1198" t="s">
        <v>6289</v>
      </c>
      <c r="F1198" t="s">
        <v>4236</v>
      </c>
      <c r="H1198" t="s">
        <v>3056</v>
      </c>
      <c r="I1198">
        <v>1603</v>
      </c>
      <c r="K1198">
        <v>0</v>
      </c>
    </row>
    <row r="1199" spans="1:11" hidden="1">
      <c r="A1199">
        <v>1604</v>
      </c>
      <c r="B1199" t="s">
        <v>4848</v>
      </c>
      <c r="C1199" t="s">
        <v>4850</v>
      </c>
      <c r="D1199">
        <v>1</v>
      </c>
      <c r="E1199" t="s">
        <v>6289</v>
      </c>
      <c r="F1199" t="s">
        <v>3084</v>
      </c>
      <c r="H1199" t="s">
        <v>3056</v>
      </c>
      <c r="I1199">
        <v>1604</v>
      </c>
      <c r="K1199">
        <v>0</v>
      </c>
    </row>
    <row r="1200" spans="1:11" hidden="1">
      <c r="A1200">
        <v>1605</v>
      </c>
      <c r="B1200" t="s">
        <v>4848</v>
      </c>
      <c r="C1200" t="s">
        <v>4849</v>
      </c>
      <c r="D1200">
        <v>2</v>
      </c>
      <c r="E1200" t="s">
        <v>6289</v>
      </c>
      <c r="F1200" t="s">
        <v>152</v>
      </c>
      <c r="H1200" t="s">
        <v>3056</v>
      </c>
      <c r="I1200">
        <v>1605</v>
      </c>
      <c r="K1200">
        <v>0</v>
      </c>
    </row>
    <row r="1201" spans="1:11" hidden="1">
      <c r="A1201">
        <v>15130</v>
      </c>
      <c r="B1201" t="s">
        <v>4851</v>
      </c>
      <c r="C1201" t="s">
        <v>4855</v>
      </c>
      <c r="E1201" t="s">
        <v>6289</v>
      </c>
      <c r="H1201" t="s">
        <v>3056</v>
      </c>
      <c r="I1201">
        <v>15130</v>
      </c>
      <c r="K1201">
        <v>0</v>
      </c>
    </row>
    <row r="1202" spans="1:11" hidden="1">
      <c r="A1202">
        <v>15140</v>
      </c>
      <c r="B1202" t="s">
        <v>4851</v>
      </c>
      <c r="C1202" t="s">
        <v>4856</v>
      </c>
      <c r="E1202" t="s">
        <v>6289</v>
      </c>
      <c r="H1202" t="s">
        <v>3056</v>
      </c>
      <c r="I1202">
        <v>15140</v>
      </c>
      <c r="K1202">
        <v>0</v>
      </c>
    </row>
    <row r="1203" spans="1:11" hidden="1">
      <c r="A1203">
        <v>15150</v>
      </c>
      <c r="B1203" t="s">
        <v>4851</v>
      </c>
      <c r="C1203" t="s">
        <v>4854</v>
      </c>
      <c r="E1203" t="s">
        <v>6289</v>
      </c>
      <c r="H1203" t="s">
        <v>3056</v>
      </c>
      <c r="I1203">
        <v>15150</v>
      </c>
      <c r="K1203">
        <v>0</v>
      </c>
    </row>
    <row r="1204" spans="1:11" hidden="1">
      <c r="A1204">
        <v>15160</v>
      </c>
      <c r="B1204" t="s">
        <v>4851</v>
      </c>
      <c r="C1204" t="s">
        <v>4857</v>
      </c>
      <c r="E1204" t="s">
        <v>6289</v>
      </c>
      <c r="H1204" t="s">
        <v>3056</v>
      </c>
      <c r="I1204">
        <v>15160</v>
      </c>
      <c r="K1204">
        <v>0</v>
      </c>
    </row>
    <row r="1205" spans="1:11" hidden="1">
      <c r="A1205">
        <v>15170</v>
      </c>
      <c r="B1205" t="s">
        <v>4851</v>
      </c>
      <c r="C1205" t="s">
        <v>4853</v>
      </c>
      <c r="E1205" t="s">
        <v>6289</v>
      </c>
      <c r="H1205" t="s">
        <v>3056</v>
      </c>
      <c r="I1205">
        <v>15170</v>
      </c>
      <c r="K1205">
        <v>0</v>
      </c>
    </row>
    <row r="1206" spans="1:11" hidden="1">
      <c r="A1206">
        <v>15180</v>
      </c>
      <c r="B1206" t="s">
        <v>4851</v>
      </c>
      <c r="C1206" t="s">
        <v>4852</v>
      </c>
      <c r="E1206" t="s">
        <v>6289</v>
      </c>
      <c r="H1206" t="s">
        <v>3056</v>
      </c>
      <c r="I1206">
        <v>15180</v>
      </c>
      <c r="K1206">
        <v>0</v>
      </c>
    </row>
    <row r="1207" spans="1:11" hidden="1">
      <c r="A1207">
        <v>14580</v>
      </c>
      <c r="B1207" t="s">
        <v>4858</v>
      </c>
      <c r="C1207" t="s">
        <v>4859</v>
      </c>
      <c r="E1207" t="s">
        <v>6289</v>
      </c>
      <c r="H1207" t="s">
        <v>3056</v>
      </c>
      <c r="I1207">
        <v>14580</v>
      </c>
      <c r="K1207">
        <v>0</v>
      </c>
    </row>
    <row r="1208" spans="1:11" hidden="1">
      <c r="A1208">
        <v>14590</v>
      </c>
      <c r="B1208" t="s">
        <v>4858</v>
      </c>
      <c r="C1208" t="s">
        <v>4860</v>
      </c>
      <c r="E1208" t="s">
        <v>6289</v>
      </c>
      <c r="H1208" t="s">
        <v>3056</v>
      </c>
      <c r="I1208">
        <v>14590</v>
      </c>
      <c r="K1208">
        <v>0</v>
      </c>
    </row>
    <row r="1209" spans="1:11" hidden="1">
      <c r="A1209">
        <v>600</v>
      </c>
      <c r="B1209" t="s">
        <v>4861</v>
      </c>
      <c r="C1209" t="s">
        <v>4862</v>
      </c>
      <c r="E1209" t="s">
        <v>6289</v>
      </c>
      <c r="F1209" t="s">
        <v>3835</v>
      </c>
      <c r="H1209" t="s">
        <v>3056</v>
      </c>
      <c r="I1209">
        <v>600</v>
      </c>
      <c r="K1209">
        <v>0</v>
      </c>
    </row>
    <row r="1210" spans="1:11" hidden="1">
      <c r="A1210">
        <v>601</v>
      </c>
      <c r="B1210" t="s">
        <v>4861</v>
      </c>
      <c r="C1210" t="s">
        <v>4863</v>
      </c>
      <c r="E1210" t="s">
        <v>6289</v>
      </c>
      <c r="F1210" t="s">
        <v>4864</v>
      </c>
      <c r="H1210" t="s">
        <v>3056</v>
      </c>
      <c r="I1210">
        <v>601</v>
      </c>
      <c r="K1210">
        <v>0</v>
      </c>
    </row>
    <row r="1211" spans="1:11" hidden="1">
      <c r="A1211">
        <v>602</v>
      </c>
      <c r="B1211" t="s">
        <v>4861</v>
      </c>
      <c r="C1211" t="s">
        <v>3838</v>
      </c>
      <c r="E1211" t="s">
        <v>6289</v>
      </c>
      <c r="F1211" t="s">
        <v>3839</v>
      </c>
      <c r="H1211" t="s">
        <v>3056</v>
      </c>
      <c r="I1211">
        <v>602</v>
      </c>
      <c r="K1211">
        <v>0</v>
      </c>
    </row>
    <row r="1212" spans="1:11" hidden="1">
      <c r="A1212">
        <v>603</v>
      </c>
      <c r="B1212" t="s">
        <v>4861</v>
      </c>
      <c r="C1212" t="s">
        <v>4866</v>
      </c>
      <c r="E1212" t="s">
        <v>6289</v>
      </c>
      <c r="F1212" t="s">
        <v>3095</v>
      </c>
      <c r="H1212" t="s">
        <v>3056</v>
      </c>
      <c r="I1212">
        <v>603</v>
      </c>
      <c r="K1212">
        <v>0</v>
      </c>
    </row>
    <row r="1213" spans="1:11" hidden="1">
      <c r="A1213">
        <v>604</v>
      </c>
      <c r="B1213" t="s">
        <v>4861</v>
      </c>
      <c r="C1213" t="s">
        <v>4874</v>
      </c>
      <c r="E1213" t="s">
        <v>6289</v>
      </c>
      <c r="F1213" t="s">
        <v>146</v>
      </c>
      <c r="H1213" t="s">
        <v>3056</v>
      </c>
      <c r="I1213">
        <v>604</v>
      </c>
      <c r="K1213">
        <v>0</v>
      </c>
    </row>
    <row r="1214" spans="1:11" hidden="1">
      <c r="A1214">
        <v>605</v>
      </c>
      <c r="B1214" t="s">
        <v>4861</v>
      </c>
      <c r="C1214" t="s">
        <v>4871</v>
      </c>
      <c r="E1214" t="s">
        <v>6289</v>
      </c>
      <c r="F1214" t="s">
        <v>4872</v>
      </c>
      <c r="H1214" t="s">
        <v>3056</v>
      </c>
      <c r="I1214">
        <v>605</v>
      </c>
      <c r="K1214">
        <v>0</v>
      </c>
    </row>
    <row r="1215" spans="1:11" hidden="1">
      <c r="A1215">
        <v>606</v>
      </c>
      <c r="B1215" t="s">
        <v>4861</v>
      </c>
      <c r="C1215" t="s">
        <v>4875</v>
      </c>
      <c r="E1215" t="s">
        <v>6289</v>
      </c>
      <c r="F1215" t="s">
        <v>4876</v>
      </c>
      <c r="H1215" t="s">
        <v>3056</v>
      </c>
      <c r="I1215">
        <v>606</v>
      </c>
      <c r="K1215">
        <v>0</v>
      </c>
    </row>
    <row r="1216" spans="1:11" hidden="1">
      <c r="A1216">
        <v>607</v>
      </c>
      <c r="B1216" t="s">
        <v>4861</v>
      </c>
      <c r="C1216" t="s">
        <v>3850</v>
      </c>
      <c r="E1216" t="s">
        <v>6289</v>
      </c>
      <c r="F1216" t="s">
        <v>3558</v>
      </c>
      <c r="H1216" t="s">
        <v>3056</v>
      </c>
      <c r="I1216">
        <v>607</v>
      </c>
      <c r="K1216">
        <v>0</v>
      </c>
    </row>
    <row r="1217" spans="1:11" hidden="1">
      <c r="A1217">
        <v>608</v>
      </c>
      <c r="B1217" t="s">
        <v>4861</v>
      </c>
      <c r="C1217" t="s">
        <v>4879</v>
      </c>
      <c r="E1217" t="s">
        <v>6289</v>
      </c>
      <c r="F1217" t="s">
        <v>3321</v>
      </c>
      <c r="H1217" t="s">
        <v>3056</v>
      </c>
      <c r="I1217">
        <v>608</v>
      </c>
      <c r="K1217">
        <v>0</v>
      </c>
    </row>
    <row r="1218" spans="1:11" hidden="1">
      <c r="A1218">
        <v>609</v>
      </c>
      <c r="B1218" t="s">
        <v>4861</v>
      </c>
      <c r="C1218" t="s">
        <v>4870</v>
      </c>
      <c r="E1218" t="s">
        <v>6289</v>
      </c>
      <c r="F1218" t="s">
        <v>3084</v>
      </c>
      <c r="H1218" t="s">
        <v>3056</v>
      </c>
      <c r="I1218">
        <v>609</v>
      </c>
      <c r="K1218">
        <v>0</v>
      </c>
    </row>
    <row r="1219" spans="1:11" hidden="1">
      <c r="A1219">
        <v>610</v>
      </c>
      <c r="B1219" t="s">
        <v>4861</v>
      </c>
      <c r="C1219" t="s">
        <v>4882</v>
      </c>
      <c r="E1219" t="s">
        <v>6289</v>
      </c>
      <c r="F1219" t="s">
        <v>4034</v>
      </c>
      <c r="H1219" t="s">
        <v>3056</v>
      </c>
      <c r="I1219">
        <v>610</v>
      </c>
      <c r="K1219">
        <v>0</v>
      </c>
    </row>
    <row r="1220" spans="1:11" hidden="1">
      <c r="A1220">
        <v>611</v>
      </c>
      <c r="B1220" t="s">
        <v>4861</v>
      </c>
      <c r="C1220" t="s">
        <v>4885</v>
      </c>
      <c r="E1220" t="s">
        <v>6289</v>
      </c>
      <c r="F1220" t="s">
        <v>3119</v>
      </c>
      <c r="H1220" t="s">
        <v>3056</v>
      </c>
      <c r="I1220">
        <v>611</v>
      </c>
      <c r="K1220">
        <v>0</v>
      </c>
    </row>
    <row r="1221" spans="1:11" hidden="1">
      <c r="A1221">
        <v>612</v>
      </c>
      <c r="B1221" t="s">
        <v>4861</v>
      </c>
      <c r="C1221" t="s">
        <v>4877</v>
      </c>
      <c r="E1221" t="s">
        <v>6289</v>
      </c>
      <c r="F1221" t="s">
        <v>4878</v>
      </c>
      <c r="H1221" t="s">
        <v>3056</v>
      </c>
      <c r="I1221">
        <v>612</v>
      </c>
      <c r="K1221">
        <v>0</v>
      </c>
    </row>
    <row r="1222" spans="1:11" hidden="1">
      <c r="A1222">
        <v>613</v>
      </c>
      <c r="B1222" t="s">
        <v>4861</v>
      </c>
      <c r="C1222" t="s">
        <v>4880</v>
      </c>
      <c r="E1222" t="s">
        <v>6289</v>
      </c>
      <c r="F1222" t="s">
        <v>3528</v>
      </c>
      <c r="H1222" t="s">
        <v>3056</v>
      </c>
      <c r="I1222">
        <v>613</v>
      </c>
      <c r="K1222">
        <v>0</v>
      </c>
    </row>
    <row r="1223" spans="1:11" hidden="1">
      <c r="A1223">
        <v>614</v>
      </c>
      <c r="B1223" t="s">
        <v>4861</v>
      </c>
      <c r="C1223" t="s">
        <v>4881</v>
      </c>
      <c r="E1223" t="s">
        <v>6289</v>
      </c>
      <c r="F1223" t="s">
        <v>4228</v>
      </c>
      <c r="H1223" t="s">
        <v>3056</v>
      </c>
      <c r="I1223">
        <v>614</v>
      </c>
      <c r="K1223">
        <v>0</v>
      </c>
    </row>
    <row r="1224" spans="1:11" hidden="1">
      <c r="A1224">
        <v>615</v>
      </c>
      <c r="B1224" t="s">
        <v>4861</v>
      </c>
      <c r="C1224" t="s">
        <v>4884</v>
      </c>
      <c r="E1224" t="s">
        <v>6289</v>
      </c>
      <c r="F1224" t="s">
        <v>4196</v>
      </c>
      <c r="H1224" t="s">
        <v>3056</v>
      </c>
      <c r="I1224">
        <v>615</v>
      </c>
      <c r="K1224">
        <v>0</v>
      </c>
    </row>
    <row r="1225" spans="1:11" hidden="1">
      <c r="A1225">
        <v>616</v>
      </c>
      <c r="B1225" t="s">
        <v>4861</v>
      </c>
      <c r="C1225" t="s">
        <v>4867</v>
      </c>
      <c r="E1225" t="s">
        <v>6289</v>
      </c>
      <c r="F1225" t="s">
        <v>3551</v>
      </c>
      <c r="H1225" t="s">
        <v>3056</v>
      </c>
      <c r="I1225">
        <v>616</v>
      </c>
      <c r="K1225">
        <v>0</v>
      </c>
    </row>
    <row r="1226" spans="1:11" hidden="1">
      <c r="A1226">
        <v>617</v>
      </c>
      <c r="B1226" t="s">
        <v>4861</v>
      </c>
      <c r="C1226" t="s">
        <v>4883</v>
      </c>
      <c r="E1226" t="s">
        <v>6289</v>
      </c>
      <c r="F1226" t="s">
        <v>4608</v>
      </c>
      <c r="H1226" t="s">
        <v>3056</v>
      </c>
      <c r="I1226">
        <v>617</v>
      </c>
      <c r="K1226">
        <v>0</v>
      </c>
    </row>
    <row r="1227" spans="1:11" hidden="1">
      <c r="A1227">
        <v>618</v>
      </c>
      <c r="B1227" t="s">
        <v>4861</v>
      </c>
      <c r="C1227" t="s">
        <v>4412</v>
      </c>
      <c r="E1227" t="s">
        <v>6289</v>
      </c>
      <c r="F1227" t="s">
        <v>4873</v>
      </c>
      <c r="H1227" t="s">
        <v>3056</v>
      </c>
      <c r="I1227">
        <v>618</v>
      </c>
      <c r="K1227">
        <v>0</v>
      </c>
    </row>
    <row r="1228" spans="1:11" hidden="1">
      <c r="A1228">
        <v>619</v>
      </c>
      <c r="B1228" t="s">
        <v>4861</v>
      </c>
      <c r="C1228" t="s">
        <v>4865</v>
      </c>
      <c r="E1228" t="s">
        <v>6289</v>
      </c>
      <c r="F1228" t="s">
        <v>18</v>
      </c>
      <c r="H1228" t="s">
        <v>3056</v>
      </c>
      <c r="I1228">
        <v>619</v>
      </c>
      <c r="K1228">
        <v>0</v>
      </c>
    </row>
    <row r="1229" spans="1:11" hidden="1">
      <c r="A1229">
        <v>620</v>
      </c>
      <c r="B1229" t="s">
        <v>4861</v>
      </c>
      <c r="C1229" t="s">
        <v>4868</v>
      </c>
      <c r="E1229" t="s">
        <v>6289</v>
      </c>
      <c r="F1229" t="s">
        <v>4869</v>
      </c>
      <c r="H1229" t="s">
        <v>3056</v>
      </c>
      <c r="I1229">
        <v>620</v>
      </c>
      <c r="K1229">
        <v>0</v>
      </c>
    </row>
    <row r="1230" spans="1:11" hidden="1">
      <c r="A1230">
        <v>1800</v>
      </c>
      <c r="B1230" t="s">
        <v>4886</v>
      </c>
      <c r="C1230" t="s">
        <v>3078</v>
      </c>
      <c r="D1230">
        <v>0</v>
      </c>
      <c r="E1230" t="s">
        <v>6289</v>
      </c>
      <c r="F1230" t="s">
        <v>4887</v>
      </c>
      <c r="H1230" t="s">
        <v>3056</v>
      </c>
      <c r="I1230">
        <v>1800</v>
      </c>
      <c r="K1230">
        <v>0</v>
      </c>
    </row>
    <row r="1231" spans="1:11" hidden="1">
      <c r="A1231">
        <v>1801</v>
      </c>
      <c r="B1231" t="s">
        <v>4886</v>
      </c>
      <c r="C1231" t="s">
        <v>4890</v>
      </c>
      <c r="D1231">
        <v>1</v>
      </c>
      <c r="E1231" t="s">
        <v>6289</v>
      </c>
      <c r="F1231" t="s">
        <v>4891</v>
      </c>
      <c r="H1231" t="s">
        <v>3056</v>
      </c>
      <c r="I1231">
        <v>1801</v>
      </c>
      <c r="K1231">
        <v>0</v>
      </c>
    </row>
    <row r="1232" spans="1:11" hidden="1">
      <c r="A1232">
        <v>1802</v>
      </c>
      <c r="B1232" t="s">
        <v>4886</v>
      </c>
      <c r="C1232" t="s">
        <v>4888</v>
      </c>
      <c r="D1232">
        <v>2</v>
      </c>
      <c r="E1232" t="s">
        <v>6289</v>
      </c>
      <c r="F1232" t="s">
        <v>4889</v>
      </c>
      <c r="H1232" t="s">
        <v>3056</v>
      </c>
      <c r="I1232">
        <v>1802</v>
      </c>
      <c r="K1232">
        <v>0</v>
      </c>
    </row>
    <row r="1233" spans="1:11" hidden="1">
      <c r="A1233">
        <v>1</v>
      </c>
      <c r="B1233" t="s">
        <v>1271</v>
      </c>
      <c r="C1233" t="s">
        <v>3474</v>
      </c>
      <c r="E1233" t="s">
        <v>6289</v>
      </c>
      <c r="F1233" t="s">
        <v>3136</v>
      </c>
      <c r="G1233">
        <v>0</v>
      </c>
      <c r="H1233" t="s">
        <v>3056</v>
      </c>
      <c r="I1233">
        <v>10</v>
      </c>
      <c r="K1233" t="s">
        <v>2972</v>
      </c>
    </row>
    <row r="1234" spans="1:11" hidden="1">
      <c r="A1234">
        <v>2</v>
      </c>
      <c r="B1234" t="s">
        <v>1271</v>
      </c>
      <c r="C1234" t="s">
        <v>3475</v>
      </c>
      <c r="E1234" t="s">
        <v>6289</v>
      </c>
      <c r="F1234" t="s">
        <v>3140</v>
      </c>
      <c r="G1234">
        <v>0</v>
      </c>
      <c r="H1234" t="s">
        <v>3056</v>
      </c>
      <c r="I1234">
        <v>9</v>
      </c>
      <c r="K1234" t="s">
        <v>2972</v>
      </c>
    </row>
    <row r="1235" spans="1:11" hidden="1">
      <c r="A1235">
        <v>3</v>
      </c>
      <c r="B1235" t="s">
        <v>1271</v>
      </c>
      <c r="C1235" t="s">
        <v>3476</v>
      </c>
      <c r="E1235" t="s">
        <v>6289</v>
      </c>
      <c r="F1235" t="s">
        <v>3477</v>
      </c>
      <c r="G1235">
        <v>0</v>
      </c>
      <c r="H1235" t="s">
        <v>3056</v>
      </c>
      <c r="I1235">
        <v>10163</v>
      </c>
      <c r="K1235" t="s">
        <v>2972</v>
      </c>
    </row>
    <row r="1236" spans="1:11" hidden="1">
      <c r="A1236">
        <v>576</v>
      </c>
      <c r="B1236" t="s">
        <v>4892</v>
      </c>
      <c r="C1236" t="s">
        <v>4893</v>
      </c>
      <c r="E1236" t="s">
        <v>6289</v>
      </c>
      <c r="F1236" t="s">
        <v>3878</v>
      </c>
      <c r="H1236" t="s">
        <v>3056</v>
      </c>
      <c r="I1236">
        <v>576</v>
      </c>
      <c r="K1236">
        <v>0</v>
      </c>
    </row>
    <row r="1237" spans="1:11" hidden="1">
      <c r="A1237">
        <v>577</v>
      </c>
      <c r="B1237" t="s">
        <v>4892</v>
      </c>
      <c r="C1237" t="s">
        <v>4894</v>
      </c>
      <c r="E1237" t="s">
        <v>6289</v>
      </c>
      <c r="F1237" t="s">
        <v>4895</v>
      </c>
      <c r="H1237" t="s">
        <v>3056</v>
      </c>
      <c r="I1237">
        <v>577</v>
      </c>
      <c r="K1237">
        <v>0</v>
      </c>
    </row>
    <row r="1238" spans="1:11" hidden="1">
      <c r="A1238">
        <v>578</v>
      </c>
      <c r="B1238" t="s">
        <v>4892</v>
      </c>
      <c r="C1238" t="s">
        <v>4903</v>
      </c>
      <c r="E1238" t="s">
        <v>6289</v>
      </c>
      <c r="F1238" t="s">
        <v>4904</v>
      </c>
      <c r="H1238" t="s">
        <v>3056</v>
      </c>
      <c r="I1238">
        <v>578</v>
      </c>
      <c r="K1238">
        <v>0</v>
      </c>
    </row>
    <row r="1239" spans="1:11" hidden="1">
      <c r="A1239">
        <v>579</v>
      </c>
      <c r="B1239" t="s">
        <v>4892</v>
      </c>
      <c r="C1239" t="s">
        <v>4898</v>
      </c>
      <c r="E1239" t="s">
        <v>6289</v>
      </c>
      <c r="F1239" t="s">
        <v>4899</v>
      </c>
      <c r="H1239" t="s">
        <v>3056</v>
      </c>
      <c r="I1239">
        <v>579</v>
      </c>
      <c r="K1239">
        <v>0</v>
      </c>
    </row>
    <row r="1240" spans="1:11" hidden="1">
      <c r="A1240">
        <v>580</v>
      </c>
      <c r="B1240" t="s">
        <v>4892</v>
      </c>
      <c r="C1240" t="s">
        <v>4905</v>
      </c>
      <c r="E1240" t="s">
        <v>6289</v>
      </c>
      <c r="F1240" t="s">
        <v>4906</v>
      </c>
      <c r="H1240" t="s">
        <v>3056</v>
      </c>
      <c r="I1240">
        <v>580</v>
      </c>
      <c r="K1240">
        <v>0</v>
      </c>
    </row>
    <row r="1241" spans="1:11" hidden="1">
      <c r="A1241">
        <v>581</v>
      </c>
      <c r="B1241" t="s">
        <v>4892</v>
      </c>
      <c r="C1241" t="s">
        <v>4896</v>
      </c>
      <c r="E1241" t="s">
        <v>6289</v>
      </c>
      <c r="F1241" t="s">
        <v>4897</v>
      </c>
      <c r="H1241" t="s">
        <v>3056</v>
      </c>
      <c r="I1241">
        <v>581</v>
      </c>
      <c r="K1241">
        <v>0</v>
      </c>
    </row>
    <row r="1242" spans="1:11" hidden="1">
      <c r="A1242">
        <v>582</v>
      </c>
      <c r="B1242" t="s">
        <v>4892</v>
      </c>
      <c r="C1242" t="s">
        <v>4907</v>
      </c>
      <c r="E1242" t="s">
        <v>6289</v>
      </c>
      <c r="F1242" t="s">
        <v>4908</v>
      </c>
      <c r="H1242" t="s">
        <v>3056</v>
      </c>
      <c r="I1242">
        <v>582</v>
      </c>
      <c r="K1242">
        <v>0</v>
      </c>
    </row>
    <row r="1243" spans="1:11" hidden="1">
      <c r="A1243">
        <v>10117</v>
      </c>
      <c r="B1243" t="s">
        <v>4892</v>
      </c>
      <c r="C1243" t="s">
        <v>4901</v>
      </c>
      <c r="E1243" t="s">
        <v>6289</v>
      </c>
      <c r="F1243" t="s">
        <v>4902</v>
      </c>
      <c r="H1243" t="s">
        <v>3056</v>
      </c>
      <c r="I1243">
        <v>10117</v>
      </c>
      <c r="K1243">
        <v>0</v>
      </c>
    </row>
    <row r="1244" spans="1:11" hidden="1">
      <c r="A1244">
        <v>12030</v>
      </c>
      <c r="B1244" t="s">
        <v>4892</v>
      </c>
      <c r="C1244" t="s">
        <v>4900</v>
      </c>
      <c r="E1244" t="s">
        <v>6289</v>
      </c>
      <c r="H1244" t="s">
        <v>3056</v>
      </c>
      <c r="I1244">
        <v>12030</v>
      </c>
      <c r="K1244">
        <v>0</v>
      </c>
    </row>
    <row r="1245" spans="1:11" hidden="1">
      <c r="A1245">
        <v>2000000020</v>
      </c>
      <c r="B1245" t="s">
        <v>4909</v>
      </c>
      <c r="C1245" t="s">
        <v>3102</v>
      </c>
      <c r="D1245">
        <v>0</v>
      </c>
      <c r="E1245" t="s">
        <v>6289</v>
      </c>
      <c r="F1245" t="s">
        <v>3103</v>
      </c>
      <c r="H1245" t="s">
        <v>3061</v>
      </c>
      <c r="I1245">
        <v>2000000020</v>
      </c>
      <c r="K1245">
        <v>0</v>
      </c>
    </row>
    <row r="1246" spans="1:11" hidden="1">
      <c r="A1246">
        <v>2000000021</v>
      </c>
      <c r="B1246" t="s">
        <v>4909</v>
      </c>
      <c r="C1246" t="s">
        <v>4910</v>
      </c>
      <c r="D1246">
        <v>1</v>
      </c>
      <c r="E1246" t="s">
        <v>6289</v>
      </c>
      <c r="F1246" t="s">
        <v>3105</v>
      </c>
      <c r="H1246" t="s">
        <v>3061</v>
      </c>
      <c r="I1246">
        <v>2000000021</v>
      </c>
      <c r="K1246">
        <v>0</v>
      </c>
    </row>
    <row r="1247" spans="1:11" hidden="1">
      <c r="A1247">
        <v>2000000022</v>
      </c>
      <c r="B1247" t="s">
        <v>4909</v>
      </c>
      <c r="C1247" t="s">
        <v>4911</v>
      </c>
      <c r="D1247">
        <v>2</v>
      </c>
      <c r="E1247" t="s">
        <v>6289</v>
      </c>
      <c r="F1247" t="s">
        <v>3146</v>
      </c>
      <c r="H1247" t="s">
        <v>3061</v>
      </c>
      <c r="I1247">
        <v>2000000022</v>
      </c>
      <c r="K1247">
        <v>0</v>
      </c>
    </row>
    <row r="1248" spans="1:11" hidden="1">
      <c r="A1248">
        <v>2000000023</v>
      </c>
      <c r="B1248" t="s">
        <v>4909</v>
      </c>
      <c r="C1248" t="s">
        <v>4912</v>
      </c>
      <c r="D1248">
        <v>3</v>
      </c>
      <c r="E1248" t="s">
        <v>6289</v>
      </c>
      <c r="F1248" t="s">
        <v>3860</v>
      </c>
      <c r="H1248" t="s">
        <v>3061</v>
      </c>
      <c r="I1248">
        <v>2000000023</v>
      </c>
      <c r="K1248">
        <v>0</v>
      </c>
    </row>
    <row r="1249" spans="1:11" hidden="1">
      <c r="A1249">
        <v>2000000024</v>
      </c>
      <c r="B1249" t="s">
        <v>4909</v>
      </c>
      <c r="C1249" t="s">
        <v>3123</v>
      </c>
      <c r="D1249">
        <v>4</v>
      </c>
      <c r="E1249" t="s">
        <v>6289</v>
      </c>
      <c r="F1249" t="s">
        <v>3123</v>
      </c>
      <c r="H1249" t="s">
        <v>3061</v>
      </c>
      <c r="I1249">
        <v>2000000024</v>
      </c>
      <c r="K1249">
        <v>0</v>
      </c>
    </row>
    <row r="1250" spans="1:11" hidden="1">
      <c r="A1250">
        <v>1</v>
      </c>
      <c r="B1250" t="s">
        <v>3478</v>
      </c>
      <c r="C1250" t="s">
        <v>132</v>
      </c>
      <c r="E1250" t="s">
        <v>6289</v>
      </c>
      <c r="G1250">
        <v>0</v>
      </c>
      <c r="H1250" t="s">
        <v>3056</v>
      </c>
      <c r="I1250">
        <v>15580</v>
      </c>
      <c r="K1250" t="s">
        <v>2972</v>
      </c>
    </row>
    <row r="1251" spans="1:11" hidden="1">
      <c r="A1251">
        <v>2</v>
      </c>
      <c r="B1251" t="s">
        <v>3478</v>
      </c>
      <c r="C1251" t="s">
        <v>3449</v>
      </c>
      <c r="E1251" t="s">
        <v>6289</v>
      </c>
      <c r="G1251">
        <v>0</v>
      </c>
      <c r="H1251" t="s">
        <v>3056</v>
      </c>
      <c r="I1251">
        <v>15590</v>
      </c>
      <c r="K1251" t="s">
        <v>2972</v>
      </c>
    </row>
    <row r="1252" spans="1:11" hidden="1">
      <c r="A1252">
        <v>1</v>
      </c>
      <c r="B1252" t="s">
        <v>3479</v>
      </c>
      <c r="C1252" t="s">
        <v>1217</v>
      </c>
      <c r="E1252" t="s">
        <v>6289</v>
      </c>
      <c r="G1252">
        <v>0</v>
      </c>
      <c r="H1252" t="s">
        <v>3056</v>
      </c>
      <c r="I1252">
        <v>978</v>
      </c>
      <c r="K1252" t="s">
        <v>2972</v>
      </c>
    </row>
    <row r="1253" spans="1:11" hidden="1">
      <c r="A1253">
        <v>2</v>
      </c>
      <c r="B1253" t="s">
        <v>3479</v>
      </c>
      <c r="C1253" t="s">
        <v>3480</v>
      </c>
      <c r="E1253" t="s">
        <v>6289</v>
      </c>
      <c r="G1253">
        <v>0</v>
      </c>
      <c r="H1253" t="s">
        <v>3056</v>
      </c>
      <c r="I1253">
        <v>484</v>
      </c>
      <c r="K1253" t="s">
        <v>2972</v>
      </c>
    </row>
    <row r="1254" spans="1:11" hidden="1">
      <c r="A1254">
        <v>3</v>
      </c>
      <c r="B1254" t="s">
        <v>3479</v>
      </c>
      <c r="C1254" t="s">
        <v>3481</v>
      </c>
      <c r="E1254" t="s">
        <v>6289</v>
      </c>
      <c r="G1254">
        <v>0</v>
      </c>
      <c r="H1254" t="s">
        <v>3056</v>
      </c>
      <c r="I1254">
        <v>6660</v>
      </c>
      <c r="K1254" t="s">
        <v>2972</v>
      </c>
    </row>
    <row r="1255" spans="1:11" hidden="1">
      <c r="A1255">
        <v>4</v>
      </c>
      <c r="B1255" t="s">
        <v>3479</v>
      </c>
      <c r="C1255" t="s">
        <v>3482</v>
      </c>
      <c r="E1255" t="s">
        <v>6289</v>
      </c>
      <c r="G1255">
        <v>0</v>
      </c>
      <c r="H1255" t="s">
        <v>3056</v>
      </c>
      <c r="I1255">
        <v>481</v>
      </c>
      <c r="K1255" t="s">
        <v>2972</v>
      </c>
    </row>
    <row r="1256" spans="1:11" hidden="1">
      <c r="A1256">
        <v>5</v>
      </c>
      <c r="B1256" t="s">
        <v>3479</v>
      </c>
      <c r="C1256" t="s">
        <v>3483</v>
      </c>
      <c r="E1256" t="s">
        <v>6289</v>
      </c>
      <c r="F1256" t="s">
        <v>3484</v>
      </c>
      <c r="G1256">
        <v>0</v>
      </c>
      <c r="H1256" t="s">
        <v>3061</v>
      </c>
      <c r="I1256">
        <v>2003</v>
      </c>
      <c r="K1256" t="s">
        <v>2972</v>
      </c>
    </row>
    <row r="1257" spans="1:11" hidden="1">
      <c r="A1257">
        <v>6</v>
      </c>
      <c r="B1257" t="s">
        <v>3479</v>
      </c>
      <c r="C1257" t="s">
        <v>3141</v>
      </c>
      <c r="E1257" t="s">
        <v>6289</v>
      </c>
      <c r="F1257" t="s">
        <v>3141</v>
      </c>
      <c r="G1257">
        <v>0</v>
      </c>
      <c r="H1257" t="s">
        <v>3061</v>
      </c>
      <c r="I1257">
        <v>2007</v>
      </c>
      <c r="K1257" t="s">
        <v>2972</v>
      </c>
    </row>
    <row r="1258" spans="1:11" hidden="1">
      <c r="A1258">
        <v>7</v>
      </c>
      <c r="B1258" t="s">
        <v>3479</v>
      </c>
      <c r="C1258" t="s">
        <v>3144</v>
      </c>
      <c r="E1258" t="s">
        <v>6289</v>
      </c>
      <c r="F1258" t="s">
        <v>3145</v>
      </c>
      <c r="G1258">
        <v>0</v>
      </c>
      <c r="H1258" t="s">
        <v>3061</v>
      </c>
      <c r="I1258">
        <v>2008</v>
      </c>
      <c r="K1258" t="s">
        <v>2972</v>
      </c>
    </row>
    <row r="1259" spans="1:11" hidden="1">
      <c r="A1259">
        <v>8</v>
      </c>
      <c r="B1259" t="s">
        <v>3479</v>
      </c>
      <c r="C1259" t="s">
        <v>3485</v>
      </c>
      <c r="E1259" t="s">
        <v>6289</v>
      </c>
      <c r="G1259">
        <v>0</v>
      </c>
      <c r="H1259" t="s">
        <v>3061</v>
      </c>
      <c r="I1259">
        <v>1695</v>
      </c>
      <c r="K1259" t="s">
        <v>2972</v>
      </c>
    </row>
    <row r="1260" spans="1:11" hidden="1">
      <c r="A1260">
        <v>9</v>
      </c>
      <c r="B1260" t="s">
        <v>3479</v>
      </c>
      <c r="C1260" t="s">
        <v>3486</v>
      </c>
      <c r="E1260" t="s">
        <v>6289</v>
      </c>
      <c r="G1260">
        <v>0</v>
      </c>
      <c r="H1260" t="s">
        <v>3056</v>
      </c>
      <c r="I1260">
        <v>479</v>
      </c>
      <c r="K1260" t="s">
        <v>2972</v>
      </c>
    </row>
    <row r="1261" spans="1:11" hidden="1">
      <c r="A1261">
        <v>10</v>
      </c>
      <c r="B1261" t="s">
        <v>3479</v>
      </c>
      <c r="C1261" t="s">
        <v>3487</v>
      </c>
      <c r="E1261" t="s">
        <v>6289</v>
      </c>
      <c r="F1261" t="s">
        <v>3157</v>
      </c>
      <c r="G1261">
        <v>0</v>
      </c>
      <c r="H1261" t="s">
        <v>3061</v>
      </c>
      <c r="I1261">
        <v>2005</v>
      </c>
      <c r="K1261" t="s">
        <v>2972</v>
      </c>
    </row>
    <row r="1262" spans="1:11" hidden="1">
      <c r="A1262">
        <v>11</v>
      </c>
      <c r="B1262" t="s">
        <v>3479</v>
      </c>
      <c r="C1262" t="s">
        <v>3488</v>
      </c>
      <c r="E1262" t="s">
        <v>6289</v>
      </c>
      <c r="G1262">
        <v>0</v>
      </c>
      <c r="H1262" t="s">
        <v>3056</v>
      </c>
      <c r="I1262">
        <v>480</v>
      </c>
      <c r="K1262" t="s">
        <v>2972</v>
      </c>
    </row>
    <row r="1263" spans="1:11" hidden="1">
      <c r="A1263">
        <v>1</v>
      </c>
      <c r="B1263" t="s">
        <v>3489</v>
      </c>
      <c r="C1263" t="s">
        <v>3490</v>
      </c>
      <c r="D1263">
        <v>1</v>
      </c>
      <c r="E1263" t="s">
        <v>6289</v>
      </c>
      <c r="F1263" t="s">
        <v>3491</v>
      </c>
      <c r="G1263">
        <v>0</v>
      </c>
      <c r="H1263" t="s">
        <v>3061</v>
      </c>
      <c r="I1263">
        <v>2000000061</v>
      </c>
      <c r="K1263" t="s">
        <v>2972</v>
      </c>
    </row>
    <row r="1264" spans="1:11" hidden="1">
      <c r="A1264">
        <v>2</v>
      </c>
      <c r="B1264" t="s">
        <v>3489</v>
      </c>
      <c r="C1264" t="s">
        <v>3492</v>
      </c>
      <c r="D1264">
        <v>1</v>
      </c>
      <c r="E1264" t="s">
        <v>6289</v>
      </c>
      <c r="F1264" t="s">
        <v>3493</v>
      </c>
      <c r="G1264">
        <v>0</v>
      </c>
      <c r="H1264" t="s">
        <v>3061</v>
      </c>
      <c r="I1264">
        <v>2000000059</v>
      </c>
      <c r="K1264" t="s">
        <v>2972</v>
      </c>
    </row>
    <row r="1265" spans="1:11" hidden="1">
      <c r="A1265">
        <v>3</v>
      </c>
      <c r="B1265" t="s">
        <v>3489</v>
      </c>
      <c r="C1265" t="s">
        <v>3494</v>
      </c>
      <c r="D1265">
        <v>1</v>
      </c>
      <c r="E1265" t="s">
        <v>6289</v>
      </c>
      <c r="F1265" t="s">
        <v>3495</v>
      </c>
      <c r="G1265">
        <v>0</v>
      </c>
      <c r="H1265" t="s">
        <v>3061</v>
      </c>
      <c r="I1265">
        <v>2000000064</v>
      </c>
      <c r="K1265" t="s">
        <v>2972</v>
      </c>
    </row>
    <row r="1266" spans="1:11" hidden="1">
      <c r="A1266">
        <v>4</v>
      </c>
      <c r="B1266" t="s">
        <v>3489</v>
      </c>
      <c r="C1266" t="s">
        <v>3496</v>
      </c>
      <c r="D1266">
        <v>0</v>
      </c>
      <c r="E1266" t="s">
        <v>6289</v>
      </c>
      <c r="F1266" t="s">
        <v>3497</v>
      </c>
      <c r="G1266">
        <v>0</v>
      </c>
      <c r="H1266" t="s">
        <v>3061</v>
      </c>
      <c r="I1266">
        <v>2000000019</v>
      </c>
      <c r="K1266" t="s">
        <v>2972</v>
      </c>
    </row>
    <row r="1267" spans="1:11" hidden="1">
      <c r="A1267">
        <v>5</v>
      </c>
      <c r="B1267" t="s">
        <v>3489</v>
      </c>
      <c r="C1267" t="s">
        <v>6121</v>
      </c>
      <c r="D1267">
        <v>1</v>
      </c>
      <c r="E1267" t="s">
        <v>6289</v>
      </c>
      <c r="F1267" t="s">
        <v>6122</v>
      </c>
      <c r="G1267">
        <v>0</v>
      </c>
      <c r="H1267" t="s">
        <v>3061</v>
      </c>
      <c r="I1267">
        <v>2000000062</v>
      </c>
      <c r="K1267" t="s">
        <v>2972</v>
      </c>
    </row>
    <row r="1268" spans="1:11" hidden="1">
      <c r="A1268">
        <v>6</v>
      </c>
      <c r="B1268" t="s">
        <v>3489</v>
      </c>
      <c r="C1268" t="s">
        <v>3498</v>
      </c>
      <c r="D1268">
        <v>1</v>
      </c>
      <c r="E1268" t="s">
        <v>6289</v>
      </c>
      <c r="F1268" t="s">
        <v>3499</v>
      </c>
      <c r="G1268">
        <v>0</v>
      </c>
      <c r="H1268" t="s">
        <v>3061</v>
      </c>
      <c r="I1268">
        <v>2000000063</v>
      </c>
      <c r="K1268" t="s">
        <v>2972</v>
      </c>
    </row>
    <row r="1269" spans="1:11" hidden="1">
      <c r="A1269">
        <v>1</v>
      </c>
      <c r="B1269" t="s">
        <v>6138</v>
      </c>
      <c r="C1269" t="s">
        <v>6139</v>
      </c>
      <c r="D1269">
        <v>1</v>
      </c>
      <c r="E1269" t="s">
        <v>6289</v>
      </c>
      <c r="F1269" t="s">
        <v>6101</v>
      </c>
      <c r="G1269">
        <v>0</v>
      </c>
      <c r="H1269" t="s">
        <v>2622</v>
      </c>
      <c r="K1269" t="s">
        <v>2972</v>
      </c>
    </row>
    <row r="1270" spans="1:11" hidden="1">
      <c r="A1270">
        <v>2</v>
      </c>
      <c r="B1270" t="s">
        <v>6138</v>
      </c>
      <c r="C1270" t="s">
        <v>6140</v>
      </c>
      <c r="D1270">
        <v>1</v>
      </c>
      <c r="E1270" t="s">
        <v>6289</v>
      </c>
      <c r="F1270" t="s">
        <v>4234</v>
      </c>
      <c r="G1270">
        <v>0</v>
      </c>
      <c r="H1270" t="s">
        <v>2622</v>
      </c>
      <c r="K1270" t="s">
        <v>2972</v>
      </c>
    </row>
    <row r="1271" spans="1:11" hidden="1">
      <c r="A1271">
        <v>3</v>
      </c>
      <c r="B1271" t="s">
        <v>6138</v>
      </c>
      <c r="C1271" t="s">
        <v>6141</v>
      </c>
      <c r="D1271">
        <v>1</v>
      </c>
      <c r="E1271" t="s">
        <v>6289</v>
      </c>
      <c r="F1271" t="s">
        <v>6102</v>
      </c>
      <c r="G1271">
        <v>0</v>
      </c>
      <c r="H1271" t="s">
        <v>2622</v>
      </c>
      <c r="K1271" t="s">
        <v>2972</v>
      </c>
    </row>
    <row r="1272" spans="1:11" hidden="1">
      <c r="A1272">
        <v>685</v>
      </c>
      <c r="B1272" t="s">
        <v>4913</v>
      </c>
      <c r="C1272" t="s">
        <v>4386</v>
      </c>
      <c r="E1272" t="s">
        <v>6289</v>
      </c>
      <c r="H1272" t="s">
        <v>3056</v>
      </c>
      <c r="I1272">
        <v>685</v>
      </c>
      <c r="K1272">
        <v>0</v>
      </c>
    </row>
    <row r="1273" spans="1:11" hidden="1">
      <c r="A1273">
        <v>913</v>
      </c>
      <c r="B1273" t="s">
        <v>4913</v>
      </c>
      <c r="C1273" t="s">
        <v>4371</v>
      </c>
      <c r="E1273" t="s">
        <v>6289</v>
      </c>
      <c r="H1273" t="s">
        <v>3056</v>
      </c>
      <c r="I1273">
        <v>913</v>
      </c>
      <c r="K1273">
        <v>0</v>
      </c>
    </row>
    <row r="1274" spans="1:11" hidden="1">
      <c r="A1274">
        <v>914</v>
      </c>
      <c r="B1274" t="s">
        <v>4913</v>
      </c>
      <c r="C1274" t="s">
        <v>4919</v>
      </c>
      <c r="E1274" t="s">
        <v>6289</v>
      </c>
      <c r="H1274" t="s">
        <v>3056</v>
      </c>
      <c r="I1274">
        <v>914</v>
      </c>
      <c r="K1274">
        <v>0</v>
      </c>
    </row>
    <row r="1275" spans="1:11" hidden="1">
      <c r="A1275">
        <v>915</v>
      </c>
      <c r="B1275" t="s">
        <v>4913</v>
      </c>
      <c r="C1275" t="s">
        <v>4914</v>
      </c>
      <c r="E1275" t="s">
        <v>6289</v>
      </c>
      <c r="H1275" t="s">
        <v>3056</v>
      </c>
      <c r="I1275">
        <v>915</v>
      </c>
      <c r="K1275">
        <v>0</v>
      </c>
    </row>
    <row r="1276" spans="1:11" hidden="1">
      <c r="A1276">
        <v>916</v>
      </c>
      <c r="B1276" t="s">
        <v>4913</v>
      </c>
      <c r="C1276" t="s">
        <v>4918</v>
      </c>
      <c r="E1276" t="s">
        <v>6289</v>
      </c>
      <c r="H1276" t="s">
        <v>3056</v>
      </c>
      <c r="I1276">
        <v>916</v>
      </c>
      <c r="K1276">
        <v>0</v>
      </c>
    </row>
    <row r="1277" spans="1:11" hidden="1">
      <c r="A1277">
        <v>917</v>
      </c>
      <c r="B1277" t="s">
        <v>4913</v>
      </c>
      <c r="C1277" t="s">
        <v>4921</v>
      </c>
      <c r="E1277" t="s">
        <v>6289</v>
      </c>
      <c r="H1277" t="s">
        <v>3056</v>
      </c>
      <c r="I1277">
        <v>917</v>
      </c>
      <c r="K1277">
        <v>0</v>
      </c>
    </row>
    <row r="1278" spans="1:11" hidden="1">
      <c r="A1278">
        <v>918</v>
      </c>
      <c r="B1278" t="s">
        <v>4913</v>
      </c>
      <c r="C1278" t="s">
        <v>4922</v>
      </c>
      <c r="E1278" t="s">
        <v>6289</v>
      </c>
      <c r="H1278" t="s">
        <v>3056</v>
      </c>
      <c r="I1278">
        <v>918</v>
      </c>
      <c r="K1278">
        <v>0</v>
      </c>
    </row>
    <row r="1279" spans="1:11" hidden="1">
      <c r="A1279">
        <v>1057</v>
      </c>
      <c r="B1279" t="s">
        <v>4913</v>
      </c>
      <c r="C1279" t="s">
        <v>4923</v>
      </c>
      <c r="E1279" t="s">
        <v>6289</v>
      </c>
      <c r="H1279" t="s">
        <v>3056</v>
      </c>
      <c r="I1279">
        <v>1057</v>
      </c>
      <c r="K1279">
        <v>0</v>
      </c>
    </row>
    <row r="1280" spans="1:11" hidden="1">
      <c r="A1280">
        <v>1058</v>
      </c>
      <c r="B1280" t="s">
        <v>4913</v>
      </c>
      <c r="C1280" t="s">
        <v>4793</v>
      </c>
      <c r="E1280" t="s">
        <v>6289</v>
      </c>
      <c r="H1280" t="s">
        <v>3056</v>
      </c>
      <c r="I1280">
        <v>1058</v>
      </c>
      <c r="K1280">
        <v>0</v>
      </c>
    </row>
    <row r="1281" spans="1:11" hidden="1">
      <c r="A1281">
        <v>13620</v>
      </c>
      <c r="B1281" t="s">
        <v>4913</v>
      </c>
      <c r="C1281" t="s">
        <v>4920</v>
      </c>
      <c r="E1281" t="s">
        <v>6289</v>
      </c>
      <c r="H1281" t="s">
        <v>3056</v>
      </c>
      <c r="I1281">
        <v>13620</v>
      </c>
      <c r="K1281">
        <v>0</v>
      </c>
    </row>
    <row r="1282" spans="1:11" hidden="1">
      <c r="A1282">
        <v>13630</v>
      </c>
      <c r="B1282" t="s">
        <v>4913</v>
      </c>
      <c r="C1282" t="s">
        <v>4924</v>
      </c>
      <c r="E1282" t="s">
        <v>6289</v>
      </c>
      <c r="H1282" t="s">
        <v>3056</v>
      </c>
      <c r="I1282">
        <v>13630</v>
      </c>
      <c r="K1282">
        <v>0</v>
      </c>
    </row>
    <row r="1283" spans="1:11" hidden="1">
      <c r="A1283">
        <v>13640</v>
      </c>
      <c r="B1283" t="s">
        <v>4913</v>
      </c>
      <c r="C1283" t="s">
        <v>4916</v>
      </c>
      <c r="E1283" t="s">
        <v>6289</v>
      </c>
      <c r="H1283" t="s">
        <v>3056</v>
      </c>
      <c r="I1283">
        <v>13640</v>
      </c>
      <c r="K1283">
        <v>0</v>
      </c>
    </row>
    <row r="1284" spans="1:11" hidden="1">
      <c r="A1284">
        <v>13650</v>
      </c>
      <c r="B1284" t="s">
        <v>4913</v>
      </c>
      <c r="C1284" t="s">
        <v>4917</v>
      </c>
      <c r="E1284" t="s">
        <v>6289</v>
      </c>
      <c r="H1284" t="s">
        <v>3056</v>
      </c>
      <c r="I1284">
        <v>13650</v>
      </c>
      <c r="K1284">
        <v>0</v>
      </c>
    </row>
    <row r="1285" spans="1:11" hidden="1">
      <c r="A1285">
        <v>13660</v>
      </c>
      <c r="B1285" t="s">
        <v>4913</v>
      </c>
      <c r="C1285" t="s">
        <v>4915</v>
      </c>
      <c r="E1285" t="s">
        <v>6289</v>
      </c>
      <c r="H1285" t="s">
        <v>3056</v>
      </c>
      <c r="I1285">
        <v>13660</v>
      </c>
      <c r="K1285">
        <v>0</v>
      </c>
    </row>
    <row r="1286" spans="1:11" hidden="1">
      <c r="A1286">
        <v>686</v>
      </c>
      <c r="B1286" t="s">
        <v>4925</v>
      </c>
      <c r="C1286" t="s">
        <v>4200</v>
      </c>
      <c r="E1286" t="s">
        <v>6289</v>
      </c>
      <c r="H1286" t="s">
        <v>3056</v>
      </c>
      <c r="I1286">
        <v>686</v>
      </c>
      <c r="K1286">
        <v>0</v>
      </c>
    </row>
    <row r="1287" spans="1:11" hidden="1">
      <c r="A1287">
        <v>687</v>
      </c>
      <c r="B1287" t="s">
        <v>4925</v>
      </c>
      <c r="C1287" t="s">
        <v>4932</v>
      </c>
      <c r="E1287" t="s">
        <v>6289</v>
      </c>
      <c r="H1287" t="s">
        <v>3056</v>
      </c>
      <c r="I1287">
        <v>687</v>
      </c>
      <c r="K1287">
        <v>0</v>
      </c>
    </row>
    <row r="1288" spans="1:11" hidden="1">
      <c r="A1288">
        <v>688</v>
      </c>
      <c r="B1288" t="s">
        <v>4925</v>
      </c>
      <c r="C1288" t="s">
        <v>4929</v>
      </c>
      <c r="E1288" t="s">
        <v>6289</v>
      </c>
      <c r="H1288" t="s">
        <v>3056</v>
      </c>
      <c r="I1288">
        <v>688</v>
      </c>
      <c r="K1288">
        <v>0</v>
      </c>
    </row>
    <row r="1289" spans="1:11" hidden="1">
      <c r="A1289">
        <v>689</v>
      </c>
      <c r="B1289" t="s">
        <v>4925</v>
      </c>
      <c r="C1289" t="s">
        <v>4928</v>
      </c>
      <c r="E1289" t="s">
        <v>6289</v>
      </c>
      <c r="H1289" t="s">
        <v>3056</v>
      </c>
      <c r="I1289">
        <v>689</v>
      </c>
      <c r="K1289">
        <v>0</v>
      </c>
    </row>
    <row r="1290" spans="1:11" hidden="1">
      <c r="A1290">
        <v>919</v>
      </c>
      <c r="B1290" t="s">
        <v>4925</v>
      </c>
      <c r="C1290" t="s">
        <v>4926</v>
      </c>
      <c r="E1290" t="s">
        <v>6289</v>
      </c>
      <c r="H1290" t="s">
        <v>3056</v>
      </c>
      <c r="I1290">
        <v>919</v>
      </c>
      <c r="K1290">
        <v>0</v>
      </c>
    </row>
    <row r="1291" spans="1:11" hidden="1">
      <c r="A1291">
        <v>996</v>
      </c>
      <c r="B1291" t="s">
        <v>4925</v>
      </c>
      <c r="C1291" t="s">
        <v>4933</v>
      </c>
      <c r="E1291" t="s">
        <v>6289</v>
      </c>
      <c r="H1291" t="s">
        <v>3056</v>
      </c>
      <c r="I1291">
        <v>996</v>
      </c>
      <c r="K1291">
        <v>0</v>
      </c>
    </row>
    <row r="1292" spans="1:11" hidden="1">
      <c r="A1292">
        <v>997</v>
      </c>
      <c r="B1292" t="s">
        <v>4925</v>
      </c>
      <c r="C1292" t="s">
        <v>4935</v>
      </c>
      <c r="E1292" t="s">
        <v>6289</v>
      </c>
      <c r="H1292" t="s">
        <v>3056</v>
      </c>
      <c r="I1292">
        <v>997</v>
      </c>
      <c r="K1292">
        <v>0</v>
      </c>
    </row>
    <row r="1293" spans="1:11" hidden="1">
      <c r="A1293">
        <v>1519</v>
      </c>
      <c r="B1293" t="s">
        <v>4925</v>
      </c>
      <c r="C1293" t="s">
        <v>4934</v>
      </c>
      <c r="E1293" t="s">
        <v>6289</v>
      </c>
      <c r="F1293" t="s">
        <v>3881</v>
      </c>
      <c r="H1293" t="s">
        <v>3056</v>
      </c>
      <c r="I1293">
        <v>1519</v>
      </c>
      <c r="K1293">
        <v>0</v>
      </c>
    </row>
    <row r="1294" spans="1:11" hidden="1">
      <c r="A1294">
        <v>1520</v>
      </c>
      <c r="B1294" t="s">
        <v>4925</v>
      </c>
      <c r="C1294" t="s">
        <v>4927</v>
      </c>
      <c r="E1294" t="s">
        <v>6289</v>
      </c>
      <c r="F1294" t="s">
        <v>164</v>
      </c>
      <c r="H1294" t="s">
        <v>3056</v>
      </c>
      <c r="I1294">
        <v>1520</v>
      </c>
      <c r="K1294">
        <v>0</v>
      </c>
    </row>
    <row r="1295" spans="1:11" hidden="1">
      <c r="A1295">
        <v>13600</v>
      </c>
      <c r="B1295" t="s">
        <v>4925</v>
      </c>
      <c r="C1295" t="s">
        <v>4930</v>
      </c>
      <c r="E1295" t="s">
        <v>6289</v>
      </c>
      <c r="H1295" t="s">
        <v>3056</v>
      </c>
      <c r="I1295">
        <v>13600</v>
      </c>
      <c r="K1295">
        <v>0</v>
      </c>
    </row>
    <row r="1296" spans="1:11" hidden="1">
      <c r="A1296">
        <v>13610</v>
      </c>
      <c r="B1296" t="s">
        <v>4925</v>
      </c>
      <c r="C1296" t="s">
        <v>4931</v>
      </c>
      <c r="E1296" t="s">
        <v>6289</v>
      </c>
      <c r="H1296" t="s">
        <v>3056</v>
      </c>
      <c r="I1296">
        <v>13610</v>
      </c>
      <c r="K1296">
        <v>0</v>
      </c>
    </row>
    <row r="1297" spans="1:11" hidden="1">
      <c r="A1297">
        <v>690</v>
      </c>
      <c r="B1297" t="s">
        <v>4936</v>
      </c>
      <c r="C1297" t="s">
        <v>4940</v>
      </c>
      <c r="E1297" t="s">
        <v>6289</v>
      </c>
      <c r="F1297" t="s">
        <v>4160</v>
      </c>
      <c r="H1297" t="s">
        <v>3056</v>
      </c>
      <c r="I1297">
        <v>690</v>
      </c>
      <c r="K1297">
        <v>0</v>
      </c>
    </row>
    <row r="1298" spans="1:11" hidden="1">
      <c r="A1298">
        <v>691</v>
      </c>
      <c r="B1298" t="s">
        <v>4936</v>
      </c>
      <c r="C1298" t="s">
        <v>4942</v>
      </c>
      <c r="E1298" t="s">
        <v>6289</v>
      </c>
      <c r="F1298" t="s">
        <v>919</v>
      </c>
      <c r="H1298" t="s">
        <v>3056</v>
      </c>
      <c r="I1298">
        <v>691</v>
      </c>
      <c r="K1298">
        <v>0</v>
      </c>
    </row>
    <row r="1299" spans="1:11" hidden="1">
      <c r="A1299">
        <v>984</v>
      </c>
      <c r="B1299" t="s">
        <v>4936</v>
      </c>
      <c r="C1299" t="s">
        <v>4937</v>
      </c>
      <c r="E1299" t="s">
        <v>6289</v>
      </c>
      <c r="F1299" t="s">
        <v>3131</v>
      </c>
      <c r="H1299" t="s">
        <v>3056</v>
      </c>
      <c r="I1299">
        <v>984</v>
      </c>
      <c r="K1299">
        <v>0</v>
      </c>
    </row>
    <row r="1300" spans="1:11" hidden="1">
      <c r="A1300">
        <v>985</v>
      </c>
      <c r="B1300" t="s">
        <v>4936</v>
      </c>
      <c r="C1300" t="s">
        <v>4946</v>
      </c>
      <c r="E1300" t="s">
        <v>6289</v>
      </c>
      <c r="F1300" t="s">
        <v>4947</v>
      </c>
      <c r="H1300" t="s">
        <v>3056</v>
      </c>
      <c r="I1300">
        <v>985</v>
      </c>
      <c r="K1300">
        <v>0</v>
      </c>
    </row>
    <row r="1301" spans="1:11" hidden="1">
      <c r="A1301">
        <v>986</v>
      </c>
      <c r="B1301" t="s">
        <v>4936</v>
      </c>
      <c r="C1301" t="s">
        <v>4943</v>
      </c>
      <c r="E1301" t="s">
        <v>6289</v>
      </c>
      <c r="F1301" t="s">
        <v>3931</v>
      </c>
      <c r="H1301" t="s">
        <v>3056</v>
      </c>
      <c r="I1301">
        <v>986</v>
      </c>
      <c r="K1301">
        <v>0</v>
      </c>
    </row>
    <row r="1302" spans="1:11" hidden="1">
      <c r="A1302">
        <v>987</v>
      </c>
      <c r="B1302" t="s">
        <v>4936</v>
      </c>
      <c r="C1302" t="s">
        <v>4938</v>
      </c>
      <c r="E1302" t="s">
        <v>6289</v>
      </c>
      <c r="F1302" t="s">
        <v>3066</v>
      </c>
      <c r="H1302" t="s">
        <v>3056</v>
      </c>
      <c r="I1302">
        <v>987</v>
      </c>
      <c r="K1302">
        <v>0</v>
      </c>
    </row>
    <row r="1303" spans="1:11" hidden="1">
      <c r="A1303">
        <v>988</v>
      </c>
      <c r="B1303" t="s">
        <v>4936</v>
      </c>
      <c r="C1303" t="s">
        <v>4944</v>
      </c>
      <c r="E1303" t="s">
        <v>6289</v>
      </c>
      <c r="F1303" t="s">
        <v>3901</v>
      </c>
      <c r="H1303" t="s">
        <v>3056</v>
      </c>
      <c r="I1303">
        <v>988</v>
      </c>
      <c r="K1303">
        <v>0</v>
      </c>
    </row>
    <row r="1304" spans="1:11" hidden="1">
      <c r="A1304">
        <v>10034</v>
      </c>
      <c r="B1304" t="s">
        <v>4936</v>
      </c>
      <c r="C1304" t="s">
        <v>4945</v>
      </c>
      <c r="E1304" t="s">
        <v>6289</v>
      </c>
      <c r="F1304" t="s">
        <v>3071</v>
      </c>
      <c r="H1304" t="s">
        <v>3056</v>
      </c>
      <c r="I1304">
        <v>10034</v>
      </c>
      <c r="K1304">
        <v>0</v>
      </c>
    </row>
    <row r="1305" spans="1:11" hidden="1">
      <c r="A1305">
        <v>13670</v>
      </c>
      <c r="B1305" t="s">
        <v>4936</v>
      </c>
      <c r="C1305" t="s">
        <v>4939</v>
      </c>
      <c r="E1305" t="s">
        <v>6289</v>
      </c>
      <c r="H1305" t="s">
        <v>3056</v>
      </c>
      <c r="I1305">
        <v>13670</v>
      </c>
      <c r="K1305">
        <v>0</v>
      </c>
    </row>
    <row r="1306" spans="1:11" hidden="1">
      <c r="A1306">
        <v>13680</v>
      </c>
      <c r="B1306" t="s">
        <v>4936</v>
      </c>
      <c r="C1306" t="s">
        <v>4941</v>
      </c>
      <c r="E1306" t="s">
        <v>6289</v>
      </c>
      <c r="H1306" t="s">
        <v>3056</v>
      </c>
      <c r="I1306">
        <v>13680</v>
      </c>
      <c r="K1306">
        <v>0</v>
      </c>
    </row>
    <row r="1307" spans="1:11" hidden="1">
      <c r="A1307">
        <v>14130</v>
      </c>
      <c r="B1307" t="s">
        <v>4948</v>
      </c>
      <c r="C1307" t="s">
        <v>4949</v>
      </c>
      <c r="E1307" t="s">
        <v>6289</v>
      </c>
      <c r="H1307" t="s">
        <v>3056</v>
      </c>
      <c r="I1307">
        <v>14130</v>
      </c>
      <c r="K1307">
        <v>0</v>
      </c>
    </row>
    <row r="1308" spans="1:11" hidden="1">
      <c r="A1308">
        <v>14140</v>
      </c>
      <c r="B1308" t="s">
        <v>4948</v>
      </c>
      <c r="C1308" t="s">
        <v>4950</v>
      </c>
      <c r="E1308" t="s">
        <v>6289</v>
      </c>
      <c r="H1308" t="s">
        <v>3056</v>
      </c>
      <c r="I1308">
        <v>14140</v>
      </c>
      <c r="K1308">
        <v>0</v>
      </c>
    </row>
    <row r="1309" spans="1:11" hidden="1">
      <c r="A1309">
        <v>14150</v>
      </c>
      <c r="B1309" t="s">
        <v>4948</v>
      </c>
      <c r="C1309" t="s">
        <v>4951</v>
      </c>
      <c r="E1309" t="s">
        <v>6289</v>
      </c>
      <c r="H1309" t="s">
        <v>3056</v>
      </c>
      <c r="I1309">
        <v>14150</v>
      </c>
      <c r="K1309">
        <v>0</v>
      </c>
    </row>
    <row r="1310" spans="1:11" hidden="1">
      <c r="A1310">
        <v>14040</v>
      </c>
      <c r="B1310" t="s">
        <v>4952</v>
      </c>
      <c r="C1310" t="s">
        <v>3059</v>
      </c>
      <c r="E1310" t="s">
        <v>6289</v>
      </c>
      <c r="H1310" t="s">
        <v>3056</v>
      </c>
      <c r="I1310">
        <v>14040</v>
      </c>
      <c r="K1310">
        <v>0</v>
      </c>
    </row>
    <row r="1311" spans="1:11" hidden="1">
      <c r="A1311">
        <v>14050</v>
      </c>
      <c r="B1311" t="s">
        <v>4952</v>
      </c>
      <c r="C1311" t="s">
        <v>4953</v>
      </c>
      <c r="E1311" t="s">
        <v>6289</v>
      </c>
      <c r="H1311" t="s">
        <v>3056</v>
      </c>
      <c r="I1311">
        <v>14050</v>
      </c>
      <c r="K1311">
        <v>0</v>
      </c>
    </row>
    <row r="1312" spans="1:11" hidden="1">
      <c r="A1312">
        <v>14060</v>
      </c>
      <c r="B1312" t="s">
        <v>4952</v>
      </c>
      <c r="C1312" t="s">
        <v>4958</v>
      </c>
      <c r="E1312" t="s">
        <v>6289</v>
      </c>
      <c r="H1312" t="s">
        <v>3056</v>
      </c>
      <c r="I1312">
        <v>14060</v>
      </c>
      <c r="K1312">
        <v>0</v>
      </c>
    </row>
    <row r="1313" spans="1:11" hidden="1">
      <c r="A1313">
        <v>14070</v>
      </c>
      <c r="B1313" t="s">
        <v>4952</v>
      </c>
      <c r="C1313" t="s">
        <v>4954</v>
      </c>
      <c r="E1313" t="s">
        <v>6289</v>
      </c>
      <c r="H1313" t="s">
        <v>3056</v>
      </c>
      <c r="I1313">
        <v>14070</v>
      </c>
      <c r="K1313">
        <v>0</v>
      </c>
    </row>
    <row r="1314" spans="1:11" hidden="1">
      <c r="A1314">
        <v>14080</v>
      </c>
      <c r="B1314" t="s">
        <v>4952</v>
      </c>
      <c r="C1314" t="s">
        <v>4955</v>
      </c>
      <c r="E1314" t="s">
        <v>6289</v>
      </c>
      <c r="H1314" t="s">
        <v>3056</v>
      </c>
      <c r="I1314">
        <v>14080</v>
      </c>
      <c r="K1314">
        <v>0</v>
      </c>
    </row>
    <row r="1315" spans="1:11" hidden="1">
      <c r="A1315">
        <v>14090</v>
      </c>
      <c r="B1315" t="s">
        <v>4952</v>
      </c>
      <c r="C1315" t="s">
        <v>4957</v>
      </c>
      <c r="E1315" t="s">
        <v>6289</v>
      </c>
      <c r="H1315" t="s">
        <v>3056</v>
      </c>
      <c r="I1315">
        <v>14090</v>
      </c>
      <c r="K1315">
        <v>0</v>
      </c>
    </row>
    <row r="1316" spans="1:11" hidden="1">
      <c r="A1316">
        <v>14100</v>
      </c>
      <c r="B1316" t="s">
        <v>4952</v>
      </c>
      <c r="C1316" t="s">
        <v>4956</v>
      </c>
      <c r="E1316" t="s">
        <v>6289</v>
      </c>
      <c r="H1316" t="s">
        <v>3056</v>
      </c>
      <c r="I1316">
        <v>14100</v>
      </c>
      <c r="K1316">
        <v>0</v>
      </c>
    </row>
    <row r="1317" spans="1:11" hidden="1">
      <c r="A1317">
        <v>14110</v>
      </c>
      <c r="B1317" t="s">
        <v>4952</v>
      </c>
      <c r="C1317" t="s">
        <v>4959</v>
      </c>
      <c r="E1317" t="s">
        <v>6289</v>
      </c>
      <c r="H1317" t="s">
        <v>3056</v>
      </c>
      <c r="I1317">
        <v>14110</v>
      </c>
      <c r="K1317">
        <v>0</v>
      </c>
    </row>
    <row r="1318" spans="1:11" hidden="1">
      <c r="A1318">
        <v>14120</v>
      </c>
      <c r="B1318" t="s">
        <v>4952</v>
      </c>
      <c r="C1318" t="s">
        <v>3716</v>
      </c>
      <c r="E1318" t="s">
        <v>6289</v>
      </c>
      <c r="H1318" t="s">
        <v>3056</v>
      </c>
      <c r="I1318">
        <v>14120</v>
      </c>
      <c r="K1318">
        <v>0</v>
      </c>
    </row>
    <row r="1319" spans="1:11" hidden="1">
      <c r="A1319">
        <v>3400</v>
      </c>
      <c r="B1319" t="s">
        <v>4960</v>
      </c>
      <c r="C1319" t="s">
        <v>451</v>
      </c>
      <c r="E1319" t="s">
        <v>6289</v>
      </c>
      <c r="F1319" t="s">
        <v>4963</v>
      </c>
      <c r="H1319" t="s">
        <v>3061</v>
      </c>
      <c r="I1319">
        <v>3400</v>
      </c>
      <c r="K1319">
        <v>0</v>
      </c>
    </row>
    <row r="1320" spans="1:11" hidden="1">
      <c r="A1320">
        <v>3401</v>
      </c>
      <c r="B1320" t="s">
        <v>4960</v>
      </c>
      <c r="C1320" t="s">
        <v>4962</v>
      </c>
      <c r="E1320" t="s">
        <v>6289</v>
      </c>
      <c r="F1320" t="s">
        <v>4878</v>
      </c>
      <c r="H1320" t="s">
        <v>3061</v>
      </c>
      <c r="I1320">
        <v>3401</v>
      </c>
      <c r="K1320">
        <v>0</v>
      </c>
    </row>
    <row r="1321" spans="1:11" hidden="1">
      <c r="A1321">
        <v>3402</v>
      </c>
      <c r="B1321" t="s">
        <v>4960</v>
      </c>
      <c r="C1321" t="s">
        <v>4961</v>
      </c>
      <c r="E1321" t="s">
        <v>6289</v>
      </c>
      <c r="F1321" t="s">
        <v>3887</v>
      </c>
      <c r="H1321" t="s">
        <v>3061</v>
      </c>
      <c r="I1321">
        <v>3402</v>
      </c>
      <c r="K1321">
        <v>0</v>
      </c>
    </row>
    <row r="1322" spans="1:11" hidden="1">
      <c r="A1322">
        <v>3403</v>
      </c>
      <c r="B1322" t="s">
        <v>4960</v>
      </c>
      <c r="C1322" t="s">
        <v>3141</v>
      </c>
      <c r="E1322" t="s">
        <v>6289</v>
      </c>
      <c r="F1322" t="s">
        <v>3141</v>
      </c>
      <c r="H1322" t="s">
        <v>3061</v>
      </c>
      <c r="I1322">
        <v>3403</v>
      </c>
      <c r="K1322">
        <v>0</v>
      </c>
    </row>
    <row r="1323" spans="1:11" hidden="1">
      <c r="A1323">
        <v>3404</v>
      </c>
      <c r="B1323" t="s">
        <v>4960</v>
      </c>
      <c r="C1323" t="s">
        <v>3144</v>
      </c>
      <c r="E1323" t="s">
        <v>6289</v>
      </c>
      <c r="F1323" t="s">
        <v>3145</v>
      </c>
      <c r="H1323" t="s">
        <v>3061</v>
      </c>
      <c r="I1323">
        <v>3404</v>
      </c>
      <c r="K1323">
        <v>0</v>
      </c>
    </row>
    <row r="1324" spans="1:11" hidden="1">
      <c r="A1324">
        <v>3500</v>
      </c>
      <c r="B1324" t="s">
        <v>4964</v>
      </c>
      <c r="C1324" t="s">
        <v>1138</v>
      </c>
      <c r="E1324" t="s">
        <v>6289</v>
      </c>
      <c r="F1324" t="s">
        <v>4967</v>
      </c>
      <c r="H1324" t="s">
        <v>3061</v>
      </c>
      <c r="I1324">
        <v>3500</v>
      </c>
      <c r="K1324">
        <v>0</v>
      </c>
    </row>
    <row r="1325" spans="1:11" hidden="1">
      <c r="A1325">
        <v>3501</v>
      </c>
      <c r="B1325" t="s">
        <v>4964</v>
      </c>
      <c r="C1325" t="s">
        <v>4965</v>
      </c>
      <c r="E1325" t="s">
        <v>6289</v>
      </c>
      <c r="F1325" t="s">
        <v>159</v>
      </c>
      <c r="H1325" t="s">
        <v>3061</v>
      </c>
      <c r="I1325">
        <v>3501</v>
      </c>
      <c r="K1325">
        <v>0</v>
      </c>
    </row>
    <row r="1326" spans="1:11" hidden="1">
      <c r="A1326">
        <v>3502</v>
      </c>
      <c r="B1326" t="s">
        <v>4964</v>
      </c>
      <c r="C1326" t="s">
        <v>4966</v>
      </c>
      <c r="E1326" t="s">
        <v>6289</v>
      </c>
      <c r="F1326" t="s">
        <v>3728</v>
      </c>
      <c r="H1326" t="s">
        <v>3061</v>
      </c>
      <c r="I1326">
        <v>3502</v>
      </c>
      <c r="K1326">
        <v>0</v>
      </c>
    </row>
    <row r="1327" spans="1:11" hidden="1">
      <c r="A1327">
        <v>3503</v>
      </c>
      <c r="B1327" t="s">
        <v>4964</v>
      </c>
      <c r="C1327" t="s">
        <v>3141</v>
      </c>
      <c r="E1327" t="s">
        <v>6289</v>
      </c>
      <c r="F1327" t="s">
        <v>3141</v>
      </c>
      <c r="H1327" t="s">
        <v>3061</v>
      </c>
      <c r="I1327">
        <v>3503</v>
      </c>
      <c r="K1327">
        <v>0</v>
      </c>
    </row>
    <row r="1328" spans="1:11" hidden="1">
      <c r="A1328">
        <v>3504</v>
      </c>
      <c r="B1328" t="s">
        <v>4964</v>
      </c>
      <c r="C1328" t="s">
        <v>3144</v>
      </c>
      <c r="E1328" t="s">
        <v>6289</v>
      </c>
      <c r="F1328" t="s">
        <v>3145</v>
      </c>
      <c r="H1328" t="s">
        <v>3061</v>
      </c>
      <c r="I1328">
        <v>3504</v>
      </c>
      <c r="K1328">
        <v>0</v>
      </c>
    </row>
    <row r="1329" spans="1:11" hidden="1">
      <c r="A1329">
        <v>3600</v>
      </c>
      <c r="B1329" t="s">
        <v>4968</v>
      </c>
      <c r="C1329" t="s">
        <v>4979</v>
      </c>
      <c r="E1329" t="s">
        <v>6289</v>
      </c>
      <c r="F1329">
        <v>1</v>
      </c>
      <c r="H1329" t="s">
        <v>3061</v>
      </c>
      <c r="I1329">
        <v>3600</v>
      </c>
      <c r="K1329">
        <v>0</v>
      </c>
    </row>
    <row r="1330" spans="1:11" hidden="1">
      <c r="A1330">
        <v>3601</v>
      </c>
      <c r="B1330" t="s">
        <v>4968</v>
      </c>
      <c r="C1330" t="s">
        <v>4980</v>
      </c>
      <c r="E1330" t="s">
        <v>6289</v>
      </c>
      <c r="F1330">
        <v>2</v>
      </c>
      <c r="H1330" t="s">
        <v>3061</v>
      </c>
      <c r="I1330">
        <v>3601</v>
      </c>
      <c r="K1330">
        <v>0</v>
      </c>
    </row>
    <row r="1331" spans="1:11" hidden="1">
      <c r="A1331">
        <v>3602</v>
      </c>
      <c r="B1331" t="s">
        <v>4968</v>
      </c>
      <c r="C1331" t="s">
        <v>4969</v>
      </c>
      <c r="E1331" t="s">
        <v>6289</v>
      </c>
      <c r="F1331">
        <v>3</v>
      </c>
      <c r="H1331" t="s">
        <v>3061</v>
      </c>
      <c r="I1331">
        <v>3602</v>
      </c>
      <c r="K1331">
        <v>0</v>
      </c>
    </row>
    <row r="1332" spans="1:11" hidden="1">
      <c r="A1332">
        <v>3603</v>
      </c>
      <c r="B1332" t="s">
        <v>4968</v>
      </c>
      <c r="C1332" t="s">
        <v>4972</v>
      </c>
      <c r="E1332" t="s">
        <v>6289</v>
      </c>
      <c r="F1332">
        <v>4</v>
      </c>
      <c r="H1332" t="s">
        <v>3061</v>
      </c>
      <c r="I1332">
        <v>3603</v>
      </c>
      <c r="K1332">
        <v>0</v>
      </c>
    </row>
    <row r="1333" spans="1:11" hidden="1">
      <c r="A1333">
        <v>3604</v>
      </c>
      <c r="B1333" t="s">
        <v>4968</v>
      </c>
      <c r="C1333" t="s">
        <v>4679</v>
      </c>
      <c r="E1333" t="s">
        <v>6289</v>
      </c>
      <c r="F1333">
        <v>5</v>
      </c>
      <c r="H1333" t="s">
        <v>3061</v>
      </c>
      <c r="I1333">
        <v>3604</v>
      </c>
      <c r="K1333">
        <v>0</v>
      </c>
    </row>
    <row r="1334" spans="1:11" hidden="1">
      <c r="A1334">
        <v>3605</v>
      </c>
      <c r="B1334" t="s">
        <v>4968</v>
      </c>
      <c r="C1334" t="s">
        <v>4971</v>
      </c>
      <c r="E1334" t="s">
        <v>6289</v>
      </c>
      <c r="F1334">
        <v>6</v>
      </c>
      <c r="H1334" t="s">
        <v>3061</v>
      </c>
      <c r="I1334">
        <v>3605</v>
      </c>
      <c r="K1334">
        <v>0</v>
      </c>
    </row>
    <row r="1335" spans="1:11" hidden="1">
      <c r="A1335">
        <v>3606</v>
      </c>
      <c r="B1335" t="s">
        <v>4968</v>
      </c>
      <c r="C1335" t="s">
        <v>4977</v>
      </c>
      <c r="E1335" t="s">
        <v>6289</v>
      </c>
      <c r="F1335">
        <v>8</v>
      </c>
      <c r="H1335" t="s">
        <v>3061</v>
      </c>
      <c r="I1335">
        <v>3606</v>
      </c>
      <c r="K1335">
        <v>0</v>
      </c>
    </row>
    <row r="1336" spans="1:11" hidden="1">
      <c r="A1336">
        <v>3607</v>
      </c>
      <c r="B1336" t="s">
        <v>4968</v>
      </c>
      <c r="C1336" t="s">
        <v>4974</v>
      </c>
      <c r="E1336" t="s">
        <v>6289</v>
      </c>
      <c r="F1336">
        <v>9</v>
      </c>
      <c r="H1336" t="s">
        <v>3061</v>
      </c>
      <c r="I1336">
        <v>3607</v>
      </c>
      <c r="K1336">
        <v>0</v>
      </c>
    </row>
    <row r="1337" spans="1:11" hidden="1">
      <c r="A1337">
        <v>3608</v>
      </c>
      <c r="B1337" t="s">
        <v>4968</v>
      </c>
      <c r="C1337" t="s">
        <v>4970</v>
      </c>
      <c r="E1337" t="s">
        <v>6289</v>
      </c>
      <c r="F1337">
        <v>11</v>
      </c>
      <c r="H1337" t="s">
        <v>3061</v>
      </c>
      <c r="I1337">
        <v>3608</v>
      </c>
      <c r="K1337">
        <v>0</v>
      </c>
    </row>
    <row r="1338" spans="1:11" hidden="1">
      <c r="A1338">
        <v>3609</v>
      </c>
      <c r="B1338" t="s">
        <v>4968</v>
      </c>
      <c r="C1338" t="s">
        <v>4978</v>
      </c>
      <c r="E1338" t="s">
        <v>6289</v>
      </c>
      <c r="F1338">
        <v>12</v>
      </c>
      <c r="H1338" t="s">
        <v>3061</v>
      </c>
      <c r="I1338">
        <v>3609</v>
      </c>
      <c r="K1338">
        <v>0</v>
      </c>
    </row>
    <row r="1339" spans="1:11" hidden="1">
      <c r="A1339">
        <v>3610</v>
      </c>
      <c r="B1339" t="s">
        <v>4968</v>
      </c>
      <c r="C1339" t="s">
        <v>4973</v>
      </c>
      <c r="E1339" t="s">
        <v>6289</v>
      </c>
      <c r="F1339">
        <v>19</v>
      </c>
      <c r="H1339" t="s">
        <v>3061</v>
      </c>
      <c r="I1339">
        <v>3610</v>
      </c>
      <c r="K1339">
        <v>0</v>
      </c>
    </row>
    <row r="1340" spans="1:11" hidden="1">
      <c r="A1340">
        <v>3611</v>
      </c>
      <c r="B1340" t="s">
        <v>4968</v>
      </c>
      <c r="C1340" t="s">
        <v>4976</v>
      </c>
      <c r="E1340" t="s">
        <v>6289</v>
      </c>
      <c r="F1340">
        <v>20</v>
      </c>
      <c r="H1340" t="s">
        <v>3061</v>
      </c>
      <c r="I1340">
        <v>3611</v>
      </c>
      <c r="K1340">
        <v>0</v>
      </c>
    </row>
    <row r="1341" spans="1:11" hidden="1">
      <c r="A1341">
        <v>3612</v>
      </c>
      <c r="B1341" t="s">
        <v>4968</v>
      </c>
      <c r="C1341" t="s">
        <v>4975</v>
      </c>
      <c r="E1341" t="s">
        <v>6289</v>
      </c>
      <c r="F1341">
        <v>21</v>
      </c>
      <c r="H1341" t="s">
        <v>3061</v>
      </c>
      <c r="I1341">
        <v>3612</v>
      </c>
      <c r="K1341">
        <v>0</v>
      </c>
    </row>
    <row r="1342" spans="1:11" hidden="1">
      <c r="A1342">
        <v>3613</v>
      </c>
      <c r="B1342" t="s">
        <v>4968</v>
      </c>
      <c r="C1342" t="s">
        <v>4981</v>
      </c>
      <c r="E1342" t="s">
        <v>6289</v>
      </c>
      <c r="F1342">
        <v>22</v>
      </c>
      <c r="H1342" t="s">
        <v>3061</v>
      </c>
      <c r="I1342">
        <v>3613</v>
      </c>
      <c r="K1342">
        <v>0</v>
      </c>
    </row>
    <row r="1343" spans="1:11" hidden="1">
      <c r="A1343">
        <v>3614</v>
      </c>
      <c r="B1343" t="s">
        <v>4968</v>
      </c>
      <c r="C1343" t="s">
        <v>3141</v>
      </c>
      <c r="E1343" t="s">
        <v>6289</v>
      </c>
      <c r="F1343" t="s">
        <v>3141</v>
      </c>
      <c r="H1343" t="s">
        <v>3061</v>
      </c>
      <c r="I1343">
        <v>3614</v>
      </c>
      <c r="K1343">
        <v>0</v>
      </c>
    </row>
    <row r="1344" spans="1:11" hidden="1">
      <c r="A1344">
        <v>3615</v>
      </c>
      <c r="B1344" t="s">
        <v>4968</v>
      </c>
      <c r="C1344" t="s">
        <v>3144</v>
      </c>
      <c r="E1344" t="s">
        <v>6289</v>
      </c>
      <c r="F1344" t="s">
        <v>3145</v>
      </c>
      <c r="H1344" t="s">
        <v>3061</v>
      </c>
      <c r="I1344">
        <v>3615</v>
      </c>
      <c r="K1344">
        <v>0</v>
      </c>
    </row>
    <row r="1345" spans="1:11" hidden="1">
      <c r="A1345">
        <v>3700</v>
      </c>
      <c r="B1345" t="s">
        <v>4982</v>
      </c>
      <c r="C1345" t="s">
        <v>132</v>
      </c>
      <c r="D1345">
        <v>1</v>
      </c>
      <c r="E1345" t="s">
        <v>6289</v>
      </c>
      <c r="F1345" t="s">
        <v>2109</v>
      </c>
      <c r="H1345" t="s">
        <v>3061</v>
      </c>
      <c r="I1345">
        <v>3700</v>
      </c>
      <c r="K1345">
        <v>0</v>
      </c>
    </row>
    <row r="1346" spans="1:11" hidden="1">
      <c r="A1346">
        <v>3701</v>
      </c>
      <c r="B1346" t="s">
        <v>4982</v>
      </c>
      <c r="C1346" t="s">
        <v>4985</v>
      </c>
      <c r="D1346">
        <v>3</v>
      </c>
      <c r="E1346" t="s">
        <v>6289</v>
      </c>
      <c r="F1346" t="s">
        <v>3068</v>
      </c>
      <c r="H1346" t="s">
        <v>3061</v>
      </c>
      <c r="I1346">
        <v>3701</v>
      </c>
      <c r="K1346">
        <v>0</v>
      </c>
    </row>
    <row r="1347" spans="1:11" hidden="1">
      <c r="A1347">
        <v>3702</v>
      </c>
      <c r="B1347" t="s">
        <v>4982</v>
      </c>
      <c r="C1347" t="s">
        <v>4984</v>
      </c>
      <c r="D1347">
        <v>2</v>
      </c>
      <c r="E1347" t="s">
        <v>6289</v>
      </c>
      <c r="F1347" t="s">
        <v>3134</v>
      </c>
      <c r="H1347" t="s">
        <v>3061</v>
      </c>
      <c r="I1347">
        <v>3702</v>
      </c>
      <c r="K1347">
        <v>0</v>
      </c>
    </row>
    <row r="1348" spans="1:11" hidden="1">
      <c r="A1348">
        <v>3703</v>
      </c>
      <c r="B1348" t="s">
        <v>4982</v>
      </c>
      <c r="C1348" t="s">
        <v>3449</v>
      </c>
      <c r="D1348">
        <v>4</v>
      </c>
      <c r="E1348" t="s">
        <v>6289</v>
      </c>
      <c r="F1348" t="s">
        <v>3138</v>
      </c>
      <c r="H1348" t="s">
        <v>3061</v>
      </c>
      <c r="I1348">
        <v>3703</v>
      </c>
      <c r="K1348">
        <v>0</v>
      </c>
    </row>
    <row r="1349" spans="1:11" hidden="1">
      <c r="A1349">
        <v>3704</v>
      </c>
      <c r="B1349" t="s">
        <v>4982</v>
      </c>
      <c r="C1349" t="s">
        <v>4987</v>
      </c>
      <c r="D1349">
        <v>5</v>
      </c>
      <c r="E1349" t="s">
        <v>6289</v>
      </c>
      <c r="F1349" t="s">
        <v>3901</v>
      </c>
      <c r="H1349" t="s">
        <v>3061</v>
      </c>
      <c r="I1349">
        <v>3704</v>
      </c>
      <c r="K1349">
        <v>0</v>
      </c>
    </row>
    <row r="1350" spans="1:11" hidden="1">
      <c r="A1350">
        <v>3705</v>
      </c>
      <c r="B1350" t="s">
        <v>4982</v>
      </c>
      <c r="C1350" t="s">
        <v>4986</v>
      </c>
      <c r="D1350">
        <v>6</v>
      </c>
      <c r="E1350" t="s">
        <v>6289</v>
      </c>
      <c r="F1350" t="s">
        <v>3141</v>
      </c>
      <c r="H1350" t="s">
        <v>3061</v>
      </c>
      <c r="I1350">
        <v>3705</v>
      </c>
      <c r="K1350">
        <v>0</v>
      </c>
    </row>
    <row r="1351" spans="1:11" hidden="1">
      <c r="A1351">
        <v>2000000083</v>
      </c>
      <c r="B1351" t="s">
        <v>4982</v>
      </c>
      <c r="C1351" t="s">
        <v>4983</v>
      </c>
      <c r="E1351" t="s">
        <v>6289</v>
      </c>
      <c r="H1351" t="s">
        <v>3061</v>
      </c>
      <c r="I1351">
        <v>2000000083</v>
      </c>
      <c r="K1351">
        <v>0</v>
      </c>
    </row>
    <row r="1352" spans="1:11" hidden="1">
      <c r="A1352">
        <v>3800</v>
      </c>
      <c r="B1352" t="s">
        <v>4988</v>
      </c>
      <c r="C1352" t="s">
        <v>5004</v>
      </c>
      <c r="E1352" t="s">
        <v>6289</v>
      </c>
      <c r="H1352" t="s">
        <v>3061</v>
      </c>
      <c r="I1352">
        <v>3800</v>
      </c>
      <c r="K1352">
        <v>0</v>
      </c>
    </row>
    <row r="1353" spans="1:11" hidden="1">
      <c r="A1353">
        <v>3801</v>
      </c>
      <c r="B1353" t="s">
        <v>4988</v>
      </c>
      <c r="C1353" t="s">
        <v>5000</v>
      </c>
      <c r="E1353" t="s">
        <v>6289</v>
      </c>
      <c r="H1353" t="s">
        <v>3061</v>
      </c>
      <c r="I1353">
        <v>3801</v>
      </c>
      <c r="K1353">
        <v>0</v>
      </c>
    </row>
    <row r="1354" spans="1:11" hidden="1">
      <c r="A1354">
        <v>3802</v>
      </c>
      <c r="B1354" t="s">
        <v>4988</v>
      </c>
      <c r="C1354" t="s">
        <v>5005</v>
      </c>
      <c r="E1354" t="s">
        <v>6289</v>
      </c>
      <c r="H1354" t="s">
        <v>3061</v>
      </c>
      <c r="I1354">
        <v>3802</v>
      </c>
      <c r="K1354">
        <v>0</v>
      </c>
    </row>
    <row r="1355" spans="1:11" hidden="1">
      <c r="A1355">
        <v>3803</v>
      </c>
      <c r="B1355" t="s">
        <v>4988</v>
      </c>
      <c r="C1355" t="s">
        <v>5001</v>
      </c>
      <c r="E1355" t="s">
        <v>6289</v>
      </c>
      <c r="H1355" t="s">
        <v>3061</v>
      </c>
      <c r="I1355">
        <v>3803</v>
      </c>
      <c r="K1355">
        <v>0</v>
      </c>
    </row>
    <row r="1356" spans="1:11" hidden="1">
      <c r="A1356">
        <v>3804</v>
      </c>
      <c r="B1356" t="s">
        <v>4988</v>
      </c>
      <c r="C1356" t="s">
        <v>4994</v>
      </c>
      <c r="E1356" t="s">
        <v>6289</v>
      </c>
      <c r="H1356" t="s">
        <v>3061</v>
      </c>
      <c r="I1356">
        <v>3804</v>
      </c>
      <c r="K1356">
        <v>0</v>
      </c>
    </row>
    <row r="1357" spans="1:11" hidden="1">
      <c r="A1357">
        <v>3805</v>
      </c>
      <c r="B1357" t="s">
        <v>4988</v>
      </c>
      <c r="C1357" t="s">
        <v>5003</v>
      </c>
      <c r="E1357" t="s">
        <v>6289</v>
      </c>
      <c r="H1357" t="s">
        <v>3061</v>
      </c>
      <c r="I1357">
        <v>3805</v>
      </c>
      <c r="K1357">
        <v>0</v>
      </c>
    </row>
    <row r="1358" spans="1:11" hidden="1">
      <c r="A1358">
        <v>3806</v>
      </c>
      <c r="B1358" t="s">
        <v>4988</v>
      </c>
      <c r="C1358" t="s">
        <v>4997</v>
      </c>
      <c r="E1358" t="s">
        <v>6289</v>
      </c>
      <c r="H1358" t="s">
        <v>3061</v>
      </c>
      <c r="I1358">
        <v>3806</v>
      </c>
      <c r="K1358">
        <v>0</v>
      </c>
    </row>
    <row r="1359" spans="1:11" hidden="1">
      <c r="A1359">
        <v>3807</v>
      </c>
      <c r="B1359" t="s">
        <v>4988</v>
      </c>
      <c r="C1359" t="s">
        <v>5002</v>
      </c>
      <c r="E1359" t="s">
        <v>6289</v>
      </c>
      <c r="H1359" t="s">
        <v>3061</v>
      </c>
      <c r="I1359">
        <v>3807</v>
      </c>
      <c r="K1359">
        <v>0</v>
      </c>
    </row>
    <row r="1360" spans="1:11" hidden="1">
      <c r="A1360">
        <v>3808</v>
      </c>
      <c r="B1360" t="s">
        <v>4988</v>
      </c>
      <c r="C1360" t="s">
        <v>4999</v>
      </c>
      <c r="E1360" t="s">
        <v>6289</v>
      </c>
      <c r="H1360" t="s">
        <v>3061</v>
      </c>
      <c r="I1360">
        <v>3808</v>
      </c>
      <c r="K1360">
        <v>0</v>
      </c>
    </row>
    <row r="1361" spans="1:11" hidden="1">
      <c r="A1361">
        <v>3809</v>
      </c>
      <c r="B1361" t="s">
        <v>4988</v>
      </c>
      <c r="C1361" t="s">
        <v>4495</v>
      </c>
      <c r="E1361" t="s">
        <v>6289</v>
      </c>
      <c r="H1361" t="s">
        <v>3061</v>
      </c>
      <c r="I1361">
        <v>3809</v>
      </c>
      <c r="K1361">
        <v>0</v>
      </c>
    </row>
    <row r="1362" spans="1:11" hidden="1">
      <c r="A1362">
        <v>3810</v>
      </c>
      <c r="B1362" t="s">
        <v>4988</v>
      </c>
      <c r="C1362" t="s">
        <v>4992</v>
      </c>
      <c r="E1362" t="s">
        <v>6289</v>
      </c>
      <c r="H1362" t="s">
        <v>3061</v>
      </c>
      <c r="I1362">
        <v>3810</v>
      </c>
      <c r="K1362">
        <v>0</v>
      </c>
    </row>
    <row r="1363" spans="1:11" hidden="1">
      <c r="A1363">
        <v>3811</v>
      </c>
      <c r="B1363" t="s">
        <v>4988</v>
      </c>
      <c r="C1363" t="s">
        <v>4996</v>
      </c>
      <c r="E1363" t="s">
        <v>6289</v>
      </c>
      <c r="H1363" t="s">
        <v>3061</v>
      </c>
      <c r="I1363">
        <v>3811</v>
      </c>
      <c r="K1363">
        <v>0</v>
      </c>
    </row>
    <row r="1364" spans="1:11" hidden="1">
      <c r="A1364">
        <v>3812</v>
      </c>
      <c r="B1364" t="s">
        <v>4988</v>
      </c>
      <c r="C1364" t="s">
        <v>4990</v>
      </c>
      <c r="E1364" t="s">
        <v>6289</v>
      </c>
      <c r="H1364" t="s">
        <v>3061</v>
      </c>
      <c r="I1364">
        <v>3812</v>
      </c>
      <c r="K1364">
        <v>0</v>
      </c>
    </row>
    <row r="1365" spans="1:11" hidden="1">
      <c r="A1365">
        <v>3813</v>
      </c>
      <c r="B1365" t="s">
        <v>4988</v>
      </c>
      <c r="C1365" t="s">
        <v>4995</v>
      </c>
      <c r="E1365" t="s">
        <v>6289</v>
      </c>
      <c r="H1365" t="s">
        <v>3061</v>
      </c>
      <c r="I1365">
        <v>3813</v>
      </c>
      <c r="K1365">
        <v>0</v>
      </c>
    </row>
    <row r="1366" spans="1:11" hidden="1">
      <c r="A1366">
        <v>3814</v>
      </c>
      <c r="B1366" t="s">
        <v>4988</v>
      </c>
      <c r="C1366" t="s">
        <v>4998</v>
      </c>
      <c r="E1366" t="s">
        <v>6289</v>
      </c>
      <c r="H1366" t="s">
        <v>3061</v>
      </c>
      <c r="I1366">
        <v>3814</v>
      </c>
      <c r="K1366">
        <v>0</v>
      </c>
    </row>
    <row r="1367" spans="1:11" hidden="1">
      <c r="A1367">
        <v>3815</v>
      </c>
      <c r="B1367" t="s">
        <v>4988</v>
      </c>
      <c r="C1367" t="s">
        <v>5008</v>
      </c>
      <c r="E1367" t="s">
        <v>6289</v>
      </c>
      <c r="F1367" t="s">
        <v>5009</v>
      </c>
      <c r="H1367" t="s">
        <v>3061</v>
      </c>
      <c r="I1367">
        <v>3815</v>
      </c>
      <c r="K1367">
        <v>0</v>
      </c>
    </row>
    <row r="1368" spans="1:11" hidden="1">
      <c r="A1368">
        <v>3816</v>
      </c>
      <c r="B1368" t="s">
        <v>4988</v>
      </c>
      <c r="C1368" t="s">
        <v>5010</v>
      </c>
      <c r="E1368" t="s">
        <v>6289</v>
      </c>
      <c r="F1368" t="s">
        <v>5011</v>
      </c>
      <c r="H1368" t="s">
        <v>3061</v>
      </c>
      <c r="I1368">
        <v>3816</v>
      </c>
      <c r="K1368">
        <v>0</v>
      </c>
    </row>
    <row r="1369" spans="1:11" hidden="1">
      <c r="A1369">
        <v>3817</v>
      </c>
      <c r="B1369" t="s">
        <v>4988</v>
      </c>
      <c r="C1369" t="s">
        <v>5014</v>
      </c>
      <c r="E1369" t="s">
        <v>6289</v>
      </c>
      <c r="F1369" t="s">
        <v>5015</v>
      </c>
      <c r="H1369" t="s">
        <v>3061</v>
      </c>
      <c r="I1369">
        <v>3817</v>
      </c>
      <c r="K1369">
        <v>0</v>
      </c>
    </row>
    <row r="1370" spans="1:11" hidden="1">
      <c r="A1370">
        <v>3818</v>
      </c>
      <c r="B1370" t="s">
        <v>4988</v>
      </c>
      <c r="C1370" t="s">
        <v>5012</v>
      </c>
      <c r="E1370" t="s">
        <v>6289</v>
      </c>
      <c r="F1370" t="s">
        <v>5013</v>
      </c>
      <c r="H1370" t="s">
        <v>3061</v>
      </c>
      <c r="I1370">
        <v>3818</v>
      </c>
      <c r="K1370">
        <v>0</v>
      </c>
    </row>
    <row r="1371" spans="1:11" hidden="1">
      <c r="A1371">
        <v>3819</v>
      </c>
      <c r="B1371" t="s">
        <v>4988</v>
      </c>
      <c r="C1371" t="s">
        <v>5006</v>
      </c>
      <c r="E1371" t="s">
        <v>6289</v>
      </c>
      <c r="F1371" t="s">
        <v>5007</v>
      </c>
      <c r="H1371" t="s">
        <v>3061</v>
      </c>
      <c r="I1371">
        <v>3819</v>
      </c>
      <c r="K1371">
        <v>0</v>
      </c>
    </row>
    <row r="1372" spans="1:11" hidden="1">
      <c r="A1372">
        <v>3820</v>
      </c>
      <c r="B1372" t="s">
        <v>4988</v>
      </c>
      <c r="C1372" t="s">
        <v>4989</v>
      </c>
      <c r="E1372" t="s">
        <v>6289</v>
      </c>
      <c r="H1372" t="s">
        <v>3061</v>
      </c>
      <c r="I1372">
        <v>3820</v>
      </c>
      <c r="K1372">
        <v>0</v>
      </c>
    </row>
    <row r="1373" spans="1:11" hidden="1">
      <c r="A1373">
        <v>3821</v>
      </c>
      <c r="B1373" t="s">
        <v>4988</v>
      </c>
      <c r="C1373" t="s">
        <v>4991</v>
      </c>
      <c r="E1373" t="s">
        <v>6289</v>
      </c>
      <c r="H1373" t="s">
        <v>3061</v>
      </c>
      <c r="I1373">
        <v>3821</v>
      </c>
      <c r="K1373">
        <v>0</v>
      </c>
    </row>
    <row r="1374" spans="1:11" hidden="1">
      <c r="A1374">
        <v>3822</v>
      </c>
      <c r="B1374" t="s">
        <v>4988</v>
      </c>
      <c r="C1374" t="s">
        <v>5016</v>
      </c>
      <c r="E1374" t="s">
        <v>6289</v>
      </c>
      <c r="H1374" t="s">
        <v>3061</v>
      </c>
      <c r="I1374">
        <v>3822</v>
      </c>
      <c r="K1374">
        <v>0</v>
      </c>
    </row>
    <row r="1375" spans="1:11" hidden="1">
      <c r="A1375">
        <v>3823</v>
      </c>
      <c r="B1375" t="s">
        <v>4988</v>
      </c>
      <c r="C1375" t="s">
        <v>3141</v>
      </c>
      <c r="E1375" t="s">
        <v>6289</v>
      </c>
      <c r="F1375" t="s">
        <v>3141</v>
      </c>
      <c r="H1375" t="s">
        <v>3061</v>
      </c>
      <c r="I1375">
        <v>3823</v>
      </c>
      <c r="K1375">
        <v>0</v>
      </c>
    </row>
    <row r="1376" spans="1:11" hidden="1">
      <c r="A1376">
        <v>3824</v>
      </c>
      <c r="B1376" t="s">
        <v>4988</v>
      </c>
      <c r="C1376" t="s">
        <v>3144</v>
      </c>
      <c r="E1376" t="s">
        <v>6289</v>
      </c>
      <c r="F1376" t="s">
        <v>3145</v>
      </c>
      <c r="H1376" t="s">
        <v>3061</v>
      </c>
      <c r="I1376">
        <v>3824</v>
      </c>
      <c r="K1376">
        <v>0</v>
      </c>
    </row>
    <row r="1377" spans="1:11" hidden="1">
      <c r="A1377">
        <v>3825</v>
      </c>
      <c r="B1377" t="s">
        <v>4988</v>
      </c>
      <c r="C1377" t="s">
        <v>4993</v>
      </c>
      <c r="E1377" t="s">
        <v>6289</v>
      </c>
      <c r="H1377" t="s">
        <v>3061</v>
      </c>
      <c r="I1377">
        <v>3825</v>
      </c>
      <c r="K1377">
        <v>0</v>
      </c>
    </row>
    <row r="1378" spans="1:11" hidden="1">
      <c r="A1378">
        <v>498</v>
      </c>
      <c r="B1378" t="s">
        <v>5017</v>
      </c>
      <c r="C1378" t="s">
        <v>3055</v>
      </c>
      <c r="D1378">
        <v>2</v>
      </c>
      <c r="E1378" t="s">
        <v>6289</v>
      </c>
      <c r="F1378" t="s">
        <v>2109</v>
      </c>
      <c r="H1378" t="s">
        <v>3056</v>
      </c>
      <c r="I1378">
        <v>498</v>
      </c>
      <c r="K1378">
        <v>0</v>
      </c>
    </row>
    <row r="1379" spans="1:11" hidden="1">
      <c r="A1379">
        <v>499</v>
      </c>
      <c r="B1379" t="s">
        <v>5017</v>
      </c>
      <c r="C1379" t="s">
        <v>5018</v>
      </c>
      <c r="D1379">
        <v>1</v>
      </c>
      <c r="E1379" t="s">
        <v>6289</v>
      </c>
      <c r="F1379" t="s">
        <v>5019</v>
      </c>
      <c r="H1379" t="s">
        <v>3056</v>
      </c>
      <c r="I1379">
        <v>499</v>
      </c>
      <c r="K1379">
        <v>0</v>
      </c>
    </row>
    <row r="1380" spans="1:11" hidden="1">
      <c r="A1380">
        <v>495</v>
      </c>
      <c r="B1380" t="s">
        <v>5020</v>
      </c>
      <c r="C1380" t="s">
        <v>5021</v>
      </c>
      <c r="E1380" t="s">
        <v>6289</v>
      </c>
      <c r="F1380" t="s">
        <v>5021</v>
      </c>
      <c r="H1380" t="s">
        <v>3056</v>
      </c>
      <c r="I1380">
        <v>495</v>
      </c>
      <c r="K1380">
        <v>0</v>
      </c>
    </row>
    <row r="1381" spans="1:11" hidden="1">
      <c r="A1381">
        <v>496</v>
      </c>
      <c r="B1381" t="s">
        <v>5020</v>
      </c>
      <c r="C1381" t="s">
        <v>4231</v>
      </c>
      <c r="E1381" t="s">
        <v>6289</v>
      </c>
      <c r="F1381" t="s">
        <v>4231</v>
      </c>
      <c r="H1381" t="s">
        <v>3056</v>
      </c>
      <c r="I1381">
        <v>496</v>
      </c>
      <c r="K1381">
        <v>0</v>
      </c>
    </row>
    <row r="1382" spans="1:11" hidden="1">
      <c r="A1382">
        <v>497</v>
      </c>
      <c r="B1382" t="s">
        <v>5020</v>
      </c>
      <c r="C1382" t="s">
        <v>5022</v>
      </c>
      <c r="E1382" t="s">
        <v>6289</v>
      </c>
      <c r="F1382" t="s">
        <v>4031</v>
      </c>
      <c r="H1382" t="s">
        <v>3056</v>
      </c>
      <c r="I1382">
        <v>497</v>
      </c>
      <c r="K1382">
        <v>0</v>
      </c>
    </row>
    <row r="1383" spans="1:11" hidden="1">
      <c r="A1383">
        <v>10005</v>
      </c>
      <c r="B1383" t="s">
        <v>5020</v>
      </c>
      <c r="C1383" t="s">
        <v>5023</v>
      </c>
      <c r="E1383" t="s">
        <v>6289</v>
      </c>
      <c r="F1383" t="s">
        <v>5024</v>
      </c>
      <c r="H1383" t="s">
        <v>3056</v>
      </c>
      <c r="I1383">
        <v>10005</v>
      </c>
      <c r="K1383">
        <v>0</v>
      </c>
    </row>
    <row r="1384" spans="1:11" hidden="1">
      <c r="A1384">
        <v>521</v>
      </c>
      <c r="B1384" t="s">
        <v>5025</v>
      </c>
      <c r="C1384" t="s">
        <v>5028</v>
      </c>
      <c r="E1384" t="s">
        <v>6289</v>
      </c>
      <c r="F1384" t="s">
        <v>3084</v>
      </c>
      <c r="H1384" t="s">
        <v>3056</v>
      </c>
      <c r="I1384">
        <v>521</v>
      </c>
      <c r="K1384">
        <v>0</v>
      </c>
    </row>
    <row r="1385" spans="1:11" hidden="1">
      <c r="A1385">
        <v>522</v>
      </c>
      <c r="B1385" t="s">
        <v>5025</v>
      </c>
      <c r="C1385" t="s">
        <v>5026</v>
      </c>
      <c r="E1385" t="s">
        <v>6289</v>
      </c>
      <c r="F1385" t="s">
        <v>4878</v>
      </c>
      <c r="H1385" t="s">
        <v>3056</v>
      </c>
      <c r="I1385">
        <v>522</v>
      </c>
      <c r="K1385">
        <v>0</v>
      </c>
    </row>
    <row r="1386" spans="1:11" hidden="1">
      <c r="A1386">
        <v>639</v>
      </c>
      <c r="B1386" t="s">
        <v>5025</v>
      </c>
      <c r="C1386" t="s">
        <v>5027</v>
      </c>
      <c r="E1386" t="s">
        <v>6289</v>
      </c>
      <c r="F1386" t="s">
        <v>4603</v>
      </c>
      <c r="H1386" t="s">
        <v>3056</v>
      </c>
      <c r="I1386">
        <v>639</v>
      </c>
      <c r="K1386">
        <v>0</v>
      </c>
    </row>
    <row r="1387" spans="1:11" hidden="1">
      <c r="A1387">
        <v>16220</v>
      </c>
      <c r="B1387" t="s">
        <v>5029</v>
      </c>
      <c r="C1387" t="s">
        <v>2134</v>
      </c>
      <c r="E1387" t="s">
        <v>6289</v>
      </c>
      <c r="H1387" t="s">
        <v>3056</v>
      </c>
      <c r="I1387">
        <v>16220</v>
      </c>
      <c r="K1387">
        <v>0</v>
      </c>
    </row>
    <row r="1388" spans="1:11" hidden="1">
      <c r="A1388">
        <v>16230</v>
      </c>
      <c r="B1388" t="s">
        <v>5029</v>
      </c>
      <c r="C1388" t="s">
        <v>5030</v>
      </c>
      <c r="E1388" t="s">
        <v>6289</v>
      </c>
      <c r="H1388" t="s">
        <v>3056</v>
      </c>
      <c r="I1388">
        <v>16230</v>
      </c>
      <c r="K1388">
        <v>0</v>
      </c>
    </row>
    <row r="1389" spans="1:11" hidden="1">
      <c r="A1389">
        <v>16240</v>
      </c>
      <c r="B1389" t="s">
        <v>5029</v>
      </c>
      <c r="C1389" t="s">
        <v>5031</v>
      </c>
      <c r="E1389" t="s">
        <v>6289</v>
      </c>
      <c r="H1389" t="s">
        <v>3056</v>
      </c>
      <c r="I1389">
        <v>16240</v>
      </c>
      <c r="K1389">
        <v>0</v>
      </c>
    </row>
    <row r="1390" spans="1:11" hidden="1">
      <c r="A1390">
        <v>19001</v>
      </c>
      <c r="B1390" t="s">
        <v>5032</v>
      </c>
      <c r="C1390" t="s">
        <v>5034</v>
      </c>
      <c r="E1390" t="s">
        <v>6289</v>
      </c>
      <c r="H1390" t="s">
        <v>3056</v>
      </c>
      <c r="I1390">
        <v>19001</v>
      </c>
      <c r="K1390">
        <v>0</v>
      </c>
    </row>
    <row r="1391" spans="1:11" hidden="1">
      <c r="A1391">
        <v>19002</v>
      </c>
      <c r="B1391" t="s">
        <v>5032</v>
      </c>
      <c r="C1391" t="s">
        <v>5033</v>
      </c>
      <c r="E1391" t="s">
        <v>6289</v>
      </c>
      <c r="H1391" t="s">
        <v>3056</v>
      </c>
      <c r="I1391">
        <v>19002</v>
      </c>
      <c r="K1391">
        <v>0</v>
      </c>
    </row>
    <row r="1392" spans="1:11" hidden="1">
      <c r="A1392">
        <v>12750</v>
      </c>
      <c r="B1392" t="s">
        <v>5035</v>
      </c>
      <c r="C1392" t="s">
        <v>5036</v>
      </c>
      <c r="E1392" t="s">
        <v>6289</v>
      </c>
      <c r="H1392" t="s">
        <v>3056</v>
      </c>
      <c r="I1392">
        <v>12750</v>
      </c>
      <c r="K1392">
        <v>0</v>
      </c>
    </row>
    <row r="1393" spans="1:11" hidden="1">
      <c r="A1393">
        <v>12760</v>
      </c>
      <c r="B1393" t="s">
        <v>5035</v>
      </c>
      <c r="C1393" t="s">
        <v>5037</v>
      </c>
      <c r="E1393" t="s">
        <v>6289</v>
      </c>
      <c r="H1393" t="s">
        <v>3056</v>
      </c>
      <c r="I1393">
        <v>12760</v>
      </c>
      <c r="K1393">
        <v>0</v>
      </c>
    </row>
    <row r="1394" spans="1:11" hidden="1">
      <c r="A1394">
        <v>1</v>
      </c>
      <c r="B1394" t="s">
        <v>3500</v>
      </c>
      <c r="C1394" t="s">
        <v>3501</v>
      </c>
      <c r="E1394" t="s">
        <v>6289</v>
      </c>
      <c r="G1394">
        <v>0</v>
      </c>
      <c r="H1394" t="s">
        <v>3056</v>
      </c>
      <c r="I1394">
        <v>6310</v>
      </c>
      <c r="K1394" t="s">
        <v>2972</v>
      </c>
    </row>
    <row r="1395" spans="1:11" hidden="1">
      <c r="A1395">
        <v>2</v>
      </c>
      <c r="B1395" t="s">
        <v>3500</v>
      </c>
      <c r="C1395" t="s">
        <v>3502</v>
      </c>
      <c r="E1395" t="s">
        <v>6289</v>
      </c>
      <c r="G1395">
        <v>0</v>
      </c>
      <c r="H1395" t="s">
        <v>3056</v>
      </c>
      <c r="I1395">
        <v>6320</v>
      </c>
      <c r="K1395" t="s">
        <v>2972</v>
      </c>
    </row>
    <row r="1396" spans="1:11" hidden="1">
      <c r="A1396">
        <v>3</v>
      </c>
      <c r="B1396" t="s">
        <v>3500</v>
      </c>
      <c r="C1396" t="s">
        <v>3503</v>
      </c>
      <c r="E1396" t="s">
        <v>6289</v>
      </c>
      <c r="G1396">
        <v>0</v>
      </c>
      <c r="H1396" t="s">
        <v>3056</v>
      </c>
      <c r="I1396">
        <v>6330</v>
      </c>
      <c r="K1396" t="s">
        <v>2972</v>
      </c>
    </row>
    <row r="1397" spans="1:11" hidden="1">
      <c r="A1397">
        <v>4</v>
      </c>
      <c r="B1397" t="s">
        <v>3500</v>
      </c>
      <c r="C1397" t="s">
        <v>3504</v>
      </c>
      <c r="E1397" t="s">
        <v>6289</v>
      </c>
      <c r="G1397">
        <v>0</v>
      </c>
      <c r="H1397" t="s">
        <v>3056</v>
      </c>
      <c r="I1397">
        <v>6340</v>
      </c>
      <c r="K1397" t="s">
        <v>2972</v>
      </c>
    </row>
    <row r="1398" spans="1:11" hidden="1">
      <c r="A1398">
        <v>5</v>
      </c>
      <c r="B1398" t="s">
        <v>3500</v>
      </c>
      <c r="C1398" t="s">
        <v>3505</v>
      </c>
      <c r="E1398" t="s">
        <v>6289</v>
      </c>
      <c r="G1398">
        <v>0</v>
      </c>
      <c r="H1398" t="s">
        <v>3056</v>
      </c>
      <c r="I1398">
        <v>6350</v>
      </c>
      <c r="K1398" t="s">
        <v>2972</v>
      </c>
    </row>
    <row r="1399" spans="1:11" hidden="1">
      <c r="A1399">
        <v>6</v>
      </c>
      <c r="B1399" t="s">
        <v>3500</v>
      </c>
      <c r="C1399" t="s">
        <v>3506</v>
      </c>
      <c r="E1399" t="s">
        <v>6289</v>
      </c>
      <c r="G1399">
        <v>0</v>
      </c>
      <c r="H1399" t="s">
        <v>3056</v>
      </c>
      <c r="I1399">
        <v>6360</v>
      </c>
      <c r="K1399" t="s">
        <v>2972</v>
      </c>
    </row>
    <row r="1400" spans="1:11" hidden="1">
      <c r="A1400">
        <v>7</v>
      </c>
      <c r="B1400" t="s">
        <v>3500</v>
      </c>
      <c r="C1400" t="s">
        <v>3507</v>
      </c>
      <c r="E1400" t="s">
        <v>6289</v>
      </c>
      <c r="G1400">
        <v>0</v>
      </c>
      <c r="H1400" t="s">
        <v>3056</v>
      </c>
      <c r="I1400">
        <v>6370</v>
      </c>
      <c r="K1400" t="s">
        <v>2972</v>
      </c>
    </row>
    <row r="1401" spans="1:11" hidden="1">
      <c r="A1401">
        <v>8</v>
      </c>
      <c r="B1401" t="s">
        <v>3500</v>
      </c>
      <c r="C1401" t="s">
        <v>3508</v>
      </c>
      <c r="E1401" t="s">
        <v>6289</v>
      </c>
      <c r="G1401">
        <v>0</v>
      </c>
      <c r="H1401" t="s">
        <v>3056</v>
      </c>
      <c r="I1401">
        <v>6380</v>
      </c>
      <c r="K1401" t="s">
        <v>2972</v>
      </c>
    </row>
    <row r="1402" spans="1:11" hidden="1">
      <c r="A1402">
        <v>9</v>
      </c>
      <c r="B1402" t="s">
        <v>3500</v>
      </c>
      <c r="C1402" t="s">
        <v>3509</v>
      </c>
      <c r="E1402" t="s">
        <v>6289</v>
      </c>
      <c r="G1402">
        <v>0</v>
      </c>
      <c r="H1402" t="s">
        <v>3056</v>
      </c>
      <c r="I1402">
        <v>6390</v>
      </c>
      <c r="K1402" t="s">
        <v>2972</v>
      </c>
    </row>
    <row r="1403" spans="1:11" hidden="1">
      <c r="A1403">
        <v>10</v>
      </c>
      <c r="B1403" t="s">
        <v>3500</v>
      </c>
      <c r="C1403" t="s">
        <v>3510</v>
      </c>
      <c r="E1403" t="s">
        <v>6289</v>
      </c>
      <c r="G1403">
        <v>0</v>
      </c>
      <c r="H1403" t="s">
        <v>3056</v>
      </c>
      <c r="I1403">
        <v>6400</v>
      </c>
      <c r="K1403" t="s">
        <v>2972</v>
      </c>
    </row>
    <row r="1404" spans="1:11" hidden="1">
      <c r="A1404">
        <v>11</v>
      </c>
      <c r="B1404" t="s">
        <v>3500</v>
      </c>
      <c r="C1404" t="s">
        <v>3511</v>
      </c>
      <c r="E1404" t="s">
        <v>6289</v>
      </c>
      <c r="G1404">
        <v>0</v>
      </c>
      <c r="H1404" t="s">
        <v>3056</v>
      </c>
      <c r="I1404">
        <v>6410</v>
      </c>
      <c r="K1404" t="s">
        <v>2972</v>
      </c>
    </row>
    <row r="1405" spans="1:11" hidden="1">
      <c r="A1405">
        <v>12</v>
      </c>
      <c r="B1405" t="s">
        <v>3500</v>
      </c>
      <c r="C1405" t="s">
        <v>3512</v>
      </c>
      <c r="E1405" t="s">
        <v>6289</v>
      </c>
      <c r="G1405">
        <v>0</v>
      </c>
      <c r="H1405" t="s">
        <v>3056</v>
      </c>
      <c r="I1405">
        <v>6420</v>
      </c>
      <c r="K1405" t="s">
        <v>2972</v>
      </c>
    </row>
    <row r="1406" spans="1:11" hidden="1">
      <c r="A1406">
        <v>13</v>
      </c>
      <c r="B1406" t="s">
        <v>3500</v>
      </c>
      <c r="C1406" t="s">
        <v>3513</v>
      </c>
      <c r="E1406" t="s">
        <v>6289</v>
      </c>
      <c r="G1406">
        <v>0</v>
      </c>
      <c r="H1406" t="s">
        <v>3056</v>
      </c>
      <c r="I1406">
        <v>6510</v>
      </c>
      <c r="K1406" t="s">
        <v>2972</v>
      </c>
    </row>
    <row r="1407" spans="1:11" hidden="1">
      <c r="A1407">
        <v>14</v>
      </c>
      <c r="B1407" t="s">
        <v>3500</v>
      </c>
      <c r="C1407" t="s">
        <v>3514</v>
      </c>
      <c r="E1407" t="s">
        <v>6289</v>
      </c>
      <c r="G1407">
        <v>0</v>
      </c>
      <c r="H1407" t="s">
        <v>3056</v>
      </c>
      <c r="I1407">
        <v>6430</v>
      </c>
      <c r="K1407" t="s">
        <v>2972</v>
      </c>
    </row>
    <row r="1408" spans="1:11" hidden="1">
      <c r="A1408">
        <v>15</v>
      </c>
      <c r="B1408" t="s">
        <v>3500</v>
      </c>
      <c r="C1408" t="s">
        <v>3515</v>
      </c>
      <c r="E1408" t="s">
        <v>6289</v>
      </c>
      <c r="G1408">
        <v>0</v>
      </c>
      <c r="H1408" t="s">
        <v>3056</v>
      </c>
      <c r="I1408">
        <v>6440</v>
      </c>
      <c r="K1408" t="s">
        <v>2972</v>
      </c>
    </row>
    <row r="1409" spans="1:11" hidden="1">
      <c r="A1409">
        <v>16</v>
      </c>
      <c r="B1409" t="s">
        <v>3500</v>
      </c>
      <c r="C1409" t="s">
        <v>3516</v>
      </c>
      <c r="E1409" t="s">
        <v>6289</v>
      </c>
      <c r="G1409">
        <v>0</v>
      </c>
      <c r="H1409" t="s">
        <v>3056</v>
      </c>
      <c r="I1409">
        <v>6450</v>
      </c>
      <c r="K1409" t="s">
        <v>2972</v>
      </c>
    </row>
    <row r="1410" spans="1:11" hidden="1">
      <c r="A1410">
        <v>17</v>
      </c>
      <c r="B1410" t="s">
        <v>3500</v>
      </c>
      <c r="C1410" t="s">
        <v>3517</v>
      </c>
      <c r="E1410" t="s">
        <v>6289</v>
      </c>
      <c r="G1410">
        <v>0</v>
      </c>
      <c r="H1410" t="s">
        <v>3056</v>
      </c>
      <c r="I1410">
        <v>6460</v>
      </c>
      <c r="K1410" t="s">
        <v>2972</v>
      </c>
    </row>
    <row r="1411" spans="1:11" hidden="1">
      <c r="A1411">
        <v>18</v>
      </c>
      <c r="B1411" t="s">
        <v>3500</v>
      </c>
      <c r="C1411" t="s">
        <v>3518</v>
      </c>
      <c r="E1411" t="s">
        <v>6289</v>
      </c>
      <c r="G1411">
        <v>0</v>
      </c>
      <c r="H1411" t="s">
        <v>3056</v>
      </c>
      <c r="I1411">
        <v>6470</v>
      </c>
      <c r="K1411" t="s">
        <v>2972</v>
      </c>
    </row>
    <row r="1412" spans="1:11" hidden="1">
      <c r="A1412">
        <v>19</v>
      </c>
      <c r="B1412" t="s">
        <v>3500</v>
      </c>
      <c r="C1412" t="s">
        <v>3519</v>
      </c>
      <c r="E1412" t="s">
        <v>6289</v>
      </c>
      <c r="G1412">
        <v>0</v>
      </c>
      <c r="H1412" t="s">
        <v>3056</v>
      </c>
      <c r="I1412">
        <v>6480</v>
      </c>
      <c r="K1412" t="s">
        <v>2972</v>
      </c>
    </row>
    <row r="1413" spans="1:11" hidden="1">
      <c r="A1413">
        <v>20</v>
      </c>
      <c r="B1413" t="s">
        <v>3500</v>
      </c>
      <c r="C1413" t="s">
        <v>3520</v>
      </c>
      <c r="E1413" t="s">
        <v>6289</v>
      </c>
      <c r="G1413">
        <v>0</v>
      </c>
      <c r="H1413" t="s">
        <v>3056</v>
      </c>
      <c r="I1413">
        <v>6490</v>
      </c>
      <c r="K1413" t="s">
        <v>2972</v>
      </c>
    </row>
    <row r="1414" spans="1:11" hidden="1">
      <c r="A1414">
        <v>21</v>
      </c>
      <c r="B1414" t="s">
        <v>3500</v>
      </c>
      <c r="C1414" t="s">
        <v>3521</v>
      </c>
      <c r="E1414" t="s">
        <v>6289</v>
      </c>
      <c r="G1414">
        <v>0</v>
      </c>
      <c r="H1414" t="s">
        <v>3056</v>
      </c>
      <c r="I1414">
        <v>6500</v>
      </c>
      <c r="K1414" t="s">
        <v>2972</v>
      </c>
    </row>
    <row r="1415" spans="1:11" hidden="1">
      <c r="A1415">
        <v>3900</v>
      </c>
      <c r="B1415" t="s">
        <v>5038</v>
      </c>
      <c r="C1415" t="s">
        <v>5039</v>
      </c>
      <c r="E1415" t="s">
        <v>6289</v>
      </c>
      <c r="F1415" t="s">
        <v>5040</v>
      </c>
      <c r="H1415" t="s">
        <v>3061</v>
      </c>
      <c r="I1415">
        <v>3900</v>
      </c>
      <c r="K1415">
        <v>0</v>
      </c>
    </row>
    <row r="1416" spans="1:11" hidden="1">
      <c r="A1416">
        <v>3901</v>
      </c>
      <c r="B1416" t="s">
        <v>5038</v>
      </c>
      <c r="C1416" t="s">
        <v>3132</v>
      </c>
      <c r="E1416" t="s">
        <v>6289</v>
      </c>
      <c r="F1416" t="s">
        <v>3133</v>
      </c>
      <c r="H1416" t="s">
        <v>3061</v>
      </c>
      <c r="I1416">
        <v>3901</v>
      </c>
      <c r="K1416">
        <v>0</v>
      </c>
    </row>
    <row r="1417" spans="1:11" hidden="1">
      <c r="A1417">
        <v>4000</v>
      </c>
      <c r="B1417" t="s">
        <v>5041</v>
      </c>
      <c r="C1417" t="s">
        <v>5042</v>
      </c>
      <c r="E1417" t="s">
        <v>6289</v>
      </c>
      <c r="F1417">
        <v>1</v>
      </c>
      <c r="H1417" t="s">
        <v>3061</v>
      </c>
      <c r="I1417">
        <v>4000</v>
      </c>
      <c r="K1417">
        <v>0</v>
      </c>
    </row>
    <row r="1418" spans="1:11" hidden="1">
      <c r="A1418">
        <v>4001</v>
      </c>
      <c r="B1418" t="s">
        <v>5041</v>
      </c>
      <c r="C1418" t="s">
        <v>5043</v>
      </c>
      <c r="E1418" t="s">
        <v>6289</v>
      </c>
      <c r="F1418">
        <v>2</v>
      </c>
      <c r="H1418" t="s">
        <v>3061</v>
      </c>
      <c r="I1418">
        <v>4001</v>
      </c>
      <c r="K1418">
        <v>0</v>
      </c>
    </row>
    <row r="1419" spans="1:11" hidden="1">
      <c r="A1419">
        <v>4002</v>
      </c>
      <c r="B1419" t="s">
        <v>5041</v>
      </c>
      <c r="C1419" t="s">
        <v>5044</v>
      </c>
      <c r="E1419" t="s">
        <v>6289</v>
      </c>
      <c r="F1419">
        <v>3</v>
      </c>
      <c r="H1419" t="s">
        <v>3061</v>
      </c>
      <c r="I1419">
        <v>4002</v>
      </c>
      <c r="K1419">
        <v>0</v>
      </c>
    </row>
    <row r="1420" spans="1:11" hidden="1">
      <c r="A1420">
        <v>1</v>
      </c>
      <c r="B1420" t="s">
        <v>1137</v>
      </c>
      <c r="C1420" t="s">
        <v>3522</v>
      </c>
      <c r="E1420" t="s">
        <v>6289</v>
      </c>
      <c r="F1420" t="s">
        <v>3134</v>
      </c>
      <c r="G1420">
        <v>0</v>
      </c>
      <c r="H1420" t="s">
        <v>3061</v>
      </c>
      <c r="I1420">
        <v>73</v>
      </c>
      <c r="K1420" t="s">
        <v>2972</v>
      </c>
    </row>
    <row r="1421" spans="1:11" hidden="1">
      <c r="A1421">
        <v>2</v>
      </c>
      <c r="B1421" t="s">
        <v>1137</v>
      </c>
      <c r="C1421" t="s">
        <v>3523</v>
      </c>
      <c r="E1421" t="s">
        <v>6289</v>
      </c>
      <c r="F1421" t="s">
        <v>3136</v>
      </c>
      <c r="G1421">
        <v>0</v>
      </c>
      <c r="H1421" t="s">
        <v>3061</v>
      </c>
      <c r="I1421">
        <v>74</v>
      </c>
      <c r="K1421" t="s">
        <v>2972</v>
      </c>
    </row>
    <row r="1422" spans="1:11" hidden="1">
      <c r="A1422">
        <v>3</v>
      </c>
      <c r="B1422" t="s">
        <v>1137</v>
      </c>
      <c r="C1422" t="s">
        <v>3524</v>
      </c>
      <c r="E1422" t="s">
        <v>6289</v>
      </c>
      <c r="F1422" t="s">
        <v>3138</v>
      </c>
      <c r="G1422">
        <v>0</v>
      </c>
      <c r="H1422" t="s">
        <v>3061</v>
      </c>
      <c r="I1422">
        <v>75</v>
      </c>
      <c r="K1422" t="s">
        <v>2972</v>
      </c>
    </row>
    <row r="1423" spans="1:11" hidden="1">
      <c r="A1423">
        <v>4</v>
      </c>
      <c r="B1423" t="s">
        <v>1137</v>
      </c>
      <c r="C1423" t="s">
        <v>3525</v>
      </c>
      <c r="E1423" t="s">
        <v>6289</v>
      </c>
      <c r="F1423" t="s">
        <v>3071</v>
      </c>
      <c r="G1423">
        <v>0</v>
      </c>
      <c r="H1423" t="s">
        <v>3061</v>
      </c>
      <c r="I1423">
        <v>76</v>
      </c>
      <c r="K1423" t="s">
        <v>2972</v>
      </c>
    </row>
    <row r="1424" spans="1:11" hidden="1">
      <c r="A1424">
        <v>4100</v>
      </c>
      <c r="B1424" t="s">
        <v>5045</v>
      </c>
      <c r="C1424" t="s">
        <v>5046</v>
      </c>
      <c r="E1424" t="s">
        <v>6289</v>
      </c>
      <c r="H1424" t="s">
        <v>3061</v>
      </c>
      <c r="I1424">
        <v>4100</v>
      </c>
      <c r="K1424">
        <v>0</v>
      </c>
    </row>
    <row r="1425" spans="1:11" hidden="1">
      <c r="A1425">
        <v>4101</v>
      </c>
      <c r="B1425" t="s">
        <v>5045</v>
      </c>
      <c r="C1425" t="s">
        <v>5048</v>
      </c>
      <c r="E1425" t="s">
        <v>6289</v>
      </c>
      <c r="H1425" t="s">
        <v>3061</v>
      </c>
      <c r="I1425">
        <v>4101</v>
      </c>
      <c r="K1425">
        <v>0</v>
      </c>
    </row>
    <row r="1426" spans="1:11" hidden="1">
      <c r="A1426">
        <v>4102</v>
      </c>
      <c r="B1426" t="s">
        <v>5045</v>
      </c>
      <c r="C1426" t="s">
        <v>5047</v>
      </c>
      <c r="E1426" t="s">
        <v>6289</v>
      </c>
      <c r="H1426" t="s">
        <v>3061</v>
      </c>
      <c r="I1426">
        <v>4102</v>
      </c>
      <c r="K1426">
        <v>0</v>
      </c>
    </row>
    <row r="1427" spans="1:11" hidden="1">
      <c r="A1427">
        <v>4200</v>
      </c>
      <c r="B1427" t="s">
        <v>5049</v>
      </c>
      <c r="C1427" t="s">
        <v>5050</v>
      </c>
      <c r="E1427" t="s">
        <v>6289</v>
      </c>
      <c r="H1427" t="s">
        <v>3061</v>
      </c>
      <c r="I1427">
        <v>4200</v>
      </c>
      <c r="K1427">
        <v>0</v>
      </c>
    </row>
    <row r="1428" spans="1:11" hidden="1">
      <c r="A1428">
        <v>4201</v>
      </c>
      <c r="B1428" t="s">
        <v>5049</v>
      </c>
      <c r="C1428" t="s">
        <v>3702</v>
      </c>
      <c r="E1428" t="s">
        <v>6289</v>
      </c>
      <c r="H1428" t="s">
        <v>3061</v>
      </c>
      <c r="I1428">
        <v>4201</v>
      </c>
      <c r="K1428">
        <v>0</v>
      </c>
    </row>
    <row r="1429" spans="1:11" hidden="1">
      <c r="A1429">
        <v>6520</v>
      </c>
      <c r="B1429" t="s">
        <v>5051</v>
      </c>
      <c r="C1429" t="s">
        <v>3756</v>
      </c>
      <c r="E1429" t="s">
        <v>6289</v>
      </c>
      <c r="F1429" t="s">
        <v>3756</v>
      </c>
      <c r="H1429" t="s">
        <v>3056</v>
      </c>
      <c r="I1429">
        <v>6520</v>
      </c>
      <c r="K1429">
        <v>0</v>
      </c>
    </row>
    <row r="1430" spans="1:11" hidden="1">
      <c r="A1430">
        <v>6530</v>
      </c>
      <c r="B1430" t="s">
        <v>5051</v>
      </c>
      <c r="C1430" t="s">
        <v>152</v>
      </c>
      <c r="E1430" t="s">
        <v>6289</v>
      </c>
      <c r="F1430" t="s">
        <v>5052</v>
      </c>
      <c r="H1430" t="s">
        <v>3056</v>
      </c>
      <c r="I1430">
        <v>6530</v>
      </c>
      <c r="K1430">
        <v>0</v>
      </c>
    </row>
    <row r="1431" spans="1:11" hidden="1">
      <c r="A1431">
        <v>17890</v>
      </c>
      <c r="B1431" t="s">
        <v>5051</v>
      </c>
      <c r="C1431" t="s">
        <v>5053</v>
      </c>
      <c r="E1431" t="s">
        <v>6289</v>
      </c>
      <c r="F1431" t="s">
        <v>3756</v>
      </c>
      <c r="H1431" t="s">
        <v>3056</v>
      </c>
      <c r="I1431">
        <v>17890</v>
      </c>
      <c r="K1431">
        <v>0</v>
      </c>
    </row>
    <row r="1432" spans="1:11" hidden="1">
      <c r="A1432">
        <v>1304</v>
      </c>
      <c r="B1432" t="s">
        <v>5054</v>
      </c>
      <c r="C1432" t="s">
        <v>5058</v>
      </c>
      <c r="D1432">
        <v>1</v>
      </c>
      <c r="E1432" t="s">
        <v>6289</v>
      </c>
      <c r="H1432" t="s">
        <v>3056</v>
      </c>
      <c r="I1432">
        <v>1304</v>
      </c>
      <c r="K1432">
        <v>0</v>
      </c>
    </row>
    <row r="1433" spans="1:11" hidden="1">
      <c r="A1433">
        <v>1305</v>
      </c>
      <c r="B1433" t="s">
        <v>5054</v>
      </c>
      <c r="C1433" t="s">
        <v>3078</v>
      </c>
      <c r="D1433">
        <v>2</v>
      </c>
      <c r="E1433" t="s">
        <v>6289</v>
      </c>
      <c r="H1433" t="s">
        <v>3056</v>
      </c>
      <c r="I1433">
        <v>1305</v>
      </c>
      <c r="K1433">
        <v>0</v>
      </c>
    </row>
    <row r="1434" spans="1:11" hidden="1">
      <c r="A1434">
        <v>1306</v>
      </c>
      <c r="B1434" t="s">
        <v>5054</v>
      </c>
      <c r="C1434" t="s">
        <v>5056</v>
      </c>
      <c r="D1434">
        <v>4</v>
      </c>
      <c r="E1434" t="s">
        <v>6289</v>
      </c>
      <c r="H1434" t="s">
        <v>3056</v>
      </c>
      <c r="I1434">
        <v>1306</v>
      </c>
      <c r="K1434">
        <v>0</v>
      </c>
    </row>
    <row r="1435" spans="1:11" hidden="1">
      <c r="A1435">
        <v>1307</v>
      </c>
      <c r="B1435" t="s">
        <v>5054</v>
      </c>
      <c r="C1435" t="s">
        <v>5055</v>
      </c>
      <c r="D1435">
        <v>6</v>
      </c>
      <c r="E1435" t="s">
        <v>6289</v>
      </c>
      <c r="H1435" t="s">
        <v>3056</v>
      </c>
      <c r="I1435">
        <v>1307</v>
      </c>
      <c r="K1435">
        <v>0</v>
      </c>
    </row>
    <row r="1436" spans="1:11" hidden="1">
      <c r="A1436">
        <v>1350</v>
      </c>
      <c r="B1436" t="s">
        <v>5054</v>
      </c>
      <c r="C1436" t="s">
        <v>5059</v>
      </c>
      <c r="D1436">
        <v>3</v>
      </c>
      <c r="E1436" t="s">
        <v>6289</v>
      </c>
      <c r="H1436" t="s">
        <v>3056</v>
      </c>
      <c r="I1436">
        <v>1350</v>
      </c>
      <c r="K1436">
        <v>0</v>
      </c>
    </row>
    <row r="1437" spans="1:11" hidden="1">
      <c r="A1437">
        <v>1351</v>
      </c>
      <c r="B1437" t="s">
        <v>5054</v>
      </c>
      <c r="C1437" t="s">
        <v>5057</v>
      </c>
      <c r="D1437">
        <v>5</v>
      </c>
      <c r="E1437" t="s">
        <v>6289</v>
      </c>
      <c r="H1437" t="s">
        <v>3056</v>
      </c>
      <c r="I1437">
        <v>1351</v>
      </c>
      <c r="K1437">
        <v>0</v>
      </c>
    </row>
    <row r="1438" spans="1:11" hidden="1">
      <c r="A1438">
        <v>597</v>
      </c>
      <c r="B1438" t="s">
        <v>5060</v>
      </c>
      <c r="C1438" t="s">
        <v>132</v>
      </c>
      <c r="E1438" t="s">
        <v>6289</v>
      </c>
      <c r="F1438" t="s">
        <v>2109</v>
      </c>
      <c r="H1438" t="s">
        <v>3056</v>
      </c>
      <c r="I1438">
        <v>597</v>
      </c>
      <c r="K1438">
        <v>0</v>
      </c>
    </row>
    <row r="1439" spans="1:11" hidden="1">
      <c r="A1439">
        <v>598</v>
      </c>
      <c r="B1439" t="s">
        <v>5060</v>
      </c>
      <c r="C1439" t="s">
        <v>3449</v>
      </c>
      <c r="E1439" t="s">
        <v>6289</v>
      </c>
      <c r="F1439" t="s">
        <v>3138</v>
      </c>
      <c r="H1439" t="s">
        <v>3056</v>
      </c>
      <c r="I1439">
        <v>598</v>
      </c>
      <c r="K1439">
        <v>0</v>
      </c>
    </row>
    <row r="1440" spans="1:11" hidden="1">
      <c r="A1440">
        <v>599</v>
      </c>
      <c r="B1440" t="s">
        <v>5060</v>
      </c>
      <c r="C1440" t="s">
        <v>3088</v>
      </c>
      <c r="E1440" t="s">
        <v>6289</v>
      </c>
      <c r="F1440" t="s">
        <v>3450</v>
      </c>
      <c r="H1440" t="s">
        <v>3056</v>
      </c>
      <c r="I1440">
        <v>599</v>
      </c>
      <c r="K1440">
        <v>0</v>
      </c>
    </row>
    <row r="1441" spans="1:11" hidden="1">
      <c r="A1441">
        <v>590</v>
      </c>
      <c r="B1441" t="s">
        <v>5061</v>
      </c>
      <c r="C1441" t="s">
        <v>5062</v>
      </c>
      <c r="E1441" t="s">
        <v>6289</v>
      </c>
      <c r="F1441" t="s">
        <v>161</v>
      </c>
      <c r="H1441" t="s">
        <v>3056</v>
      </c>
      <c r="I1441">
        <v>590</v>
      </c>
      <c r="K1441">
        <v>0</v>
      </c>
    </row>
    <row r="1442" spans="1:11" hidden="1">
      <c r="A1442">
        <v>591</v>
      </c>
      <c r="B1442" t="s">
        <v>5061</v>
      </c>
      <c r="C1442" t="s">
        <v>4581</v>
      </c>
      <c r="E1442" t="s">
        <v>6289</v>
      </c>
      <c r="F1442" t="s">
        <v>4582</v>
      </c>
      <c r="H1442" t="s">
        <v>3056</v>
      </c>
      <c r="I1442">
        <v>591</v>
      </c>
      <c r="K1442">
        <v>0</v>
      </c>
    </row>
    <row r="1443" spans="1:11" hidden="1">
      <c r="A1443">
        <v>1</v>
      </c>
      <c r="B1443" t="s">
        <v>3526</v>
      </c>
      <c r="C1443" t="s">
        <v>3527</v>
      </c>
      <c r="E1443" t="s">
        <v>6289</v>
      </c>
      <c r="F1443" t="s">
        <v>3528</v>
      </c>
      <c r="G1443">
        <v>0</v>
      </c>
      <c r="H1443" t="s">
        <v>3056</v>
      </c>
      <c r="I1443">
        <v>808</v>
      </c>
      <c r="K1443" t="s">
        <v>2972</v>
      </c>
    </row>
    <row r="1444" spans="1:11" hidden="1">
      <c r="A1444">
        <v>2</v>
      </c>
      <c r="B1444" t="s">
        <v>3526</v>
      </c>
      <c r="C1444" t="s">
        <v>3529</v>
      </c>
      <c r="E1444" t="s">
        <v>6289</v>
      </c>
      <c r="F1444" t="s">
        <v>3530</v>
      </c>
      <c r="G1444">
        <v>0</v>
      </c>
      <c r="H1444" t="s">
        <v>3056</v>
      </c>
      <c r="I1444">
        <v>812</v>
      </c>
      <c r="K1444" t="s">
        <v>2972</v>
      </c>
    </row>
    <row r="1445" spans="1:11" hidden="1">
      <c r="A1445">
        <v>3</v>
      </c>
      <c r="B1445" t="s">
        <v>3526</v>
      </c>
      <c r="C1445" t="s">
        <v>3531</v>
      </c>
      <c r="E1445" t="s">
        <v>6289</v>
      </c>
      <c r="F1445" t="s">
        <v>3532</v>
      </c>
      <c r="G1445">
        <v>0</v>
      </c>
      <c r="H1445" t="s">
        <v>3056</v>
      </c>
      <c r="I1445">
        <v>659</v>
      </c>
      <c r="K1445" t="s">
        <v>2972</v>
      </c>
    </row>
    <row r="1446" spans="1:11" hidden="1">
      <c r="A1446">
        <v>4</v>
      </c>
      <c r="B1446" t="s">
        <v>3526</v>
      </c>
      <c r="C1446" t="s">
        <v>3533</v>
      </c>
      <c r="E1446" t="s">
        <v>6289</v>
      </c>
      <c r="F1446" t="s">
        <v>3122</v>
      </c>
      <c r="G1446">
        <v>0</v>
      </c>
      <c r="H1446" t="s">
        <v>3056</v>
      </c>
      <c r="I1446">
        <v>658</v>
      </c>
      <c r="K1446" t="s">
        <v>2972</v>
      </c>
    </row>
    <row r="1447" spans="1:11" hidden="1">
      <c r="A1447">
        <v>5</v>
      </c>
      <c r="B1447" t="s">
        <v>3526</v>
      </c>
      <c r="C1447" t="s">
        <v>3534</v>
      </c>
      <c r="E1447" t="s">
        <v>6289</v>
      </c>
      <c r="F1447" t="s">
        <v>3535</v>
      </c>
      <c r="G1447">
        <v>0</v>
      </c>
      <c r="H1447" t="s">
        <v>3056</v>
      </c>
      <c r="I1447">
        <v>657</v>
      </c>
      <c r="K1447" t="s">
        <v>2972</v>
      </c>
    </row>
    <row r="1448" spans="1:11" hidden="1">
      <c r="A1448">
        <v>1</v>
      </c>
      <c r="B1448" t="s">
        <v>3536</v>
      </c>
      <c r="C1448" t="s">
        <v>3537</v>
      </c>
      <c r="E1448" t="s">
        <v>6289</v>
      </c>
      <c r="F1448" t="s">
        <v>3538</v>
      </c>
      <c r="G1448">
        <v>0</v>
      </c>
      <c r="H1448" t="s">
        <v>3056</v>
      </c>
      <c r="I1448">
        <v>1943</v>
      </c>
      <c r="K1448" t="s">
        <v>2972</v>
      </c>
    </row>
    <row r="1449" spans="1:11" hidden="1">
      <c r="A1449">
        <v>2</v>
      </c>
      <c r="B1449" t="s">
        <v>3536</v>
      </c>
      <c r="C1449" t="s">
        <v>3539</v>
      </c>
      <c r="E1449" t="s">
        <v>6289</v>
      </c>
      <c r="F1449" t="s">
        <v>3540</v>
      </c>
      <c r="G1449">
        <v>0</v>
      </c>
      <c r="H1449" t="s">
        <v>3056</v>
      </c>
      <c r="I1449">
        <v>430</v>
      </c>
      <c r="K1449" t="s">
        <v>2972</v>
      </c>
    </row>
    <row r="1450" spans="1:11" hidden="1">
      <c r="A1450">
        <v>3</v>
      </c>
      <c r="B1450" t="s">
        <v>3536</v>
      </c>
      <c r="C1450" t="s">
        <v>3541</v>
      </c>
      <c r="E1450" t="s">
        <v>6289</v>
      </c>
      <c r="F1450" t="s">
        <v>3542</v>
      </c>
      <c r="G1450">
        <v>0</v>
      </c>
      <c r="H1450" t="s">
        <v>3056</v>
      </c>
      <c r="I1450">
        <v>1019</v>
      </c>
      <c r="K1450" t="s">
        <v>2972</v>
      </c>
    </row>
    <row r="1451" spans="1:11" hidden="1">
      <c r="A1451">
        <v>4</v>
      </c>
      <c r="B1451" t="s">
        <v>3536</v>
      </c>
      <c r="C1451" t="s">
        <v>3543</v>
      </c>
      <c r="E1451" t="s">
        <v>6289</v>
      </c>
      <c r="F1451" t="s">
        <v>3544</v>
      </c>
      <c r="G1451">
        <v>0</v>
      </c>
      <c r="H1451" t="s">
        <v>3056</v>
      </c>
      <c r="I1451">
        <v>431</v>
      </c>
      <c r="K1451" t="s">
        <v>2972</v>
      </c>
    </row>
    <row r="1452" spans="1:11" hidden="1">
      <c r="A1452">
        <v>1</v>
      </c>
      <c r="B1452" t="s">
        <v>3545</v>
      </c>
      <c r="C1452" t="s">
        <v>3546</v>
      </c>
      <c r="E1452" t="s">
        <v>6289</v>
      </c>
      <c r="F1452" t="s">
        <v>3134</v>
      </c>
      <c r="G1452">
        <v>0</v>
      </c>
      <c r="H1452" t="s">
        <v>3056</v>
      </c>
      <c r="I1452">
        <v>33</v>
      </c>
      <c r="K1452" t="s">
        <v>2972</v>
      </c>
    </row>
    <row r="1453" spans="1:11" hidden="1">
      <c r="A1453">
        <v>2</v>
      </c>
      <c r="B1453" t="s">
        <v>3545</v>
      </c>
      <c r="C1453" t="s">
        <v>3547</v>
      </c>
      <c r="E1453" t="s">
        <v>6289</v>
      </c>
      <c r="F1453" t="s">
        <v>3450</v>
      </c>
      <c r="G1453">
        <v>0</v>
      </c>
      <c r="H1453" t="s">
        <v>3056</v>
      </c>
      <c r="I1453">
        <v>32</v>
      </c>
      <c r="K1453" t="s">
        <v>2972</v>
      </c>
    </row>
    <row r="1454" spans="1:11" hidden="1">
      <c r="A1454">
        <v>1</v>
      </c>
      <c r="B1454" t="s">
        <v>3548</v>
      </c>
      <c r="C1454" t="s">
        <v>3549</v>
      </c>
      <c r="E1454" t="s">
        <v>6289</v>
      </c>
      <c r="F1454" t="s">
        <v>3133</v>
      </c>
      <c r="G1454">
        <v>0</v>
      </c>
      <c r="H1454" t="s">
        <v>3056</v>
      </c>
      <c r="I1454">
        <v>993</v>
      </c>
      <c r="K1454" t="s">
        <v>2972</v>
      </c>
    </row>
    <row r="1455" spans="1:11" hidden="1">
      <c r="A1455">
        <v>2</v>
      </c>
      <c r="B1455" t="s">
        <v>3548</v>
      </c>
      <c r="C1455" t="s">
        <v>3550</v>
      </c>
      <c r="E1455" t="s">
        <v>6289</v>
      </c>
      <c r="F1455" t="s">
        <v>3551</v>
      </c>
      <c r="G1455">
        <v>0</v>
      </c>
      <c r="H1455" t="s">
        <v>3056</v>
      </c>
      <c r="I1455">
        <v>994</v>
      </c>
      <c r="K1455" t="s">
        <v>2972</v>
      </c>
    </row>
    <row r="1456" spans="1:11" hidden="1">
      <c r="A1456">
        <v>3</v>
      </c>
      <c r="B1456" t="s">
        <v>3548</v>
      </c>
      <c r="C1456" t="s">
        <v>3552</v>
      </c>
      <c r="E1456" t="s">
        <v>6289</v>
      </c>
      <c r="F1456" t="s">
        <v>170</v>
      </c>
      <c r="G1456">
        <v>0</v>
      </c>
      <c r="H1456" t="s">
        <v>3056</v>
      </c>
      <c r="I1456">
        <v>934</v>
      </c>
      <c r="K1456" t="s">
        <v>2972</v>
      </c>
    </row>
    <row r="1457" spans="1:11" hidden="1">
      <c r="A1457">
        <v>4</v>
      </c>
      <c r="B1457" t="s">
        <v>3548</v>
      </c>
      <c r="C1457" t="s">
        <v>3553</v>
      </c>
      <c r="E1457" t="s">
        <v>6289</v>
      </c>
      <c r="F1457" t="s">
        <v>150</v>
      </c>
      <c r="G1457">
        <v>0</v>
      </c>
      <c r="H1457" t="s">
        <v>3056</v>
      </c>
      <c r="I1457">
        <v>935</v>
      </c>
      <c r="K1457" t="s">
        <v>2972</v>
      </c>
    </row>
    <row r="1458" spans="1:11" hidden="1">
      <c r="A1458">
        <v>5</v>
      </c>
      <c r="B1458" t="s">
        <v>3548</v>
      </c>
      <c r="C1458" t="s">
        <v>3554</v>
      </c>
      <c r="E1458" t="s">
        <v>6289</v>
      </c>
      <c r="F1458" t="s">
        <v>3555</v>
      </c>
      <c r="G1458">
        <v>0</v>
      </c>
      <c r="H1458" t="s">
        <v>3056</v>
      </c>
      <c r="I1458">
        <v>35</v>
      </c>
      <c r="K1458" t="s">
        <v>2972</v>
      </c>
    </row>
    <row r="1459" spans="1:11" hidden="1">
      <c r="A1459">
        <v>6</v>
      </c>
      <c r="B1459" t="s">
        <v>3548</v>
      </c>
      <c r="C1459" t="s">
        <v>3556</v>
      </c>
      <c r="E1459" t="s">
        <v>6289</v>
      </c>
      <c r="F1459" t="s">
        <v>3557</v>
      </c>
      <c r="G1459">
        <v>0</v>
      </c>
      <c r="H1459" t="s">
        <v>3056</v>
      </c>
      <c r="I1459">
        <v>936</v>
      </c>
      <c r="K1459" t="s">
        <v>2972</v>
      </c>
    </row>
    <row r="1460" spans="1:11" hidden="1">
      <c r="A1460">
        <v>7</v>
      </c>
      <c r="B1460" t="s">
        <v>3548</v>
      </c>
      <c r="C1460" t="s">
        <v>2134</v>
      </c>
      <c r="E1460" t="s">
        <v>6289</v>
      </c>
      <c r="F1460" t="s">
        <v>3558</v>
      </c>
      <c r="G1460">
        <v>0</v>
      </c>
      <c r="H1460" t="s">
        <v>3056</v>
      </c>
      <c r="I1460">
        <v>800</v>
      </c>
      <c r="K1460" t="s">
        <v>2972</v>
      </c>
    </row>
    <row r="1461" spans="1:11" hidden="1">
      <c r="A1461">
        <v>8</v>
      </c>
      <c r="B1461" t="s">
        <v>3548</v>
      </c>
      <c r="C1461" t="s">
        <v>3559</v>
      </c>
      <c r="E1461" t="s">
        <v>6289</v>
      </c>
      <c r="F1461" t="s">
        <v>3558</v>
      </c>
      <c r="G1461">
        <v>0</v>
      </c>
      <c r="H1461" t="s">
        <v>3056</v>
      </c>
      <c r="I1461">
        <v>982</v>
      </c>
      <c r="K1461" t="s">
        <v>2972</v>
      </c>
    </row>
    <row r="1462" spans="1:11" hidden="1">
      <c r="A1462">
        <v>9</v>
      </c>
      <c r="B1462" t="s">
        <v>3548</v>
      </c>
      <c r="C1462" t="s">
        <v>3560</v>
      </c>
      <c r="E1462" t="s">
        <v>6289</v>
      </c>
      <c r="F1462" t="s">
        <v>3084</v>
      </c>
      <c r="G1462">
        <v>0</v>
      </c>
      <c r="H1462" t="s">
        <v>3056</v>
      </c>
      <c r="I1462">
        <v>1930</v>
      </c>
      <c r="K1462" t="s">
        <v>2972</v>
      </c>
    </row>
    <row r="1463" spans="1:11" hidden="1">
      <c r="A1463">
        <v>10</v>
      </c>
      <c r="B1463" t="s">
        <v>3548</v>
      </c>
      <c r="C1463" t="s">
        <v>3561</v>
      </c>
      <c r="E1463" t="s">
        <v>6289</v>
      </c>
      <c r="F1463" t="s">
        <v>3562</v>
      </c>
      <c r="G1463">
        <v>0</v>
      </c>
      <c r="H1463" t="s">
        <v>3056</v>
      </c>
      <c r="I1463">
        <v>36</v>
      </c>
      <c r="K1463" t="s">
        <v>2972</v>
      </c>
    </row>
    <row r="1464" spans="1:11" hidden="1">
      <c r="A1464">
        <v>11</v>
      </c>
      <c r="B1464" t="s">
        <v>3548</v>
      </c>
      <c r="C1464" t="s">
        <v>3563</v>
      </c>
      <c r="E1464" t="s">
        <v>6289</v>
      </c>
      <c r="F1464" t="s">
        <v>3564</v>
      </c>
      <c r="G1464">
        <v>0</v>
      </c>
      <c r="H1464" t="s">
        <v>3056</v>
      </c>
      <c r="I1464">
        <v>983</v>
      </c>
      <c r="K1464" t="s">
        <v>2972</v>
      </c>
    </row>
    <row r="1465" spans="1:11" hidden="1">
      <c r="A1465">
        <v>12</v>
      </c>
      <c r="B1465" t="s">
        <v>3548</v>
      </c>
      <c r="C1465" t="s">
        <v>3565</v>
      </c>
      <c r="E1465" t="s">
        <v>6289</v>
      </c>
      <c r="F1465" t="s">
        <v>3124</v>
      </c>
      <c r="G1465">
        <v>0</v>
      </c>
      <c r="H1465" t="s">
        <v>3056</v>
      </c>
      <c r="I1465">
        <v>10014</v>
      </c>
      <c r="K1465" t="s">
        <v>2972</v>
      </c>
    </row>
    <row r="1466" spans="1:11" hidden="1">
      <c r="A1466">
        <v>13</v>
      </c>
      <c r="B1466" t="s">
        <v>3548</v>
      </c>
      <c r="C1466" t="s">
        <v>3566</v>
      </c>
      <c r="E1466" t="s">
        <v>6289</v>
      </c>
      <c r="F1466" t="s">
        <v>3535</v>
      </c>
      <c r="G1466">
        <v>0</v>
      </c>
      <c r="H1466" t="s">
        <v>3056</v>
      </c>
      <c r="I1466">
        <v>981</v>
      </c>
      <c r="K1466" t="s">
        <v>2972</v>
      </c>
    </row>
    <row r="1467" spans="1:11" hidden="1">
      <c r="A1467">
        <v>1</v>
      </c>
      <c r="B1467" t="s">
        <v>3567</v>
      </c>
      <c r="C1467" t="s">
        <v>3568</v>
      </c>
      <c r="E1467" t="s">
        <v>6289</v>
      </c>
      <c r="F1467" t="s">
        <v>3569</v>
      </c>
      <c r="G1467">
        <v>0</v>
      </c>
      <c r="H1467" t="s">
        <v>3056</v>
      </c>
      <c r="I1467">
        <v>1755</v>
      </c>
      <c r="K1467" t="s">
        <v>2972</v>
      </c>
    </row>
    <row r="1468" spans="1:11" hidden="1">
      <c r="A1468">
        <v>2</v>
      </c>
      <c r="B1468" t="s">
        <v>3567</v>
      </c>
      <c r="C1468" t="s">
        <v>3570</v>
      </c>
      <c r="E1468" t="s">
        <v>6289</v>
      </c>
      <c r="F1468" t="s">
        <v>3551</v>
      </c>
      <c r="G1468">
        <v>0</v>
      </c>
      <c r="H1468" t="s">
        <v>3056</v>
      </c>
      <c r="I1468">
        <v>1763</v>
      </c>
      <c r="K1468" t="s">
        <v>2972</v>
      </c>
    </row>
    <row r="1469" spans="1:11" hidden="1">
      <c r="A1469">
        <v>3</v>
      </c>
      <c r="B1469" t="s">
        <v>3567</v>
      </c>
      <c r="C1469" t="s">
        <v>2991</v>
      </c>
      <c r="E1469" t="s">
        <v>6289</v>
      </c>
      <c r="F1469" t="s">
        <v>3571</v>
      </c>
      <c r="G1469">
        <v>0</v>
      </c>
      <c r="H1469" t="s">
        <v>3056</v>
      </c>
      <c r="I1469">
        <v>1762</v>
      </c>
      <c r="K1469" t="s">
        <v>2972</v>
      </c>
    </row>
    <row r="1470" spans="1:11" hidden="1">
      <c r="A1470">
        <v>4</v>
      </c>
      <c r="B1470" t="s">
        <v>3567</v>
      </c>
      <c r="C1470" t="s">
        <v>3572</v>
      </c>
      <c r="E1470" t="s">
        <v>6289</v>
      </c>
      <c r="F1470" t="s">
        <v>3573</v>
      </c>
      <c r="G1470">
        <v>0</v>
      </c>
      <c r="H1470" t="s">
        <v>3056</v>
      </c>
      <c r="I1470">
        <v>1756</v>
      </c>
      <c r="K1470" t="s">
        <v>2972</v>
      </c>
    </row>
    <row r="1471" spans="1:11" hidden="1">
      <c r="A1471">
        <v>1</v>
      </c>
      <c r="B1471" t="s">
        <v>3574</v>
      </c>
      <c r="C1471" t="s">
        <v>3575</v>
      </c>
      <c r="E1471" t="s">
        <v>6289</v>
      </c>
      <c r="F1471" t="s">
        <v>3576</v>
      </c>
      <c r="G1471">
        <v>0</v>
      </c>
      <c r="H1471" t="s">
        <v>3056</v>
      </c>
      <c r="I1471">
        <v>1766</v>
      </c>
      <c r="K1471" t="s">
        <v>2972</v>
      </c>
    </row>
    <row r="1472" spans="1:11" hidden="1">
      <c r="A1472">
        <v>2</v>
      </c>
      <c r="B1472" t="s">
        <v>3574</v>
      </c>
      <c r="C1472" t="s">
        <v>3577</v>
      </c>
      <c r="E1472" t="s">
        <v>6289</v>
      </c>
      <c r="F1472" t="s">
        <v>3578</v>
      </c>
      <c r="G1472">
        <v>0</v>
      </c>
      <c r="H1472" t="s">
        <v>3056</v>
      </c>
      <c r="I1472">
        <v>1765</v>
      </c>
      <c r="K1472" t="s">
        <v>2972</v>
      </c>
    </row>
    <row r="1473" spans="1:11" hidden="1">
      <c r="A1473">
        <v>3</v>
      </c>
      <c r="B1473" t="s">
        <v>3574</v>
      </c>
      <c r="C1473" t="s">
        <v>3579</v>
      </c>
      <c r="E1473" t="s">
        <v>6289</v>
      </c>
      <c r="F1473" t="s">
        <v>3580</v>
      </c>
      <c r="G1473">
        <v>0</v>
      </c>
      <c r="H1473" t="s">
        <v>3056</v>
      </c>
      <c r="I1473">
        <v>1759</v>
      </c>
      <c r="K1473" t="s">
        <v>2972</v>
      </c>
    </row>
    <row r="1474" spans="1:11" hidden="1">
      <c r="A1474">
        <v>4</v>
      </c>
      <c r="B1474" t="s">
        <v>3574</v>
      </c>
      <c r="C1474" t="s">
        <v>3581</v>
      </c>
      <c r="E1474" t="s">
        <v>6289</v>
      </c>
      <c r="F1474" t="s">
        <v>3582</v>
      </c>
      <c r="G1474">
        <v>0</v>
      </c>
      <c r="H1474" t="s">
        <v>3056</v>
      </c>
      <c r="I1474">
        <v>1764</v>
      </c>
      <c r="K1474" t="s">
        <v>2972</v>
      </c>
    </row>
    <row r="1475" spans="1:11" hidden="1">
      <c r="A1475">
        <v>5</v>
      </c>
      <c r="B1475" t="s">
        <v>3574</v>
      </c>
      <c r="C1475" t="s">
        <v>3583</v>
      </c>
      <c r="E1475" t="s">
        <v>6289</v>
      </c>
      <c r="F1475" t="s">
        <v>3584</v>
      </c>
      <c r="G1475">
        <v>0</v>
      </c>
      <c r="H1475" t="s">
        <v>3056</v>
      </c>
      <c r="I1475">
        <v>1761</v>
      </c>
      <c r="K1475" t="s">
        <v>2972</v>
      </c>
    </row>
    <row r="1476" spans="1:11" hidden="1">
      <c r="A1476">
        <v>6</v>
      </c>
      <c r="B1476" t="s">
        <v>3574</v>
      </c>
      <c r="C1476" t="s">
        <v>3585</v>
      </c>
      <c r="E1476" t="s">
        <v>6289</v>
      </c>
      <c r="F1476" t="s">
        <v>3586</v>
      </c>
      <c r="G1476">
        <v>0</v>
      </c>
      <c r="H1476" t="s">
        <v>3056</v>
      </c>
      <c r="I1476">
        <v>1758</v>
      </c>
      <c r="K1476" t="s">
        <v>2972</v>
      </c>
    </row>
    <row r="1477" spans="1:11" hidden="1">
      <c r="A1477">
        <v>7</v>
      </c>
      <c r="B1477" t="s">
        <v>3574</v>
      </c>
      <c r="C1477" t="s">
        <v>3587</v>
      </c>
      <c r="E1477" t="s">
        <v>6289</v>
      </c>
      <c r="F1477" t="s">
        <v>3588</v>
      </c>
      <c r="G1477">
        <v>0</v>
      </c>
      <c r="H1477" t="s">
        <v>3056</v>
      </c>
      <c r="I1477">
        <v>1757</v>
      </c>
      <c r="K1477" t="s">
        <v>2972</v>
      </c>
    </row>
    <row r="1478" spans="1:11" hidden="1">
      <c r="A1478">
        <v>8</v>
      </c>
      <c r="B1478" t="s">
        <v>3574</v>
      </c>
      <c r="C1478" t="s">
        <v>3589</v>
      </c>
      <c r="E1478" t="s">
        <v>6289</v>
      </c>
      <c r="F1478" t="s">
        <v>3590</v>
      </c>
      <c r="G1478">
        <v>0</v>
      </c>
      <c r="H1478" t="s">
        <v>3056</v>
      </c>
      <c r="I1478">
        <v>1760</v>
      </c>
      <c r="K1478" t="s">
        <v>2972</v>
      </c>
    </row>
    <row r="1479" spans="1:11" hidden="1">
      <c r="A1479">
        <v>9</v>
      </c>
      <c r="B1479" t="s">
        <v>3574</v>
      </c>
      <c r="C1479" t="s">
        <v>3591</v>
      </c>
      <c r="E1479" t="s">
        <v>6289</v>
      </c>
      <c r="F1479" t="s">
        <v>3592</v>
      </c>
      <c r="G1479">
        <v>0</v>
      </c>
      <c r="H1479" t="s">
        <v>3056</v>
      </c>
      <c r="I1479">
        <v>1767</v>
      </c>
      <c r="K1479" t="s">
        <v>2972</v>
      </c>
    </row>
    <row r="1480" spans="1:11" hidden="1">
      <c r="A1480">
        <v>1</v>
      </c>
      <c r="B1480" t="s">
        <v>3593</v>
      </c>
      <c r="C1480" t="s">
        <v>3594</v>
      </c>
      <c r="E1480" t="s">
        <v>6289</v>
      </c>
      <c r="F1480" t="s">
        <v>3595</v>
      </c>
      <c r="G1480">
        <v>0</v>
      </c>
      <c r="H1480" t="s">
        <v>3056</v>
      </c>
      <c r="I1480">
        <v>1750</v>
      </c>
      <c r="K1480" t="s">
        <v>2972</v>
      </c>
    </row>
    <row r="1481" spans="1:11" hidden="1">
      <c r="A1481">
        <v>2</v>
      </c>
      <c r="B1481" t="s">
        <v>3593</v>
      </c>
      <c r="C1481" t="s">
        <v>3596</v>
      </c>
      <c r="E1481" t="s">
        <v>6289</v>
      </c>
      <c r="F1481" t="s">
        <v>3597</v>
      </c>
      <c r="G1481">
        <v>0</v>
      </c>
      <c r="H1481" t="s">
        <v>3056</v>
      </c>
      <c r="I1481">
        <v>1751</v>
      </c>
      <c r="K1481" t="s">
        <v>2972</v>
      </c>
    </row>
    <row r="1482" spans="1:11" hidden="1">
      <c r="A1482">
        <v>13730</v>
      </c>
      <c r="B1482" t="s">
        <v>5063</v>
      </c>
      <c r="C1482" t="s">
        <v>5064</v>
      </c>
      <c r="E1482" t="s">
        <v>6289</v>
      </c>
      <c r="H1482" t="s">
        <v>3056</v>
      </c>
      <c r="I1482">
        <v>13730</v>
      </c>
      <c r="K1482">
        <v>0</v>
      </c>
    </row>
    <row r="1483" spans="1:11" hidden="1">
      <c r="A1483">
        <v>13740</v>
      </c>
      <c r="B1483" t="s">
        <v>5063</v>
      </c>
      <c r="C1483" t="s">
        <v>5065</v>
      </c>
      <c r="E1483" t="s">
        <v>6289</v>
      </c>
      <c r="H1483" t="s">
        <v>3056</v>
      </c>
      <c r="I1483">
        <v>13740</v>
      </c>
      <c r="K1483">
        <v>0</v>
      </c>
    </row>
    <row r="1484" spans="1:11" hidden="1">
      <c r="A1484">
        <v>13750</v>
      </c>
      <c r="B1484" t="s">
        <v>5063</v>
      </c>
      <c r="C1484" t="s">
        <v>5066</v>
      </c>
      <c r="E1484" t="s">
        <v>6289</v>
      </c>
      <c r="H1484" t="s">
        <v>3056</v>
      </c>
      <c r="I1484">
        <v>13750</v>
      </c>
      <c r="K1484">
        <v>0</v>
      </c>
    </row>
    <row r="1485" spans="1:11" hidden="1">
      <c r="A1485">
        <v>13760</v>
      </c>
      <c r="B1485" t="s">
        <v>5063</v>
      </c>
      <c r="C1485" t="s">
        <v>5067</v>
      </c>
      <c r="E1485" t="s">
        <v>6289</v>
      </c>
      <c r="H1485" t="s">
        <v>3056</v>
      </c>
      <c r="I1485">
        <v>13760</v>
      </c>
      <c r="K1485">
        <v>0</v>
      </c>
    </row>
    <row r="1486" spans="1:11" hidden="1">
      <c r="A1486">
        <v>13690</v>
      </c>
      <c r="B1486" t="s">
        <v>5068</v>
      </c>
      <c r="C1486" t="s">
        <v>5069</v>
      </c>
      <c r="E1486" t="s">
        <v>6289</v>
      </c>
      <c r="H1486" t="s">
        <v>3056</v>
      </c>
      <c r="I1486">
        <v>13690</v>
      </c>
      <c r="K1486">
        <v>0</v>
      </c>
    </row>
    <row r="1487" spans="1:11" hidden="1">
      <c r="A1487">
        <v>13700</v>
      </c>
      <c r="B1487" t="s">
        <v>5068</v>
      </c>
      <c r="C1487" t="s">
        <v>5070</v>
      </c>
      <c r="E1487" t="s">
        <v>6289</v>
      </c>
      <c r="H1487" t="s">
        <v>3056</v>
      </c>
      <c r="I1487">
        <v>13700</v>
      </c>
      <c r="K1487">
        <v>0</v>
      </c>
    </row>
    <row r="1488" spans="1:11" hidden="1">
      <c r="A1488">
        <v>13710</v>
      </c>
      <c r="B1488" t="s">
        <v>5068</v>
      </c>
      <c r="C1488" t="s">
        <v>5071</v>
      </c>
      <c r="E1488" t="s">
        <v>6289</v>
      </c>
      <c r="H1488" t="s">
        <v>3056</v>
      </c>
      <c r="I1488">
        <v>13710</v>
      </c>
      <c r="K1488">
        <v>0</v>
      </c>
    </row>
    <row r="1489" spans="1:11" hidden="1">
      <c r="A1489">
        <v>13720</v>
      </c>
      <c r="B1489" t="s">
        <v>5068</v>
      </c>
      <c r="C1489" t="s">
        <v>5072</v>
      </c>
      <c r="E1489" t="s">
        <v>6289</v>
      </c>
      <c r="H1489" t="s">
        <v>3056</v>
      </c>
      <c r="I1489">
        <v>13720</v>
      </c>
      <c r="K1489">
        <v>0</v>
      </c>
    </row>
    <row r="1490" spans="1:11" hidden="1">
      <c r="A1490">
        <v>18620</v>
      </c>
      <c r="B1490" t="s">
        <v>5073</v>
      </c>
      <c r="C1490" t="s">
        <v>5077</v>
      </c>
      <c r="E1490" t="s">
        <v>6289</v>
      </c>
      <c r="H1490" t="s">
        <v>3056</v>
      </c>
      <c r="I1490">
        <v>18620</v>
      </c>
      <c r="K1490">
        <v>0</v>
      </c>
    </row>
    <row r="1491" spans="1:11" hidden="1">
      <c r="A1491">
        <v>18640</v>
      </c>
      <c r="B1491" t="s">
        <v>5073</v>
      </c>
      <c r="C1491" t="s">
        <v>5078</v>
      </c>
      <c r="E1491" t="s">
        <v>6289</v>
      </c>
      <c r="H1491" t="s">
        <v>3056</v>
      </c>
      <c r="I1491">
        <v>18640</v>
      </c>
      <c r="K1491">
        <v>0</v>
      </c>
    </row>
    <row r="1492" spans="1:11" hidden="1">
      <c r="A1492">
        <v>18650</v>
      </c>
      <c r="B1492" t="s">
        <v>5073</v>
      </c>
      <c r="C1492" t="s">
        <v>5076</v>
      </c>
      <c r="E1492" t="s">
        <v>6289</v>
      </c>
      <c r="H1492" t="s">
        <v>3056</v>
      </c>
      <c r="I1492">
        <v>18650</v>
      </c>
      <c r="K1492">
        <v>0</v>
      </c>
    </row>
    <row r="1493" spans="1:11" hidden="1">
      <c r="A1493">
        <v>18660</v>
      </c>
      <c r="B1493" t="s">
        <v>5073</v>
      </c>
      <c r="C1493" t="s">
        <v>5074</v>
      </c>
      <c r="E1493" t="s">
        <v>6289</v>
      </c>
      <c r="H1493" t="s">
        <v>3056</v>
      </c>
      <c r="I1493">
        <v>18660</v>
      </c>
      <c r="K1493">
        <v>0</v>
      </c>
    </row>
    <row r="1494" spans="1:11" hidden="1">
      <c r="A1494">
        <v>18670</v>
      </c>
      <c r="B1494" t="s">
        <v>5073</v>
      </c>
      <c r="C1494" t="s">
        <v>5075</v>
      </c>
      <c r="E1494" t="s">
        <v>6289</v>
      </c>
      <c r="H1494" t="s">
        <v>3056</v>
      </c>
      <c r="I1494">
        <v>18670</v>
      </c>
      <c r="K1494">
        <v>0</v>
      </c>
    </row>
    <row r="1495" spans="1:11" hidden="1">
      <c r="A1495">
        <v>11040</v>
      </c>
      <c r="B1495" t="s">
        <v>5079</v>
      </c>
      <c r="C1495" t="s">
        <v>5080</v>
      </c>
      <c r="E1495" t="s">
        <v>6289</v>
      </c>
      <c r="H1495" t="s">
        <v>3056</v>
      </c>
      <c r="I1495">
        <v>11040</v>
      </c>
      <c r="K1495">
        <v>0</v>
      </c>
    </row>
    <row r="1496" spans="1:11" hidden="1">
      <c r="A1496">
        <v>11050</v>
      </c>
      <c r="B1496" t="s">
        <v>5079</v>
      </c>
      <c r="C1496" t="s">
        <v>5081</v>
      </c>
      <c r="E1496" t="s">
        <v>6289</v>
      </c>
      <c r="H1496" t="s">
        <v>3056</v>
      </c>
      <c r="I1496">
        <v>11050</v>
      </c>
      <c r="K1496">
        <v>0</v>
      </c>
    </row>
    <row r="1497" spans="1:11" hidden="1">
      <c r="A1497">
        <v>11060</v>
      </c>
      <c r="B1497" t="s">
        <v>5079</v>
      </c>
      <c r="C1497" t="s">
        <v>5082</v>
      </c>
      <c r="E1497" t="s">
        <v>6289</v>
      </c>
      <c r="H1497" t="s">
        <v>3056</v>
      </c>
      <c r="I1497">
        <v>11060</v>
      </c>
      <c r="K1497">
        <v>0</v>
      </c>
    </row>
    <row r="1498" spans="1:11" hidden="1">
      <c r="A1498">
        <v>11070</v>
      </c>
      <c r="B1498" t="s">
        <v>5079</v>
      </c>
      <c r="C1498" t="s">
        <v>5050</v>
      </c>
      <c r="E1498" t="s">
        <v>6289</v>
      </c>
      <c r="H1498" t="s">
        <v>3056</v>
      </c>
      <c r="I1498">
        <v>11070</v>
      </c>
      <c r="K1498">
        <v>0</v>
      </c>
    </row>
    <row r="1499" spans="1:11" hidden="1">
      <c r="A1499">
        <v>11000</v>
      </c>
      <c r="B1499" t="s">
        <v>5083</v>
      </c>
      <c r="C1499" t="s">
        <v>5084</v>
      </c>
      <c r="E1499" t="s">
        <v>6289</v>
      </c>
      <c r="H1499" t="s">
        <v>3056</v>
      </c>
      <c r="I1499">
        <v>11000</v>
      </c>
      <c r="K1499">
        <v>0</v>
      </c>
    </row>
    <row r="1500" spans="1:11" hidden="1">
      <c r="A1500">
        <v>11010</v>
      </c>
      <c r="B1500" t="s">
        <v>5083</v>
      </c>
      <c r="C1500" t="s">
        <v>5085</v>
      </c>
      <c r="E1500" t="s">
        <v>6289</v>
      </c>
      <c r="H1500" t="s">
        <v>3056</v>
      </c>
      <c r="I1500">
        <v>11010</v>
      </c>
      <c r="K1500">
        <v>0</v>
      </c>
    </row>
    <row r="1501" spans="1:11" hidden="1">
      <c r="A1501">
        <v>11020</v>
      </c>
      <c r="B1501" t="s">
        <v>5083</v>
      </c>
      <c r="C1501" t="s">
        <v>5086</v>
      </c>
      <c r="E1501" t="s">
        <v>6289</v>
      </c>
      <c r="H1501" t="s">
        <v>3056</v>
      </c>
      <c r="I1501">
        <v>11020</v>
      </c>
      <c r="K1501">
        <v>0</v>
      </c>
    </row>
    <row r="1502" spans="1:11" hidden="1">
      <c r="A1502">
        <v>11030</v>
      </c>
      <c r="B1502" t="s">
        <v>5083</v>
      </c>
      <c r="C1502" t="s">
        <v>5087</v>
      </c>
      <c r="E1502" t="s">
        <v>6289</v>
      </c>
      <c r="H1502" t="s">
        <v>3056</v>
      </c>
      <c r="I1502">
        <v>11030</v>
      </c>
      <c r="K1502">
        <v>0</v>
      </c>
    </row>
    <row r="1503" spans="1:11" hidden="1">
      <c r="A1503">
        <v>100091</v>
      </c>
      <c r="B1503" t="s">
        <v>5088</v>
      </c>
      <c r="C1503" t="s">
        <v>1405</v>
      </c>
      <c r="E1503" t="s">
        <v>6289</v>
      </c>
      <c r="H1503" t="s">
        <v>3056</v>
      </c>
      <c r="I1503">
        <v>100091</v>
      </c>
      <c r="K1503">
        <v>0</v>
      </c>
    </row>
    <row r="1504" spans="1:11" hidden="1">
      <c r="A1504">
        <v>100092</v>
      </c>
      <c r="B1504" t="s">
        <v>5088</v>
      </c>
      <c r="C1504" t="s">
        <v>5090</v>
      </c>
      <c r="E1504" t="s">
        <v>6289</v>
      </c>
      <c r="H1504" t="s">
        <v>3056</v>
      </c>
      <c r="I1504">
        <v>100092</v>
      </c>
      <c r="K1504">
        <v>0</v>
      </c>
    </row>
    <row r="1505" spans="1:11" hidden="1">
      <c r="A1505">
        <v>100093</v>
      </c>
      <c r="B1505" t="s">
        <v>5088</v>
      </c>
      <c r="C1505" t="s">
        <v>5089</v>
      </c>
      <c r="E1505" t="s">
        <v>6289</v>
      </c>
      <c r="H1505" t="s">
        <v>3056</v>
      </c>
      <c r="I1505">
        <v>100093</v>
      </c>
      <c r="K1505">
        <v>0</v>
      </c>
    </row>
    <row r="1506" spans="1:11" hidden="1">
      <c r="A1506">
        <v>15</v>
      </c>
      <c r="B1506" t="s">
        <v>5091</v>
      </c>
      <c r="C1506" t="s">
        <v>132</v>
      </c>
      <c r="E1506" t="s">
        <v>6289</v>
      </c>
      <c r="F1506" t="s">
        <v>2109</v>
      </c>
      <c r="H1506" t="s">
        <v>3056</v>
      </c>
      <c r="I1506">
        <v>15</v>
      </c>
      <c r="K1506">
        <v>0</v>
      </c>
    </row>
    <row r="1507" spans="1:11" hidden="1">
      <c r="A1507">
        <v>16</v>
      </c>
      <c r="B1507" t="s">
        <v>5091</v>
      </c>
      <c r="C1507" t="s">
        <v>3449</v>
      </c>
      <c r="E1507" t="s">
        <v>6289</v>
      </c>
      <c r="F1507" t="s">
        <v>3138</v>
      </c>
      <c r="H1507" t="s">
        <v>3056</v>
      </c>
      <c r="I1507">
        <v>16</v>
      </c>
      <c r="K1507">
        <v>0</v>
      </c>
    </row>
    <row r="1508" spans="1:11" hidden="1">
      <c r="A1508">
        <v>57</v>
      </c>
      <c r="B1508" t="s">
        <v>5092</v>
      </c>
      <c r="C1508" t="s">
        <v>3057</v>
      </c>
      <c r="E1508" t="s">
        <v>6289</v>
      </c>
      <c r="F1508" t="s">
        <v>152</v>
      </c>
      <c r="H1508" t="s">
        <v>3056</v>
      </c>
      <c r="I1508">
        <v>57</v>
      </c>
      <c r="K1508">
        <v>0</v>
      </c>
    </row>
    <row r="1509" spans="1:11" hidden="1">
      <c r="A1509">
        <v>58</v>
      </c>
      <c r="B1509" t="s">
        <v>5092</v>
      </c>
      <c r="C1509" t="s">
        <v>4591</v>
      </c>
      <c r="E1509" t="s">
        <v>6289</v>
      </c>
      <c r="F1509" t="s">
        <v>4592</v>
      </c>
      <c r="H1509" t="s">
        <v>3056</v>
      </c>
      <c r="I1509">
        <v>58</v>
      </c>
      <c r="K1509">
        <v>0</v>
      </c>
    </row>
    <row r="1510" spans="1:11" hidden="1">
      <c r="A1510">
        <v>59</v>
      </c>
      <c r="B1510" t="s">
        <v>5092</v>
      </c>
      <c r="C1510" t="s">
        <v>5095</v>
      </c>
      <c r="E1510" t="s">
        <v>6289</v>
      </c>
      <c r="F1510" t="s">
        <v>4611</v>
      </c>
      <c r="H1510" t="s">
        <v>3056</v>
      </c>
      <c r="I1510">
        <v>59</v>
      </c>
      <c r="K1510">
        <v>0</v>
      </c>
    </row>
    <row r="1511" spans="1:11" hidden="1">
      <c r="A1511">
        <v>60</v>
      </c>
      <c r="B1511" t="s">
        <v>5092</v>
      </c>
      <c r="C1511" t="s">
        <v>4596</v>
      </c>
      <c r="E1511" t="s">
        <v>6289</v>
      </c>
      <c r="F1511" t="s">
        <v>4597</v>
      </c>
      <c r="H1511" t="s">
        <v>3056</v>
      </c>
      <c r="I1511">
        <v>60</v>
      </c>
      <c r="K1511">
        <v>0</v>
      </c>
    </row>
    <row r="1512" spans="1:11" hidden="1">
      <c r="A1512">
        <v>63</v>
      </c>
      <c r="B1512" t="s">
        <v>5092</v>
      </c>
      <c r="C1512" t="s">
        <v>5096</v>
      </c>
      <c r="E1512" t="s">
        <v>6289</v>
      </c>
      <c r="F1512" t="s">
        <v>3157</v>
      </c>
      <c r="H1512" t="s">
        <v>3056</v>
      </c>
      <c r="I1512">
        <v>63</v>
      </c>
      <c r="K1512">
        <v>0</v>
      </c>
    </row>
    <row r="1513" spans="1:11" hidden="1">
      <c r="A1513">
        <v>64</v>
      </c>
      <c r="B1513" t="s">
        <v>5092</v>
      </c>
      <c r="C1513" t="s">
        <v>4615</v>
      </c>
      <c r="E1513" t="s">
        <v>6289</v>
      </c>
      <c r="F1513" t="s">
        <v>4616</v>
      </c>
      <c r="H1513" t="s">
        <v>3056</v>
      </c>
      <c r="I1513">
        <v>64</v>
      </c>
      <c r="K1513">
        <v>0</v>
      </c>
    </row>
    <row r="1514" spans="1:11" hidden="1">
      <c r="A1514">
        <v>971</v>
      </c>
      <c r="B1514" t="s">
        <v>5092</v>
      </c>
      <c r="C1514" t="s">
        <v>4609</v>
      </c>
      <c r="E1514" t="s">
        <v>6289</v>
      </c>
      <c r="F1514" t="s">
        <v>4236</v>
      </c>
      <c r="H1514" t="s">
        <v>3056</v>
      </c>
      <c r="I1514">
        <v>971</v>
      </c>
      <c r="K1514">
        <v>0</v>
      </c>
    </row>
    <row r="1515" spans="1:11" hidden="1">
      <c r="A1515">
        <v>1044</v>
      </c>
      <c r="B1515" t="s">
        <v>5092</v>
      </c>
      <c r="C1515" t="s">
        <v>5093</v>
      </c>
      <c r="E1515" t="s">
        <v>6289</v>
      </c>
      <c r="F1515" t="s">
        <v>5094</v>
      </c>
      <c r="H1515" t="s">
        <v>3056</v>
      </c>
      <c r="I1515">
        <v>1044</v>
      </c>
      <c r="K1515">
        <v>0</v>
      </c>
    </row>
    <row r="1516" spans="1:11" hidden="1">
      <c r="A1516">
        <v>10026</v>
      </c>
      <c r="B1516" t="s">
        <v>5092</v>
      </c>
      <c r="C1516" t="s">
        <v>4588</v>
      </c>
      <c r="E1516" t="s">
        <v>6289</v>
      </c>
      <c r="F1516" t="s">
        <v>4589</v>
      </c>
      <c r="H1516" t="s">
        <v>3056</v>
      </c>
      <c r="I1516">
        <v>10026</v>
      </c>
      <c r="K1516">
        <v>0</v>
      </c>
    </row>
    <row r="1517" spans="1:11" hidden="1">
      <c r="A1517">
        <v>10145</v>
      </c>
      <c r="B1517" t="s">
        <v>5092</v>
      </c>
      <c r="C1517" t="s">
        <v>4614</v>
      </c>
      <c r="E1517" t="s">
        <v>6289</v>
      </c>
      <c r="F1517" t="s">
        <v>137</v>
      </c>
      <c r="H1517" t="s">
        <v>3056</v>
      </c>
      <c r="I1517">
        <v>10145</v>
      </c>
      <c r="K1517">
        <v>0</v>
      </c>
    </row>
    <row r="1518" spans="1:11" hidden="1">
      <c r="A1518">
        <v>68</v>
      </c>
      <c r="B1518" t="s">
        <v>5097</v>
      </c>
      <c r="C1518" t="s">
        <v>4027</v>
      </c>
      <c r="E1518" t="s">
        <v>6289</v>
      </c>
      <c r="F1518" t="s">
        <v>4637</v>
      </c>
      <c r="H1518" t="s">
        <v>3056</v>
      </c>
      <c r="I1518">
        <v>68</v>
      </c>
      <c r="K1518">
        <v>0</v>
      </c>
    </row>
    <row r="1519" spans="1:11" hidden="1">
      <c r="A1519">
        <v>70</v>
      </c>
      <c r="B1519" t="s">
        <v>5097</v>
      </c>
      <c r="C1519" t="s">
        <v>4036</v>
      </c>
      <c r="E1519" t="s">
        <v>6289</v>
      </c>
      <c r="F1519" t="s">
        <v>3129</v>
      </c>
      <c r="H1519" t="s">
        <v>3056</v>
      </c>
      <c r="I1519">
        <v>70</v>
      </c>
      <c r="K1519">
        <v>0</v>
      </c>
    </row>
    <row r="1520" spans="1:11" hidden="1">
      <c r="A1520">
        <v>71</v>
      </c>
      <c r="B1520" t="s">
        <v>5097</v>
      </c>
      <c r="C1520" t="s">
        <v>5102</v>
      </c>
      <c r="E1520" t="s">
        <v>6289</v>
      </c>
      <c r="F1520" t="s">
        <v>4324</v>
      </c>
      <c r="H1520" t="s">
        <v>3056</v>
      </c>
      <c r="I1520">
        <v>71</v>
      </c>
      <c r="K1520">
        <v>0</v>
      </c>
    </row>
    <row r="1521" spans="1:11" hidden="1">
      <c r="A1521">
        <v>72</v>
      </c>
      <c r="B1521" t="s">
        <v>5097</v>
      </c>
      <c r="C1521" t="s">
        <v>4033</v>
      </c>
      <c r="E1521" t="s">
        <v>6289</v>
      </c>
      <c r="F1521" t="s">
        <v>4034</v>
      </c>
      <c r="H1521" t="s">
        <v>3056</v>
      </c>
      <c r="I1521">
        <v>72</v>
      </c>
      <c r="K1521">
        <v>0</v>
      </c>
    </row>
    <row r="1522" spans="1:11" hidden="1">
      <c r="A1522">
        <v>74</v>
      </c>
      <c r="B1522" t="s">
        <v>5097</v>
      </c>
      <c r="C1522" t="s">
        <v>4623</v>
      </c>
      <c r="E1522" t="s">
        <v>6289</v>
      </c>
      <c r="F1522" t="s">
        <v>4155</v>
      </c>
      <c r="H1522" t="s">
        <v>3056</v>
      </c>
      <c r="I1522">
        <v>74</v>
      </c>
      <c r="K1522">
        <v>0</v>
      </c>
    </row>
    <row r="1523" spans="1:11" hidden="1">
      <c r="A1523">
        <v>89</v>
      </c>
      <c r="B1523" t="s">
        <v>5097</v>
      </c>
      <c r="C1523" t="s">
        <v>4040</v>
      </c>
      <c r="E1523" t="s">
        <v>6289</v>
      </c>
      <c r="F1523" t="s">
        <v>3157</v>
      </c>
      <c r="H1523" t="s">
        <v>3056</v>
      </c>
      <c r="I1523">
        <v>89</v>
      </c>
      <c r="K1523">
        <v>0</v>
      </c>
    </row>
    <row r="1524" spans="1:11" hidden="1">
      <c r="A1524">
        <v>92</v>
      </c>
      <c r="B1524" t="s">
        <v>5097</v>
      </c>
      <c r="C1524" t="s">
        <v>5101</v>
      </c>
      <c r="E1524" t="s">
        <v>6289</v>
      </c>
      <c r="F1524" t="s">
        <v>3095</v>
      </c>
      <c r="H1524" t="s">
        <v>3056</v>
      </c>
      <c r="I1524">
        <v>92</v>
      </c>
      <c r="K1524">
        <v>0</v>
      </c>
    </row>
    <row r="1525" spans="1:11" hidden="1">
      <c r="A1525">
        <v>10123</v>
      </c>
      <c r="B1525" t="s">
        <v>5097</v>
      </c>
      <c r="C1525" t="s">
        <v>5103</v>
      </c>
      <c r="E1525" t="s">
        <v>6289</v>
      </c>
      <c r="F1525" t="s">
        <v>139</v>
      </c>
      <c r="H1525" t="s">
        <v>3056</v>
      </c>
      <c r="I1525">
        <v>10123</v>
      </c>
      <c r="K1525">
        <v>0</v>
      </c>
    </row>
    <row r="1526" spans="1:11" hidden="1">
      <c r="A1526">
        <v>10142</v>
      </c>
      <c r="B1526" t="s">
        <v>5097</v>
      </c>
      <c r="C1526" t="s">
        <v>3765</v>
      </c>
      <c r="E1526" t="s">
        <v>6289</v>
      </c>
      <c r="F1526" t="s">
        <v>4031</v>
      </c>
      <c r="H1526" t="s">
        <v>3056</v>
      </c>
      <c r="I1526">
        <v>10142</v>
      </c>
      <c r="K1526">
        <v>0</v>
      </c>
    </row>
    <row r="1527" spans="1:11" hidden="1">
      <c r="A1527">
        <v>10143</v>
      </c>
      <c r="B1527" t="s">
        <v>5097</v>
      </c>
      <c r="C1527" t="s">
        <v>5104</v>
      </c>
      <c r="E1527" t="s">
        <v>6289</v>
      </c>
      <c r="F1527" t="s">
        <v>4032</v>
      </c>
      <c r="H1527" t="s">
        <v>3056</v>
      </c>
      <c r="I1527">
        <v>10143</v>
      </c>
      <c r="K1527">
        <v>0</v>
      </c>
    </row>
    <row r="1528" spans="1:11" hidden="1">
      <c r="A1528">
        <v>10174</v>
      </c>
      <c r="B1528" t="s">
        <v>5097</v>
      </c>
      <c r="C1528" t="s">
        <v>5105</v>
      </c>
      <c r="E1528" t="s">
        <v>6289</v>
      </c>
      <c r="F1528" t="s">
        <v>137</v>
      </c>
      <c r="H1528" t="s">
        <v>3056</v>
      </c>
      <c r="I1528">
        <v>10174</v>
      </c>
      <c r="K1528">
        <v>0</v>
      </c>
    </row>
    <row r="1529" spans="1:11" hidden="1">
      <c r="A1529">
        <v>11120</v>
      </c>
      <c r="B1529" t="s">
        <v>5097</v>
      </c>
      <c r="C1529" t="s">
        <v>4862</v>
      </c>
      <c r="E1529" t="s">
        <v>6289</v>
      </c>
      <c r="F1529" t="s">
        <v>5098</v>
      </c>
      <c r="H1529" t="s">
        <v>3056</v>
      </c>
      <c r="I1529">
        <v>11120</v>
      </c>
      <c r="K1529">
        <v>0</v>
      </c>
    </row>
    <row r="1530" spans="1:11" hidden="1">
      <c r="A1530">
        <v>11180</v>
      </c>
      <c r="B1530" t="s">
        <v>5097</v>
      </c>
      <c r="C1530" t="s">
        <v>5100</v>
      </c>
      <c r="E1530" t="s">
        <v>6289</v>
      </c>
      <c r="H1530" t="s">
        <v>3056</v>
      </c>
      <c r="I1530">
        <v>11180</v>
      </c>
      <c r="K1530">
        <v>0</v>
      </c>
    </row>
    <row r="1531" spans="1:11" hidden="1">
      <c r="A1531">
        <v>100095</v>
      </c>
      <c r="B1531" t="s">
        <v>5097</v>
      </c>
      <c r="C1531" t="s">
        <v>5099</v>
      </c>
      <c r="E1531" t="s">
        <v>6289</v>
      </c>
      <c r="F1531" t="s">
        <v>86</v>
      </c>
      <c r="H1531" t="s">
        <v>3056</v>
      </c>
      <c r="I1531">
        <v>100095</v>
      </c>
      <c r="K1531">
        <v>0</v>
      </c>
    </row>
    <row r="1532" spans="1:11" hidden="1">
      <c r="A1532">
        <v>14960</v>
      </c>
      <c r="B1532" t="s">
        <v>5106</v>
      </c>
      <c r="C1532" t="s">
        <v>3139</v>
      </c>
      <c r="E1532" t="s">
        <v>6289</v>
      </c>
      <c r="H1532" t="s">
        <v>3056</v>
      </c>
      <c r="I1532">
        <v>14960</v>
      </c>
      <c r="K1532">
        <v>0</v>
      </c>
    </row>
    <row r="1533" spans="1:11" hidden="1">
      <c r="A1533">
        <v>14970</v>
      </c>
      <c r="B1533" t="s">
        <v>5106</v>
      </c>
      <c r="C1533" t="s">
        <v>3128</v>
      </c>
      <c r="E1533" t="s">
        <v>6289</v>
      </c>
      <c r="H1533" t="s">
        <v>3056</v>
      </c>
      <c r="I1533">
        <v>14970</v>
      </c>
      <c r="K1533">
        <v>0</v>
      </c>
    </row>
    <row r="1534" spans="1:11" hidden="1">
      <c r="A1534">
        <v>11350</v>
      </c>
      <c r="B1534" t="s">
        <v>5107</v>
      </c>
      <c r="C1534" t="s">
        <v>5108</v>
      </c>
      <c r="E1534" t="s">
        <v>6289</v>
      </c>
      <c r="H1534" t="s">
        <v>3056</v>
      </c>
      <c r="I1534">
        <v>11350</v>
      </c>
      <c r="K1534">
        <v>0</v>
      </c>
    </row>
    <row r="1535" spans="1:11" hidden="1">
      <c r="A1535">
        <v>11360</v>
      </c>
      <c r="B1535" t="s">
        <v>5107</v>
      </c>
      <c r="C1535" t="s">
        <v>4088</v>
      </c>
      <c r="E1535" t="s">
        <v>6289</v>
      </c>
      <c r="H1535" t="s">
        <v>3056</v>
      </c>
      <c r="I1535">
        <v>11360</v>
      </c>
      <c r="K1535">
        <v>0</v>
      </c>
    </row>
    <row r="1536" spans="1:11" hidden="1">
      <c r="A1536">
        <v>11370</v>
      </c>
      <c r="B1536" t="s">
        <v>5109</v>
      </c>
      <c r="C1536" t="s">
        <v>5110</v>
      </c>
      <c r="E1536" t="s">
        <v>6289</v>
      </c>
      <c r="H1536" t="s">
        <v>3056</v>
      </c>
      <c r="I1536">
        <v>11370</v>
      </c>
      <c r="K1536">
        <v>0</v>
      </c>
    </row>
    <row r="1537" spans="1:11" hidden="1">
      <c r="A1537">
        <v>11380</v>
      </c>
      <c r="B1537" t="s">
        <v>5109</v>
      </c>
      <c r="C1537" t="s">
        <v>5112</v>
      </c>
      <c r="E1537" t="s">
        <v>6289</v>
      </c>
      <c r="H1537" t="s">
        <v>3056</v>
      </c>
      <c r="I1537">
        <v>11380</v>
      </c>
      <c r="K1537">
        <v>0</v>
      </c>
    </row>
    <row r="1538" spans="1:11" hidden="1">
      <c r="A1538">
        <v>11390</v>
      </c>
      <c r="B1538" t="s">
        <v>5109</v>
      </c>
      <c r="C1538" t="s">
        <v>5111</v>
      </c>
      <c r="E1538" t="s">
        <v>6289</v>
      </c>
      <c r="H1538" t="s">
        <v>3056</v>
      </c>
      <c r="I1538">
        <v>11390</v>
      </c>
      <c r="K1538">
        <v>0</v>
      </c>
    </row>
    <row r="1539" spans="1:11" hidden="1">
      <c r="A1539">
        <v>15980</v>
      </c>
      <c r="B1539" t="s">
        <v>5113</v>
      </c>
      <c r="C1539" t="s">
        <v>5114</v>
      </c>
      <c r="E1539" t="s">
        <v>6289</v>
      </c>
      <c r="H1539" t="s">
        <v>3056</v>
      </c>
      <c r="I1539">
        <v>15980</v>
      </c>
      <c r="K1539">
        <v>0</v>
      </c>
    </row>
    <row r="1540" spans="1:11" hidden="1">
      <c r="A1540">
        <v>15990</v>
      </c>
      <c r="B1540" t="s">
        <v>5113</v>
      </c>
      <c r="C1540" t="s">
        <v>5115</v>
      </c>
      <c r="E1540" t="s">
        <v>6289</v>
      </c>
      <c r="H1540" t="s">
        <v>3056</v>
      </c>
      <c r="I1540">
        <v>15990</v>
      </c>
      <c r="K1540">
        <v>0</v>
      </c>
    </row>
    <row r="1541" spans="1:11" hidden="1">
      <c r="A1541">
        <v>16000</v>
      </c>
      <c r="B1541" t="s">
        <v>5113</v>
      </c>
      <c r="C1541" t="s">
        <v>3787</v>
      </c>
      <c r="E1541" t="s">
        <v>6289</v>
      </c>
      <c r="H1541" t="s">
        <v>3056</v>
      </c>
      <c r="I1541">
        <v>16000</v>
      </c>
      <c r="K1541">
        <v>0</v>
      </c>
    </row>
    <row r="1542" spans="1:11" hidden="1">
      <c r="A1542">
        <v>15020</v>
      </c>
      <c r="B1542" t="s">
        <v>5116</v>
      </c>
      <c r="C1542" t="s">
        <v>132</v>
      </c>
      <c r="E1542" t="s">
        <v>6289</v>
      </c>
      <c r="H1542" t="s">
        <v>3056</v>
      </c>
      <c r="I1542">
        <v>15020</v>
      </c>
      <c r="K1542">
        <v>0</v>
      </c>
    </row>
    <row r="1543" spans="1:11" hidden="1">
      <c r="A1543">
        <v>15030</v>
      </c>
      <c r="B1543" t="s">
        <v>5116</v>
      </c>
      <c r="C1543" t="s">
        <v>3939</v>
      </c>
      <c r="E1543" t="s">
        <v>6289</v>
      </c>
      <c r="H1543" t="s">
        <v>3056</v>
      </c>
      <c r="I1543">
        <v>15030</v>
      </c>
      <c r="K1543">
        <v>0</v>
      </c>
    </row>
    <row r="1544" spans="1:11" hidden="1">
      <c r="A1544">
        <v>15600</v>
      </c>
      <c r="B1544" t="s">
        <v>5117</v>
      </c>
      <c r="C1544" t="s">
        <v>3906</v>
      </c>
      <c r="E1544" t="s">
        <v>6289</v>
      </c>
      <c r="H1544" t="s">
        <v>3056</v>
      </c>
      <c r="I1544">
        <v>15600</v>
      </c>
      <c r="K1544">
        <v>0</v>
      </c>
    </row>
    <row r="1545" spans="1:11" hidden="1">
      <c r="A1545">
        <v>15610</v>
      </c>
      <c r="B1545" t="s">
        <v>5117</v>
      </c>
      <c r="C1545" t="s">
        <v>3072</v>
      </c>
      <c r="E1545" t="s">
        <v>6289</v>
      </c>
      <c r="H1545" t="s">
        <v>3056</v>
      </c>
      <c r="I1545">
        <v>15610</v>
      </c>
      <c r="K1545">
        <v>0</v>
      </c>
    </row>
    <row r="1546" spans="1:11" hidden="1">
      <c r="A1546">
        <v>15620</v>
      </c>
      <c r="B1546" t="s">
        <v>5117</v>
      </c>
      <c r="C1546" t="s">
        <v>5118</v>
      </c>
      <c r="E1546" t="s">
        <v>6289</v>
      </c>
      <c r="H1546" t="s">
        <v>3056</v>
      </c>
      <c r="I1546">
        <v>15620</v>
      </c>
      <c r="K1546">
        <v>0</v>
      </c>
    </row>
    <row r="1547" spans="1:11" hidden="1">
      <c r="A1547">
        <v>15830</v>
      </c>
      <c r="B1547" t="s">
        <v>5119</v>
      </c>
      <c r="C1547" t="s">
        <v>5120</v>
      </c>
      <c r="E1547" t="s">
        <v>6289</v>
      </c>
      <c r="H1547" t="s">
        <v>3056</v>
      </c>
      <c r="I1547">
        <v>15830</v>
      </c>
      <c r="K1547">
        <v>0</v>
      </c>
    </row>
    <row r="1548" spans="1:11" hidden="1">
      <c r="A1548">
        <v>15840</v>
      </c>
      <c r="B1548" t="s">
        <v>5119</v>
      </c>
      <c r="C1548" t="s">
        <v>5121</v>
      </c>
      <c r="E1548" t="s">
        <v>6289</v>
      </c>
      <c r="H1548" t="s">
        <v>3056</v>
      </c>
      <c r="I1548">
        <v>15840</v>
      </c>
      <c r="K1548">
        <v>0</v>
      </c>
    </row>
    <row r="1549" spans="1:11" hidden="1">
      <c r="A1549">
        <v>16620</v>
      </c>
      <c r="B1549" t="s">
        <v>5122</v>
      </c>
      <c r="C1549" t="s">
        <v>5123</v>
      </c>
      <c r="E1549" t="s">
        <v>6289</v>
      </c>
      <c r="H1549" t="s">
        <v>3056</v>
      </c>
      <c r="I1549">
        <v>16620</v>
      </c>
      <c r="K1549">
        <v>0</v>
      </c>
    </row>
    <row r="1550" spans="1:11" hidden="1">
      <c r="A1550">
        <v>16630</v>
      </c>
      <c r="B1550" t="s">
        <v>5122</v>
      </c>
      <c r="C1550" t="s">
        <v>5125</v>
      </c>
      <c r="E1550" t="s">
        <v>6289</v>
      </c>
      <c r="H1550" t="s">
        <v>3056</v>
      </c>
      <c r="I1550">
        <v>16630</v>
      </c>
      <c r="K1550">
        <v>0</v>
      </c>
    </row>
    <row r="1551" spans="1:11" hidden="1">
      <c r="A1551">
        <v>16640</v>
      </c>
      <c r="B1551" t="s">
        <v>5122</v>
      </c>
      <c r="C1551" t="s">
        <v>5124</v>
      </c>
      <c r="E1551" t="s">
        <v>6289</v>
      </c>
      <c r="H1551" t="s">
        <v>3056</v>
      </c>
      <c r="I1551">
        <v>16640</v>
      </c>
      <c r="K1551">
        <v>0</v>
      </c>
    </row>
    <row r="1552" spans="1:11" hidden="1">
      <c r="A1552">
        <v>16650</v>
      </c>
      <c r="B1552" t="s">
        <v>5122</v>
      </c>
      <c r="C1552" t="s">
        <v>3946</v>
      </c>
      <c r="E1552" t="s">
        <v>6289</v>
      </c>
      <c r="H1552" t="s">
        <v>3056</v>
      </c>
      <c r="I1552">
        <v>16650</v>
      </c>
      <c r="K1552">
        <v>0</v>
      </c>
    </row>
    <row r="1553" spans="1:11" hidden="1">
      <c r="A1553">
        <v>15880</v>
      </c>
      <c r="B1553" t="s">
        <v>5126</v>
      </c>
      <c r="C1553" t="s">
        <v>447</v>
      </c>
      <c r="E1553" t="s">
        <v>6289</v>
      </c>
      <c r="H1553" t="s">
        <v>3056</v>
      </c>
      <c r="I1553">
        <v>15880</v>
      </c>
      <c r="K1553">
        <v>0</v>
      </c>
    </row>
    <row r="1554" spans="1:11" hidden="1">
      <c r="A1554">
        <v>15890</v>
      </c>
      <c r="B1554" t="s">
        <v>5126</v>
      </c>
      <c r="C1554" t="s">
        <v>3855</v>
      </c>
      <c r="E1554" t="s">
        <v>6289</v>
      </c>
      <c r="H1554" t="s">
        <v>3056</v>
      </c>
      <c r="I1554">
        <v>15890</v>
      </c>
      <c r="K1554">
        <v>0</v>
      </c>
    </row>
    <row r="1555" spans="1:11" hidden="1">
      <c r="A1555">
        <v>15900</v>
      </c>
      <c r="B1555" t="s">
        <v>5126</v>
      </c>
      <c r="C1555" t="s">
        <v>3456</v>
      </c>
      <c r="E1555" t="s">
        <v>6289</v>
      </c>
      <c r="H1555" t="s">
        <v>3056</v>
      </c>
      <c r="I1555">
        <v>15900</v>
      </c>
      <c r="K1555">
        <v>0</v>
      </c>
    </row>
    <row r="1556" spans="1:11" hidden="1">
      <c r="A1556">
        <v>15910</v>
      </c>
      <c r="B1556" t="s">
        <v>5126</v>
      </c>
      <c r="C1556" t="s">
        <v>3454</v>
      </c>
      <c r="E1556" t="s">
        <v>6289</v>
      </c>
      <c r="H1556" t="s">
        <v>3056</v>
      </c>
      <c r="I1556">
        <v>15910</v>
      </c>
      <c r="K1556">
        <v>0</v>
      </c>
    </row>
    <row r="1557" spans="1:11" hidden="1">
      <c r="A1557">
        <v>15920</v>
      </c>
      <c r="B1557" t="s">
        <v>5126</v>
      </c>
      <c r="C1557" t="s">
        <v>5128</v>
      </c>
      <c r="E1557" t="s">
        <v>6289</v>
      </c>
      <c r="H1557" t="s">
        <v>3056</v>
      </c>
      <c r="I1557">
        <v>15920</v>
      </c>
      <c r="K1557">
        <v>0</v>
      </c>
    </row>
    <row r="1558" spans="1:11" hidden="1">
      <c r="A1558">
        <v>15930</v>
      </c>
      <c r="B1558" t="s">
        <v>5126</v>
      </c>
      <c r="C1558" t="s">
        <v>3458</v>
      </c>
      <c r="E1558" t="s">
        <v>6289</v>
      </c>
      <c r="H1558" t="s">
        <v>3056</v>
      </c>
      <c r="I1558">
        <v>15930</v>
      </c>
      <c r="K1558">
        <v>0</v>
      </c>
    </row>
    <row r="1559" spans="1:11" hidden="1">
      <c r="A1559">
        <v>15940</v>
      </c>
      <c r="B1559" t="s">
        <v>5126</v>
      </c>
      <c r="C1559" t="s">
        <v>3452</v>
      </c>
      <c r="E1559" t="s">
        <v>6289</v>
      </c>
      <c r="H1559" t="s">
        <v>3056</v>
      </c>
      <c r="I1559">
        <v>15940</v>
      </c>
      <c r="K1559">
        <v>0</v>
      </c>
    </row>
    <row r="1560" spans="1:11" hidden="1">
      <c r="A1560">
        <v>15950</v>
      </c>
      <c r="B1560" t="s">
        <v>5126</v>
      </c>
      <c r="C1560" t="s">
        <v>5127</v>
      </c>
      <c r="E1560" t="s">
        <v>6289</v>
      </c>
      <c r="H1560" t="s">
        <v>3056</v>
      </c>
      <c r="I1560">
        <v>15950</v>
      </c>
      <c r="K1560">
        <v>0</v>
      </c>
    </row>
    <row r="1561" spans="1:11" hidden="1">
      <c r="A1561">
        <v>15660</v>
      </c>
      <c r="B1561" t="s">
        <v>5129</v>
      </c>
      <c r="C1561" t="s">
        <v>5131</v>
      </c>
      <c r="E1561" t="s">
        <v>6289</v>
      </c>
      <c r="H1561" t="s">
        <v>3056</v>
      </c>
      <c r="I1561">
        <v>15660</v>
      </c>
      <c r="K1561">
        <v>0</v>
      </c>
    </row>
    <row r="1562" spans="1:11" hidden="1">
      <c r="A1562">
        <v>15670</v>
      </c>
      <c r="B1562" t="s">
        <v>5129</v>
      </c>
      <c r="C1562" t="s">
        <v>5130</v>
      </c>
      <c r="E1562" t="s">
        <v>6289</v>
      </c>
      <c r="H1562" t="s">
        <v>3056</v>
      </c>
      <c r="I1562">
        <v>15670</v>
      </c>
      <c r="K1562">
        <v>0</v>
      </c>
    </row>
    <row r="1563" spans="1:11" hidden="1">
      <c r="A1563">
        <v>15680</v>
      </c>
      <c r="B1563" t="s">
        <v>5132</v>
      </c>
      <c r="C1563" t="s">
        <v>5134</v>
      </c>
      <c r="E1563" t="s">
        <v>6289</v>
      </c>
      <c r="H1563" t="s">
        <v>3056</v>
      </c>
      <c r="I1563">
        <v>15680</v>
      </c>
      <c r="K1563">
        <v>0</v>
      </c>
    </row>
    <row r="1564" spans="1:11" hidden="1">
      <c r="A1564">
        <v>15690</v>
      </c>
      <c r="B1564" t="s">
        <v>5132</v>
      </c>
      <c r="C1564" t="s">
        <v>5133</v>
      </c>
      <c r="E1564" t="s">
        <v>6289</v>
      </c>
      <c r="H1564" t="s">
        <v>3056</v>
      </c>
      <c r="I1564">
        <v>15690</v>
      </c>
      <c r="K1564">
        <v>0</v>
      </c>
    </row>
    <row r="1565" spans="1:11" hidden="1">
      <c r="A1565">
        <v>16660</v>
      </c>
      <c r="B1565" t="s">
        <v>5135</v>
      </c>
      <c r="C1565" t="s">
        <v>5136</v>
      </c>
      <c r="E1565" t="s">
        <v>6289</v>
      </c>
      <c r="H1565" t="s">
        <v>3056</v>
      </c>
      <c r="I1565">
        <v>16660</v>
      </c>
      <c r="K1565">
        <v>0</v>
      </c>
    </row>
    <row r="1566" spans="1:11" hidden="1">
      <c r="A1566">
        <v>16670</v>
      </c>
      <c r="B1566" t="s">
        <v>5135</v>
      </c>
      <c r="C1566" t="s">
        <v>5137</v>
      </c>
      <c r="E1566" t="s">
        <v>6289</v>
      </c>
      <c r="H1566" t="s">
        <v>3056</v>
      </c>
      <c r="I1566">
        <v>16670</v>
      </c>
      <c r="K1566">
        <v>0</v>
      </c>
    </row>
    <row r="1567" spans="1:11" hidden="1">
      <c r="A1567">
        <v>15800</v>
      </c>
      <c r="B1567" t="s">
        <v>5138</v>
      </c>
      <c r="C1567" t="s">
        <v>5141</v>
      </c>
      <c r="E1567" t="s">
        <v>6289</v>
      </c>
      <c r="H1567" t="s">
        <v>3056</v>
      </c>
      <c r="I1567">
        <v>15800</v>
      </c>
      <c r="K1567">
        <v>0</v>
      </c>
    </row>
    <row r="1568" spans="1:11" hidden="1">
      <c r="A1568">
        <v>15810</v>
      </c>
      <c r="B1568" t="s">
        <v>5138</v>
      </c>
      <c r="C1568" t="s">
        <v>5140</v>
      </c>
      <c r="E1568" t="s">
        <v>6289</v>
      </c>
      <c r="H1568" t="s">
        <v>3056</v>
      </c>
      <c r="I1568">
        <v>15810</v>
      </c>
      <c r="K1568">
        <v>0</v>
      </c>
    </row>
    <row r="1569" spans="1:11" hidden="1">
      <c r="A1569">
        <v>15820</v>
      </c>
      <c r="B1569" t="s">
        <v>5138</v>
      </c>
      <c r="C1569" t="s">
        <v>5139</v>
      </c>
      <c r="E1569" t="s">
        <v>6289</v>
      </c>
      <c r="H1569" t="s">
        <v>3056</v>
      </c>
      <c r="I1569">
        <v>15820</v>
      </c>
      <c r="K1569">
        <v>0</v>
      </c>
    </row>
    <row r="1570" spans="1:11" hidden="1">
      <c r="A1570">
        <v>15700</v>
      </c>
      <c r="B1570" t="s">
        <v>5142</v>
      </c>
      <c r="C1570" t="s">
        <v>5144</v>
      </c>
      <c r="E1570" t="s">
        <v>6289</v>
      </c>
      <c r="H1570" t="s">
        <v>3056</v>
      </c>
      <c r="I1570">
        <v>15700</v>
      </c>
      <c r="K1570">
        <v>0</v>
      </c>
    </row>
    <row r="1571" spans="1:11" hidden="1">
      <c r="A1571">
        <v>15710</v>
      </c>
      <c r="B1571" t="s">
        <v>5142</v>
      </c>
      <c r="C1571" t="s">
        <v>5143</v>
      </c>
      <c r="E1571" t="s">
        <v>6289</v>
      </c>
      <c r="H1571" t="s">
        <v>3056</v>
      </c>
      <c r="I1571">
        <v>15710</v>
      </c>
      <c r="K1571">
        <v>0</v>
      </c>
    </row>
    <row r="1572" spans="1:11" hidden="1">
      <c r="A1572">
        <v>15630</v>
      </c>
      <c r="B1572" t="s">
        <v>5145</v>
      </c>
      <c r="C1572" t="s">
        <v>3906</v>
      </c>
      <c r="E1572" t="s">
        <v>6289</v>
      </c>
      <c r="H1572" t="s">
        <v>3056</v>
      </c>
      <c r="I1572">
        <v>15630</v>
      </c>
      <c r="K1572">
        <v>0</v>
      </c>
    </row>
    <row r="1573" spans="1:11" hidden="1">
      <c r="A1573">
        <v>15640</v>
      </c>
      <c r="B1573" t="s">
        <v>5145</v>
      </c>
      <c r="C1573" t="s">
        <v>3072</v>
      </c>
      <c r="E1573" t="s">
        <v>6289</v>
      </c>
      <c r="H1573" t="s">
        <v>3056</v>
      </c>
      <c r="I1573">
        <v>15640</v>
      </c>
      <c r="K1573">
        <v>0</v>
      </c>
    </row>
    <row r="1574" spans="1:11" hidden="1">
      <c r="A1574">
        <v>15650</v>
      </c>
      <c r="B1574" t="s">
        <v>5145</v>
      </c>
      <c r="C1574" t="s">
        <v>5118</v>
      </c>
      <c r="E1574" t="s">
        <v>6289</v>
      </c>
      <c r="H1574" t="s">
        <v>3056</v>
      </c>
      <c r="I1574">
        <v>15650</v>
      </c>
      <c r="K1574">
        <v>0</v>
      </c>
    </row>
    <row r="1575" spans="1:11" hidden="1">
      <c r="A1575">
        <v>15850</v>
      </c>
      <c r="B1575" t="s">
        <v>5146</v>
      </c>
      <c r="C1575" t="s">
        <v>5148</v>
      </c>
      <c r="E1575" t="s">
        <v>6289</v>
      </c>
      <c r="H1575" t="s">
        <v>3056</v>
      </c>
      <c r="I1575">
        <v>15850</v>
      </c>
      <c r="K1575">
        <v>0</v>
      </c>
    </row>
    <row r="1576" spans="1:11" hidden="1">
      <c r="A1576">
        <v>15860</v>
      </c>
      <c r="B1576" t="s">
        <v>5146</v>
      </c>
      <c r="C1576" t="s">
        <v>5147</v>
      </c>
      <c r="E1576" t="s">
        <v>6289</v>
      </c>
      <c r="H1576" t="s">
        <v>3056</v>
      </c>
      <c r="I1576">
        <v>15860</v>
      </c>
      <c r="K1576">
        <v>0</v>
      </c>
    </row>
    <row r="1577" spans="1:11" hidden="1">
      <c r="A1577">
        <v>15870</v>
      </c>
      <c r="B1577" t="s">
        <v>5146</v>
      </c>
      <c r="C1577" t="s">
        <v>5149</v>
      </c>
      <c r="E1577" t="s">
        <v>6289</v>
      </c>
      <c r="H1577" t="s">
        <v>3056</v>
      </c>
      <c r="I1577">
        <v>15870</v>
      </c>
      <c r="K1577">
        <v>0</v>
      </c>
    </row>
    <row r="1578" spans="1:11" hidden="1">
      <c r="A1578">
        <v>4300</v>
      </c>
      <c r="B1578" t="s">
        <v>5150</v>
      </c>
      <c r="C1578" t="s">
        <v>3094</v>
      </c>
      <c r="E1578" t="s">
        <v>6289</v>
      </c>
      <c r="F1578" t="s">
        <v>3095</v>
      </c>
      <c r="H1578" t="s">
        <v>3061</v>
      </c>
      <c r="I1578">
        <v>4300</v>
      </c>
      <c r="K1578">
        <v>0</v>
      </c>
    </row>
    <row r="1579" spans="1:11" hidden="1">
      <c r="A1579">
        <v>4302</v>
      </c>
      <c r="B1579" t="s">
        <v>5150</v>
      </c>
      <c r="C1579" t="s">
        <v>3104</v>
      </c>
      <c r="E1579" t="s">
        <v>6289</v>
      </c>
      <c r="F1579" t="s">
        <v>3105</v>
      </c>
      <c r="H1579" t="s">
        <v>3061</v>
      </c>
      <c r="I1579">
        <v>4302</v>
      </c>
      <c r="K1579">
        <v>0</v>
      </c>
    </row>
    <row r="1580" spans="1:11" hidden="1">
      <c r="A1580">
        <v>4303</v>
      </c>
      <c r="B1580" t="s">
        <v>5150</v>
      </c>
      <c r="C1580" t="s">
        <v>3106</v>
      </c>
      <c r="E1580" t="s">
        <v>6289</v>
      </c>
      <c r="F1580" t="s">
        <v>3107</v>
      </c>
      <c r="H1580" t="s">
        <v>3061</v>
      </c>
      <c r="I1580">
        <v>4303</v>
      </c>
      <c r="K1580">
        <v>0</v>
      </c>
    </row>
    <row r="1581" spans="1:11" hidden="1">
      <c r="A1581">
        <v>4304</v>
      </c>
      <c r="B1581" t="s">
        <v>5150</v>
      </c>
      <c r="C1581" t="s">
        <v>3110</v>
      </c>
      <c r="E1581" t="s">
        <v>6289</v>
      </c>
      <c r="F1581" t="s">
        <v>3111</v>
      </c>
      <c r="H1581" t="s">
        <v>3061</v>
      </c>
      <c r="I1581">
        <v>4304</v>
      </c>
      <c r="K1581">
        <v>0</v>
      </c>
    </row>
    <row r="1582" spans="1:11" hidden="1">
      <c r="A1582">
        <v>4305</v>
      </c>
      <c r="B1582" t="s">
        <v>5150</v>
      </c>
      <c r="C1582" t="s">
        <v>3118</v>
      </c>
      <c r="E1582" t="s">
        <v>6289</v>
      </c>
      <c r="F1582" t="s">
        <v>3119</v>
      </c>
      <c r="H1582" t="s">
        <v>3061</v>
      </c>
      <c r="I1582">
        <v>4305</v>
      </c>
      <c r="K1582">
        <v>0</v>
      </c>
    </row>
    <row r="1583" spans="1:11" hidden="1">
      <c r="A1583">
        <v>4306</v>
      </c>
      <c r="B1583" t="s">
        <v>5150</v>
      </c>
      <c r="C1583" t="s">
        <v>5151</v>
      </c>
      <c r="E1583" t="s">
        <v>6289</v>
      </c>
      <c r="F1583" t="s">
        <v>3093</v>
      </c>
      <c r="H1583" t="s">
        <v>3061</v>
      </c>
      <c r="I1583">
        <v>4306</v>
      </c>
      <c r="K1583">
        <v>0</v>
      </c>
    </row>
    <row r="1584" spans="1:11" hidden="1">
      <c r="A1584">
        <v>4307</v>
      </c>
      <c r="B1584" t="s">
        <v>5150</v>
      </c>
      <c r="C1584" t="s">
        <v>3098</v>
      </c>
      <c r="E1584" t="s">
        <v>6289</v>
      </c>
      <c r="F1584" t="s">
        <v>3099</v>
      </c>
      <c r="H1584" t="s">
        <v>3061</v>
      </c>
      <c r="I1584">
        <v>4307</v>
      </c>
      <c r="K1584">
        <v>0</v>
      </c>
    </row>
    <row r="1585" spans="1:11" hidden="1">
      <c r="A1585">
        <v>4308</v>
      </c>
      <c r="B1585" t="s">
        <v>5150</v>
      </c>
      <c r="C1585" t="s">
        <v>3114</v>
      </c>
      <c r="E1585" t="s">
        <v>6289</v>
      </c>
      <c r="F1585" t="s">
        <v>3115</v>
      </c>
      <c r="H1585" t="s">
        <v>3061</v>
      </c>
      <c r="I1585">
        <v>4308</v>
      </c>
      <c r="K1585">
        <v>0</v>
      </c>
    </row>
    <row r="1586" spans="1:11" hidden="1">
      <c r="A1586">
        <v>4309</v>
      </c>
      <c r="B1586" t="s">
        <v>5150</v>
      </c>
      <c r="C1586" t="s">
        <v>3116</v>
      </c>
      <c r="E1586" t="s">
        <v>6289</v>
      </c>
      <c r="F1586" t="s">
        <v>3117</v>
      </c>
      <c r="H1586" t="s">
        <v>3061</v>
      </c>
      <c r="I1586">
        <v>4309</v>
      </c>
      <c r="K1586">
        <v>0</v>
      </c>
    </row>
    <row r="1587" spans="1:11" hidden="1">
      <c r="A1587">
        <v>4312</v>
      </c>
      <c r="B1587" t="s">
        <v>5150</v>
      </c>
      <c r="C1587" t="s">
        <v>3090</v>
      </c>
      <c r="E1587" t="s">
        <v>6289</v>
      </c>
      <c r="F1587" t="s">
        <v>3091</v>
      </c>
      <c r="H1587" t="s">
        <v>3061</v>
      </c>
      <c r="I1587">
        <v>4312</v>
      </c>
      <c r="K1587">
        <v>0</v>
      </c>
    </row>
    <row r="1588" spans="1:11" hidden="1">
      <c r="A1588">
        <v>4313</v>
      </c>
      <c r="B1588" t="s">
        <v>5150</v>
      </c>
      <c r="C1588" t="s">
        <v>3096</v>
      </c>
      <c r="E1588" t="s">
        <v>6289</v>
      </c>
      <c r="F1588" t="s">
        <v>3097</v>
      </c>
      <c r="H1588" t="s">
        <v>3061</v>
      </c>
      <c r="I1588">
        <v>4313</v>
      </c>
      <c r="K1588">
        <v>0</v>
      </c>
    </row>
    <row r="1589" spans="1:11" hidden="1">
      <c r="A1589">
        <v>4314</v>
      </c>
      <c r="B1589" t="s">
        <v>5150</v>
      </c>
      <c r="C1589" t="s">
        <v>3100</v>
      </c>
      <c r="E1589" t="s">
        <v>6289</v>
      </c>
      <c r="F1589" t="s">
        <v>3101</v>
      </c>
      <c r="H1589" t="s">
        <v>3061</v>
      </c>
      <c r="I1589">
        <v>4314</v>
      </c>
      <c r="K1589">
        <v>0</v>
      </c>
    </row>
    <row r="1590" spans="1:11" hidden="1">
      <c r="A1590">
        <v>4315</v>
      </c>
      <c r="B1590" t="s">
        <v>5150</v>
      </c>
      <c r="C1590" t="s">
        <v>3125</v>
      </c>
      <c r="E1590" t="s">
        <v>6289</v>
      </c>
      <c r="F1590" t="s">
        <v>3126</v>
      </c>
      <c r="H1590" t="s">
        <v>3061</v>
      </c>
      <c r="I1590">
        <v>4315</v>
      </c>
      <c r="K1590">
        <v>0</v>
      </c>
    </row>
    <row r="1591" spans="1:11" hidden="1">
      <c r="A1591">
        <v>286</v>
      </c>
      <c r="B1591" t="s">
        <v>5152</v>
      </c>
      <c r="C1591" t="s">
        <v>5155</v>
      </c>
      <c r="E1591" t="s">
        <v>6289</v>
      </c>
      <c r="F1591" t="s">
        <v>5156</v>
      </c>
      <c r="H1591" t="s">
        <v>3056</v>
      </c>
      <c r="I1591">
        <v>286</v>
      </c>
      <c r="K1591">
        <v>0</v>
      </c>
    </row>
    <row r="1592" spans="1:11" hidden="1">
      <c r="A1592">
        <v>287</v>
      </c>
      <c r="B1592" t="s">
        <v>5152</v>
      </c>
      <c r="C1592" t="s">
        <v>5153</v>
      </c>
      <c r="E1592" t="s">
        <v>6289</v>
      </c>
      <c r="F1592" t="s">
        <v>3756</v>
      </c>
      <c r="H1592" t="s">
        <v>3056</v>
      </c>
      <c r="I1592">
        <v>287</v>
      </c>
      <c r="K1592">
        <v>0</v>
      </c>
    </row>
    <row r="1593" spans="1:11" hidden="1">
      <c r="A1593">
        <v>288</v>
      </c>
      <c r="B1593" t="s">
        <v>5152</v>
      </c>
      <c r="C1593" t="s">
        <v>5154</v>
      </c>
      <c r="E1593" t="s">
        <v>6289</v>
      </c>
      <c r="F1593" t="s">
        <v>3758</v>
      </c>
      <c r="H1593" t="s">
        <v>3056</v>
      </c>
      <c r="I1593">
        <v>288</v>
      </c>
      <c r="K1593">
        <v>0</v>
      </c>
    </row>
    <row r="1594" spans="1:11" hidden="1">
      <c r="A1594">
        <v>289</v>
      </c>
      <c r="B1594" t="s">
        <v>5152</v>
      </c>
      <c r="C1594" t="s">
        <v>5157</v>
      </c>
      <c r="E1594" t="s">
        <v>6289</v>
      </c>
      <c r="F1594" t="s">
        <v>3946</v>
      </c>
      <c r="H1594" t="s">
        <v>3056</v>
      </c>
      <c r="I1594">
        <v>289</v>
      </c>
      <c r="K1594">
        <v>0</v>
      </c>
    </row>
    <row r="1595" spans="1:11" hidden="1">
      <c r="A1595">
        <v>290</v>
      </c>
      <c r="B1595" t="s">
        <v>5152</v>
      </c>
      <c r="C1595" t="s">
        <v>3765</v>
      </c>
      <c r="E1595" t="s">
        <v>6289</v>
      </c>
      <c r="F1595" t="s">
        <v>3766</v>
      </c>
      <c r="H1595" t="s">
        <v>3056</v>
      </c>
      <c r="I1595">
        <v>290</v>
      </c>
      <c r="K1595">
        <v>0</v>
      </c>
    </row>
    <row r="1596" spans="1:11" hidden="1">
      <c r="A1596">
        <v>291</v>
      </c>
      <c r="B1596" t="s">
        <v>5152</v>
      </c>
      <c r="C1596" t="s">
        <v>3767</v>
      </c>
      <c r="E1596" t="s">
        <v>6289</v>
      </c>
      <c r="F1596" t="s">
        <v>3768</v>
      </c>
      <c r="H1596" t="s">
        <v>3056</v>
      </c>
      <c r="I1596">
        <v>291</v>
      </c>
      <c r="K1596">
        <v>0</v>
      </c>
    </row>
    <row r="1597" spans="1:11" hidden="1">
      <c r="A1597">
        <v>292</v>
      </c>
      <c r="B1597" t="s">
        <v>5152</v>
      </c>
      <c r="C1597" t="s">
        <v>5158</v>
      </c>
      <c r="E1597" t="s">
        <v>6289</v>
      </c>
      <c r="F1597" t="s">
        <v>4745</v>
      </c>
      <c r="H1597" t="s">
        <v>3056</v>
      </c>
      <c r="I1597">
        <v>292</v>
      </c>
      <c r="K1597">
        <v>0</v>
      </c>
    </row>
    <row r="1598" spans="1:11" hidden="1">
      <c r="A1598">
        <v>293</v>
      </c>
      <c r="B1598" t="s">
        <v>5152</v>
      </c>
      <c r="C1598" t="s">
        <v>5163</v>
      </c>
      <c r="E1598" t="s">
        <v>6289</v>
      </c>
      <c r="F1598" t="s">
        <v>5164</v>
      </c>
      <c r="H1598" t="s">
        <v>3056</v>
      </c>
      <c r="I1598">
        <v>293</v>
      </c>
      <c r="K1598">
        <v>0</v>
      </c>
    </row>
    <row r="1599" spans="1:11" hidden="1">
      <c r="A1599">
        <v>294</v>
      </c>
      <c r="B1599" t="s">
        <v>5152</v>
      </c>
      <c r="C1599" t="s">
        <v>5159</v>
      </c>
      <c r="E1599" t="s">
        <v>6289</v>
      </c>
      <c r="F1599" t="s">
        <v>5160</v>
      </c>
      <c r="H1599" t="s">
        <v>3056</v>
      </c>
      <c r="I1599">
        <v>294</v>
      </c>
      <c r="K1599">
        <v>0</v>
      </c>
    </row>
    <row r="1600" spans="1:11" hidden="1">
      <c r="A1600">
        <v>295</v>
      </c>
      <c r="B1600" t="s">
        <v>5152</v>
      </c>
      <c r="C1600" t="s">
        <v>5161</v>
      </c>
      <c r="E1600" t="s">
        <v>6289</v>
      </c>
      <c r="F1600" t="s">
        <v>5162</v>
      </c>
      <c r="H1600" t="s">
        <v>3056</v>
      </c>
      <c r="I1600">
        <v>295</v>
      </c>
      <c r="K1600">
        <v>0</v>
      </c>
    </row>
    <row r="1601" spans="1:11" hidden="1">
      <c r="A1601">
        <v>1310</v>
      </c>
      <c r="B1601" t="s">
        <v>5033</v>
      </c>
      <c r="C1601" t="s">
        <v>5166</v>
      </c>
      <c r="D1601">
        <v>1</v>
      </c>
      <c r="E1601" t="s">
        <v>6289</v>
      </c>
      <c r="H1601" t="s">
        <v>3056</v>
      </c>
      <c r="I1601">
        <v>1310</v>
      </c>
      <c r="K1601">
        <v>0</v>
      </c>
    </row>
    <row r="1602" spans="1:11" hidden="1">
      <c r="A1602">
        <v>1311</v>
      </c>
      <c r="B1602" t="s">
        <v>5033</v>
      </c>
      <c r="C1602" t="s">
        <v>5169</v>
      </c>
      <c r="D1602">
        <v>2</v>
      </c>
      <c r="E1602" t="s">
        <v>6289</v>
      </c>
      <c r="H1602" t="s">
        <v>3056</v>
      </c>
      <c r="I1602">
        <v>1311</v>
      </c>
      <c r="K1602">
        <v>0</v>
      </c>
    </row>
    <row r="1603" spans="1:11" hidden="1">
      <c r="A1603">
        <v>1312</v>
      </c>
      <c r="B1603" t="s">
        <v>5033</v>
      </c>
      <c r="C1603" t="s">
        <v>5165</v>
      </c>
      <c r="D1603">
        <v>3</v>
      </c>
      <c r="E1603" t="s">
        <v>6289</v>
      </c>
      <c r="H1603" t="s">
        <v>3056</v>
      </c>
      <c r="I1603">
        <v>1312</v>
      </c>
      <c r="K1603">
        <v>0</v>
      </c>
    </row>
    <row r="1604" spans="1:11" hidden="1">
      <c r="A1604">
        <v>1314</v>
      </c>
      <c r="B1604" t="s">
        <v>5033</v>
      </c>
      <c r="C1604" t="s">
        <v>5168</v>
      </c>
      <c r="D1604">
        <v>4</v>
      </c>
      <c r="E1604" t="s">
        <v>6289</v>
      </c>
      <c r="H1604" t="s">
        <v>3056</v>
      </c>
      <c r="I1604">
        <v>1314</v>
      </c>
      <c r="K1604">
        <v>0</v>
      </c>
    </row>
    <row r="1605" spans="1:11" hidden="1">
      <c r="A1605">
        <v>1315</v>
      </c>
      <c r="B1605" t="s">
        <v>5033</v>
      </c>
      <c r="C1605" t="s">
        <v>5167</v>
      </c>
      <c r="D1605">
        <v>5</v>
      </c>
      <c r="E1605" t="s">
        <v>6289</v>
      </c>
      <c r="H1605" t="s">
        <v>3056</v>
      </c>
      <c r="I1605">
        <v>1315</v>
      </c>
      <c r="K1605">
        <v>0</v>
      </c>
    </row>
    <row r="1606" spans="1:11" hidden="1">
      <c r="A1606">
        <v>1316</v>
      </c>
      <c r="B1606" t="s">
        <v>5033</v>
      </c>
      <c r="C1606" t="s">
        <v>5170</v>
      </c>
      <c r="D1606">
        <v>6</v>
      </c>
      <c r="E1606" t="s">
        <v>6289</v>
      </c>
      <c r="H1606" t="s">
        <v>3056</v>
      </c>
      <c r="I1606">
        <v>1316</v>
      </c>
      <c r="K1606">
        <v>0</v>
      </c>
    </row>
    <row r="1607" spans="1:11" hidden="1">
      <c r="A1607">
        <v>16580</v>
      </c>
      <c r="B1607" t="s">
        <v>5171</v>
      </c>
      <c r="C1607" t="s">
        <v>4058</v>
      </c>
      <c r="E1607" t="s">
        <v>6289</v>
      </c>
      <c r="H1607" t="s">
        <v>3056</v>
      </c>
      <c r="I1607">
        <v>16580</v>
      </c>
      <c r="K1607">
        <v>0</v>
      </c>
    </row>
    <row r="1608" spans="1:11" hidden="1">
      <c r="A1608">
        <v>16590</v>
      </c>
      <c r="B1608" t="s">
        <v>5171</v>
      </c>
      <c r="C1608" t="s">
        <v>5173</v>
      </c>
      <c r="E1608" t="s">
        <v>6289</v>
      </c>
      <c r="H1608" t="s">
        <v>3056</v>
      </c>
      <c r="I1608">
        <v>16590</v>
      </c>
      <c r="K1608">
        <v>0</v>
      </c>
    </row>
    <row r="1609" spans="1:11" hidden="1">
      <c r="A1609">
        <v>16600</v>
      </c>
      <c r="B1609" t="s">
        <v>5171</v>
      </c>
      <c r="C1609" t="s">
        <v>5172</v>
      </c>
      <c r="E1609" t="s">
        <v>6289</v>
      </c>
      <c r="H1609" t="s">
        <v>3056</v>
      </c>
      <c r="I1609">
        <v>16600</v>
      </c>
      <c r="K1609">
        <v>0</v>
      </c>
    </row>
    <row r="1610" spans="1:11" hidden="1">
      <c r="A1610">
        <v>16610</v>
      </c>
      <c r="B1610" t="s">
        <v>5171</v>
      </c>
      <c r="C1610" t="s">
        <v>5174</v>
      </c>
      <c r="E1610" t="s">
        <v>6289</v>
      </c>
      <c r="H1610" t="s">
        <v>3056</v>
      </c>
      <c r="I1610">
        <v>16610</v>
      </c>
      <c r="K1610">
        <v>0</v>
      </c>
    </row>
    <row r="1611" spans="1:11" hidden="1">
      <c r="A1611">
        <v>4400</v>
      </c>
      <c r="B1611" t="s">
        <v>5175</v>
      </c>
      <c r="C1611" t="s">
        <v>5176</v>
      </c>
      <c r="E1611" t="s">
        <v>6289</v>
      </c>
      <c r="F1611">
        <v>5001800261</v>
      </c>
      <c r="H1611" t="s">
        <v>3061</v>
      </c>
      <c r="I1611">
        <v>4400</v>
      </c>
      <c r="K1611">
        <v>0</v>
      </c>
    </row>
    <row r="1612" spans="1:11" hidden="1">
      <c r="A1612">
        <v>4401</v>
      </c>
      <c r="B1612" t="s">
        <v>5175</v>
      </c>
      <c r="C1612" t="s">
        <v>5177</v>
      </c>
      <c r="E1612" t="s">
        <v>6289</v>
      </c>
      <c r="F1612">
        <v>5002000261</v>
      </c>
      <c r="H1612" t="s">
        <v>3061</v>
      </c>
      <c r="I1612">
        <v>4401</v>
      </c>
      <c r="K1612">
        <v>0</v>
      </c>
    </row>
    <row r="1613" spans="1:11" hidden="1">
      <c r="A1613">
        <v>4402</v>
      </c>
      <c r="B1613" t="s">
        <v>5175</v>
      </c>
      <c r="C1613" t="s">
        <v>5178</v>
      </c>
      <c r="E1613" t="s">
        <v>6289</v>
      </c>
      <c r="F1613">
        <v>5001500261</v>
      </c>
      <c r="H1613" t="s">
        <v>3061</v>
      </c>
      <c r="I1613">
        <v>4402</v>
      </c>
      <c r="K1613">
        <v>0</v>
      </c>
    </row>
    <row r="1614" spans="1:11" hidden="1">
      <c r="A1614">
        <v>4403</v>
      </c>
      <c r="B1614" t="s">
        <v>5175</v>
      </c>
      <c r="C1614" t="s">
        <v>5179</v>
      </c>
      <c r="E1614" t="s">
        <v>6289</v>
      </c>
      <c r="F1614">
        <v>5001600261</v>
      </c>
      <c r="H1614" t="s">
        <v>3061</v>
      </c>
      <c r="I1614">
        <v>4403</v>
      </c>
      <c r="K1614">
        <v>0</v>
      </c>
    </row>
    <row r="1615" spans="1:11" hidden="1">
      <c r="A1615">
        <v>4404</v>
      </c>
      <c r="B1615" t="s">
        <v>5175</v>
      </c>
      <c r="C1615" t="s">
        <v>3141</v>
      </c>
      <c r="E1615" t="s">
        <v>6289</v>
      </c>
      <c r="F1615" t="s">
        <v>3141</v>
      </c>
      <c r="H1615" t="s">
        <v>3061</v>
      </c>
      <c r="I1615">
        <v>4404</v>
      </c>
      <c r="K1615">
        <v>0</v>
      </c>
    </row>
    <row r="1616" spans="1:11" hidden="1">
      <c r="A1616">
        <v>4405</v>
      </c>
      <c r="B1616" t="s">
        <v>5175</v>
      </c>
      <c r="C1616" t="s">
        <v>3144</v>
      </c>
      <c r="E1616" t="s">
        <v>6289</v>
      </c>
      <c r="F1616" t="s">
        <v>3145</v>
      </c>
      <c r="H1616" t="s">
        <v>3061</v>
      </c>
      <c r="I1616">
        <v>4405</v>
      </c>
      <c r="K1616">
        <v>0</v>
      </c>
    </row>
    <row r="1617" spans="1:11" hidden="1">
      <c r="A1617">
        <v>4500</v>
      </c>
      <c r="B1617" t="s">
        <v>5180</v>
      </c>
      <c r="C1617" t="s">
        <v>5187</v>
      </c>
      <c r="E1617" t="s">
        <v>6289</v>
      </c>
      <c r="F1617" t="s">
        <v>3891</v>
      </c>
      <c r="H1617" t="s">
        <v>3061</v>
      </c>
      <c r="I1617">
        <v>4500</v>
      </c>
      <c r="K1617">
        <v>0</v>
      </c>
    </row>
    <row r="1618" spans="1:11" hidden="1">
      <c r="A1618">
        <v>4501</v>
      </c>
      <c r="B1618" t="s">
        <v>5180</v>
      </c>
      <c r="C1618" t="s">
        <v>4466</v>
      </c>
      <c r="E1618" t="s">
        <v>6289</v>
      </c>
      <c r="F1618" t="s">
        <v>3095</v>
      </c>
      <c r="H1618" t="s">
        <v>3061</v>
      </c>
      <c r="I1618">
        <v>4501</v>
      </c>
      <c r="K1618">
        <v>0</v>
      </c>
    </row>
    <row r="1619" spans="1:11" hidden="1">
      <c r="A1619">
        <v>4502</v>
      </c>
      <c r="B1619" t="s">
        <v>5180</v>
      </c>
      <c r="C1619" t="s">
        <v>3141</v>
      </c>
      <c r="E1619" t="s">
        <v>6289</v>
      </c>
      <c r="F1619" t="s">
        <v>3141</v>
      </c>
      <c r="H1619" t="s">
        <v>3061</v>
      </c>
      <c r="I1619">
        <v>4502</v>
      </c>
      <c r="K1619">
        <v>0</v>
      </c>
    </row>
    <row r="1620" spans="1:11" hidden="1">
      <c r="A1620">
        <v>4503</v>
      </c>
      <c r="B1620" t="s">
        <v>5180</v>
      </c>
      <c r="C1620" t="s">
        <v>3144</v>
      </c>
      <c r="E1620" t="s">
        <v>6289</v>
      </c>
      <c r="F1620" t="s">
        <v>3145</v>
      </c>
      <c r="H1620" t="s">
        <v>3061</v>
      </c>
      <c r="I1620">
        <v>4503</v>
      </c>
      <c r="K1620">
        <v>0</v>
      </c>
    </row>
    <row r="1621" spans="1:11" hidden="1">
      <c r="A1621">
        <v>4504</v>
      </c>
      <c r="B1621" t="s">
        <v>5180</v>
      </c>
      <c r="C1621" t="s">
        <v>4481</v>
      </c>
      <c r="E1621" t="s">
        <v>6289</v>
      </c>
      <c r="F1621" t="s">
        <v>5186</v>
      </c>
      <c r="H1621" t="s">
        <v>3061</v>
      </c>
      <c r="I1621">
        <v>4504</v>
      </c>
      <c r="K1621">
        <v>0</v>
      </c>
    </row>
    <row r="1622" spans="1:11" hidden="1">
      <c r="A1622">
        <v>4505</v>
      </c>
      <c r="B1622" t="s">
        <v>5180</v>
      </c>
      <c r="C1622" t="s">
        <v>4470</v>
      </c>
      <c r="E1622" t="s">
        <v>6289</v>
      </c>
      <c r="F1622" t="s">
        <v>138</v>
      </c>
      <c r="H1622" t="s">
        <v>3061</v>
      </c>
      <c r="I1622">
        <v>4505</v>
      </c>
      <c r="K1622">
        <v>0</v>
      </c>
    </row>
    <row r="1623" spans="1:11" hidden="1">
      <c r="A1623">
        <v>4506</v>
      </c>
      <c r="B1623" t="s">
        <v>5180</v>
      </c>
      <c r="C1623" t="s">
        <v>5184</v>
      </c>
      <c r="E1623" t="s">
        <v>6289</v>
      </c>
      <c r="F1623" t="s">
        <v>5185</v>
      </c>
      <c r="H1623" t="s">
        <v>3061</v>
      </c>
      <c r="I1623">
        <v>4506</v>
      </c>
      <c r="K1623">
        <v>0</v>
      </c>
    </row>
    <row r="1624" spans="1:11" hidden="1">
      <c r="A1624">
        <v>4507</v>
      </c>
      <c r="B1624" t="s">
        <v>5180</v>
      </c>
      <c r="C1624" t="s">
        <v>5182</v>
      </c>
      <c r="E1624" t="s">
        <v>6289</v>
      </c>
      <c r="F1624" t="s">
        <v>5183</v>
      </c>
      <c r="H1624" t="s">
        <v>3061</v>
      </c>
      <c r="I1624">
        <v>4507</v>
      </c>
      <c r="K1624">
        <v>0</v>
      </c>
    </row>
    <row r="1625" spans="1:11" hidden="1">
      <c r="A1625">
        <v>4509</v>
      </c>
      <c r="B1625" t="s">
        <v>5180</v>
      </c>
      <c r="C1625" t="s">
        <v>5181</v>
      </c>
      <c r="E1625" t="s">
        <v>6289</v>
      </c>
      <c r="F1625" t="s">
        <v>3951</v>
      </c>
      <c r="H1625" t="s">
        <v>3061</v>
      </c>
      <c r="I1625">
        <v>4509</v>
      </c>
      <c r="K1625">
        <v>0</v>
      </c>
    </row>
    <row r="1626" spans="1:11" hidden="1">
      <c r="A1626">
        <v>4600</v>
      </c>
      <c r="B1626" t="s">
        <v>5188</v>
      </c>
      <c r="C1626" t="s">
        <v>5000</v>
      </c>
      <c r="E1626" t="s">
        <v>6289</v>
      </c>
      <c r="F1626" t="s">
        <v>5178</v>
      </c>
      <c r="H1626" t="s">
        <v>3061</v>
      </c>
      <c r="I1626">
        <v>4600</v>
      </c>
      <c r="K1626">
        <v>0</v>
      </c>
    </row>
    <row r="1627" spans="1:11" hidden="1">
      <c r="A1627">
        <v>4601</v>
      </c>
      <c r="B1627" t="s">
        <v>5188</v>
      </c>
      <c r="C1627" t="s">
        <v>5190</v>
      </c>
      <c r="E1627" t="s">
        <v>6289</v>
      </c>
      <c r="F1627" t="s">
        <v>5177</v>
      </c>
      <c r="H1627" t="s">
        <v>3061</v>
      </c>
      <c r="I1627">
        <v>4601</v>
      </c>
      <c r="K1627">
        <v>0</v>
      </c>
    </row>
    <row r="1628" spans="1:11" hidden="1">
      <c r="A1628">
        <v>4602</v>
      </c>
      <c r="B1628" t="s">
        <v>5188</v>
      </c>
      <c r="C1628" t="s">
        <v>5005</v>
      </c>
      <c r="E1628" t="s">
        <v>6289</v>
      </c>
      <c r="F1628" t="s">
        <v>5179</v>
      </c>
      <c r="H1628" t="s">
        <v>3061</v>
      </c>
      <c r="I1628">
        <v>4602</v>
      </c>
      <c r="K1628">
        <v>0</v>
      </c>
    </row>
    <row r="1629" spans="1:11" hidden="1">
      <c r="A1629">
        <v>4603</v>
      </c>
      <c r="B1629" t="s">
        <v>5188</v>
      </c>
      <c r="C1629" t="s">
        <v>5189</v>
      </c>
      <c r="E1629" t="s">
        <v>6289</v>
      </c>
      <c r="F1629" t="s">
        <v>5176</v>
      </c>
      <c r="H1629" t="s">
        <v>3061</v>
      </c>
      <c r="I1629">
        <v>4603</v>
      </c>
      <c r="K1629">
        <v>0</v>
      </c>
    </row>
    <row r="1630" spans="1:11" hidden="1">
      <c r="A1630">
        <v>4604</v>
      </c>
      <c r="B1630" t="s">
        <v>5188</v>
      </c>
      <c r="C1630" t="s">
        <v>3141</v>
      </c>
      <c r="E1630" t="s">
        <v>6289</v>
      </c>
      <c r="F1630" t="s">
        <v>3141</v>
      </c>
      <c r="H1630" t="s">
        <v>3061</v>
      </c>
      <c r="I1630">
        <v>4604</v>
      </c>
      <c r="K1630">
        <v>0</v>
      </c>
    </row>
    <row r="1631" spans="1:11" hidden="1">
      <c r="A1631">
        <v>4605</v>
      </c>
      <c r="B1631" t="s">
        <v>5188</v>
      </c>
      <c r="C1631" t="s">
        <v>3144</v>
      </c>
      <c r="E1631" t="s">
        <v>6289</v>
      </c>
      <c r="F1631" t="s">
        <v>3145</v>
      </c>
      <c r="H1631" t="s">
        <v>3061</v>
      </c>
      <c r="I1631">
        <v>4605</v>
      </c>
      <c r="K1631">
        <v>0</v>
      </c>
    </row>
    <row r="1632" spans="1:11" hidden="1">
      <c r="A1632">
        <v>11760</v>
      </c>
      <c r="B1632" t="s">
        <v>5191</v>
      </c>
      <c r="C1632" t="s">
        <v>4002</v>
      </c>
      <c r="E1632" t="s">
        <v>6289</v>
      </c>
      <c r="H1632" t="s">
        <v>3056</v>
      </c>
      <c r="I1632">
        <v>11760</v>
      </c>
      <c r="K1632">
        <v>0</v>
      </c>
    </row>
    <row r="1633" spans="1:11" hidden="1">
      <c r="A1633">
        <v>11770</v>
      </c>
      <c r="B1633" t="s">
        <v>5191</v>
      </c>
      <c r="C1633" t="s">
        <v>4003</v>
      </c>
      <c r="E1633" t="s">
        <v>6289</v>
      </c>
      <c r="H1633" t="s">
        <v>3056</v>
      </c>
      <c r="I1633">
        <v>11770</v>
      </c>
      <c r="K1633">
        <v>0</v>
      </c>
    </row>
    <row r="1634" spans="1:11" hidden="1">
      <c r="A1634">
        <v>15280</v>
      </c>
      <c r="B1634" t="s">
        <v>5192</v>
      </c>
      <c r="C1634" t="s">
        <v>4859</v>
      </c>
      <c r="E1634" t="s">
        <v>6289</v>
      </c>
      <c r="H1634" t="s">
        <v>3056</v>
      </c>
      <c r="I1634">
        <v>15280</v>
      </c>
      <c r="K1634">
        <v>0</v>
      </c>
    </row>
    <row r="1635" spans="1:11" hidden="1">
      <c r="A1635">
        <v>15290</v>
      </c>
      <c r="B1635" t="s">
        <v>5192</v>
      </c>
      <c r="C1635" t="s">
        <v>4860</v>
      </c>
      <c r="E1635" t="s">
        <v>6289</v>
      </c>
      <c r="H1635" t="s">
        <v>3056</v>
      </c>
      <c r="I1635">
        <v>15290</v>
      </c>
      <c r="K1635">
        <v>0</v>
      </c>
    </row>
    <row r="1636" spans="1:11" hidden="1">
      <c r="A1636">
        <v>711</v>
      </c>
      <c r="B1636" t="s">
        <v>5193</v>
      </c>
      <c r="C1636" t="s">
        <v>5204</v>
      </c>
      <c r="E1636" t="s">
        <v>6289</v>
      </c>
      <c r="F1636" t="s">
        <v>5205</v>
      </c>
      <c r="H1636" t="s">
        <v>3056</v>
      </c>
      <c r="I1636">
        <v>711</v>
      </c>
      <c r="K1636">
        <v>0</v>
      </c>
    </row>
    <row r="1637" spans="1:11" hidden="1">
      <c r="A1637">
        <v>712</v>
      </c>
      <c r="B1637" t="s">
        <v>5193</v>
      </c>
      <c r="C1637" t="s">
        <v>5202</v>
      </c>
      <c r="E1637" t="s">
        <v>6289</v>
      </c>
      <c r="F1637" t="s">
        <v>5203</v>
      </c>
      <c r="H1637" t="s">
        <v>3056</v>
      </c>
      <c r="I1637">
        <v>712</v>
      </c>
      <c r="K1637">
        <v>0</v>
      </c>
    </row>
    <row r="1638" spans="1:11" hidden="1">
      <c r="A1638">
        <v>926</v>
      </c>
      <c r="B1638" t="s">
        <v>5193</v>
      </c>
      <c r="C1638" t="s">
        <v>5201</v>
      </c>
      <c r="E1638" t="s">
        <v>6289</v>
      </c>
      <c r="F1638">
        <v>3</v>
      </c>
      <c r="H1638" t="s">
        <v>3056</v>
      </c>
      <c r="I1638">
        <v>926</v>
      </c>
      <c r="K1638">
        <v>0</v>
      </c>
    </row>
    <row r="1639" spans="1:11" hidden="1">
      <c r="A1639">
        <v>927</v>
      </c>
      <c r="B1639" t="s">
        <v>5193</v>
      </c>
      <c r="C1639" t="s">
        <v>5208</v>
      </c>
      <c r="E1639" t="s">
        <v>6289</v>
      </c>
      <c r="F1639">
        <v>4</v>
      </c>
      <c r="H1639" t="s">
        <v>3056</v>
      </c>
      <c r="I1639">
        <v>927</v>
      </c>
      <c r="K1639">
        <v>0</v>
      </c>
    </row>
    <row r="1640" spans="1:11" hidden="1">
      <c r="A1640">
        <v>928</v>
      </c>
      <c r="B1640" t="s">
        <v>5193</v>
      </c>
      <c r="C1640" t="s">
        <v>5197</v>
      </c>
      <c r="E1640" t="s">
        <v>6289</v>
      </c>
      <c r="F1640">
        <v>6</v>
      </c>
      <c r="H1640" t="s">
        <v>3056</v>
      </c>
      <c r="I1640">
        <v>928</v>
      </c>
      <c r="K1640">
        <v>0</v>
      </c>
    </row>
    <row r="1641" spans="1:11" hidden="1">
      <c r="A1641">
        <v>929</v>
      </c>
      <c r="B1641" t="s">
        <v>5193</v>
      </c>
      <c r="C1641" t="s">
        <v>5206</v>
      </c>
      <c r="E1641" t="s">
        <v>6289</v>
      </c>
      <c r="H1641" t="s">
        <v>3056</v>
      </c>
      <c r="I1641">
        <v>929</v>
      </c>
      <c r="K1641">
        <v>0</v>
      </c>
    </row>
    <row r="1642" spans="1:11" hidden="1">
      <c r="A1642">
        <v>930</v>
      </c>
      <c r="B1642" t="s">
        <v>5193</v>
      </c>
      <c r="C1642" t="s">
        <v>5198</v>
      </c>
      <c r="E1642" t="s">
        <v>6289</v>
      </c>
      <c r="F1642">
        <v>7</v>
      </c>
      <c r="H1642" t="s">
        <v>3056</v>
      </c>
      <c r="I1642">
        <v>930</v>
      </c>
      <c r="K1642">
        <v>0</v>
      </c>
    </row>
    <row r="1643" spans="1:11" hidden="1">
      <c r="A1643">
        <v>931</v>
      </c>
      <c r="B1643" t="s">
        <v>5193</v>
      </c>
      <c r="C1643" t="s">
        <v>5207</v>
      </c>
      <c r="E1643" t="s">
        <v>6289</v>
      </c>
      <c r="F1643">
        <v>5</v>
      </c>
      <c r="H1643" t="s">
        <v>3056</v>
      </c>
      <c r="I1643">
        <v>931</v>
      </c>
      <c r="K1643">
        <v>0</v>
      </c>
    </row>
    <row r="1644" spans="1:11" hidden="1">
      <c r="A1644">
        <v>932</v>
      </c>
      <c r="B1644" t="s">
        <v>5193</v>
      </c>
      <c r="C1644" t="s">
        <v>5196</v>
      </c>
      <c r="E1644" t="s">
        <v>6289</v>
      </c>
      <c r="F1644">
        <v>8</v>
      </c>
      <c r="H1644" t="s">
        <v>3056</v>
      </c>
      <c r="I1644">
        <v>932</v>
      </c>
      <c r="K1644">
        <v>0</v>
      </c>
    </row>
    <row r="1645" spans="1:11" hidden="1">
      <c r="A1645">
        <v>933</v>
      </c>
      <c r="B1645" t="s">
        <v>5193</v>
      </c>
      <c r="C1645" t="s">
        <v>5194</v>
      </c>
      <c r="E1645" t="s">
        <v>6289</v>
      </c>
      <c r="F1645">
        <v>1</v>
      </c>
      <c r="H1645" t="s">
        <v>3056</v>
      </c>
      <c r="I1645">
        <v>933</v>
      </c>
      <c r="K1645">
        <v>0</v>
      </c>
    </row>
    <row r="1646" spans="1:11" hidden="1">
      <c r="A1646">
        <v>941</v>
      </c>
      <c r="B1646" t="s">
        <v>5193</v>
      </c>
      <c r="C1646" t="s">
        <v>5199</v>
      </c>
      <c r="E1646" t="s">
        <v>6289</v>
      </c>
      <c r="F1646" t="s">
        <v>5200</v>
      </c>
      <c r="H1646" t="s">
        <v>3056</v>
      </c>
      <c r="I1646">
        <v>941</v>
      </c>
      <c r="K1646">
        <v>0</v>
      </c>
    </row>
    <row r="1647" spans="1:11" hidden="1">
      <c r="A1647">
        <v>1518</v>
      </c>
      <c r="B1647" t="s">
        <v>5193</v>
      </c>
      <c r="C1647" t="s">
        <v>5195</v>
      </c>
      <c r="E1647" t="s">
        <v>6289</v>
      </c>
      <c r="F1647">
        <v>9</v>
      </c>
      <c r="H1647" t="s">
        <v>3056</v>
      </c>
      <c r="I1647">
        <v>1518</v>
      </c>
      <c r="K1647">
        <v>0</v>
      </c>
    </row>
    <row r="1648" spans="1:11" hidden="1">
      <c r="A1648">
        <v>694</v>
      </c>
      <c r="B1648" t="s">
        <v>5209</v>
      </c>
      <c r="C1648" t="s">
        <v>5224</v>
      </c>
      <c r="E1648" t="s">
        <v>6289</v>
      </c>
      <c r="H1648" t="s">
        <v>3056</v>
      </c>
      <c r="I1648">
        <v>694</v>
      </c>
      <c r="K1648">
        <v>0</v>
      </c>
    </row>
    <row r="1649" spans="1:11" hidden="1">
      <c r="A1649">
        <v>695</v>
      </c>
      <c r="B1649" t="s">
        <v>5209</v>
      </c>
      <c r="C1649" t="s">
        <v>5226</v>
      </c>
      <c r="E1649" t="s">
        <v>6289</v>
      </c>
      <c r="H1649" t="s">
        <v>3056</v>
      </c>
      <c r="I1649">
        <v>695</v>
      </c>
      <c r="K1649">
        <v>0</v>
      </c>
    </row>
    <row r="1650" spans="1:11" hidden="1">
      <c r="A1650">
        <v>696</v>
      </c>
      <c r="B1650" t="s">
        <v>5209</v>
      </c>
      <c r="C1650" t="s">
        <v>5219</v>
      </c>
      <c r="E1650" t="s">
        <v>6289</v>
      </c>
      <c r="H1650" t="s">
        <v>3056</v>
      </c>
      <c r="I1650">
        <v>696</v>
      </c>
      <c r="K1650">
        <v>0</v>
      </c>
    </row>
    <row r="1651" spans="1:11" hidden="1">
      <c r="A1651">
        <v>697</v>
      </c>
      <c r="B1651" t="s">
        <v>5209</v>
      </c>
      <c r="C1651" t="s">
        <v>5213</v>
      </c>
      <c r="E1651" t="s">
        <v>6289</v>
      </c>
      <c r="H1651" t="s">
        <v>3056</v>
      </c>
      <c r="I1651">
        <v>697</v>
      </c>
      <c r="K1651">
        <v>0</v>
      </c>
    </row>
    <row r="1652" spans="1:11" hidden="1">
      <c r="A1652">
        <v>698</v>
      </c>
      <c r="B1652" t="s">
        <v>5209</v>
      </c>
      <c r="C1652" t="s">
        <v>5215</v>
      </c>
      <c r="E1652" t="s">
        <v>6289</v>
      </c>
      <c r="H1652" t="s">
        <v>3056</v>
      </c>
      <c r="I1652">
        <v>698</v>
      </c>
      <c r="K1652">
        <v>0</v>
      </c>
    </row>
    <row r="1653" spans="1:11" hidden="1">
      <c r="A1653">
        <v>699</v>
      </c>
      <c r="B1653" t="s">
        <v>5209</v>
      </c>
      <c r="C1653" t="s">
        <v>5216</v>
      </c>
      <c r="E1653" t="s">
        <v>6289</v>
      </c>
      <c r="H1653" t="s">
        <v>3056</v>
      </c>
      <c r="I1653">
        <v>699</v>
      </c>
      <c r="K1653">
        <v>0</v>
      </c>
    </row>
    <row r="1654" spans="1:11" hidden="1">
      <c r="A1654">
        <v>700</v>
      </c>
      <c r="B1654" t="s">
        <v>5209</v>
      </c>
      <c r="C1654" t="s">
        <v>5223</v>
      </c>
      <c r="E1654" t="s">
        <v>6289</v>
      </c>
      <c r="H1654" t="s">
        <v>3056</v>
      </c>
      <c r="I1654">
        <v>700</v>
      </c>
      <c r="K1654">
        <v>0</v>
      </c>
    </row>
    <row r="1655" spans="1:11" hidden="1">
      <c r="A1655">
        <v>701</v>
      </c>
      <c r="B1655" t="s">
        <v>5209</v>
      </c>
      <c r="C1655" t="s">
        <v>5214</v>
      </c>
      <c r="E1655" t="s">
        <v>6289</v>
      </c>
      <c r="H1655" t="s">
        <v>3056</v>
      </c>
      <c r="I1655">
        <v>701</v>
      </c>
      <c r="K1655">
        <v>0</v>
      </c>
    </row>
    <row r="1656" spans="1:11" hidden="1">
      <c r="A1656">
        <v>702</v>
      </c>
      <c r="B1656" t="s">
        <v>5209</v>
      </c>
      <c r="C1656" t="s">
        <v>5225</v>
      </c>
      <c r="E1656" t="s">
        <v>6289</v>
      </c>
      <c r="H1656" t="s">
        <v>3056</v>
      </c>
      <c r="I1656">
        <v>702</v>
      </c>
      <c r="K1656">
        <v>0</v>
      </c>
    </row>
    <row r="1657" spans="1:11" hidden="1">
      <c r="A1657">
        <v>703</v>
      </c>
      <c r="B1657" t="s">
        <v>5209</v>
      </c>
      <c r="C1657" t="s">
        <v>5220</v>
      </c>
      <c r="E1657" t="s">
        <v>6289</v>
      </c>
      <c r="H1657" t="s">
        <v>3056</v>
      </c>
      <c r="I1657">
        <v>703</v>
      </c>
      <c r="K1657">
        <v>0</v>
      </c>
    </row>
    <row r="1658" spans="1:11" hidden="1">
      <c r="A1658">
        <v>704</v>
      </c>
      <c r="B1658" t="s">
        <v>5209</v>
      </c>
      <c r="C1658" t="s">
        <v>5221</v>
      </c>
      <c r="E1658" t="s">
        <v>6289</v>
      </c>
      <c r="H1658" t="s">
        <v>3056</v>
      </c>
      <c r="I1658">
        <v>704</v>
      </c>
      <c r="K1658">
        <v>0</v>
      </c>
    </row>
    <row r="1659" spans="1:11" hidden="1">
      <c r="A1659">
        <v>705</v>
      </c>
      <c r="B1659" t="s">
        <v>5209</v>
      </c>
      <c r="C1659" t="s">
        <v>5222</v>
      </c>
      <c r="E1659" t="s">
        <v>6289</v>
      </c>
      <c r="H1659" t="s">
        <v>3056</v>
      </c>
      <c r="I1659">
        <v>705</v>
      </c>
      <c r="K1659">
        <v>0</v>
      </c>
    </row>
    <row r="1660" spans="1:11" hidden="1">
      <c r="A1660">
        <v>706</v>
      </c>
      <c r="B1660" t="s">
        <v>5209</v>
      </c>
      <c r="C1660" t="s">
        <v>5211</v>
      </c>
      <c r="E1660" t="s">
        <v>6289</v>
      </c>
      <c r="H1660" t="s">
        <v>3056</v>
      </c>
      <c r="I1660">
        <v>706</v>
      </c>
      <c r="K1660">
        <v>0</v>
      </c>
    </row>
    <row r="1661" spans="1:11" hidden="1">
      <c r="A1661">
        <v>707</v>
      </c>
      <c r="B1661" t="s">
        <v>5209</v>
      </c>
      <c r="C1661" t="s">
        <v>5210</v>
      </c>
      <c r="E1661" t="s">
        <v>6289</v>
      </c>
      <c r="H1661" t="s">
        <v>3056</v>
      </c>
      <c r="I1661">
        <v>707</v>
      </c>
      <c r="K1661">
        <v>0</v>
      </c>
    </row>
    <row r="1662" spans="1:11" hidden="1">
      <c r="A1662">
        <v>922</v>
      </c>
      <c r="B1662" t="s">
        <v>5209</v>
      </c>
      <c r="C1662" t="s">
        <v>5217</v>
      </c>
      <c r="E1662" t="s">
        <v>6289</v>
      </c>
      <c r="H1662" t="s">
        <v>3056</v>
      </c>
      <c r="I1662">
        <v>922</v>
      </c>
      <c r="K1662">
        <v>0</v>
      </c>
    </row>
    <row r="1663" spans="1:11" hidden="1">
      <c r="A1663">
        <v>923</v>
      </c>
      <c r="B1663" t="s">
        <v>5209</v>
      </c>
      <c r="C1663" t="s">
        <v>5218</v>
      </c>
      <c r="E1663" t="s">
        <v>6289</v>
      </c>
      <c r="H1663" t="s">
        <v>3056</v>
      </c>
      <c r="I1663">
        <v>923</v>
      </c>
      <c r="K1663">
        <v>0</v>
      </c>
    </row>
    <row r="1664" spans="1:11" hidden="1">
      <c r="A1664">
        <v>924</v>
      </c>
      <c r="B1664" t="s">
        <v>5209</v>
      </c>
      <c r="C1664" t="s">
        <v>3069</v>
      </c>
      <c r="E1664" t="s">
        <v>6289</v>
      </c>
      <c r="H1664" t="s">
        <v>3056</v>
      </c>
      <c r="I1664">
        <v>924</v>
      </c>
      <c r="K1664">
        <v>0</v>
      </c>
    </row>
    <row r="1665" spans="1:11" hidden="1">
      <c r="A1665">
        <v>925</v>
      </c>
      <c r="B1665" t="s">
        <v>5209</v>
      </c>
      <c r="C1665" t="s">
        <v>5212</v>
      </c>
      <c r="E1665" t="s">
        <v>6289</v>
      </c>
      <c r="H1665" t="s">
        <v>3056</v>
      </c>
      <c r="I1665">
        <v>925</v>
      </c>
      <c r="K1665">
        <v>0</v>
      </c>
    </row>
    <row r="1666" spans="1:11" hidden="1">
      <c r="A1666">
        <v>709</v>
      </c>
      <c r="B1666" t="s">
        <v>5227</v>
      </c>
      <c r="C1666" t="s">
        <v>5230</v>
      </c>
      <c r="E1666" t="s">
        <v>6289</v>
      </c>
      <c r="H1666" t="s">
        <v>3056</v>
      </c>
      <c r="I1666">
        <v>709</v>
      </c>
      <c r="K1666">
        <v>0</v>
      </c>
    </row>
    <row r="1667" spans="1:11" hidden="1">
      <c r="A1667">
        <v>710</v>
      </c>
      <c r="B1667" t="s">
        <v>5227</v>
      </c>
      <c r="C1667" t="s">
        <v>5228</v>
      </c>
      <c r="E1667" t="s">
        <v>6289</v>
      </c>
      <c r="H1667" t="s">
        <v>3056</v>
      </c>
      <c r="I1667">
        <v>710</v>
      </c>
      <c r="K1667">
        <v>0</v>
      </c>
    </row>
    <row r="1668" spans="1:11" hidden="1">
      <c r="A1668">
        <v>920</v>
      </c>
      <c r="B1668" t="s">
        <v>5227</v>
      </c>
      <c r="C1668" t="s">
        <v>4793</v>
      </c>
      <c r="E1668" t="s">
        <v>6289</v>
      </c>
      <c r="H1668" t="s">
        <v>3056</v>
      </c>
      <c r="I1668">
        <v>920</v>
      </c>
      <c r="K1668">
        <v>0</v>
      </c>
    </row>
    <row r="1669" spans="1:11" hidden="1">
      <c r="A1669">
        <v>921</v>
      </c>
      <c r="B1669" t="s">
        <v>5227</v>
      </c>
      <c r="C1669" t="s">
        <v>5229</v>
      </c>
      <c r="E1669" t="s">
        <v>6289</v>
      </c>
      <c r="H1669" t="s">
        <v>3056</v>
      </c>
      <c r="I1669">
        <v>921</v>
      </c>
      <c r="K1669">
        <v>0</v>
      </c>
    </row>
    <row r="1670" spans="1:11" hidden="1">
      <c r="A1670">
        <v>693</v>
      </c>
      <c r="B1670" t="s">
        <v>5231</v>
      </c>
      <c r="C1670" t="s">
        <v>3088</v>
      </c>
      <c r="E1670" t="s">
        <v>6289</v>
      </c>
      <c r="H1670" t="s">
        <v>3056</v>
      </c>
      <c r="I1670">
        <v>693</v>
      </c>
      <c r="K1670">
        <v>0</v>
      </c>
    </row>
    <row r="1671" spans="1:11" hidden="1">
      <c r="A1671">
        <v>708</v>
      </c>
      <c r="B1671" t="s">
        <v>5231</v>
      </c>
      <c r="C1671" t="s">
        <v>4209</v>
      </c>
      <c r="E1671" t="s">
        <v>6289</v>
      </c>
      <c r="H1671" t="s">
        <v>3056</v>
      </c>
      <c r="I1671">
        <v>708</v>
      </c>
      <c r="K1671">
        <v>0</v>
      </c>
    </row>
    <row r="1672" spans="1:11" hidden="1">
      <c r="A1672">
        <v>14000</v>
      </c>
      <c r="B1672" t="s">
        <v>5231</v>
      </c>
      <c r="C1672" t="s">
        <v>5232</v>
      </c>
      <c r="E1672" t="s">
        <v>6289</v>
      </c>
      <c r="H1672" t="s">
        <v>3056</v>
      </c>
      <c r="I1672">
        <v>14000</v>
      </c>
      <c r="K1672">
        <v>0</v>
      </c>
    </row>
    <row r="1673" spans="1:11" hidden="1">
      <c r="A1673">
        <v>14010</v>
      </c>
      <c r="B1673" t="s">
        <v>5231</v>
      </c>
      <c r="C1673" t="s">
        <v>5233</v>
      </c>
      <c r="E1673" t="s">
        <v>6289</v>
      </c>
      <c r="H1673" t="s">
        <v>3056</v>
      </c>
      <c r="I1673">
        <v>14010</v>
      </c>
      <c r="K1673">
        <v>0</v>
      </c>
    </row>
    <row r="1674" spans="1:11" hidden="1">
      <c r="A1674">
        <v>14020</v>
      </c>
      <c r="B1674" t="s">
        <v>5231</v>
      </c>
      <c r="C1674" t="s">
        <v>5234</v>
      </c>
      <c r="E1674" t="s">
        <v>6289</v>
      </c>
      <c r="H1674" t="s">
        <v>3056</v>
      </c>
      <c r="I1674">
        <v>14020</v>
      </c>
      <c r="K1674">
        <v>0</v>
      </c>
    </row>
    <row r="1675" spans="1:11" hidden="1">
      <c r="A1675">
        <v>14030</v>
      </c>
      <c r="B1675" t="s">
        <v>5231</v>
      </c>
      <c r="C1675" t="s">
        <v>5235</v>
      </c>
      <c r="E1675" t="s">
        <v>6289</v>
      </c>
      <c r="H1675" t="s">
        <v>3056</v>
      </c>
      <c r="I1675">
        <v>14030</v>
      </c>
      <c r="K1675">
        <v>0</v>
      </c>
    </row>
    <row r="1676" spans="1:11" hidden="1">
      <c r="A1676">
        <v>13770</v>
      </c>
      <c r="B1676" t="s">
        <v>5236</v>
      </c>
      <c r="C1676" t="s">
        <v>5252</v>
      </c>
      <c r="E1676" t="s">
        <v>6289</v>
      </c>
      <c r="H1676" t="s">
        <v>3056</v>
      </c>
      <c r="I1676">
        <v>13770</v>
      </c>
      <c r="K1676">
        <v>0</v>
      </c>
    </row>
    <row r="1677" spans="1:11" hidden="1">
      <c r="A1677">
        <v>13780</v>
      </c>
      <c r="B1677" t="s">
        <v>5236</v>
      </c>
      <c r="C1677" t="s">
        <v>5210</v>
      </c>
      <c r="E1677" t="s">
        <v>6289</v>
      </c>
      <c r="H1677" t="s">
        <v>3056</v>
      </c>
      <c r="I1677">
        <v>13780</v>
      </c>
      <c r="K1677">
        <v>0</v>
      </c>
    </row>
    <row r="1678" spans="1:11" hidden="1">
      <c r="A1678">
        <v>13790</v>
      </c>
      <c r="B1678" t="s">
        <v>5236</v>
      </c>
      <c r="C1678" t="s">
        <v>5211</v>
      </c>
      <c r="E1678" t="s">
        <v>6289</v>
      </c>
      <c r="H1678" t="s">
        <v>3056</v>
      </c>
      <c r="I1678">
        <v>13790</v>
      </c>
      <c r="K1678">
        <v>0</v>
      </c>
    </row>
    <row r="1679" spans="1:11" hidden="1">
      <c r="A1679">
        <v>13800</v>
      </c>
      <c r="B1679" t="s">
        <v>5236</v>
      </c>
      <c r="C1679" t="s">
        <v>5237</v>
      </c>
      <c r="E1679" t="s">
        <v>6289</v>
      </c>
      <c r="H1679" t="s">
        <v>3056</v>
      </c>
      <c r="I1679">
        <v>13800</v>
      </c>
      <c r="K1679">
        <v>0</v>
      </c>
    </row>
    <row r="1680" spans="1:11" hidden="1">
      <c r="A1680">
        <v>13810</v>
      </c>
      <c r="B1680" t="s">
        <v>5236</v>
      </c>
      <c r="C1680" t="s">
        <v>5238</v>
      </c>
      <c r="E1680" t="s">
        <v>6289</v>
      </c>
      <c r="H1680" t="s">
        <v>3056</v>
      </c>
      <c r="I1680">
        <v>13810</v>
      </c>
      <c r="K1680">
        <v>0</v>
      </c>
    </row>
    <row r="1681" spans="1:11" hidden="1">
      <c r="A1681">
        <v>13820</v>
      </c>
      <c r="B1681" t="s">
        <v>5236</v>
      </c>
      <c r="C1681" t="s">
        <v>5239</v>
      </c>
      <c r="E1681" t="s">
        <v>6289</v>
      </c>
      <c r="H1681" t="s">
        <v>3056</v>
      </c>
      <c r="I1681">
        <v>13820</v>
      </c>
      <c r="K1681">
        <v>0</v>
      </c>
    </row>
    <row r="1682" spans="1:11" hidden="1">
      <c r="A1682">
        <v>13830</v>
      </c>
      <c r="B1682" t="s">
        <v>5236</v>
      </c>
      <c r="C1682" t="s">
        <v>5240</v>
      </c>
      <c r="E1682" t="s">
        <v>6289</v>
      </c>
      <c r="H1682" t="s">
        <v>3056</v>
      </c>
      <c r="I1682">
        <v>13830</v>
      </c>
      <c r="K1682">
        <v>0</v>
      </c>
    </row>
    <row r="1683" spans="1:11" hidden="1">
      <c r="A1683">
        <v>13840</v>
      </c>
      <c r="B1683" t="s">
        <v>5236</v>
      </c>
      <c r="C1683" t="s">
        <v>5241</v>
      </c>
      <c r="E1683" t="s">
        <v>6289</v>
      </c>
      <c r="H1683" t="s">
        <v>3056</v>
      </c>
      <c r="I1683">
        <v>13840</v>
      </c>
      <c r="K1683">
        <v>0</v>
      </c>
    </row>
    <row r="1684" spans="1:11" hidden="1">
      <c r="A1684">
        <v>13850</v>
      </c>
      <c r="B1684" t="s">
        <v>5236</v>
      </c>
      <c r="C1684" t="s">
        <v>5242</v>
      </c>
      <c r="E1684" t="s">
        <v>6289</v>
      </c>
      <c r="H1684" t="s">
        <v>3056</v>
      </c>
      <c r="I1684">
        <v>13850</v>
      </c>
      <c r="K1684">
        <v>0</v>
      </c>
    </row>
    <row r="1685" spans="1:11" hidden="1">
      <c r="A1685">
        <v>13860</v>
      </c>
      <c r="B1685" t="s">
        <v>5236</v>
      </c>
      <c r="C1685" t="s">
        <v>5243</v>
      </c>
      <c r="E1685" t="s">
        <v>6289</v>
      </c>
      <c r="H1685" t="s">
        <v>3056</v>
      </c>
      <c r="I1685">
        <v>13860</v>
      </c>
      <c r="K1685">
        <v>0</v>
      </c>
    </row>
    <row r="1686" spans="1:11" hidden="1">
      <c r="A1686">
        <v>13870</v>
      </c>
      <c r="B1686" t="s">
        <v>5236</v>
      </c>
      <c r="C1686" t="s">
        <v>5244</v>
      </c>
      <c r="E1686" t="s">
        <v>6289</v>
      </c>
      <c r="H1686" t="s">
        <v>3056</v>
      </c>
      <c r="I1686">
        <v>13870</v>
      </c>
      <c r="K1686">
        <v>0</v>
      </c>
    </row>
    <row r="1687" spans="1:11" hidden="1">
      <c r="A1687">
        <v>13880</v>
      </c>
      <c r="B1687" t="s">
        <v>5236</v>
      </c>
      <c r="C1687" t="s">
        <v>5245</v>
      </c>
      <c r="E1687" t="s">
        <v>6289</v>
      </c>
      <c r="H1687" t="s">
        <v>3056</v>
      </c>
      <c r="I1687">
        <v>13880</v>
      </c>
      <c r="K1687">
        <v>0</v>
      </c>
    </row>
    <row r="1688" spans="1:11" hidden="1">
      <c r="A1688">
        <v>13890</v>
      </c>
      <c r="B1688" t="s">
        <v>5236</v>
      </c>
      <c r="C1688" t="s">
        <v>3561</v>
      </c>
      <c r="E1688" t="s">
        <v>6289</v>
      </c>
      <c r="H1688" t="s">
        <v>3056</v>
      </c>
      <c r="I1688">
        <v>13890</v>
      </c>
      <c r="K1688">
        <v>0</v>
      </c>
    </row>
    <row r="1689" spans="1:11" hidden="1">
      <c r="A1689">
        <v>13900</v>
      </c>
      <c r="B1689" t="s">
        <v>5236</v>
      </c>
      <c r="C1689" t="s">
        <v>5251</v>
      </c>
      <c r="E1689" t="s">
        <v>6289</v>
      </c>
      <c r="H1689" t="s">
        <v>3056</v>
      </c>
      <c r="I1689">
        <v>13900</v>
      </c>
      <c r="K1689">
        <v>0</v>
      </c>
    </row>
    <row r="1690" spans="1:11" hidden="1">
      <c r="A1690">
        <v>13910</v>
      </c>
      <c r="B1690" t="s">
        <v>5236</v>
      </c>
      <c r="C1690" t="s">
        <v>5247</v>
      </c>
      <c r="E1690" t="s">
        <v>6289</v>
      </c>
      <c r="H1690" t="s">
        <v>3056</v>
      </c>
      <c r="I1690">
        <v>13910</v>
      </c>
      <c r="K1690">
        <v>0</v>
      </c>
    </row>
    <row r="1691" spans="1:11" hidden="1">
      <c r="A1691">
        <v>13920</v>
      </c>
      <c r="B1691" t="s">
        <v>5236</v>
      </c>
      <c r="C1691" t="s">
        <v>5248</v>
      </c>
      <c r="E1691" t="s">
        <v>6289</v>
      </c>
      <c r="H1691" t="s">
        <v>3056</v>
      </c>
      <c r="I1691">
        <v>13920</v>
      </c>
      <c r="K1691">
        <v>0</v>
      </c>
    </row>
    <row r="1692" spans="1:11" hidden="1">
      <c r="A1692">
        <v>13930</v>
      </c>
      <c r="B1692" t="s">
        <v>5236</v>
      </c>
      <c r="C1692" t="s">
        <v>5246</v>
      </c>
      <c r="E1692" t="s">
        <v>6289</v>
      </c>
      <c r="H1692" t="s">
        <v>3056</v>
      </c>
      <c r="I1692">
        <v>13930</v>
      </c>
      <c r="K1692">
        <v>0</v>
      </c>
    </row>
    <row r="1693" spans="1:11" hidden="1">
      <c r="A1693">
        <v>13940</v>
      </c>
      <c r="B1693" t="s">
        <v>5236</v>
      </c>
      <c r="C1693" t="s">
        <v>5253</v>
      </c>
      <c r="E1693" t="s">
        <v>6289</v>
      </c>
      <c r="H1693" t="s">
        <v>3056</v>
      </c>
      <c r="I1693">
        <v>13940</v>
      </c>
      <c r="K1693">
        <v>0</v>
      </c>
    </row>
    <row r="1694" spans="1:11" hidden="1">
      <c r="A1694">
        <v>13950</v>
      </c>
      <c r="B1694" t="s">
        <v>5236</v>
      </c>
      <c r="C1694" t="s">
        <v>5254</v>
      </c>
      <c r="E1694" t="s">
        <v>6289</v>
      </c>
      <c r="H1694" t="s">
        <v>3056</v>
      </c>
      <c r="I1694">
        <v>13950</v>
      </c>
      <c r="K1694">
        <v>0</v>
      </c>
    </row>
    <row r="1695" spans="1:11" hidden="1">
      <c r="A1695">
        <v>13960</v>
      </c>
      <c r="B1695" t="s">
        <v>5236</v>
      </c>
      <c r="C1695" t="s">
        <v>5255</v>
      </c>
      <c r="E1695" t="s">
        <v>6289</v>
      </c>
      <c r="H1695" t="s">
        <v>3056</v>
      </c>
      <c r="I1695">
        <v>13960</v>
      </c>
      <c r="K1695">
        <v>0</v>
      </c>
    </row>
    <row r="1696" spans="1:11" hidden="1">
      <c r="A1696">
        <v>13970</v>
      </c>
      <c r="B1696" t="s">
        <v>5236</v>
      </c>
      <c r="C1696" t="s">
        <v>5249</v>
      </c>
      <c r="E1696" t="s">
        <v>6289</v>
      </c>
      <c r="H1696" t="s">
        <v>3056</v>
      </c>
      <c r="I1696">
        <v>13970</v>
      </c>
      <c r="K1696">
        <v>0</v>
      </c>
    </row>
    <row r="1697" spans="1:11" hidden="1">
      <c r="A1697">
        <v>13980</v>
      </c>
      <c r="B1697" t="s">
        <v>5236</v>
      </c>
      <c r="C1697" t="s">
        <v>5256</v>
      </c>
      <c r="E1697" t="s">
        <v>6289</v>
      </c>
      <c r="H1697" t="s">
        <v>3056</v>
      </c>
      <c r="I1697">
        <v>13980</v>
      </c>
      <c r="K1697">
        <v>0</v>
      </c>
    </row>
    <row r="1698" spans="1:11" hidden="1">
      <c r="A1698">
        <v>13990</v>
      </c>
      <c r="B1698" t="s">
        <v>5236</v>
      </c>
      <c r="C1698" t="s">
        <v>5250</v>
      </c>
      <c r="E1698" t="s">
        <v>6289</v>
      </c>
      <c r="H1698" t="s">
        <v>3056</v>
      </c>
      <c r="I1698">
        <v>13990</v>
      </c>
      <c r="K1698">
        <v>0</v>
      </c>
    </row>
    <row r="1699" spans="1:11" hidden="1">
      <c r="A1699">
        <v>624</v>
      </c>
      <c r="B1699" t="s">
        <v>451</v>
      </c>
      <c r="C1699" t="s">
        <v>3544</v>
      </c>
      <c r="E1699" t="s">
        <v>6289</v>
      </c>
      <c r="F1699" t="s">
        <v>3544</v>
      </c>
      <c r="H1699" t="s">
        <v>3056</v>
      </c>
      <c r="I1699">
        <v>624</v>
      </c>
      <c r="K1699">
        <v>0</v>
      </c>
    </row>
    <row r="1700" spans="1:11" hidden="1">
      <c r="A1700">
        <v>949</v>
      </c>
      <c r="B1700" t="s">
        <v>451</v>
      </c>
      <c r="C1700" t="s">
        <v>5262</v>
      </c>
      <c r="E1700" t="s">
        <v>6289</v>
      </c>
      <c r="F1700" t="s">
        <v>5262</v>
      </c>
      <c r="H1700" t="s">
        <v>3056</v>
      </c>
      <c r="I1700">
        <v>949</v>
      </c>
      <c r="K1700">
        <v>0</v>
      </c>
    </row>
    <row r="1701" spans="1:11" hidden="1">
      <c r="A1701">
        <v>950</v>
      </c>
      <c r="B1701" t="s">
        <v>451</v>
      </c>
      <c r="C1701" t="s">
        <v>5263</v>
      </c>
      <c r="E1701" t="s">
        <v>6289</v>
      </c>
      <c r="F1701" t="s">
        <v>5263</v>
      </c>
      <c r="H1701" t="s">
        <v>3056</v>
      </c>
      <c r="I1701">
        <v>950</v>
      </c>
      <c r="K1701">
        <v>0</v>
      </c>
    </row>
    <row r="1702" spans="1:11" hidden="1">
      <c r="A1702">
        <v>952</v>
      </c>
      <c r="B1702" t="s">
        <v>451</v>
      </c>
      <c r="C1702" t="s">
        <v>5279</v>
      </c>
      <c r="E1702" t="s">
        <v>6289</v>
      </c>
      <c r="F1702" t="s">
        <v>5279</v>
      </c>
      <c r="H1702" t="s">
        <v>3056</v>
      </c>
      <c r="I1702">
        <v>952</v>
      </c>
      <c r="K1702">
        <v>0</v>
      </c>
    </row>
    <row r="1703" spans="1:11" hidden="1">
      <c r="A1703">
        <v>953</v>
      </c>
      <c r="B1703" t="s">
        <v>451</v>
      </c>
      <c r="C1703" t="s">
        <v>5272</v>
      </c>
      <c r="E1703" t="s">
        <v>6289</v>
      </c>
      <c r="F1703" t="s">
        <v>5272</v>
      </c>
      <c r="H1703" t="s">
        <v>3056</v>
      </c>
      <c r="I1703">
        <v>953</v>
      </c>
      <c r="K1703">
        <v>0</v>
      </c>
    </row>
    <row r="1704" spans="1:11" hidden="1">
      <c r="A1704">
        <v>954</v>
      </c>
      <c r="B1704" t="s">
        <v>451</v>
      </c>
      <c r="C1704" t="s">
        <v>5261</v>
      </c>
      <c r="E1704" t="s">
        <v>6289</v>
      </c>
      <c r="F1704" t="s">
        <v>5261</v>
      </c>
      <c r="H1704" t="s">
        <v>3056</v>
      </c>
      <c r="I1704">
        <v>954</v>
      </c>
      <c r="K1704">
        <v>0</v>
      </c>
    </row>
    <row r="1705" spans="1:11" hidden="1">
      <c r="A1705">
        <v>955</v>
      </c>
      <c r="B1705" t="s">
        <v>451</v>
      </c>
      <c r="C1705" t="s">
        <v>5280</v>
      </c>
      <c r="E1705" t="s">
        <v>6289</v>
      </c>
      <c r="F1705" t="s">
        <v>5280</v>
      </c>
      <c r="H1705" t="s">
        <v>3056</v>
      </c>
      <c r="I1705">
        <v>955</v>
      </c>
      <c r="K1705">
        <v>0</v>
      </c>
    </row>
    <row r="1706" spans="1:11" hidden="1">
      <c r="A1706">
        <v>956</v>
      </c>
      <c r="B1706" t="s">
        <v>451</v>
      </c>
      <c r="C1706" t="s">
        <v>5273</v>
      </c>
      <c r="E1706" t="s">
        <v>6289</v>
      </c>
      <c r="F1706" t="s">
        <v>5273</v>
      </c>
      <c r="H1706" t="s">
        <v>3056</v>
      </c>
      <c r="I1706">
        <v>956</v>
      </c>
      <c r="K1706">
        <v>0</v>
      </c>
    </row>
    <row r="1707" spans="1:11" hidden="1">
      <c r="A1707">
        <v>957</v>
      </c>
      <c r="B1707" t="s">
        <v>451</v>
      </c>
      <c r="C1707" t="s">
        <v>5267</v>
      </c>
      <c r="E1707" t="s">
        <v>6289</v>
      </c>
      <c r="F1707" t="s">
        <v>5267</v>
      </c>
      <c r="H1707" t="s">
        <v>3056</v>
      </c>
      <c r="I1707">
        <v>957</v>
      </c>
      <c r="K1707">
        <v>0</v>
      </c>
    </row>
    <row r="1708" spans="1:11" hidden="1">
      <c r="A1708">
        <v>958</v>
      </c>
      <c r="B1708" t="s">
        <v>451</v>
      </c>
      <c r="C1708" t="s">
        <v>5277</v>
      </c>
      <c r="E1708" t="s">
        <v>6289</v>
      </c>
      <c r="F1708" t="s">
        <v>5277</v>
      </c>
      <c r="H1708" t="s">
        <v>3056</v>
      </c>
      <c r="I1708">
        <v>958</v>
      </c>
      <c r="K1708">
        <v>0</v>
      </c>
    </row>
    <row r="1709" spans="1:11" hidden="1">
      <c r="A1709">
        <v>959</v>
      </c>
      <c r="B1709" t="s">
        <v>451</v>
      </c>
      <c r="C1709" t="s">
        <v>5274</v>
      </c>
      <c r="E1709" t="s">
        <v>6289</v>
      </c>
      <c r="F1709" t="s">
        <v>5274</v>
      </c>
      <c r="H1709" t="s">
        <v>3056</v>
      </c>
      <c r="I1709">
        <v>959</v>
      </c>
      <c r="K1709">
        <v>0</v>
      </c>
    </row>
    <row r="1710" spans="1:11" hidden="1">
      <c r="A1710">
        <v>960</v>
      </c>
      <c r="B1710" t="s">
        <v>451</v>
      </c>
      <c r="C1710" t="s">
        <v>5259</v>
      </c>
      <c r="E1710" t="s">
        <v>6289</v>
      </c>
      <c r="F1710" t="s">
        <v>5260</v>
      </c>
      <c r="H1710" t="s">
        <v>3056</v>
      </c>
      <c r="I1710">
        <v>960</v>
      </c>
      <c r="K1710">
        <v>0</v>
      </c>
    </row>
    <row r="1711" spans="1:11" hidden="1">
      <c r="A1711">
        <v>1507</v>
      </c>
      <c r="B1711" t="s">
        <v>451</v>
      </c>
      <c r="C1711" t="s">
        <v>5268</v>
      </c>
      <c r="E1711" t="s">
        <v>6289</v>
      </c>
      <c r="F1711" t="s">
        <v>5269</v>
      </c>
      <c r="H1711" t="s">
        <v>3056</v>
      </c>
      <c r="I1711">
        <v>1507</v>
      </c>
      <c r="K1711">
        <v>0</v>
      </c>
    </row>
    <row r="1712" spans="1:11" hidden="1">
      <c r="A1712">
        <v>1508</v>
      </c>
      <c r="B1712" t="s">
        <v>451</v>
      </c>
      <c r="C1712" t="s">
        <v>5275</v>
      </c>
      <c r="E1712" t="s">
        <v>6289</v>
      </c>
      <c r="F1712" t="s">
        <v>5276</v>
      </c>
      <c r="H1712" t="s">
        <v>3056</v>
      </c>
      <c r="I1712">
        <v>1508</v>
      </c>
      <c r="K1712">
        <v>0</v>
      </c>
    </row>
    <row r="1713" spans="1:11" hidden="1">
      <c r="A1713">
        <v>1509</v>
      </c>
      <c r="B1713" t="s">
        <v>451</v>
      </c>
      <c r="C1713" t="s">
        <v>5278</v>
      </c>
      <c r="E1713" t="s">
        <v>6289</v>
      </c>
      <c r="F1713" t="s">
        <v>5278</v>
      </c>
      <c r="H1713" t="s">
        <v>3056</v>
      </c>
      <c r="I1713">
        <v>1509</v>
      </c>
      <c r="K1713">
        <v>0</v>
      </c>
    </row>
    <row r="1714" spans="1:11" hidden="1">
      <c r="A1714">
        <v>10004</v>
      </c>
      <c r="B1714" t="s">
        <v>451</v>
      </c>
      <c r="C1714" t="s">
        <v>5265</v>
      </c>
      <c r="E1714" t="s">
        <v>6289</v>
      </c>
      <c r="F1714" t="s">
        <v>5266</v>
      </c>
      <c r="H1714" t="s">
        <v>3056</v>
      </c>
      <c r="I1714">
        <v>10004</v>
      </c>
      <c r="K1714">
        <v>0</v>
      </c>
    </row>
    <row r="1715" spans="1:11" hidden="1">
      <c r="A1715">
        <v>10059</v>
      </c>
      <c r="B1715" t="s">
        <v>451</v>
      </c>
      <c r="C1715" t="s">
        <v>5257</v>
      </c>
      <c r="E1715" t="s">
        <v>6289</v>
      </c>
      <c r="F1715" t="s">
        <v>5258</v>
      </c>
      <c r="H1715" t="s">
        <v>3056</v>
      </c>
      <c r="I1715">
        <v>10059</v>
      </c>
      <c r="K1715">
        <v>0</v>
      </c>
    </row>
    <row r="1716" spans="1:11" hidden="1">
      <c r="A1716">
        <v>10060</v>
      </c>
      <c r="B1716" t="s">
        <v>451</v>
      </c>
      <c r="C1716" t="s">
        <v>3756</v>
      </c>
      <c r="E1716" t="s">
        <v>6289</v>
      </c>
      <c r="F1716" t="s">
        <v>3756</v>
      </c>
      <c r="H1716" t="s">
        <v>3056</v>
      </c>
      <c r="I1716">
        <v>10060</v>
      </c>
      <c r="K1716">
        <v>0</v>
      </c>
    </row>
    <row r="1717" spans="1:11" hidden="1">
      <c r="A1717">
        <v>10064</v>
      </c>
      <c r="B1717" t="s">
        <v>451</v>
      </c>
      <c r="C1717" t="s">
        <v>5264</v>
      </c>
      <c r="E1717" t="s">
        <v>6289</v>
      </c>
      <c r="F1717" t="s">
        <v>3756</v>
      </c>
      <c r="H1717" t="s">
        <v>3056</v>
      </c>
      <c r="I1717">
        <v>10064</v>
      </c>
      <c r="K1717">
        <v>0</v>
      </c>
    </row>
    <row r="1718" spans="1:11" hidden="1">
      <c r="A1718">
        <v>10125</v>
      </c>
      <c r="B1718" t="s">
        <v>451</v>
      </c>
      <c r="C1718" t="s">
        <v>5270</v>
      </c>
      <c r="E1718" t="s">
        <v>6289</v>
      </c>
      <c r="F1718" t="s">
        <v>5271</v>
      </c>
      <c r="H1718" t="s">
        <v>3056</v>
      </c>
      <c r="I1718">
        <v>10125</v>
      </c>
      <c r="K1718">
        <v>0</v>
      </c>
    </row>
    <row r="1719" spans="1:11" hidden="1">
      <c r="A1719">
        <v>4700</v>
      </c>
      <c r="B1719" t="s">
        <v>5281</v>
      </c>
      <c r="C1719" t="s">
        <v>5282</v>
      </c>
      <c r="E1719" t="s">
        <v>6289</v>
      </c>
      <c r="F1719" t="s">
        <v>3229</v>
      </c>
      <c r="H1719" t="s">
        <v>3061</v>
      </c>
      <c r="I1719">
        <v>4700</v>
      </c>
      <c r="K1719">
        <v>0</v>
      </c>
    </row>
    <row r="1720" spans="1:11" hidden="1">
      <c r="A1720">
        <v>4701</v>
      </c>
      <c r="B1720" t="s">
        <v>5281</v>
      </c>
      <c r="C1720" t="s">
        <v>5292</v>
      </c>
      <c r="E1720" t="s">
        <v>6289</v>
      </c>
      <c r="F1720" t="s">
        <v>5293</v>
      </c>
      <c r="H1720" t="s">
        <v>3061</v>
      </c>
      <c r="I1720">
        <v>4701</v>
      </c>
      <c r="K1720">
        <v>0</v>
      </c>
    </row>
    <row r="1721" spans="1:11" hidden="1">
      <c r="A1721">
        <v>4702</v>
      </c>
      <c r="B1721" t="s">
        <v>5281</v>
      </c>
      <c r="C1721" t="s">
        <v>5287</v>
      </c>
      <c r="E1721" t="s">
        <v>6289</v>
      </c>
      <c r="F1721" t="s">
        <v>5288</v>
      </c>
      <c r="H1721" t="s">
        <v>3061</v>
      </c>
      <c r="I1721">
        <v>4702</v>
      </c>
      <c r="K1721">
        <v>0</v>
      </c>
    </row>
    <row r="1722" spans="1:11" hidden="1">
      <c r="A1722">
        <v>4703</v>
      </c>
      <c r="B1722" t="s">
        <v>5281</v>
      </c>
      <c r="C1722" t="s">
        <v>5291</v>
      </c>
      <c r="E1722" t="s">
        <v>6289</v>
      </c>
      <c r="F1722" t="s">
        <v>3085</v>
      </c>
      <c r="H1722" t="s">
        <v>3061</v>
      </c>
      <c r="I1722">
        <v>4703</v>
      </c>
      <c r="K1722">
        <v>0</v>
      </c>
    </row>
    <row r="1723" spans="1:11" hidden="1">
      <c r="A1723">
        <v>4704</v>
      </c>
      <c r="B1723" t="s">
        <v>5281</v>
      </c>
      <c r="C1723" t="s">
        <v>5284</v>
      </c>
      <c r="E1723" t="s">
        <v>6289</v>
      </c>
      <c r="F1723" t="s">
        <v>5285</v>
      </c>
      <c r="H1723" t="s">
        <v>3061</v>
      </c>
      <c r="I1723">
        <v>4704</v>
      </c>
      <c r="K1723">
        <v>0</v>
      </c>
    </row>
    <row r="1724" spans="1:11" hidden="1">
      <c r="A1724">
        <v>4705</v>
      </c>
      <c r="B1724" t="s">
        <v>5281</v>
      </c>
      <c r="C1724" t="s">
        <v>5286</v>
      </c>
      <c r="E1724" t="s">
        <v>6289</v>
      </c>
      <c r="F1724" t="s">
        <v>3279</v>
      </c>
      <c r="H1724" t="s">
        <v>3061</v>
      </c>
      <c r="I1724">
        <v>4705</v>
      </c>
      <c r="K1724">
        <v>0</v>
      </c>
    </row>
    <row r="1725" spans="1:11" hidden="1">
      <c r="A1725">
        <v>4706</v>
      </c>
      <c r="B1725" t="s">
        <v>5281</v>
      </c>
      <c r="C1725" t="s">
        <v>5289</v>
      </c>
      <c r="E1725" t="s">
        <v>6289</v>
      </c>
      <c r="F1725" t="s">
        <v>5290</v>
      </c>
      <c r="H1725" t="s">
        <v>3061</v>
      </c>
      <c r="I1725">
        <v>4706</v>
      </c>
      <c r="K1725">
        <v>0</v>
      </c>
    </row>
    <row r="1726" spans="1:11" hidden="1">
      <c r="A1726">
        <v>4707</v>
      </c>
      <c r="B1726" t="s">
        <v>5281</v>
      </c>
      <c r="C1726" t="s">
        <v>3069</v>
      </c>
      <c r="E1726" t="s">
        <v>6289</v>
      </c>
      <c r="F1726" t="s">
        <v>3348</v>
      </c>
      <c r="H1726" t="s">
        <v>3061</v>
      </c>
      <c r="I1726">
        <v>4707</v>
      </c>
      <c r="K1726">
        <v>0</v>
      </c>
    </row>
    <row r="1727" spans="1:11" hidden="1">
      <c r="A1727">
        <v>4708</v>
      </c>
      <c r="B1727" t="s">
        <v>5281</v>
      </c>
      <c r="C1727" t="s">
        <v>3141</v>
      </c>
      <c r="E1727" t="s">
        <v>6289</v>
      </c>
      <c r="F1727" t="s">
        <v>3141</v>
      </c>
      <c r="H1727" t="s">
        <v>3061</v>
      </c>
      <c r="I1727">
        <v>4708</v>
      </c>
      <c r="K1727">
        <v>0</v>
      </c>
    </row>
    <row r="1728" spans="1:11" hidden="1">
      <c r="A1728">
        <v>4709</v>
      </c>
      <c r="B1728" t="s">
        <v>5281</v>
      </c>
      <c r="C1728" t="s">
        <v>3144</v>
      </c>
      <c r="E1728" t="s">
        <v>6289</v>
      </c>
      <c r="F1728" t="s">
        <v>3145</v>
      </c>
      <c r="H1728" t="s">
        <v>3061</v>
      </c>
      <c r="I1728">
        <v>4709</v>
      </c>
      <c r="K1728">
        <v>0</v>
      </c>
    </row>
    <row r="1729" spans="1:11" hidden="1">
      <c r="A1729">
        <v>4710</v>
      </c>
      <c r="B1729" t="s">
        <v>5281</v>
      </c>
      <c r="C1729" t="s">
        <v>5283</v>
      </c>
      <c r="E1729" t="s">
        <v>6289</v>
      </c>
      <c r="F1729" t="s">
        <v>4611</v>
      </c>
      <c r="H1729" t="s">
        <v>3061</v>
      </c>
      <c r="I1729">
        <v>4710</v>
      </c>
      <c r="K1729">
        <v>0</v>
      </c>
    </row>
    <row r="1730" spans="1:11" hidden="1">
      <c r="A1730">
        <v>15720</v>
      </c>
      <c r="B1730" t="s">
        <v>5294</v>
      </c>
      <c r="C1730" t="s">
        <v>5296</v>
      </c>
      <c r="E1730" t="s">
        <v>6289</v>
      </c>
      <c r="H1730" t="s">
        <v>3056</v>
      </c>
      <c r="I1730">
        <v>15720</v>
      </c>
      <c r="K1730">
        <v>0</v>
      </c>
    </row>
    <row r="1731" spans="1:11" hidden="1">
      <c r="A1731">
        <v>15730</v>
      </c>
      <c r="B1731" t="s">
        <v>5294</v>
      </c>
      <c r="C1731" t="s">
        <v>3128</v>
      </c>
      <c r="E1731" t="s">
        <v>6289</v>
      </c>
      <c r="H1731" t="s">
        <v>3056</v>
      </c>
      <c r="I1731">
        <v>15730</v>
      </c>
      <c r="K1731">
        <v>0</v>
      </c>
    </row>
    <row r="1732" spans="1:11" hidden="1">
      <c r="A1732">
        <v>15740</v>
      </c>
      <c r="B1732" t="s">
        <v>5294</v>
      </c>
      <c r="C1732" t="s">
        <v>5297</v>
      </c>
      <c r="E1732" t="s">
        <v>6289</v>
      </c>
      <c r="H1732" t="s">
        <v>3056</v>
      </c>
      <c r="I1732">
        <v>15740</v>
      </c>
      <c r="K1732">
        <v>0</v>
      </c>
    </row>
    <row r="1733" spans="1:11" hidden="1">
      <c r="A1733">
        <v>15750</v>
      </c>
      <c r="B1733" t="s">
        <v>5294</v>
      </c>
      <c r="C1733" t="s">
        <v>5295</v>
      </c>
      <c r="E1733" t="s">
        <v>6289</v>
      </c>
      <c r="H1733" t="s">
        <v>3056</v>
      </c>
      <c r="I1733">
        <v>15750</v>
      </c>
      <c r="K1733">
        <v>0</v>
      </c>
    </row>
    <row r="1734" spans="1:11" hidden="1">
      <c r="A1734">
        <v>17980</v>
      </c>
      <c r="B1734" t="s">
        <v>5298</v>
      </c>
      <c r="C1734" t="s">
        <v>5300</v>
      </c>
      <c r="E1734" t="s">
        <v>6289</v>
      </c>
      <c r="H1734" t="s">
        <v>3056</v>
      </c>
      <c r="I1734">
        <v>17980</v>
      </c>
      <c r="K1734">
        <v>0</v>
      </c>
    </row>
    <row r="1735" spans="1:11" hidden="1">
      <c r="A1735">
        <v>17990</v>
      </c>
      <c r="B1735" t="s">
        <v>5298</v>
      </c>
      <c r="C1735" t="s">
        <v>5301</v>
      </c>
      <c r="E1735" t="s">
        <v>6289</v>
      </c>
      <c r="H1735" t="s">
        <v>3056</v>
      </c>
      <c r="I1735">
        <v>17990</v>
      </c>
      <c r="K1735">
        <v>0</v>
      </c>
    </row>
    <row r="1736" spans="1:11" hidden="1">
      <c r="A1736">
        <v>18000</v>
      </c>
      <c r="B1736" t="s">
        <v>5298</v>
      </c>
      <c r="C1736" t="s">
        <v>5299</v>
      </c>
      <c r="E1736" t="s">
        <v>6289</v>
      </c>
      <c r="H1736" t="s">
        <v>3056</v>
      </c>
      <c r="I1736">
        <v>18000</v>
      </c>
      <c r="K1736">
        <v>0</v>
      </c>
    </row>
    <row r="1737" spans="1:11" hidden="1">
      <c r="A1737">
        <v>18010</v>
      </c>
      <c r="B1737" t="s">
        <v>5298</v>
      </c>
      <c r="C1737" t="s">
        <v>5302</v>
      </c>
      <c r="E1737" t="s">
        <v>6289</v>
      </c>
      <c r="H1737" t="s">
        <v>3056</v>
      </c>
      <c r="I1737">
        <v>18010</v>
      </c>
      <c r="K1737">
        <v>0</v>
      </c>
    </row>
    <row r="1738" spans="1:11" hidden="1">
      <c r="A1738">
        <v>18020</v>
      </c>
      <c r="B1738" t="s">
        <v>5298</v>
      </c>
      <c r="C1738" t="s">
        <v>5304</v>
      </c>
      <c r="E1738" t="s">
        <v>6289</v>
      </c>
      <c r="H1738" t="s">
        <v>3056</v>
      </c>
      <c r="I1738">
        <v>18020</v>
      </c>
      <c r="K1738">
        <v>0</v>
      </c>
    </row>
    <row r="1739" spans="1:11" hidden="1">
      <c r="A1739">
        <v>18030</v>
      </c>
      <c r="B1739" t="s">
        <v>5298</v>
      </c>
      <c r="C1739" t="s">
        <v>5303</v>
      </c>
      <c r="E1739" t="s">
        <v>6289</v>
      </c>
      <c r="H1739" t="s">
        <v>3056</v>
      </c>
      <c r="I1739">
        <v>18030</v>
      </c>
      <c r="K1739">
        <v>0</v>
      </c>
    </row>
    <row r="1740" spans="1:11" hidden="1">
      <c r="A1740">
        <v>18040</v>
      </c>
      <c r="B1740" t="s">
        <v>5298</v>
      </c>
      <c r="C1740" t="s">
        <v>5305</v>
      </c>
      <c r="E1740" t="s">
        <v>6289</v>
      </c>
      <c r="H1740" t="s">
        <v>3056</v>
      </c>
      <c r="I1740">
        <v>18040</v>
      </c>
      <c r="K1740">
        <v>0</v>
      </c>
    </row>
    <row r="1741" spans="1:11" hidden="1">
      <c r="A1741">
        <v>18050</v>
      </c>
      <c r="B1741" t="s">
        <v>5298</v>
      </c>
      <c r="C1741" t="s">
        <v>5306</v>
      </c>
      <c r="E1741" t="s">
        <v>6289</v>
      </c>
      <c r="H1741" t="s">
        <v>3056</v>
      </c>
      <c r="I1741">
        <v>18050</v>
      </c>
      <c r="K1741">
        <v>0</v>
      </c>
    </row>
    <row r="1742" spans="1:11" hidden="1">
      <c r="A1742">
        <v>18060</v>
      </c>
      <c r="B1742" t="s">
        <v>5298</v>
      </c>
      <c r="C1742" t="s">
        <v>5307</v>
      </c>
      <c r="E1742" t="s">
        <v>6289</v>
      </c>
      <c r="H1742" t="s">
        <v>3056</v>
      </c>
      <c r="I1742">
        <v>18060</v>
      </c>
      <c r="K1742">
        <v>0</v>
      </c>
    </row>
    <row r="1743" spans="1:11" hidden="1">
      <c r="A1743">
        <v>15090</v>
      </c>
      <c r="B1743" t="s">
        <v>5308</v>
      </c>
      <c r="C1743" t="s">
        <v>3661</v>
      </c>
      <c r="E1743" t="s">
        <v>6289</v>
      </c>
      <c r="H1743" t="s">
        <v>3056</v>
      </c>
      <c r="I1743">
        <v>15090</v>
      </c>
      <c r="K1743">
        <v>0</v>
      </c>
    </row>
    <row r="1744" spans="1:11" hidden="1">
      <c r="A1744">
        <v>15100</v>
      </c>
      <c r="B1744" t="s">
        <v>5308</v>
      </c>
      <c r="C1744" t="s">
        <v>4850</v>
      </c>
      <c r="E1744" t="s">
        <v>6289</v>
      </c>
      <c r="H1744" t="s">
        <v>3056</v>
      </c>
      <c r="I1744">
        <v>15100</v>
      </c>
      <c r="K1744">
        <v>0</v>
      </c>
    </row>
    <row r="1745" spans="1:11" hidden="1">
      <c r="A1745">
        <v>18070</v>
      </c>
      <c r="B1745" t="s">
        <v>5309</v>
      </c>
      <c r="C1745" t="s">
        <v>5311</v>
      </c>
      <c r="E1745" t="s">
        <v>6289</v>
      </c>
      <c r="H1745" t="s">
        <v>3056</v>
      </c>
      <c r="I1745">
        <v>18070</v>
      </c>
      <c r="K1745">
        <v>0</v>
      </c>
    </row>
    <row r="1746" spans="1:11" hidden="1">
      <c r="A1746">
        <v>18080</v>
      </c>
      <c r="B1746" t="s">
        <v>5309</v>
      </c>
      <c r="C1746" t="s">
        <v>5310</v>
      </c>
      <c r="E1746" t="s">
        <v>6289</v>
      </c>
      <c r="H1746" t="s">
        <v>3056</v>
      </c>
      <c r="I1746">
        <v>18080</v>
      </c>
      <c r="K1746">
        <v>0</v>
      </c>
    </row>
    <row r="1747" spans="1:11" hidden="1">
      <c r="A1747">
        <v>15760</v>
      </c>
      <c r="B1747" t="s">
        <v>5312</v>
      </c>
      <c r="C1747" t="s">
        <v>5314</v>
      </c>
      <c r="E1747" t="s">
        <v>6289</v>
      </c>
      <c r="H1747" t="s">
        <v>3056</v>
      </c>
      <c r="I1747">
        <v>15760</v>
      </c>
      <c r="K1747">
        <v>0</v>
      </c>
    </row>
    <row r="1748" spans="1:11" hidden="1">
      <c r="A1748">
        <v>15770</v>
      </c>
      <c r="B1748" t="s">
        <v>5312</v>
      </c>
      <c r="C1748" t="s">
        <v>5313</v>
      </c>
      <c r="E1748" t="s">
        <v>6289</v>
      </c>
      <c r="H1748" t="s">
        <v>3056</v>
      </c>
      <c r="I1748">
        <v>15770</v>
      </c>
      <c r="K1748">
        <v>0</v>
      </c>
    </row>
    <row r="1749" spans="1:11" hidden="1">
      <c r="A1749">
        <v>15780</v>
      </c>
      <c r="B1749" t="s">
        <v>5315</v>
      </c>
      <c r="C1749" t="s">
        <v>5316</v>
      </c>
      <c r="E1749" t="s">
        <v>6289</v>
      </c>
      <c r="H1749" t="s">
        <v>3056</v>
      </c>
      <c r="I1749">
        <v>15780</v>
      </c>
      <c r="K1749">
        <v>0</v>
      </c>
    </row>
    <row r="1750" spans="1:11" hidden="1">
      <c r="A1750">
        <v>15790</v>
      </c>
      <c r="B1750" t="s">
        <v>5315</v>
      </c>
      <c r="C1750" t="s">
        <v>5317</v>
      </c>
      <c r="E1750" t="s">
        <v>6289</v>
      </c>
      <c r="H1750" t="s">
        <v>3056</v>
      </c>
      <c r="I1750">
        <v>15790</v>
      </c>
      <c r="K1750">
        <v>0</v>
      </c>
    </row>
    <row r="1751" spans="1:11" hidden="1">
      <c r="A1751">
        <v>16280</v>
      </c>
      <c r="B1751" t="s">
        <v>5318</v>
      </c>
      <c r="C1751" t="s">
        <v>5320</v>
      </c>
      <c r="E1751" t="s">
        <v>6289</v>
      </c>
      <c r="H1751" t="s">
        <v>3056</v>
      </c>
      <c r="I1751">
        <v>16280</v>
      </c>
      <c r="K1751">
        <v>0</v>
      </c>
    </row>
    <row r="1752" spans="1:11" hidden="1">
      <c r="A1752">
        <v>16290</v>
      </c>
      <c r="B1752" t="s">
        <v>5318</v>
      </c>
      <c r="C1752" t="s">
        <v>5319</v>
      </c>
      <c r="E1752" t="s">
        <v>6289</v>
      </c>
      <c r="H1752" t="s">
        <v>3056</v>
      </c>
      <c r="I1752">
        <v>16290</v>
      </c>
      <c r="K1752">
        <v>0</v>
      </c>
    </row>
    <row r="1753" spans="1:11" hidden="1">
      <c r="A1753">
        <v>16300</v>
      </c>
      <c r="B1753" t="s">
        <v>5318</v>
      </c>
      <c r="C1753" t="s">
        <v>5322</v>
      </c>
      <c r="E1753" t="s">
        <v>6289</v>
      </c>
      <c r="H1753" t="s">
        <v>3056</v>
      </c>
      <c r="I1753">
        <v>16300</v>
      </c>
      <c r="K1753">
        <v>0</v>
      </c>
    </row>
    <row r="1754" spans="1:11" hidden="1">
      <c r="A1754">
        <v>16310</v>
      </c>
      <c r="B1754" t="s">
        <v>5318</v>
      </c>
      <c r="C1754" t="s">
        <v>5321</v>
      </c>
      <c r="E1754" t="s">
        <v>6289</v>
      </c>
      <c r="H1754" t="s">
        <v>3056</v>
      </c>
      <c r="I1754">
        <v>16310</v>
      </c>
      <c r="K1754">
        <v>0</v>
      </c>
    </row>
    <row r="1755" spans="1:11" hidden="1">
      <c r="A1755">
        <v>6560</v>
      </c>
      <c r="B1755" t="s">
        <v>5323</v>
      </c>
      <c r="C1755" t="s">
        <v>3057</v>
      </c>
      <c r="D1755">
        <v>1</v>
      </c>
      <c r="E1755" t="s">
        <v>6289</v>
      </c>
      <c r="H1755" t="s">
        <v>3056</v>
      </c>
      <c r="I1755">
        <v>6560</v>
      </c>
      <c r="K1755">
        <v>0</v>
      </c>
    </row>
    <row r="1756" spans="1:11" hidden="1">
      <c r="A1756">
        <v>6570</v>
      </c>
      <c r="B1756" t="s">
        <v>5323</v>
      </c>
      <c r="C1756" t="s">
        <v>5096</v>
      </c>
      <c r="D1756">
        <v>2</v>
      </c>
      <c r="E1756" t="s">
        <v>6289</v>
      </c>
      <c r="H1756" t="s">
        <v>3056</v>
      </c>
      <c r="I1756">
        <v>6570</v>
      </c>
      <c r="K1756">
        <v>0</v>
      </c>
    </row>
    <row r="1757" spans="1:11" hidden="1">
      <c r="A1757">
        <v>6580</v>
      </c>
      <c r="B1757" t="s">
        <v>5323</v>
      </c>
      <c r="C1757" t="s">
        <v>3069</v>
      </c>
      <c r="D1757">
        <v>4</v>
      </c>
      <c r="E1757" t="s">
        <v>6289</v>
      </c>
      <c r="H1757" t="s">
        <v>3056</v>
      </c>
      <c r="I1757">
        <v>6580</v>
      </c>
      <c r="K1757">
        <v>0</v>
      </c>
    </row>
    <row r="1758" spans="1:11" hidden="1">
      <c r="A1758">
        <v>17930</v>
      </c>
      <c r="B1758" t="s">
        <v>5323</v>
      </c>
      <c r="C1758" t="s">
        <v>4596</v>
      </c>
      <c r="D1758">
        <v>0</v>
      </c>
      <c r="E1758" t="s">
        <v>6289</v>
      </c>
      <c r="H1758" t="s">
        <v>3056</v>
      </c>
      <c r="I1758">
        <v>17930</v>
      </c>
      <c r="K1758">
        <v>0</v>
      </c>
    </row>
    <row r="1759" spans="1:11" hidden="1">
      <c r="A1759">
        <v>2000000145</v>
      </c>
      <c r="B1759" t="s">
        <v>5323</v>
      </c>
      <c r="C1759" t="s">
        <v>5324</v>
      </c>
      <c r="D1759">
        <v>3</v>
      </c>
      <c r="E1759" t="s">
        <v>6289</v>
      </c>
      <c r="H1759" t="s">
        <v>3056</v>
      </c>
      <c r="I1759">
        <v>2000000145</v>
      </c>
      <c r="K1759">
        <v>0</v>
      </c>
    </row>
    <row r="1760" spans="1:11" hidden="1">
      <c r="A1760">
        <v>6590</v>
      </c>
      <c r="B1760" t="s">
        <v>5325</v>
      </c>
      <c r="C1760" t="s">
        <v>5327</v>
      </c>
      <c r="E1760" t="s">
        <v>6289</v>
      </c>
      <c r="H1760" t="s">
        <v>3056</v>
      </c>
      <c r="I1760">
        <v>6590</v>
      </c>
      <c r="K1760">
        <v>0</v>
      </c>
    </row>
    <row r="1761" spans="1:11" hidden="1">
      <c r="A1761">
        <v>6600</v>
      </c>
      <c r="B1761" t="s">
        <v>5325</v>
      </c>
      <c r="C1761" t="s">
        <v>5332</v>
      </c>
      <c r="E1761" t="s">
        <v>6289</v>
      </c>
      <c r="H1761" t="s">
        <v>3056</v>
      </c>
      <c r="I1761">
        <v>6600</v>
      </c>
      <c r="K1761">
        <v>0</v>
      </c>
    </row>
    <row r="1762" spans="1:11" hidden="1">
      <c r="A1762">
        <v>6610</v>
      </c>
      <c r="B1762" t="s">
        <v>5325</v>
      </c>
      <c r="C1762" t="s">
        <v>5326</v>
      </c>
      <c r="E1762" t="s">
        <v>6289</v>
      </c>
      <c r="H1762" t="s">
        <v>3056</v>
      </c>
      <c r="I1762">
        <v>6610</v>
      </c>
      <c r="K1762">
        <v>0</v>
      </c>
    </row>
    <row r="1763" spans="1:11" hidden="1">
      <c r="A1763">
        <v>6620</v>
      </c>
      <c r="B1763" t="s">
        <v>5325</v>
      </c>
      <c r="C1763" t="s">
        <v>5331</v>
      </c>
      <c r="E1763" t="s">
        <v>6289</v>
      </c>
      <c r="H1763" t="s">
        <v>3056</v>
      </c>
      <c r="I1763">
        <v>6620</v>
      </c>
      <c r="K1763">
        <v>0</v>
      </c>
    </row>
    <row r="1764" spans="1:11" hidden="1">
      <c r="A1764">
        <v>6630</v>
      </c>
      <c r="B1764" t="s">
        <v>5325</v>
      </c>
      <c r="C1764" t="s">
        <v>5328</v>
      </c>
      <c r="E1764" t="s">
        <v>6289</v>
      </c>
      <c r="H1764" t="s">
        <v>3056</v>
      </c>
      <c r="I1764">
        <v>6630</v>
      </c>
      <c r="K1764">
        <v>0</v>
      </c>
    </row>
    <row r="1765" spans="1:11" hidden="1">
      <c r="A1765">
        <v>6640</v>
      </c>
      <c r="B1765" t="s">
        <v>5325</v>
      </c>
      <c r="C1765" t="s">
        <v>5330</v>
      </c>
      <c r="E1765" t="s">
        <v>6289</v>
      </c>
      <c r="H1765" t="s">
        <v>3056</v>
      </c>
      <c r="I1765">
        <v>6640</v>
      </c>
      <c r="K1765">
        <v>0</v>
      </c>
    </row>
    <row r="1766" spans="1:11" hidden="1">
      <c r="A1766">
        <v>6650</v>
      </c>
      <c r="B1766" t="s">
        <v>5325</v>
      </c>
      <c r="C1766" t="s">
        <v>5329</v>
      </c>
      <c r="E1766" t="s">
        <v>6289</v>
      </c>
      <c r="H1766" t="s">
        <v>3056</v>
      </c>
      <c r="I1766">
        <v>6650</v>
      </c>
      <c r="K1766">
        <v>0</v>
      </c>
    </row>
    <row r="1767" spans="1:11" hidden="1">
      <c r="A1767">
        <v>17920</v>
      </c>
      <c r="B1767" t="s">
        <v>5325</v>
      </c>
      <c r="C1767" t="s">
        <v>5333</v>
      </c>
      <c r="E1767" t="s">
        <v>6289</v>
      </c>
      <c r="H1767" t="s">
        <v>3056</v>
      </c>
      <c r="I1767">
        <v>17920</v>
      </c>
      <c r="K1767">
        <v>0</v>
      </c>
    </row>
    <row r="1768" spans="1:11" hidden="1">
      <c r="A1768">
        <v>4800</v>
      </c>
      <c r="B1768" t="s">
        <v>5334</v>
      </c>
      <c r="C1768" t="s">
        <v>5385</v>
      </c>
      <c r="E1768" t="s">
        <v>6289</v>
      </c>
      <c r="F1768" t="s">
        <v>5386</v>
      </c>
      <c r="H1768" t="s">
        <v>3061</v>
      </c>
      <c r="I1768">
        <v>4800</v>
      </c>
      <c r="K1768">
        <v>0</v>
      </c>
    </row>
    <row r="1769" spans="1:11" hidden="1">
      <c r="A1769">
        <v>4801</v>
      </c>
      <c r="B1769" t="s">
        <v>5334</v>
      </c>
      <c r="C1769" t="s">
        <v>5424</v>
      </c>
      <c r="E1769" t="s">
        <v>6289</v>
      </c>
      <c r="F1769" t="s">
        <v>5425</v>
      </c>
      <c r="H1769" t="s">
        <v>3061</v>
      </c>
      <c r="I1769">
        <v>4801</v>
      </c>
      <c r="K1769">
        <v>0</v>
      </c>
    </row>
    <row r="1770" spans="1:11" hidden="1">
      <c r="A1770">
        <v>4802</v>
      </c>
      <c r="B1770" t="s">
        <v>5334</v>
      </c>
      <c r="C1770" t="s">
        <v>5455</v>
      </c>
      <c r="E1770" t="s">
        <v>6289</v>
      </c>
      <c r="F1770" t="s">
        <v>5456</v>
      </c>
      <c r="H1770" t="s">
        <v>3061</v>
      </c>
      <c r="I1770">
        <v>4802</v>
      </c>
      <c r="K1770">
        <v>0</v>
      </c>
    </row>
    <row r="1771" spans="1:11" hidden="1">
      <c r="A1771">
        <v>4803</v>
      </c>
      <c r="B1771" t="s">
        <v>5334</v>
      </c>
      <c r="C1771" t="s">
        <v>5368</v>
      </c>
      <c r="E1771" t="s">
        <v>6289</v>
      </c>
      <c r="F1771" t="s">
        <v>5369</v>
      </c>
      <c r="H1771" t="s">
        <v>3061</v>
      </c>
      <c r="I1771">
        <v>4803</v>
      </c>
      <c r="K1771">
        <v>0</v>
      </c>
    </row>
    <row r="1772" spans="1:11" hidden="1">
      <c r="A1772">
        <v>4804</v>
      </c>
      <c r="B1772" t="s">
        <v>5334</v>
      </c>
      <c r="C1772" t="s">
        <v>5399</v>
      </c>
      <c r="E1772" t="s">
        <v>6289</v>
      </c>
      <c r="F1772" t="s">
        <v>5400</v>
      </c>
      <c r="H1772" t="s">
        <v>3061</v>
      </c>
      <c r="I1772">
        <v>4804</v>
      </c>
      <c r="K1772">
        <v>0</v>
      </c>
    </row>
    <row r="1773" spans="1:11" hidden="1">
      <c r="A1773">
        <v>4806</v>
      </c>
      <c r="B1773" t="s">
        <v>5334</v>
      </c>
      <c r="C1773" t="s">
        <v>5436</v>
      </c>
      <c r="E1773" t="s">
        <v>6289</v>
      </c>
      <c r="F1773" t="s">
        <v>5437</v>
      </c>
      <c r="H1773" t="s">
        <v>3061</v>
      </c>
      <c r="I1773">
        <v>4806</v>
      </c>
      <c r="K1773">
        <v>0</v>
      </c>
    </row>
    <row r="1774" spans="1:11" hidden="1">
      <c r="A1774">
        <v>4807</v>
      </c>
      <c r="B1774" t="s">
        <v>5334</v>
      </c>
      <c r="C1774" t="s">
        <v>5407</v>
      </c>
      <c r="E1774" t="s">
        <v>6289</v>
      </c>
      <c r="F1774" t="s">
        <v>5408</v>
      </c>
      <c r="H1774" t="s">
        <v>3061</v>
      </c>
      <c r="I1774">
        <v>4807</v>
      </c>
      <c r="K1774">
        <v>0</v>
      </c>
    </row>
    <row r="1775" spans="1:11" hidden="1">
      <c r="A1775">
        <v>4808</v>
      </c>
      <c r="B1775" t="s">
        <v>5334</v>
      </c>
      <c r="C1775" t="s">
        <v>5444</v>
      </c>
      <c r="E1775" t="s">
        <v>6289</v>
      </c>
      <c r="F1775" t="s">
        <v>5445</v>
      </c>
      <c r="H1775" t="s">
        <v>3061</v>
      </c>
      <c r="I1775">
        <v>4808</v>
      </c>
      <c r="K1775">
        <v>0</v>
      </c>
    </row>
    <row r="1776" spans="1:11" hidden="1">
      <c r="A1776">
        <v>4809</v>
      </c>
      <c r="B1776" t="s">
        <v>5334</v>
      </c>
      <c r="C1776" t="s">
        <v>5448</v>
      </c>
      <c r="E1776" t="s">
        <v>6289</v>
      </c>
      <c r="F1776" t="s">
        <v>5449</v>
      </c>
      <c r="H1776" t="s">
        <v>3061</v>
      </c>
      <c r="I1776">
        <v>4809</v>
      </c>
      <c r="K1776">
        <v>0</v>
      </c>
    </row>
    <row r="1777" spans="1:11" hidden="1">
      <c r="A1777">
        <v>4810</v>
      </c>
      <c r="B1777" t="s">
        <v>5334</v>
      </c>
      <c r="C1777" t="s">
        <v>5411</v>
      </c>
      <c r="E1777" t="s">
        <v>6289</v>
      </c>
      <c r="F1777" t="s">
        <v>5412</v>
      </c>
      <c r="H1777" t="s">
        <v>3061</v>
      </c>
      <c r="I1777">
        <v>4810</v>
      </c>
      <c r="K1777">
        <v>0</v>
      </c>
    </row>
    <row r="1778" spans="1:11" hidden="1">
      <c r="A1778">
        <v>4811</v>
      </c>
      <c r="B1778" t="s">
        <v>5334</v>
      </c>
      <c r="C1778" t="s">
        <v>5403</v>
      </c>
      <c r="E1778" t="s">
        <v>6289</v>
      </c>
      <c r="F1778" t="s">
        <v>5404</v>
      </c>
      <c r="H1778" t="s">
        <v>3061</v>
      </c>
      <c r="I1778">
        <v>4811</v>
      </c>
      <c r="K1778">
        <v>0</v>
      </c>
    </row>
    <row r="1779" spans="1:11" hidden="1">
      <c r="A1779">
        <v>4812</v>
      </c>
      <c r="B1779" t="s">
        <v>5334</v>
      </c>
      <c r="C1779" t="s">
        <v>5442</v>
      </c>
      <c r="E1779" t="s">
        <v>6289</v>
      </c>
      <c r="F1779" t="s">
        <v>5443</v>
      </c>
      <c r="H1779" t="s">
        <v>3061</v>
      </c>
      <c r="I1779">
        <v>4812</v>
      </c>
      <c r="K1779">
        <v>0</v>
      </c>
    </row>
    <row r="1780" spans="1:11" hidden="1">
      <c r="A1780">
        <v>4813</v>
      </c>
      <c r="B1780" t="s">
        <v>5334</v>
      </c>
      <c r="C1780" t="s">
        <v>5432</v>
      </c>
      <c r="E1780" t="s">
        <v>6289</v>
      </c>
      <c r="F1780" t="s">
        <v>5433</v>
      </c>
      <c r="H1780" t="s">
        <v>3061</v>
      </c>
      <c r="I1780">
        <v>4813</v>
      </c>
      <c r="K1780">
        <v>0</v>
      </c>
    </row>
    <row r="1781" spans="1:11" hidden="1">
      <c r="A1781">
        <v>4814</v>
      </c>
      <c r="B1781" t="s">
        <v>5334</v>
      </c>
      <c r="C1781" t="s">
        <v>5393</v>
      </c>
      <c r="E1781" t="s">
        <v>6289</v>
      </c>
      <c r="F1781" t="s">
        <v>5394</v>
      </c>
      <c r="H1781" t="s">
        <v>3061</v>
      </c>
      <c r="I1781">
        <v>4814</v>
      </c>
      <c r="K1781">
        <v>0</v>
      </c>
    </row>
    <row r="1782" spans="1:11" hidden="1">
      <c r="A1782">
        <v>4815</v>
      </c>
      <c r="B1782" t="s">
        <v>5334</v>
      </c>
      <c r="C1782" t="s">
        <v>5374</v>
      </c>
      <c r="E1782" t="s">
        <v>6289</v>
      </c>
      <c r="F1782" t="s">
        <v>5375</v>
      </c>
      <c r="H1782" t="s">
        <v>3061</v>
      </c>
      <c r="I1782">
        <v>4815</v>
      </c>
      <c r="K1782">
        <v>0</v>
      </c>
    </row>
    <row r="1783" spans="1:11" hidden="1">
      <c r="A1783">
        <v>4816</v>
      </c>
      <c r="B1783" t="s">
        <v>5334</v>
      </c>
      <c r="C1783" t="s">
        <v>5463</v>
      </c>
      <c r="E1783" t="s">
        <v>6289</v>
      </c>
      <c r="F1783" t="s">
        <v>5464</v>
      </c>
      <c r="H1783" t="s">
        <v>3061</v>
      </c>
      <c r="I1783">
        <v>4816</v>
      </c>
      <c r="K1783">
        <v>0</v>
      </c>
    </row>
    <row r="1784" spans="1:11" hidden="1">
      <c r="A1784">
        <v>4817</v>
      </c>
      <c r="B1784" t="s">
        <v>5334</v>
      </c>
      <c r="C1784" t="s">
        <v>5461</v>
      </c>
      <c r="E1784" t="s">
        <v>6289</v>
      </c>
      <c r="F1784" t="s">
        <v>5462</v>
      </c>
      <c r="H1784" t="s">
        <v>3061</v>
      </c>
      <c r="I1784">
        <v>4817</v>
      </c>
      <c r="K1784">
        <v>0</v>
      </c>
    </row>
    <row r="1785" spans="1:11" hidden="1">
      <c r="A1785">
        <v>4818</v>
      </c>
      <c r="B1785" t="s">
        <v>5334</v>
      </c>
      <c r="C1785" t="s">
        <v>5372</v>
      </c>
      <c r="E1785" t="s">
        <v>6289</v>
      </c>
      <c r="F1785" t="s">
        <v>5373</v>
      </c>
      <c r="H1785" t="s">
        <v>3061</v>
      </c>
      <c r="I1785">
        <v>4818</v>
      </c>
      <c r="K1785">
        <v>0</v>
      </c>
    </row>
    <row r="1786" spans="1:11" hidden="1">
      <c r="A1786">
        <v>4819</v>
      </c>
      <c r="B1786" t="s">
        <v>5334</v>
      </c>
      <c r="C1786" t="s">
        <v>5430</v>
      </c>
      <c r="E1786" t="s">
        <v>6289</v>
      </c>
      <c r="F1786" t="s">
        <v>5431</v>
      </c>
      <c r="H1786" t="s">
        <v>3061</v>
      </c>
      <c r="I1786">
        <v>4819</v>
      </c>
      <c r="K1786">
        <v>0</v>
      </c>
    </row>
    <row r="1787" spans="1:11" hidden="1">
      <c r="A1787">
        <v>4820</v>
      </c>
      <c r="B1787" t="s">
        <v>5334</v>
      </c>
      <c r="C1787" t="s">
        <v>5391</v>
      </c>
      <c r="E1787" t="s">
        <v>6289</v>
      </c>
      <c r="F1787" t="s">
        <v>5392</v>
      </c>
      <c r="H1787" t="s">
        <v>3061</v>
      </c>
      <c r="I1787">
        <v>4820</v>
      </c>
      <c r="K1787">
        <v>0</v>
      </c>
    </row>
    <row r="1788" spans="1:11" hidden="1">
      <c r="A1788">
        <v>4821</v>
      </c>
      <c r="B1788" t="s">
        <v>5334</v>
      </c>
      <c r="C1788" t="s">
        <v>5409</v>
      </c>
      <c r="E1788" t="s">
        <v>6289</v>
      </c>
      <c r="F1788" t="s">
        <v>5410</v>
      </c>
      <c r="H1788" t="s">
        <v>3061</v>
      </c>
      <c r="I1788">
        <v>4821</v>
      </c>
      <c r="K1788">
        <v>0</v>
      </c>
    </row>
    <row r="1789" spans="1:11" hidden="1">
      <c r="A1789">
        <v>4822</v>
      </c>
      <c r="B1789" t="s">
        <v>5334</v>
      </c>
      <c r="C1789" t="s">
        <v>5401</v>
      </c>
      <c r="E1789" t="s">
        <v>6289</v>
      </c>
      <c r="F1789" t="s">
        <v>5402</v>
      </c>
      <c r="H1789" t="s">
        <v>3061</v>
      </c>
      <c r="I1789">
        <v>4822</v>
      </c>
      <c r="K1789">
        <v>0</v>
      </c>
    </row>
    <row r="1790" spans="1:11" hidden="1">
      <c r="A1790">
        <v>4823</v>
      </c>
      <c r="B1790" t="s">
        <v>5334</v>
      </c>
      <c r="C1790" t="s">
        <v>5440</v>
      </c>
      <c r="E1790" t="s">
        <v>6289</v>
      </c>
      <c r="F1790" t="s">
        <v>5441</v>
      </c>
      <c r="H1790" t="s">
        <v>3061</v>
      </c>
      <c r="I1790">
        <v>4823</v>
      </c>
      <c r="K1790">
        <v>0</v>
      </c>
    </row>
    <row r="1791" spans="1:11" hidden="1">
      <c r="A1791">
        <v>4824</v>
      </c>
      <c r="B1791" t="s">
        <v>5334</v>
      </c>
      <c r="C1791" t="s">
        <v>5446</v>
      </c>
      <c r="E1791" t="s">
        <v>6289</v>
      </c>
      <c r="F1791" t="s">
        <v>5447</v>
      </c>
      <c r="H1791" t="s">
        <v>3061</v>
      </c>
      <c r="I1791">
        <v>4824</v>
      </c>
      <c r="K1791">
        <v>0</v>
      </c>
    </row>
    <row r="1792" spans="1:11" hidden="1">
      <c r="A1792">
        <v>4825</v>
      </c>
      <c r="B1792" t="s">
        <v>5334</v>
      </c>
      <c r="C1792" t="s">
        <v>5349</v>
      </c>
      <c r="E1792" t="s">
        <v>6289</v>
      </c>
      <c r="F1792" t="s">
        <v>5350</v>
      </c>
      <c r="H1792" t="s">
        <v>3061</v>
      </c>
      <c r="I1792">
        <v>4825</v>
      </c>
      <c r="K1792">
        <v>0</v>
      </c>
    </row>
    <row r="1793" spans="1:11" hidden="1">
      <c r="A1793">
        <v>4826</v>
      </c>
      <c r="B1793" t="s">
        <v>5334</v>
      </c>
      <c r="C1793" t="s">
        <v>5351</v>
      </c>
      <c r="E1793" t="s">
        <v>6289</v>
      </c>
      <c r="F1793" t="s">
        <v>5352</v>
      </c>
      <c r="H1793" t="s">
        <v>3061</v>
      </c>
      <c r="I1793">
        <v>4826</v>
      </c>
      <c r="K1793">
        <v>0</v>
      </c>
    </row>
    <row r="1794" spans="1:11" hidden="1">
      <c r="A1794">
        <v>4827</v>
      </c>
      <c r="B1794" t="s">
        <v>5334</v>
      </c>
      <c r="C1794" t="s">
        <v>5353</v>
      </c>
      <c r="E1794" t="s">
        <v>6289</v>
      </c>
      <c r="F1794" t="s">
        <v>5354</v>
      </c>
      <c r="H1794" t="s">
        <v>3061</v>
      </c>
      <c r="I1794">
        <v>4827</v>
      </c>
      <c r="K1794">
        <v>0</v>
      </c>
    </row>
    <row r="1795" spans="1:11" hidden="1">
      <c r="A1795">
        <v>4828</v>
      </c>
      <c r="B1795" t="s">
        <v>5334</v>
      </c>
      <c r="C1795" t="s">
        <v>5355</v>
      </c>
      <c r="E1795" t="s">
        <v>6289</v>
      </c>
      <c r="F1795" t="s">
        <v>5356</v>
      </c>
      <c r="H1795" t="s">
        <v>3061</v>
      </c>
      <c r="I1795">
        <v>4828</v>
      </c>
      <c r="K1795">
        <v>0</v>
      </c>
    </row>
    <row r="1796" spans="1:11" hidden="1">
      <c r="A1796">
        <v>4829</v>
      </c>
      <c r="B1796" t="s">
        <v>5334</v>
      </c>
      <c r="C1796" t="s">
        <v>5357</v>
      </c>
      <c r="E1796" t="s">
        <v>6289</v>
      </c>
      <c r="F1796" t="s">
        <v>5358</v>
      </c>
      <c r="H1796" t="s">
        <v>3061</v>
      </c>
      <c r="I1796">
        <v>4829</v>
      </c>
      <c r="K1796">
        <v>0</v>
      </c>
    </row>
    <row r="1797" spans="1:11" hidden="1">
      <c r="A1797">
        <v>4830</v>
      </c>
      <c r="B1797" t="s">
        <v>5334</v>
      </c>
      <c r="C1797" t="s">
        <v>5359</v>
      </c>
      <c r="E1797" t="s">
        <v>6289</v>
      </c>
      <c r="F1797" t="s">
        <v>5360</v>
      </c>
      <c r="H1797" t="s">
        <v>3061</v>
      </c>
      <c r="I1797">
        <v>4830</v>
      </c>
      <c r="K1797">
        <v>0</v>
      </c>
    </row>
    <row r="1798" spans="1:11" hidden="1">
      <c r="A1798">
        <v>4831</v>
      </c>
      <c r="B1798" t="s">
        <v>5334</v>
      </c>
      <c r="C1798" t="s">
        <v>5361</v>
      </c>
      <c r="E1798" t="s">
        <v>6289</v>
      </c>
      <c r="F1798" t="s">
        <v>5362</v>
      </c>
      <c r="H1798" t="s">
        <v>3061</v>
      </c>
      <c r="I1798">
        <v>4831</v>
      </c>
      <c r="K1798">
        <v>0</v>
      </c>
    </row>
    <row r="1799" spans="1:11" hidden="1">
      <c r="A1799">
        <v>4832</v>
      </c>
      <c r="B1799" t="s">
        <v>5334</v>
      </c>
      <c r="C1799" t="s">
        <v>5363</v>
      </c>
      <c r="E1799" t="s">
        <v>6289</v>
      </c>
      <c r="F1799" t="s">
        <v>5364</v>
      </c>
      <c r="H1799" t="s">
        <v>3061</v>
      </c>
      <c r="I1799">
        <v>4832</v>
      </c>
      <c r="K1799">
        <v>0</v>
      </c>
    </row>
    <row r="1800" spans="1:11" hidden="1">
      <c r="A1800">
        <v>4833</v>
      </c>
      <c r="B1800" t="s">
        <v>5334</v>
      </c>
      <c r="C1800" t="s">
        <v>5365</v>
      </c>
      <c r="E1800" t="s">
        <v>6289</v>
      </c>
      <c r="F1800" t="s">
        <v>5366</v>
      </c>
      <c r="H1800" t="s">
        <v>3061</v>
      </c>
      <c r="I1800">
        <v>4833</v>
      </c>
      <c r="K1800">
        <v>0</v>
      </c>
    </row>
    <row r="1801" spans="1:11" hidden="1">
      <c r="A1801">
        <v>4834</v>
      </c>
      <c r="B1801" t="s">
        <v>5334</v>
      </c>
      <c r="C1801" t="s">
        <v>5335</v>
      </c>
      <c r="E1801" t="s">
        <v>6289</v>
      </c>
      <c r="F1801" t="s">
        <v>5336</v>
      </c>
      <c r="H1801" t="s">
        <v>3061</v>
      </c>
      <c r="I1801">
        <v>4834</v>
      </c>
      <c r="K1801">
        <v>0</v>
      </c>
    </row>
    <row r="1802" spans="1:11" hidden="1">
      <c r="A1802">
        <v>4835</v>
      </c>
      <c r="B1802" t="s">
        <v>5334</v>
      </c>
      <c r="C1802" t="s">
        <v>5337</v>
      </c>
      <c r="E1802" t="s">
        <v>6289</v>
      </c>
      <c r="F1802" t="s">
        <v>5338</v>
      </c>
      <c r="H1802" t="s">
        <v>3061</v>
      </c>
      <c r="I1802">
        <v>4835</v>
      </c>
      <c r="K1802">
        <v>0</v>
      </c>
    </row>
    <row r="1803" spans="1:11" hidden="1">
      <c r="A1803">
        <v>4836</v>
      </c>
      <c r="B1803" t="s">
        <v>5334</v>
      </c>
      <c r="C1803" t="s">
        <v>5339</v>
      </c>
      <c r="E1803" t="s">
        <v>6289</v>
      </c>
      <c r="F1803" t="s">
        <v>5340</v>
      </c>
      <c r="H1803" t="s">
        <v>3061</v>
      </c>
      <c r="I1803">
        <v>4836</v>
      </c>
      <c r="K1803">
        <v>0</v>
      </c>
    </row>
    <row r="1804" spans="1:11" hidden="1">
      <c r="A1804">
        <v>4837</v>
      </c>
      <c r="B1804" t="s">
        <v>5334</v>
      </c>
      <c r="C1804" t="s">
        <v>5341</v>
      </c>
      <c r="E1804" t="s">
        <v>6289</v>
      </c>
      <c r="F1804" t="s">
        <v>5342</v>
      </c>
      <c r="H1804" t="s">
        <v>3061</v>
      </c>
      <c r="I1804">
        <v>4837</v>
      </c>
      <c r="K1804">
        <v>0</v>
      </c>
    </row>
    <row r="1805" spans="1:11" hidden="1">
      <c r="A1805">
        <v>4838</v>
      </c>
      <c r="B1805" t="s">
        <v>5334</v>
      </c>
      <c r="C1805" t="s">
        <v>5343</v>
      </c>
      <c r="E1805" t="s">
        <v>6289</v>
      </c>
      <c r="F1805" t="s">
        <v>5344</v>
      </c>
      <c r="H1805" t="s">
        <v>3061</v>
      </c>
      <c r="I1805">
        <v>4838</v>
      </c>
      <c r="K1805">
        <v>0</v>
      </c>
    </row>
    <row r="1806" spans="1:11" hidden="1">
      <c r="A1806">
        <v>4839</v>
      </c>
      <c r="B1806" t="s">
        <v>5334</v>
      </c>
      <c r="C1806" t="s">
        <v>5345</v>
      </c>
      <c r="E1806" t="s">
        <v>6289</v>
      </c>
      <c r="F1806" t="s">
        <v>5346</v>
      </c>
      <c r="H1806" t="s">
        <v>3061</v>
      </c>
      <c r="I1806">
        <v>4839</v>
      </c>
      <c r="K1806">
        <v>0</v>
      </c>
    </row>
    <row r="1807" spans="1:11" hidden="1">
      <c r="A1807">
        <v>4840</v>
      </c>
      <c r="B1807" t="s">
        <v>5334</v>
      </c>
      <c r="C1807" t="s">
        <v>5347</v>
      </c>
      <c r="E1807" t="s">
        <v>6289</v>
      </c>
      <c r="F1807" t="s">
        <v>5348</v>
      </c>
      <c r="H1807" t="s">
        <v>3061</v>
      </c>
      <c r="I1807">
        <v>4840</v>
      </c>
      <c r="K1807">
        <v>0</v>
      </c>
    </row>
    <row r="1808" spans="1:11" hidden="1">
      <c r="A1808">
        <v>4841</v>
      </c>
      <c r="B1808" t="s">
        <v>5334</v>
      </c>
      <c r="C1808" t="s">
        <v>5389</v>
      </c>
      <c r="E1808" t="s">
        <v>6289</v>
      </c>
      <c r="F1808" t="s">
        <v>5390</v>
      </c>
      <c r="H1808" t="s">
        <v>3061</v>
      </c>
      <c r="I1808">
        <v>4841</v>
      </c>
      <c r="K1808">
        <v>0</v>
      </c>
    </row>
    <row r="1809" spans="1:11" hidden="1">
      <c r="A1809">
        <v>4842</v>
      </c>
      <c r="B1809" t="s">
        <v>5334</v>
      </c>
      <c r="C1809" t="s">
        <v>5428</v>
      </c>
      <c r="E1809" t="s">
        <v>6289</v>
      </c>
      <c r="F1809" t="s">
        <v>5429</v>
      </c>
      <c r="H1809" t="s">
        <v>3061</v>
      </c>
      <c r="I1809">
        <v>4842</v>
      </c>
      <c r="K1809">
        <v>0</v>
      </c>
    </row>
    <row r="1810" spans="1:11" hidden="1">
      <c r="A1810">
        <v>4843</v>
      </c>
      <c r="B1810" t="s">
        <v>5334</v>
      </c>
      <c r="C1810" t="s">
        <v>5370</v>
      </c>
      <c r="E1810" t="s">
        <v>6289</v>
      </c>
      <c r="F1810" t="s">
        <v>5371</v>
      </c>
      <c r="H1810" t="s">
        <v>3061</v>
      </c>
      <c r="I1810">
        <v>4843</v>
      </c>
      <c r="K1810">
        <v>0</v>
      </c>
    </row>
    <row r="1811" spans="1:11" hidden="1">
      <c r="A1811">
        <v>4844</v>
      </c>
      <c r="B1811" t="s">
        <v>5334</v>
      </c>
      <c r="C1811" t="s">
        <v>5459</v>
      </c>
      <c r="E1811" t="s">
        <v>6289</v>
      </c>
      <c r="F1811" t="s">
        <v>5460</v>
      </c>
      <c r="H1811" t="s">
        <v>3061</v>
      </c>
      <c r="I1811">
        <v>4844</v>
      </c>
      <c r="K1811">
        <v>0</v>
      </c>
    </row>
    <row r="1812" spans="1:11" hidden="1">
      <c r="A1812">
        <v>4845</v>
      </c>
      <c r="B1812" t="s">
        <v>5334</v>
      </c>
      <c r="C1812" t="s">
        <v>5377</v>
      </c>
      <c r="E1812" t="s">
        <v>6289</v>
      </c>
      <c r="F1812" t="s">
        <v>5378</v>
      </c>
      <c r="H1812" t="s">
        <v>3061</v>
      </c>
      <c r="I1812">
        <v>4845</v>
      </c>
      <c r="K1812">
        <v>0</v>
      </c>
    </row>
    <row r="1813" spans="1:11" hidden="1">
      <c r="A1813">
        <v>4846</v>
      </c>
      <c r="B1813" t="s">
        <v>5334</v>
      </c>
      <c r="C1813" t="s">
        <v>5415</v>
      </c>
      <c r="E1813" t="s">
        <v>6289</v>
      </c>
      <c r="F1813" t="s">
        <v>5416</v>
      </c>
      <c r="H1813" t="s">
        <v>3061</v>
      </c>
      <c r="I1813">
        <v>4846</v>
      </c>
      <c r="K1813">
        <v>0</v>
      </c>
    </row>
    <row r="1814" spans="1:11" hidden="1">
      <c r="A1814">
        <v>4847</v>
      </c>
      <c r="B1814" t="s">
        <v>5334</v>
      </c>
      <c r="C1814" t="s">
        <v>5450</v>
      </c>
      <c r="E1814" t="s">
        <v>6289</v>
      </c>
      <c r="F1814" t="s">
        <v>5451</v>
      </c>
      <c r="H1814" t="s">
        <v>3061</v>
      </c>
      <c r="I1814">
        <v>4847</v>
      </c>
      <c r="K1814">
        <v>0</v>
      </c>
    </row>
    <row r="1815" spans="1:11" hidden="1">
      <c r="A1815">
        <v>4848</v>
      </c>
      <c r="B1815" t="s">
        <v>5334</v>
      </c>
      <c r="C1815" t="s">
        <v>5418</v>
      </c>
      <c r="E1815" t="s">
        <v>6289</v>
      </c>
      <c r="F1815" t="s">
        <v>5419</v>
      </c>
      <c r="H1815" t="s">
        <v>3061</v>
      </c>
      <c r="I1815">
        <v>4848</v>
      </c>
      <c r="K1815">
        <v>0</v>
      </c>
    </row>
    <row r="1816" spans="1:11" hidden="1">
      <c r="A1816">
        <v>4849</v>
      </c>
      <c r="B1816" t="s">
        <v>5334</v>
      </c>
      <c r="C1816" t="s">
        <v>5379</v>
      </c>
      <c r="E1816" t="s">
        <v>6289</v>
      </c>
      <c r="F1816" t="s">
        <v>5380</v>
      </c>
      <c r="H1816" t="s">
        <v>3061</v>
      </c>
      <c r="I1816">
        <v>4849</v>
      </c>
      <c r="K1816">
        <v>0</v>
      </c>
    </row>
    <row r="1817" spans="1:11" hidden="1">
      <c r="A1817">
        <v>4850</v>
      </c>
      <c r="B1817" t="s">
        <v>5334</v>
      </c>
      <c r="C1817" t="s">
        <v>5420</v>
      </c>
      <c r="E1817" t="s">
        <v>6289</v>
      </c>
      <c r="F1817" t="s">
        <v>5421</v>
      </c>
      <c r="H1817" t="s">
        <v>3061</v>
      </c>
      <c r="I1817">
        <v>4850</v>
      </c>
      <c r="K1817">
        <v>0</v>
      </c>
    </row>
    <row r="1818" spans="1:11" hidden="1">
      <c r="A1818">
        <v>4853</v>
      </c>
      <c r="B1818" t="s">
        <v>5334</v>
      </c>
      <c r="C1818" t="s">
        <v>3071</v>
      </c>
      <c r="E1818" t="s">
        <v>6289</v>
      </c>
      <c r="F1818" t="s">
        <v>5417</v>
      </c>
      <c r="H1818" t="s">
        <v>3061</v>
      </c>
      <c r="I1818">
        <v>4853</v>
      </c>
      <c r="K1818">
        <v>0</v>
      </c>
    </row>
    <row r="1819" spans="1:11" hidden="1">
      <c r="A1819">
        <v>4854</v>
      </c>
      <c r="B1819" t="s">
        <v>5334</v>
      </c>
      <c r="C1819" t="s">
        <v>919</v>
      </c>
      <c r="E1819" t="s">
        <v>6289</v>
      </c>
      <c r="F1819" t="s">
        <v>5376</v>
      </c>
      <c r="H1819" t="s">
        <v>3061</v>
      </c>
      <c r="I1819">
        <v>4854</v>
      </c>
      <c r="K1819">
        <v>0</v>
      </c>
    </row>
    <row r="1820" spans="1:11" hidden="1">
      <c r="A1820">
        <v>4855</v>
      </c>
      <c r="B1820" t="s">
        <v>5334</v>
      </c>
      <c r="C1820" t="s">
        <v>3134</v>
      </c>
      <c r="E1820" t="s">
        <v>6289</v>
      </c>
      <c r="F1820" t="s">
        <v>5367</v>
      </c>
      <c r="H1820" t="s">
        <v>3061</v>
      </c>
      <c r="I1820">
        <v>4855</v>
      </c>
      <c r="K1820">
        <v>0</v>
      </c>
    </row>
    <row r="1821" spans="1:11" hidden="1">
      <c r="A1821">
        <v>4856</v>
      </c>
      <c r="B1821" t="s">
        <v>5334</v>
      </c>
      <c r="C1821" t="s">
        <v>4771</v>
      </c>
      <c r="E1821" t="s">
        <v>6289</v>
      </c>
      <c r="F1821" t="s">
        <v>5452</v>
      </c>
      <c r="H1821" t="s">
        <v>3061</v>
      </c>
      <c r="I1821">
        <v>4856</v>
      </c>
      <c r="K1821">
        <v>0</v>
      </c>
    </row>
    <row r="1822" spans="1:11" hidden="1">
      <c r="A1822">
        <v>4857</v>
      </c>
      <c r="B1822" t="s">
        <v>5334</v>
      </c>
      <c r="C1822" t="s">
        <v>5395</v>
      </c>
      <c r="E1822" t="s">
        <v>6289</v>
      </c>
      <c r="F1822" t="s">
        <v>5396</v>
      </c>
      <c r="H1822" t="s">
        <v>3061</v>
      </c>
      <c r="I1822">
        <v>4857</v>
      </c>
      <c r="K1822">
        <v>0</v>
      </c>
    </row>
    <row r="1823" spans="1:11" hidden="1">
      <c r="A1823">
        <v>4858</v>
      </c>
      <c r="B1823" t="s">
        <v>5334</v>
      </c>
      <c r="C1823" t="s">
        <v>5397</v>
      </c>
      <c r="E1823" t="s">
        <v>6289</v>
      </c>
      <c r="F1823" t="s">
        <v>5398</v>
      </c>
      <c r="H1823" t="s">
        <v>3061</v>
      </c>
      <c r="I1823">
        <v>4858</v>
      </c>
      <c r="K1823">
        <v>0</v>
      </c>
    </row>
    <row r="1824" spans="1:11" hidden="1">
      <c r="A1824">
        <v>4859</v>
      </c>
      <c r="B1824" t="s">
        <v>5334</v>
      </c>
      <c r="C1824" t="s">
        <v>5413</v>
      </c>
      <c r="E1824" t="s">
        <v>6289</v>
      </c>
      <c r="F1824" t="s">
        <v>5414</v>
      </c>
      <c r="H1824" t="s">
        <v>3061</v>
      </c>
      <c r="I1824">
        <v>4859</v>
      </c>
      <c r="K1824">
        <v>0</v>
      </c>
    </row>
    <row r="1825" spans="1:11" hidden="1">
      <c r="A1825">
        <v>4860</v>
      </c>
      <c r="B1825" t="s">
        <v>5334</v>
      </c>
      <c r="C1825" t="s">
        <v>5383</v>
      </c>
      <c r="E1825" t="s">
        <v>6289</v>
      </c>
      <c r="F1825" t="s">
        <v>5384</v>
      </c>
      <c r="H1825" t="s">
        <v>3061</v>
      </c>
      <c r="I1825">
        <v>4860</v>
      </c>
      <c r="K1825">
        <v>0</v>
      </c>
    </row>
    <row r="1826" spans="1:11" hidden="1">
      <c r="A1826">
        <v>4862</v>
      </c>
      <c r="B1826" t="s">
        <v>5334</v>
      </c>
      <c r="C1826" t="s">
        <v>5453</v>
      </c>
      <c r="E1826" t="s">
        <v>6289</v>
      </c>
      <c r="F1826" t="s">
        <v>5454</v>
      </c>
      <c r="H1826" t="s">
        <v>3061</v>
      </c>
      <c r="I1826">
        <v>4862</v>
      </c>
      <c r="K1826">
        <v>0</v>
      </c>
    </row>
    <row r="1827" spans="1:11" hidden="1">
      <c r="A1827">
        <v>4863</v>
      </c>
      <c r="B1827" t="s">
        <v>5334</v>
      </c>
      <c r="C1827" t="s">
        <v>5426</v>
      </c>
      <c r="E1827" t="s">
        <v>6289</v>
      </c>
      <c r="F1827" t="s">
        <v>5427</v>
      </c>
      <c r="H1827" t="s">
        <v>3061</v>
      </c>
      <c r="I1827">
        <v>4863</v>
      </c>
      <c r="K1827">
        <v>0</v>
      </c>
    </row>
    <row r="1828" spans="1:11" hidden="1">
      <c r="A1828">
        <v>4864</v>
      </c>
      <c r="B1828" t="s">
        <v>5334</v>
      </c>
      <c r="C1828" t="s">
        <v>5434</v>
      </c>
      <c r="E1828" t="s">
        <v>6289</v>
      </c>
      <c r="F1828" t="s">
        <v>5435</v>
      </c>
      <c r="H1828" t="s">
        <v>3061</v>
      </c>
      <c r="I1828">
        <v>4864</v>
      </c>
      <c r="K1828">
        <v>0</v>
      </c>
    </row>
    <row r="1829" spans="1:11" hidden="1">
      <c r="A1829">
        <v>4865</v>
      </c>
      <c r="B1829" t="s">
        <v>5334</v>
      </c>
      <c r="C1829" t="s">
        <v>5381</v>
      </c>
      <c r="E1829" t="s">
        <v>6289</v>
      </c>
      <c r="F1829" t="s">
        <v>5382</v>
      </c>
      <c r="H1829" t="s">
        <v>3061</v>
      </c>
      <c r="I1829">
        <v>4865</v>
      </c>
      <c r="K1829">
        <v>0</v>
      </c>
    </row>
    <row r="1830" spans="1:11" hidden="1">
      <c r="A1830">
        <v>4866</v>
      </c>
      <c r="B1830" t="s">
        <v>5334</v>
      </c>
      <c r="C1830" t="s">
        <v>5457</v>
      </c>
      <c r="E1830" t="s">
        <v>6289</v>
      </c>
      <c r="F1830" t="s">
        <v>5458</v>
      </c>
      <c r="H1830" t="s">
        <v>3061</v>
      </c>
      <c r="I1830">
        <v>4866</v>
      </c>
      <c r="K1830">
        <v>0</v>
      </c>
    </row>
    <row r="1831" spans="1:11" hidden="1">
      <c r="A1831">
        <v>4867</v>
      </c>
      <c r="B1831" t="s">
        <v>5334</v>
      </c>
      <c r="C1831" t="s">
        <v>5438</v>
      </c>
      <c r="E1831" t="s">
        <v>6289</v>
      </c>
      <c r="F1831" t="s">
        <v>5439</v>
      </c>
      <c r="H1831" t="s">
        <v>3061</v>
      </c>
      <c r="I1831">
        <v>4867</v>
      </c>
      <c r="K1831">
        <v>0</v>
      </c>
    </row>
    <row r="1832" spans="1:11" hidden="1">
      <c r="A1832">
        <v>4868</v>
      </c>
      <c r="B1832" t="s">
        <v>5334</v>
      </c>
      <c r="C1832" t="s">
        <v>5422</v>
      </c>
      <c r="E1832" t="s">
        <v>6289</v>
      </c>
      <c r="F1832" t="s">
        <v>5423</v>
      </c>
      <c r="H1832" t="s">
        <v>3061</v>
      </c>
      <c r="I1832">
        <v>4868</v>
      </c>
      <c r="K1832">
        <v>0</v>
      </c>
    </row>
    <row r="1833" spans="1:11" hidden="1">
      <c r="A1833">
        <v>4869</v>
      </c>
      <c r="B1833" t="s">
        <v>5334</v>
      </c>
      <c r="C1833" t="s">
        <v>5405</v>
      </c>
      <c r="E1833" t="s">
        <v>6289</v>
      </c>
      <c r="F1833" t="s">
        <v>5406</v>
      </c>
      <c r="H1833" t="s">
        <v>3061</v>
      </c>
      <c r="I1833">
        <v>4869</v>
      </c>
      <c r="K1833">
        <v>0</v>
      </c>
    </row>
    <row r="1834" spans="1:11" hidden="1">
      <c r="A1834">
        <v>4870</v>
      </c>
      <c r="B1834" t="s">
        <v>5334</v>
      </c>
      <c r="C1834" t="s">
        <v>5387</v>
      </c>
      <c r="E1834" t="s">
        <v>6289</v>
      </c>
      <c r="F1834" t="s">
        <v>5388</v>
      </c>
      <c r="H1834" t="s">
        <v>3061</v>
      </c>
      <c r="I1834">
        <v>4870</v>
      </c>
      <c r="K1834">
        <v>0</v>
      </c>
    </row>
    <row r="1835" spans="1:11" hidden="1">
      <c r="A1835">
        <v>4871</v>
      </c>
      <c r="B1835" t="s">
        <v>5334</v>
      </c>
      <c r="C1835" t="s">
        <v>3141</v>
      </c>
      <c r="E1835" t="s">
        <v>6289</v>
      </c>
      <c r="F1835" t="s">
        <v>3141</v>
      </c>
      <c r="H1835" t="s">
        <v>3061</v>
      </c>
      <c r="I1835">
        <v>4871</v>
      </c>
      <c r="K1835">
        <v>0</v>
      </c>
    </row>
    <row r="1836" spans="1:11" hidden="1">
      <c r="A1836">
        <v>4872</v>
      </c>
      <c r="B1836" t="s">
        <v>5334</v>
      </c>
      <c r="C1836" t="s">
        <v>3144</v>
      </c>
      <c r="E1836" t="s">
        <v>6289</v>
      </c>
      <c r="F1836" t="s">
        <v>3145</v>
      </c>
      <c r="H1836" t="s">
        <v>3061</v>
      </c>
      <c r="I1836">
        <v>4872</v>
      </c>
      <c r="K1836">
        <v>0</v>
      </c>
    </row>
    <row r="1837" spans="1:11" hidden="1">
      <c r="A1837">
        <v>4900</v>
      </c>
      <c r="B1837" t="s">
        <v>5465</v>
      </c>
      <c r="C1837" t="s">
        <v>5469</v>
      </c>
      <c r="E1837" t="s">
        <v>6289</v>
      </c>
      <c r="F1837" t="s">
        <v>4616</v>
      </c>
      <c r="H1837" t="s">
        <v>3061</v>
      </c>
      <c r="I1837">
        <v>4900</v>
      </c>
      <c r="K1837">
        <v>0</v>
      </c>
    </row>
    <row r="1838" spans="1:11" hidden="1">
      <c r="A1838">
        <v>4901</v>
      </c>
      <c r="B1838" t="s">
        <v>5465</v>
      </c>
      <c r="C1838" t="s">
        <v>5468</v>
      </c>
      <c r="E1838" t="s">
        <v>6289</v>
      </c>
      <c r="F1838" t="s">
        <v>151</v>
      </c>
      <c r="H1838" t="s">
        <v>3061</v>
      </c>
      <c r="I1838">
        <v>4901</v>
      </c>
      <c r="K1838">
        <v>0</v>
      </c>
    </row>
    <row r="1839" spans="1:11" hidden="1">
      <c r="A1839">
        <v>4902</v>
      </c>
      <c r="B1839" t="s">
        <v>5465</v>
      </c>
      <c r="C1839" t="s">
        <v>5466</v>
      </c>
      <c r="E1839" t="s">
        <v>6289</v>
      </c>
      <c r="F1839" t="s">
        <v>5467</v>
      </c>
      <c r="H1839" t="s">
        <v>3061</v>
      </c>
      <c r="I1839">
        <v>4902</v>
      </c>
      <c r="K1839">
        <v>0</v>
      </c>
    </row>
    <row r="1840" spans="1:11" hidden="1">
      <c r="A1840">
        <v>4903</v>
      </c>
      <c r="B1840" t="s">
        <v>5465</v>
      </c>
      <c r="C1840" t="s">
        <v>5470</v>
      </c>
      <c r="E1840" t="s">
        <v>6289</v>
      </c>
      <c r="F1840" t="s">
        <v>5471</v>
      </c>
      <c r="H1840" t="s">
        <v>3061</v>
      </c>
      <c r="I1840">
        <v>4903</v>
      </c>
      <c r="K1840">
        <v>0</v>
      </c>
    </row>
    <row r="1841" spans="1:11" hidden="1">
      <c r="A1841">
        <v>4904</v>
      </c>
      <c r="B1841" t="s">
        <v>5465</v>
      </c>
      <c r="C1841" t="s">
        <v>3419</v>
      </c>
      <c r="E1841" t="s">
        <v>6289</v>
      </c>
      <c r="F1841" t="s">
        <v>3535</v>
      </c>
      <c r="H1841" t="s">
        <v>3061</v>
      </c>
      <c r="I1841">
        <v>4904</v>
      </c>
      <c r="K1841">
        <v>0</v>
      </c>
    </row>
    <row r="1842" spans="1:11" hidden="1">
      <c r="A1842">
        <v>4905</v>
      </c>
      <c r="B1842" t="s">
        <v>5465</v>
      </c>
      <c r="C1842" t="s">
        <v>3141</v>
      </c>
      <c r="E1842" t="s">
        <v>6289</v>
      </c>
      <c r="F1842" t="s">
        <v>3141</v>
      </c>
      <c r="H1842" t="s">
        <v>3061</v>
      </c>
      <c r="I1842">
        <v>4905</v>
      </c>
      <c r="K1842">
        <v>0</v>
      </c>
    </row>
    <row r="1843" spans="1:11" hidden="1">
      <c r="A1843">
        <v>4906</v>
      </c>
      <c r="B1843" t="s">
        <v>5465</v>
      </c>
      <c r="C1843" t="s">
        <v>3144</v>
      </c>
      <c r="E1843" t="s">
        <v>6289</v>
      </c>
      <c r="F1843" t="s">
        <v>3145</v>
      </c>
      <c r="H1843" t="s">
        <v>3061</v>
      </c>
      <c r="I1843">
        <v>4906</v>
      </c>
      <c r="K1843">
        <v>0</v>
      </c>
    </row>
    <row r="1844" spans="1:11" hidden="1">
      <c r="A1844">
        <v>5000</v>
      </c>
      <c r="B1844" t="s">
        <v>5472</v>
      </c>
      <c r="C1844" t="s">
        <v>5473</v>
      </c>
      <c r="E1844" t="s">
        <v>6289</v>
      </c>
      <c r="F1844" t="s">
        <v>4878</v>
      </c>
      <c r="H1844" t="s">
        <v>3061</v>
      </c>
      <c r="I1844">
        <v>5000</v>
      </c>
      <c r="K1844">
        <v>0</v>
      </c>
    </row>
    <row r="1845" spans="1:11" hidden="1">
      <c r="A1845">
        <v>5001</v>
      </c>
      <c r="B1845" t="s">
        <v>5472</v>
      </c>
      <c r="C1845" t="s">
        <v>5477</v>
      </c>
      <c r="E1845" t="s">
        <v>6289</v>
      </c>
      <c r="F1845" t="s">
        <v>5478</v>
      </c>
      <c r="H1845" t="s">
        <v>3061</v>
      </c>
      <c r="I1845">
        <v>5001</v>
      </c>
      <c r="K1845">
        <v>0</v>
      </c>
    </row>
    <row r="1846" spans="1:11" hidden="1">
      <c r="A1846">
        <v>5002</v>
      </c>
      <c r="B1846" t="s">
        <v>5472</v>
      </c>
      <c r="C1846" t="s">
        <v>5475</v>
      </c>
      <c r="E1846" t="s">
        <v>6289</v>
      </c>
      <c r="F1846" t="s">
        <v>5476</v>
      </c>
      <c r="H1846" t="s">
        <v>3061</v>
      </c>
      <c r="I1846">
        <v>5002</v>
      </c>
      <c r="K1846">
        <v>0</v>
      </c>
    </row>
    <row r="1847" spans="1:11" hidden="1">
      <c r="A1847">
        <v>5003</v>
      </c>
      <c r="B1847" t="s">
        <v>5472</v>
      </c>
      <c r="C1847" t="s">
        <v>3069</v>
      </c>
      <c r="E1847" t="s">
        <v>6289</v>
      </c>
      <c r="F1847" t="s">
        <v>5474</v>
      </c>
      <c r="H1847" t="s">
        <v>3061</v>
      </c>
      <c r="I1847">
        <v>5003</v>
      </c>
      <c r="K1847">
        <v>0</v>
      </c>
    </row>
    <row r="1848" spans="1:11" hidden="1">
      <c r="A1848">
        <v>5004</v>
      </c>
      <c r="B1848" t="s">
        <v>5472</v>
      </c>
      <c r="C1848" t="s">
        <v>3141</v>
      </c>
      <c r="E1848" t="s">
        <v>6289</v>
      </c>
      <c r="F1848" t="s">
        <v>3141</v>
      </c>
      <c r="H1848" t="s">
        <v>3061</v>
      </c>
      <c r="I1848">
        <v>5004</v>
      </c>
      <c r="K1848">
        <v>0</v>
      </c>
    </row>
    <row r="1849" spans="1:11" hidden="1">
      <c r="A1849">
        <v>5005</v>
      </c>
      <c r="B1849" t="s">
        <v>5472</v>
      </c>
      <c r="C1849" t="s">
        <v>3144</v>
      </c>
      <c r="E1849" t="s">
        <v>6289</v>
      </c>
      <c r="F1849" t="s">
        <v>3145</v>
      </c>
      <c r="H1849" t="s">
        <v>3061</v>
      </c>
      <c r="I1849">
        <v>5005</v>
      </c>
      <c r="K1849">
        <v>0</v>
      </c>
    </row>
    <row r="1850" spans="1:11" hidden="1">
      <c r="A1850">
        <v>5100</v>
      </c>
      <c r="B1850" t="s">
        <v>5479</v>
      </c>
      <c r="C1850" t="s">
        <v>5482</v>
      </c>
      <c r="E1850" t="s">
        <v>6289</v>
      </c>
      <c r="F1850" t="s">
        <v>5483</v>
      </c>
      <c r="H1850" t="s">
        <v>3061</v>
      </c>
      <c r="I1850">
        <v>5100</v>
      </c>
      <c r="K1850">
        <v>0</v>
      </c>
    </row>
    <row r="1851" spans="1:11" hidden="1">
      <c r="A1851">
        <v>5101</v>
      </c>
      <c r="B1851" t="s">
        <v>5479</v>
      </c>
      <c r="C1851" t="s">
        <v>5484</v>
      </c>
      <c r="E1851" t="s">
        <v>6289</v>
      </c>
      <c r="F1851" t="s">
        <v>150</v>
      </c>
      <c r="H1851" t="s">
        <v>3061</v>
      </c>
      <c r="I1851">
        <v>5101</v>
      </c>
      <c r="K1851">
        <v>0</v>
      </c>
    </row>
    <row r="1852" spans="1:11" hidden="1">
      <c r="A1852">
        <v>5102</v>
      </c>
      <c r="B1852" t="s">
        <v>5479</v>
      </c>
      <c r="C1852" t="s">
        <v>5480</v>
      </c>
      <c r="E1852" t="s">
        <v>6289</v>
      </c>
      <c r="F1852" t="s">
        <v>5481</v>
      </c>
      <c r="H1852" t="s">
        <v>3061</v>
      </c>
      <c r="I1852">
        <v>5102</v>
      </c>
      <c r="K1852">
        <v>0</v>
      </c>
    </row>
    <row r="1853" spans="1:11" hidden="1">
      <c r="A1853">
        <v>5103</v>
      </c>
      <c r="B1853" t="s">
        <v>5479</v>
      </c>
      <c r="C1853" t="s">
        <v>3419</v>
      </c>
      <c r="E1853" t="s">
        <v>6289</v>
      </c>
      <c r="F1853" t="s">
        <v>3535</v>
      </c>
      <c r="H1853" t="s">
        <v>3061</v>
      </c>
      <c r="I1853">
        <v>5103</v>
      </c>
      <c r="K1853">
        <v>0</v>
      </c>
    </row>
    <row r="1854" spans="1:11" hidden="1">
      <c r="A1854">
        <v>5104</v>
      </c>
      <c r="B1854" t="s">
        <v>5479</v>
      </c>
      <c r="C1854" t="s">
        <v>3141</v>
      </c>
      <c r="E1854" t="s">
        <v>6289</v>
      </c>
      <c r="F1854" t="s">
        <v>3141</v>
      </c>
      <c r="H1854" t="s">
        <v>3061</v>
      </c>
      <c r="I1854">
        <v>5104</v>
      </c>
      <c r="K1854">
        <v>0</v>
      </c>
    </row>
    <row r="1855" spans="1:11" hidden="1">
      <c r="A1855">
        <v>5105</v>
      </c>
      <c r="B1855" t="s">
        <v>5479</v>
      </c>
      <c r="C1855" t="s">
        <v>3144</v>
      </c>
      <c r="E1855" t="s">
        <v>6289</v>
      </c>
      <c r="F1855" t="s">
        <v>3145</v>
      </c>
      <c r="H1855" t="s">
        <v>3061</v>
      </c>
      <c r="I1855">
        <v>5105</v>
      </c>
      <c r="K1855">
        <v>0</v>
      </c>
    </row>
    <row r="1856" spans="1:11" hidden="1">
      <c r="A1856">
        <v>1045</v>
      </c>
      <c r="B1856" t="s">
        <v>5485</v>
      </c>
      <c r="C1856" t="s">
        <v>3831</v>
      </c>
      <c r="D1856">
        <v>1</v>
      </c>
      <c r="E1856" t="s">
        <v>6289</v>
      </c>
      <c r="H1856" t="s">
        <v>3056</v>
      </c>
      <c r="I1856">
        <v>1045</v>
      </c>
      <c r="K1856">
        <v>0</v>
      </c>
    </row>
    <row r="1857" spans="1:11" hidden="1">
      <c r="A1857">
        <v>1046</v>
      </c>
      <c r="B1857" t="s">
        <v>5485</v>
      </c>
      <c r="C1857" t="s">
        <v>5486</v>
      </c>
      <c r="D1857">
        <v>2</v>
      </c>
      <c r="E1857" t="s">
        <v>6289</v>
      </c>
      <c r="H1857" t="s">
        <v>3056</v>
      </c>
      <c r="I1857">
        <v>1046</v>
      </c>
      <c r="K1857">
        <v>0</v>
      </c>
    </row>
    <row r="1858" spans="1:11" hidden="1">
      <c r="A1858">
        <v>1047</v>
      </c>
      <c r="B1858" t="s">
        <v>5485</v>
      </c>
      <c r="C1858" t="s">
        <v>3078</v>
      </c>
      <c r="D1858">
        <v>3</v>
      </c>
      <c r="E1858" t="s">
        <v>6289</v>
      </c>
      <c r="H1858" t="s">
        <v>3056</v>
      </c>
      <c r="I1858">
        <v>1047</v>
      </c>
      <c r="K1858">
        <v>0</v>
      </c>
    </row>
    <row r="1859" spans="1:11" hidden="1">
      <c r="A1859">
        <v>1048</v>
      </c>
      <c r="B1859" t="s">
        <v>5485</v>
      </c>
      <c r="C1859" t="s">
        <v>3850</v>
      </c>
      <c r="D1859">
        <v>4</v>
      </c>
      <c r="E1859" t="s">
        <v>6289</v>
      </c>
      <c r="H1859" t="s">
        <v>3056</v>
      </c>
      <c r="I1859">
        <v>1048</v>
      </c>
      <c r="K1859">
        <v>0</v>
      </c>
    </row>
    <row r="1860" spans="1:11" hidden="1">
      <c r="A1860">
        <v>1049</v>
      </c>
      <c r="B1860" t="s">
        <v>5485</v>
      </c>
      <c r="C1860" t="s">
        <v>3825</v>
      </c>
      <c r="D1860">
        <v>5</v>
      </c>
      <c r="E1860" t="s">
        <v>6289</v>
      </c>
      <c r="H1860" t="s">
        <v>3056</v>
      </c>
      <c r="I1860">
        <v>1049</v>
      </c>
      <c r="K1860">
        <v>0</v>
      </c>
    </row>
    <row r="1861" spans="1:11" hidden="1">
      <c r="A1861">
        <v>1056</v>
      </c>
      <c r="B1861" t="s">
        <v>5485</v>
      </c>
      <c r="C1861" t="s">
        <v>3069</v>
      </c>
      <c r="D1861">
        <v>6</v>
      </c>
      <c r="E1861" t="s">
        <v>6289</v>
      </c>
      <c r="H1861" t="s">
        <v>3056</v>
      </c>
      <c r="I1861">
        <v>1056</v>
      </c>
      <c r="K1861">
        <v>0</v>
      </c>
    </row>
    <row r="1862" spans="1:11" hidden="1">
      <c r="A1862">
        <v>18330</v>
      </c>
      <c r="B1862" t="s">
        <v>5487</v>
      </c>
      <c r="C1862" t="s">
        <v>132</v>
      </c>
      <c r="E1862" t="s">
        <v>6289</v>
      </c>
      <c r="H1862" t="s">
        <v>3056</v>
      </c>
      <c r="I1862">
        <v>18330</v>
      </c>
      <c r="K1862">
        <v>0</v>
      </c>
    </row>
    <row r="1863" spans="1:11" hidden="1">
      <c r="A1863">
        <v>18340</v>
      </c>
      <c r="B1863" t="s">
        <v>5487</v>
      </c>
      <c r="C1863" t="s">
        <v>3449</v>
      </c>
      <c r="E1863" t="s">
        <v>6289</v>
      </c>
      <c r="H1863" t="s">
        <v>3056</v>
      </c>
      <c r="I1863">
        <v>18340</v>
      </c>
      <c r="K1863">
        <v>0</v>
      </c>
    </row>
    <row r="1864" spans="1:11" hidden="1">
      <c r="A1864">
        <v>1</v>
      </c>
      <c r="B1864" t="s">
        <v>2124</v>
      </c>
      <c r="C1864" t="s">
        <v>3480</v>
      </c>
      <c r="D1864">
        <v>4</v>
      </c>
      <c r="E1864" t="s">
        <v>6289</v>
      </c>
      <c r="F1864" t="s">
        <v>6081</v>
      </c>
      <c r="G1864">
        <v>0</v>
      </c>
      <c r="H1864" t="s">
        <v>3056</v>
      </c>
      <c r="I1864">
        <v>491</v>
      </c>
      <c r="K1864" t="s">
        <v>2972</v>
      </c>
    </row>
    <row r="1865" spans="1:11" hidden="1">
      <c r="A1865">
        <v>2</v>
      </c>
      <c r="B1865" t="s">
        <v>2124</v>
      </c>
      <c r="C1865" t="s">
        <v>3598</v>
      </c>
      <c r="D1865">
        <v>1</v>
      </c>
      <c r="E1865" t="s">
        <v>6289</v>
      </c>
      <c r="F1865" t="s">
        <v>6082</v>
      </c>
      <c r="G1865">
        <v>0</v>
      </c>
      <c r="H1865" t="s">
        <v>3056</v>
      </c>
      <c r="I1865">
        <v>494</v>
      </c>
      <c r="K1865" t="s">
        <v>2972</v>
      </c>
    </row>
    <row r="1866" spans="1:11" hidden="1">
      <c r="A1866">
        <v>3</v>
      </c>
      <c r="B1866" t="s">
        <v>2124</v>
      </c>
      <c r="C1866" t="s">
        <v>3599</v>
      </c>
      <c r="E1866" t="s">
        <v>6289</v>
      </c>
      <c r="F1866" t="s">
        <v>6074</v>
      </c>
      <c r="G1866">
        <v>0</v>
      </c>
      <c r="H1866" t="s">
        <v>3056</v>
      </c>
      <c r="I1866">
        <v>12560</v>
      </c>
      <c r="K1866" t="s">
        <v>2972</v>
      </c>
    </row>
    <row r="1867" spans="1:11" hidden="1">
      <c r="A1867">
        <v>4</v>
      </c>
      <c r="B1867" t="s">
        <v>2124</v>
      </c>
      <c r="C1867" t="s">
        <v>3600</v>
      </c>
      <c r="E1867" t="s">
        <v>6289</v>
      </c>
      <c r="F1867" t="s">
        <v>6075</v>
      </c>
      <c r="G1867">
        <v>0</v>
      </c>
      <c r="H1867" t="s">
        <v>3056</v>
      </c>
      <c r="I1867">
        <v>12550</v>
      </c>
      <c r="K1867" t="s">
        <v>2972</v>
      </c>
    </row>
    <row r="1868" spans="1:11" hidden="1">
      <c r="A1868">
        <v>5</v>
      </c>
      <c r="B1868" t="s">
        <v>2124</v>
      </c>
      <c r="C1868" t="s">
        <v>3601</v>
      </c>
      <c r="E1868" t="s">
        <v>6289</v>
      </c>
      <c r="F1868" t="s">
        <v>6076</v>
      </c>
      <c r="G1868">
        <v>0</v>
      </c>
      <c r="H1868" t="s">
        <v>3056</v>
      </c>
      <c r="I1868">
        <v>12570</v>
      </c>
      <c r="K1868" t="s">
        <v>2972</v>
      </c>
    </row>
    <row r="1869" spans="1:11" hidden="1">
      <c r="A1869">
        <v>6</v>
      </c>
      <c r="B1869" t="s">
        <v>2124</v>
      </c>
      <c r="C1869" t="s">
        <v>3602</v>
      </c>
      <c r="D1869">
        <v>2</v>
      </c>
      <c r="E1869" t="s">
        <v>6289</v>
      </c>
      <c r="F1869" t="s">
        <v>6077</v>
      </c>
      <c r="G1869">
        <v>0</v>
      </c>
      <c r="H1869" t="s">
        <v>3056</v>
      </c>
      <c r="I1869">
        <v>492</v>
      </c>
      <c r="K1869" t="s">
        <v>2972</v>
      </c>
    </row>
    <row r="1870" spans="1:11" hidden="1">
      <c r="A1870">
        <v>7</v>
      </c>
      <c r="B1870" t="s">
        <v>2124</v>
      </c>
      <c r="C1870" t="s">
        <v>3603</v>
      </c>
      <c r="D1870">
        <v>1</v>
      </c>
      <c r="E1870" t="s">
        <v>6289</v>
      </c>
      <c r="F1870" t="s">
        <v>6078</v>
      </c>
      <c r="G1870">
        <v>0</v>
      </c>
      <c r="H1870" t="s">
        <v>3061</v>
      </c>
      <c r="I1870">
        <v>12550</v>
      </c>
      <c r="K1870" t="s">
        <v>2972</v>
      </c>
    </row>
    <row r="1871" spans="1:11" hidden="1">
      <c r="A1871">
        <v>8</v>
      </c>
      <c r="B1871" t="s">
        <v>2124</v>
      </c>
      <c r="C1871" t="s">
        <v>1931</v>
      </c>
      <c r="D1871">
        <v>1</v>
      </c>
      <c r="E1871" t="s">
        <v>6289</v>
      </c>
      <c r="F1871" t="s">
        <v>6079</v>
      </c>
      <c r="G1871">
        <v>0</v>
      </c>
      <c r="H1871" t="s">
        <v>3061</v>
      </c>
      <c r="I1871">
        <v>493</v>
      </c>
      <c r="K1871" t="s">
        <v>2972</v>
      </c>
    </row>
    <row r="1872" spans="1:11" hidden="1">
      <c r="A1872">
        <v>9</v>
      </c>
      <c r="B1872" t="s">
        <v>2124</v>
      </c>
      <c r="C1872" t="s">
        <v>3604</v>
      </c>
      <c r="E1872" t="s">
        <v>6289</v>
      </c>
      <c r="F1872" t="s">
        <v>6080</v>
      </c>
      <c r="G1872">
        <v>0</v>
      </c>
      <c r="H1872" t="s">
        <v>3056</v>
      </c>
      <c r="I1872">
        <v>160000</v>
      </c>
      <c r="K1872" t="s">
        <v>2972</v>
      </c>
    </row>
    <row r="1873" spans="1:11" hidden="1">
      <c r="A1873">
        <v>502</v>
      </c>
      <c r="B1873" t="s">
        <v>5488</v>
      </c>
      <c r="C1873" t="s">
        <v>5495</v>
      </c>
      <c r="E1873" t="s">
        <v>6289</v>
      </c>
      <c r="F1873" t="s">
        <v>3530</v>
      </c>
      <c r="H1873" t="s">
        <v>3056</v>
      </c>
      <c r="I1873">
        <v>502</v>
      </c>
      <c r="K1873">
        <v>0</v>
      </c>
    </row>
    <row r="1874" spans="1:11" hidden="1">
      <c r="A1874">
        <v>961</v>
      </c>
      <c r="B1874" t="s">
        <v>5488</v>
      </c>
      <c r="C1874" t="s">
        <v>5490</v>
      </c>
      <c r="E1874" t="s">
        <v>6289</v>
      </c>
      <c r="F1874" t="s">
        <v>3131</v>
      </c>
      <c r="H1874" t="s">
        <v>3056</v>
      </c>
      <c r="I1874">
        <v>961</v>
      </c>
      <c r="K1874">
        <v>0</v>
      </c>
    </row>
    <row r="1875" spans="1:11" hidden="1">
      <c r="A1875">
        <v>962</v>
      </c>
      <c r="B1875" t="s">
        <v>5488</v>
      </c>
      <c r="C1875" t="s">
        <v>5492</v>
      </c>
      <c r="E1875" t="s">
        <v>6289</v>
      </c>
      <c r="F1875" t="s">
        <v>3066</v>
      </c>
      <c r="H1875" t="s">
        <v>3056</v>
      </c>
      <c r="I1875">
        <v>962</v>
      </c>
      <c r="K1875">
        <v>0</v>
      </c>
    </row>
    <row r="1876" spans="1:11" hidden="1">
      <c r="A1876">
        <v>963</v>
      </c>
      <c r="B1876" t="s">
        <v>5488</v>
      </c>
      <c r="C1876" t="s">
        <v>3648</v>
      </c>
      <c r="E1876" t="s">
        <v>6289</v>
      </c>
      <c r="F1876" t="s">
        <v>3136</v>
      </c>
      <c r="H1876" t="s">
        <v>3056</v>
      </c>
      <c r="I1876">
        <v>963</v>
      </c>
      <c r="K1876">
        <v>0</v>
      </c>
    </row>
    <row r="1877" spans="1:11" hidden="1">
      <c r="A1877">
        <v>964</v>
      </c>
      <c r="B1877" t="s">
        <v>5488</v>
      </c>
      <c r="C1877" t="s">
        <v>5493</v>
      </c>
      <c r="E1877" t="s">
        <v>6289</v>
      </c>
      <c r="F1877" t="s">
        <v>4160</v>
      </c>
      <c r="H1877" t="s">
        <v>3056</v>
      </c>
      <c r="I1877">
        <v>964</v>
      </c>
      <c r="K1877">
        <v>0</v>
      </c>
    </row>
    <row r="1878" spans="1:11" hidden="1">
      <c r="A1878">
        <v>965</v>
      </c>
      <c r="B1878" t="s">
        <v>5488</v>
      </c>
      <c r="C1878" t="s">
        <v>5502</v>
      </c>
      <c r="E1878" t="s">
        <v>6289</v>
      </c>
      <c r="F1878" t="s">
        <v>3450</v>
      </c>
      <c r="H1878" t="s">
        <v>3056</v>
      </c>
      <c r="I1878">
        <v>965</v>
      </c>
      <c r="K1878">
        <v>0</v>
      </c>
    </row>
    <row r="1879" spans="1:11" hidden="1">
      <c r="A1879">
        <v>966</v>
      </c>
      <c r="B1879" t="s">
        <v>5488</v>
      </c>
      <c r="C1879" t="s">
        <v>5494</v>
      </c>
      <c r="E1879" t="s">
        <v>6289</v>
      </c>
      <c r="F1879" t="s">
        <v>3071</v>
      </c>
      <c r="H1879" t="s">
        <v>3056</v>
      </c>
      <c r="I1879">
        <v>966</v>
      </c>
      <c r="K1879">
        <v>0</v>
      </c>
    </row>
    <row r="1880" spans="1:11" hidden="1">
      <c r="A1880">
        <v>967</v>
      </c>
      <c r="B1880" t="s">
        <v>5488</v>
      </c>
      <c r="C1880" t="s">
        <v>3926</v>
      </c>
      <c r="E1880" t="s">
        <v>6289</v>
      </c>
      <c r="F1880" t="s">
        <v>4771</v>
      </c>
      <c r="H1880" t="s">
        <v>3056</v>
      </c>
      <c r="I1880">
        <v>967</v>
      </c>
      <c r="K1880">
        <v>0</v>
      </c>
    </row>
    <row r="1881" spans="1:11" hidden="1">
      <c r="A1881">
        <v>968</v>
      </c>
      <c r="B1881" t="s">
        <v>5488</v>
      </c>
      <c r="C1881" t="s">
        <v>4078</v>
      </c>
      <c r="E1881" t="s">
        <v>6289</v>
      </c>
      <c r="F1881" t="s">
        <v>3901</v>
      </c>
      <c r="H1881" t="s">
        <v>3056</v>
      </c>
      <c r="I1881">
        <v>968</v>
      </c>
      <c r="K1881">
        <v>0</v>
      </c>
    </row>
    <row r="1882" spans="1:11" hidden="1">
      <c r="A1882">
        <v>969</v>
      </c>
      <c r="B1882" t="s">
        <v>5488</v>
      </c>
      <c r="C1882" t="s">
        <v>5512</v>
      </c>
      <c r="E1882" t="s">
        <v>6289</v>
      </c>
      <c r="F1882" t="s">
        <v>5513</v>
      </c>
      <c r="H1882" t="s">
        <v>3056</v>
      </c>
      <c r="I1882">
        <v>969</v>
      </c>
      <c r="K1882">
        <v>0</v>
      </c>
    </row>
    <row r="1883" spans="1:11" hidden="1">
      <c r="A1883">
        <v>970</v>
      </c>
      <c r="B1883" t="s">
        <v>5488</v>
      </c>
      <c r="C1883" t="s">
        <v>5509</v>
      </c>
      <c r="E1883" t="s">
        <v>6289</v>
      </c>
      <c r="F1883" t="s">
        <v>92</v>
      </c>
      <c r="H1883" t="s">
        <v>3056</v>
      </c>
      <c r="I1883">
        <v>970</v>
      </c>
      <c r="K1883">
        <v>0</v>
      </c>
    </row>
    <row r="1884" spans="1:11" hidden="1">
      <c r="A1884">
        <v>998</v>
      </c>
      <c r="B1884" t="s">
        <v>5488</v>
      </c>
      <c r="C1884" t="s">
        <v>5491</v>
      </c>
      <c r="E1884" t="s">
        <v>6289</v>
      </c>
      <c r="F1884" t="s">
        <v>4592</v>
      </c>
      <c r="H1884" t="s">
        <v>3056</v>
      </c>
      <c r="I1884">
        <v>998</v>
      </c>
      <c r="K1884">
        <v>0</v>
      </c>
    </row>
    <row r="1885" spans="1:11" hidden="1">
      <c r="A1885">
        <v>999</v>
      </c>
      <c r="B1885" t="s">
        <v>5488</v>
      </c>
      <c r="C1885" t="s">
        <v>5489</v>
      </c>
      <c r="E1885" t="s">
        <v>6289</v>
      </c>
      <c r="F1885" t="s">
        <v>152</v>
      </c>
      <c r="H1885" t="s">
        <v>3056</v>
      </c>
      <c r="I1885">
        <v>999</v>
      </c>
      <c r="K1885">
        <v>0</v>
      </c>
    </row>
    <row r="1886" spans="1:11" hidden="1">
      <c r="A1886">
        <v>1000</v>
      </c>
      <c r="B1886" t="s">
        <v>5488</v>
      </c>
      <c r="C1886" t="s">
        <v>5504</v>
      </c>
      <c r="E1886" t="s">
        <v>6289</v>
      </c>
      <c r="F1886" t="s">
        <v>3157</v>
      </c>
      <c r="H1886" t="s">
        <v>3056</v>
      </c>
      <c r="I1886">
        <v>1000</v>
      </c>
      <c r="K1886">
        <v>0</v>
      </c>
    </row>
    <row r="1887" spans="1:11" hidden="1">
      <c r="A1887">
        <v>1001</v>
      </c>
      <c r="B1887" t="s">
        <v>5488</v>
      </c>
      <c r="C1887" t="s">
        <v>5501</v>
      </c>
      <c r="E1887" t="s">
        <v>6289</v>
      </c>
      <c r="F1887" t="s">
        <v>3856</v>
      </c>
      <c r="H1887" t="s">
        <v>3056</v>
      </c>
      <c r="I1887">
        <v>1001</v>
      </c>
      <c r="K1887">
        <v>0</v>
      </c>
    </row>
    <row r="1888" spans="1:11" hidden="1">
      <c r="A1888">
        <v>1002</v>
      </c>
      <c r="B1888" t="s">
        <v>5488</v>
      </c>
      <c r="C1888" t="s">
        <v>5507</v>
      </c>
      <c r="E1888" t="s">
        <v>6289</v>
      </c>
      <c r="F1888" t="s">
        <v>5508</v>
      </c>
      <c r="H1888" t="s">
        <v>3056</v>
      </c>
      <c r="I1888">
        <v>1002</v>
      </c>
      <c r="K1888">
        <v>0</v>
      </c>
    </row>
    <row r="1889" spans="1:11" hidden="1">
      <c r="A1889">
        <v>1005</v>
      </c>
      <c r="B1889" t="s">
        <v>5488</v>
      </c>
      <c r="C1889" t="s">
        <v>5510</v>
      </c>
      <c r="E1889" t="s">
        <v>6289</v>
      </c>
      <c r="F1889" t="s">
        <v>5511</v>
      </c>
      <c r="H1889" t="s">
        <v>3056</v>
      </c>
      <c r="I1889">
        <v>1005</v>
      </c>
      <c r="K1889">
        <v>0</v>
      </c>
    </row>
    <row r="1890" spans="1:11" hidden="1">
      <c r="A1890">
        <v>1022</v>
      </c>
      <c r="B1890" t="s">
        <v>5488</v>
      </c>
      <c r="C1890" t="s">
        <v>5498</v>
      </c>
      <c r="E1890" t="s">
        <v>6289</v>
      </c>
      <c r="F1890" t="s">
        <v>3140</v>
      </c>
      <c r="H1890" t="s">
        <v>3056</v>
      </c>
      <c r="I1890">
        <v>1022</v>
      </c>
      <c r="K1890">
        <v>0</v>
      </c>
    </row>
    <row r="1891" spans="1:11" hidden="1">
      <c r="A1891">
        <v>1360</v>
      </c>
      <c r="B1891" t="s">
        <v>5488</v>
      </c>
      <c r="C1891" t="s">
        <v>5503</v>
      </c>
      <c r="E1891" t="s">
        <v>6289</v>
      </c>
      <c r="F1891" t="s">
        <v>150</v>
      </c>
      <c r="H1891" t="s">
        <v>3056</v>
      </c>
      <c r="I1891">
        <v>1360</v>
      </c>
      <c r="K1891">
        <v>0</v>
      </c>
    </row>
    <row r="1892" spans="1:11" hidden="1">
      <c r="A1892">
        <v>6000</v>
      </c>
      <c r="B1892" t="s">
        <v>5488</v>
      </c>
      <c r="C1892" t="s">
        <v>5496</v>
      </c>
      <c r="E1892" t="s">
        <v>6289</v>
      </c>
      <c r="F1892" t="s">
        <v>5497</v>
      </c>
      <c r="H1892" t="s">
        <v>3056</v>
      </c>
      <c r="I1892">
        <v>6000</v>
      </c>
      <c r="K1892">
        <v>0</v>
      </c>
    </row>
    <row r="1893" spans="1:11" hidden="1">
      <c r="A1893">
        <v>6001</v>
      </c>
      <c r="B1893" t="s">
        <v>5488</v>
      </c>
      <c r="C1893" t="s">
        <v>5499</v>
      </c>
      <c r="E1893" t="s">
        <v>6289</v>
      </c>
      <c r="F1893" t="s">
        <v>5500</v>
      </c>
      <c r="H1893" t="s">
        <v>3056</v>
      </c>
      <c r="I1893">
        <v>6001</v>
      </c>
      <c r="K1893">
        <v>0</v>
      </c>
    </row>
    <row r="1894" spans="1:11" hidden="1">
      <c r="A1894">
        <v>10035</v>
      </c>
      <c r="B1894" t="s">
        <v>5488</v>
      </c>
      <c r="C1894" t="s">
        <v>5505</v>
      </c>
      <c r="E1894" t="s">
        <v>6289</v>
      </c>
      <c r="F1894" t="s">
        <v>5506</v>
      </c>
      <c r="H1894" t="s">
        <v>3056</v>
      </c>
      <c r="I1894">
        <v>10035</v>
      </c>
      <c r="K1894">
        <v>0</v>
      </c>
    </row>
    <row r="1895" spans="1:11" hidden="1">
      <c r="A1895">
        <v>1</v>
      </c>
      <c r="B1895" t="s">
        <v>3605</v>
      </c>
      <c r="C1895" t="s">
        <v>3606</v>
      </c>
      <c r="E1895" t="s">
        <v>6289</v>
      </c>
      <c r="G1895">
        <v>0</v>
      </c>
      <c r="H1895" t="s">
        <v>3056</v>
      </c>
      <c r="I1895">
        <v>17960</v>
      </c>
      <c r="K1895" t="s">
        <v>2972</v>
      </c>
    </row>
    <row r="1896" spans="1:11" hidden="1">
      <c r="A1896">
        <v>2</v>
      </c>
      <c r="B1896" t="s">
        <v>3605</v>
      </c>
      <c r="C1896" t="s">
        <v>3607</v>
      </c>
      <c r="E1896" t="s">
        <v>6289</v>
      </c>
      <c r="G1896">
        <v>0</v>
      </c>
      <c r="H1896" t="s">
        <v>3056</v>
      </c>
      <c r="I1896">
        <v>17970</v>
      </c>
      <c r="K1896" t="s">
        <v>2972</v>
      </c>
    </row>
    <row r="1897" spans="1:11" hidden="1">
      <c r="A1897">
        <v>18140</v>
      </c>
      <c r="B1897" t="s">
        <v>5514</v>
      </c>
      <c r="C1897" t="s">
        <v>5516</v>
      </c>
      <c r="E1897" t="s">
        <v>6289</v>
      </c>
      <c r="H1897" t="s">
        <v>3056</v>
      </c>
      <c r="I1897">
        <v>18140</v>
      </c>
      <c r="K1897">
        <v>0</v>
      </c>
    </row>
    <row r="1898" spans="1:11" hidden="1">
      <c r="A1898">
        <v>18150</v>
      </c>
      <c r="B1898" t="s">
        <v>5514</v>
      </c>
      <c r="C1898" t="s">
        <v>5515</v>
      </c>
      <c r="E1898" t="s">
        <v>6289</v>
      </c>
      <c r="H1898" t="s">
        <v>3056</v>
      </c>
      <c r="I1898">
        <v>18150</v>
      </c>
      <c r="K1898">
        <v>0</v>
      </c>
    </row>
    <row r="1899" spans="1:11" hidden="1">
      <c r="A1899">
        <v>18100</v>
      </c>
      <c r="B1899" t="s">
        <v>5517</v>
      </c>
      <c r="C1899" t="s">
        <v>5519</v>
      </c>
      <c r="E1899" t="s">
        <v>6289</v>
      </c>
      <c r="H1899" t="s">
        <v>3056</v>
      </c>
      <c r="I1899">
        <v>18100</v>
      </c>
      <c r="K1899">
        <v>0</v>
      </c>
    </row>
    <row r="1900" spans="1:11" hidden="1">
      <c r="A1900">
        <v>18110</v>
      </c>
      <c r="B1900" t="s">
        <v>5517</v>
      </c>
      <c r="C1900" t="s">
        <v>5520</v>
      </c>
      <c r="E1900" t="s">
        <v>6289</v>
      </c>
      <c r="H1900" t="s">
        <v>3056</v>
      </c>
      <c r="I1900">
        <v>18110</v>
      </c>
      <c r="K1900">
        <v>0</v>
      </c>
    </row>
    <row r="1901" spans="1:11" hidden="1">
      <c r="A1901">
        <v>18120</v>
      </c>
      <c r="B1901" t="s">
        <v>5517</v>
      </c>
      <c r="C1901" t="s">
        <v>5518</v>
      </c>
      <c r="E1901" t="s">
        <v>6289</v>
      </c>
      <c r="H1901" t="s">
        <v>3056</v>
      </c>
      <c r="I1901">
        <v>18120</v>
      </c>
      <c r="K1901">
        <v>0</v>
      </c>
    </row>
    <row r="1902" spans="1:11" hidden="1">
      <c r="A1902">
        <v>18130</v>
      </c>
      <c r="B1902" t="s">
        <v>5517</v>
      </c>
      <c r="C1902" t="s">
        <v>5521</v>
      </c>
      <c r="E1902" t="s">
        <v>6289</v>
      </c>
      <c r="H1902" t="s">
        <v>3056</v>
      </c>
      <c r="I1902">
        <v>18130</v>
      </c>
      <c r="K1902">
        <v>0</v>
      </c>
    </row>
    <row r="1903" spans="1:11" hidden="1">
      <c r="A1903">
        <v>1612</v>
      </c>
      <c r="B1903" t="s">
        <v>5522</v>
      </c>
      <c r="C1903" t="s">
        <v>5524</v>
      </c>
      <c r="E1903" t="s">
        <v>6289</v>
      </c>
      <c r="H1903" t="s">
        <v>3056</v>
      </c>
      <c r="I1903">
        <v>1612</v>
      </c>
      <c r="K1903">
        <v>0</v>
      </c>
    </row>
    <row r="1904" spans="1:11" hidden="1">
      <c r="A1904">
        <v>1618</v>
      </c>
      <c r="B1904" t="s">
        <v>5522</v>
      </c>
      <c r="C1904" t="s">
        <v>5525</v>
      </c>
      <c r="E1904" t="s">
        <v>6289</v>
      </c>
      <c r="H1904" t="s">
        <v>3056</v>
      </c>
      <c r="I1904">
        <v>1618</v>
      </c>
      <c r="K1904">
        <v>0</v>
      </c>
    </row>
    <row r="1905" spans="1:11" hidden="1">
      <c r="A1905">
        <v>1900</v>
      </c>
      <c r="B1905" t="s">
        <v>5522</v>
      </c>
      <c r="C1905" t="s">
        <v>5527</v>
      </c>
      <c r="E1905" t="s">
        <v>6289</v>
      </c>
      <c r="H1905" t="s">
        <v>3056</v>
      </c>
      <c r="I1905">
        <v>1900</v>
      </c>
      <c r="K1905">
        <v>0</v>
      </c>
    </row>
    <row r="1906" spans="1:11" hidden="1">
      <c r="A1906">
        <v>1901</v>
      </c>
      <c r="B1906" t="s">
        <v>5522</v>
      </c>
      <c r="C1906" t="s">
        <v>5523</v>
      </c>
      <c r="E1906" t="s">
        <v>6289</v>
      </c>
      <c r="H1906" t="s">
        <v>3056</v>
      </c>
      <c r="I1906">
        <v>1901</v>
      </c>
      <c r="K1906">
        <v>0</v>
      </c>
    </row>
    <row r="1907" spans="1:11" hidden="1">
      <c r="A1907">
        <v>1902</v>
      </c>
      <c r="B1907" t="s">
        <v>5522</v>
      </c>
      <c r="C1907" t="s">
        <v>1071</v>
      </c>
      <c r="E1907" t="s">
        <v>6289</v>
      </c>
      <c r="H1907" t="s">
        <v>3056</v>
      </c>
      <c r="I1907">
        <v>1902</v>
      </c>
      <c r="K1907">
        <v>0</v>
      </c>
    </row>
    <row r="1908" spans="1:11" hidden="1">
      <c r="A1908">
        <v>1903</v>
      </c>
      <c r="B1908" t="s">
        <v>5522</v>
      </c>
      <c r="C1908" t="s">
        <v>5526</v>
      </c>
      <c r="E1908" t="s">
        <v>6289</v>
      </c>
      <c r="H1908" t="s">
        <v>3056</v>
      </c>
      <c r="I1908">
        <v>1903</v>
      </c>
      <c r="K1908">
        <v>0</v>
      </c>
    </row>
    <row r="1909" spans="1:11" hidden="1">
      <c r="A1909">
        <v>640</v>
      </c>
      <c r="B1909" t="s">
        <v>5528</v>
      </c>
      <c r="C1909" t="s">
        <v>132</v>
      </c>
      <c r="E1909" t="s">
        <v>6289</v>
      </c>
      <c r="F1909" t="s">
        <v>2109</v>
      </c>
      <c r="H1909" t="s">
        <v>3056</v>
      </c>
      <c r="I1909">
        <v>640</v>
      </c>
      <c r="K1909">
        <v>0</v>
      </c>
    </row>
    <row r="1910" spans="1:11" hidden="1">
      <c r="A1910">
        <v>641</v>
      </c>
      <c r="B1910" t="s">
        <v>5528</v>
      </c>
      <c r="C1910" t="s">
        <v>3449</v>
      </c>
      <c r="E1910" t="s">
        <v>6289</v>
      </c>
      <c r="F1910" t="s">
        <v>3138</v>
      </c>
      <c r="H1910" t="s">
        <v>3056</v>
      </c>
      <c r="I1910">
        <v>641</v>
      </c>
      <c r="K1910">
        <v>0</v>
      </c>
    </row>
    <row r="1911" spans="1:11" hidden="1">
      <c r="A1911">
        <v>642</v>
      </c>
      <c r="B1911" t="s">
        <v>5528</v>
      </c>
      <c r="C1911" t="s">
        <v>3088</v>
      </c>
      <c r="E1911" t="s">
        <v>6289</v>
      </c>
      <c r="F1911" t="s">
        <v>3450</v>
      </c>
      <c r="H1911" t="s">
        <v>3056</v>
      </c>
      <c r="I1911">
        <v>642</v>
      </c>
      <c r="K1911">
        <v>0</v>
      </c>
    </row>
    <row r="1912" spans="1:11" hidden="1">
      <c r="A1912">
        <v>643</v>
      </c>
      <c r="B1912" t="s">
        <v>5529</v>
      </c>
      <c r="C1912" t="s">
        <v>5532</v>
      </c>
      <c r="E1912" t="s">
        <v>6289</v>
      </c>
      <c r="F1912" t="s">
        <v>165</v>
      </c>
      <c r="H1912" t="s">
        <v>3056</v>
      </c>
      <c r="I1912">
        <v>643</v>
      </c>
      <c r="K1912">
        <v>0</v>
      </c>
    </row>
    <row r="1913" spans="1:11" hidden="1">
      <c r="A1913">
        <v>644</v>
      </c>
      <c r="B1913" t="s">
        <v>5529</v>
      </c>
      <c r="C1913" t="s">
        <v>3057</v>
      </c>
      <c r="E1913" t="s">
        <v>6289</v>
      </c>
      <c r="F1913" t="s">
        <v>152</v>
      </c>
      <c r="H1913" t="s">
        <v>3056</v>
      </c>
      <c r="I1913">
        <v>644</v>
      </c>
      <c r="K1913">
        <v>0</v>
      </c>
    </row>
    <row r="1914" spans="1:11" hidden="1">
      <c r="A1914">
        <v>645</v>
      </c>
      <c r="B1914" t="s">
        <v>5529</v>
      </c>
      <c r="C1914" t="s">
        <v>3716</v>
      </c>
      <c r="E1914" t="s">
        <v>6289</v>
      </c>
      <c r="F1914" t="s">
        <v>138</v>
      </c>
      <c r="H1914" t="s">
        <v>3056</v>
      </c>
      <c r="I1914">
        <v>645</v>
      </c>
      <c r="K1914">
        <v>0</v>
      </c>
    </row>
    <row r="1915" spans="1:11" hidden="1">
      <c r="A1915">
        <v>646</v>
      </c>
      <c r="B1915" t="s">
        <v>5529</v>
      </c>
      <c r="C1915" t="s">
        <v>5095</v>
      </c>
      <c r="E1915" t="s">
        <v>6289</v>
      </c>
      <c r="F1915" t="s">
        <v>4611</v>
      </c>
      <c r="H1915" t="s">
        <v>3056</v>
      </c>
      <c r="I1915">
        <v>646</v>
      </c>
      <c r="K1915">
        <v>0</v>
      </c>
    </row>
    <row r="1916" spans="1:11" hidden="1">
      <c r="A1916">
        <v>647</v>
      </c>
      <c r="B1916" t="s">
        <v>5529</v>
      </c>
      <c r="C1916" t="s">
        <v>4596</v>
      </c>
      <c r="E1916" t="s">
        <v>6289</v>
      </c>
      <c r="F1916" t="s">
        <v>4597</v>
      </c>
      <c r="H1916" t="s">
        <v>3056</v>
      </c>
      <c r="I1916">
        <v>647</v>
      </c>
      <c r="K1916">
        <v>0</v>
      </c>
    </row>
    <row r="1917" spans="1:11" hidden="1">
      <c r="A1917">
        <v>648</v>
      </c>
      <c r="B1917" t="s">
        <v>5529</v>
      </c>
      <c r="C1917" t="s">
        <v>5096</v>
      </c>
      <c r="E1917" t="s">
        <v>6289</v>
      </c>
      <c r="F1917" t="s">
        <v>3157</v>
      </c>
      <c r="H1917" t="s">
        <v>3056</v>
      </c>
      <c r="I1917">
        <v>648</v>
      </c>
      <c r="K1917">
        <v>0</v>
      </c>
    </row>
    <row r="1918" spans="1:11" hidden="1">
      <c r="A1918">
        <v>649</v>
      </c>
      <c r="B1918" t="s">
        <v>5529</v>
      </c>
      <c r="C1918" t="s">
        <v>5534</v>
      </c>
      <c r="E1918" t="s">
        <v>6289</v>
      </c>
      <c r="F1918" t="s">
        <v>4608</v>
      </c>
      <c r="H1918" t="s">
        <v>3056</v>
      </c>
      <c r="I1918">
        <v>649</v>
      </c>
      <c r="K1918">
        <v>0</v>
      </c>
    </row>
    <row r="1919" spans="1:11" hidden="1">
      <c r="A1919">
        <v>650</v>
      </c>
      <c r="B1919" t="s">
        <v>5529</v>
      </c>
      <c r="C1919" t="s">
        <v>4615</v>
      </c>
      <c r="E1919" t="s">
        <v>6289</v>
      </c>
      <c r="F1919" t="s">
        <v>4616</v>
      </c>
      <c r="H1919" t="s">
        <v>3056</v>
      </c>
      <c r="I1919">
        <v>650</v>
      </c>
      <c r="K1919">
        <v>0</v>
      </c>
    </row>
    <row r="1920" spans="1:11" hidden="1">
      <c r="A1920">
        <v>651</v>
      </c>
      <c r="B1920" t="s">
        <v>5529</v>
      </c>
      <c r="C1920" t="s">
        <v>4617</v>
      </c>
      <c r="E1920" t="s">
        <v>6289</v>
      </c>
      <c r="F1920" t="s">
        <v>4618</v>
      </c>
      <c r="H1920" t="s">
        <v>3056</v>
      </c>
      <c r="I1920">
        <v>651</v>
      </c>
      <c r="K1920">
        <v>0</v>
      </c>
    </row>
    <row r="1921" spans="1:11" hidden="1">
      <c r="A1921">
        <v>652</v>
      </c>
      <c r="B1921" t="s">
        <v>5529</v>
      </c>
      <c r="C1921" t="s">
        <v>5533</v>
      </c>
      <c r="E1921" t="s">
        <v>6289</v>
      </c>
      <c r="F1921" t="s">
        <v>4613</v>
      </c>
      <c r="H1921" t="s">
        <v>3056</v>
      </c>
      <c r="I1921">
        <v>652</v>
      </c>
      <c r="K1921">
        <v>0</v>
      </c>
    </row>
    <row r="1922" spans="1:11" hidden="1">
      <c r="A1922">
        <v>653</v>
      </c>
      <c r="B1922" t="s">
        <v>5529</v>
      </c>
      <c r="C1922" t="s">
        <v>5530</v>
      </c>
      <c r="E1922" t="s">
        <v>6289</v>
      </c>
      <c r="F1922" t="s">
        <v>5021</v>
      </c>
      <c r="H1922" t="s">
        <v>3056</v>
      </c>
      <c r="I1922">
        <v>653</v>
      </c>
      <c r="K1922">
        <v>0</v>
      </c>
    </row>
    <row r="1923" spans="1:11" hidden="1">
      <c r="A1923">
        <v>1602</v>
      </c>
      <c r="B1923" t="s">
        <v>5529</v>
      </c>
      <c r="C1923" t="s">
        <v>4605</v>
      </c>
      <c r="E1923" t="s">
        <v>6289</v>
      </c>
      <c r="F1923" t="s">
        <v>4606</v>
      </c>
      <c r="H1923" t="s">
        <v>3056</v>
      </c>
      <c r="I1923">
        <v>1602</v>
      </c>
      <c r="K1923">
        <v>0</v>
      </c>
    </row>
    <row r="1924" spans="1:11" hidden="1">
      <c r="A1924">
        <v>10063</v>
      </c>
      <c r="B1924" t="s">
        <v>5529</v>
      </c>
      <c r="C1924" t="s">
        <v>5531</v>
      </c>
      <c r="E1924" t="s">
        <v>6289</v>
      </c>
      <c r="F1924" t="s">
        <v>4589</v>
      </c>
      <c r="H1924" t="s">
        <v>3056</v>
      </c>
      <c r="I1924">
        <v>10063</v>
      </c>
      <c r="K1924">
        <v>0</v>
      </c>
    </row>
    <row r="1925" spans="1:11" hidden="1">
      <c r="A1925">
        <v>10138</v>
      </c>
      <c r="B1925" t="s">
        <v>5529</v>
      </c>
      <c r="C1925" t="s">
        <v>4591</v>
      </c>
      <c r="E1925" t="s">
        <v>6289</v>
      </c>
      <c r="F1925" t="s">
        <v>4592</v>
      </c>
      <c r="H1925" t="s">
        <v>3056</v>
      </c>
      <c r="I1925">
        <v>10138</v>
      </c>
      <c r="K1925">
        <v>0</v>
      </c>
    </row>
    <row r="1926" spans="1:11" hidden="1">
      <c r="A1926">
        <v>10146</v>
      </c>
      <c r="B1926" t="s">
        <v>5529</v>
      </c>
      <c r="C1926" t="s">
        <v>4614</v>
      </c>
      <c r="E1926" t="s">
        <v>6289</v>
      </c>
      <c r="F1926" t="s">
        <v>137</v>
      </c>
      <c r="H1926" t="s">
        <v>3056</v>
      </c>
      <c r="I1926">
        <v>10146</v>
      </c>
      <c r="K1926">
        <v>0</v>
      </c>
    </row>
    <row r="1927" spans="1:11" hidden="1">
      <c r="A1927">
        <v>654</v>
      </c>
      <c r="B1927" t="s">
        <v>5535</v>
      </c>
      <c r="C1927" t="s">
        <v>5537</v>
      </c>
      <c r="E1927" t="s">
        <v>6289</v>
      </c>
      <c r="F1927" t="s">
        <v>3129</v>
      </c>
      <c r="H1927" t="s">
        <v>3056</v>
      </c>
      <c r="I1927">
        <v>654</v>
      </c>
      <c r="K1927">
        <v>0</v>
      </c>
    </row>
    <row r="1928" spans="1:11" hidden="1">
      <c r="A1928">
        <v>655</v>
      </c>
      <c r="B1928" t="s">
        <v>5535</v>
      </c>
      <c r="C1928" t="s">
        <v>4634</v>
      </c>
      <c r="E1928" t="s">
        <v>6289</v>
      </c>
      <c r="F1928" t="s">
        <v>4324</v>
      </c>
      <c r="H1928" t="s">
        <v>3056</v>
      </c>
      <c r="I1928">
        <v>655</v>
      </c>
      <c r="K1928">
        <v>0</v>
      </c>
    </row>
    <row r="1929" spans="1:11" hidden="1">
      <c r="A1929">
        <v>656</v>
      </c>
      <c r="B1929" t="s">
        <v>5535</v>
      </c>
      <c r="C1929" t="s">
        <v>5534</v>
      </c>
      <c r="E1929" t="s">
        <v>6289</v>
      </c>
      <c r="F1929" t="s">
        <v>4608</v>
      </c>
      <c r="H1929" t="s">
        <v>3056</v>
      </c>
      <c r="I1929">
        <v>656</v>
      </c>
      <c r="K1929">
        <v>0</v>
      </c>
    </row>
    <row r="1930" spans="1:11" hidden="1">
      <c r="A1930">
        <v>10007</v>
      </c>
      <c r="B1930" t="s">
        <v>5535</v>
      </c>
      <c r="C1930" t="s">
        <v>5536</v>
      </c>
      <c r="E1930" t="s">
        <v>6289</v>
      </c>
      <c r="F1930" t="s">
        <v>4626</v>
      </c>
      <c r="H1930" t="s">
        <v>3056</v>
      </c>
      <c r="I1930">
        <v>10007</v>
      </c>
      <c r="K1930">
        <v>0</v>
      </c>
    </row>
    <row r="1931" spans="1:11" hidden="1">
      <c r="A1931">
        <v>10135</v>
      </c>
      <c r="B1931" t="s">
        <v>5535</v>
      </c>
      <c r="C1931" t="s">
        <v>4033</v>
      </c>
      <c r="E1931" t="s">
        <v>6289</v>
      </c>
      <c r="F1931" t="s">
        <v>4034</v>
      </c>
      <c r="H1931" t="s">
        <v>3056</v>
      </c>
      <c r="I1931">
        <v>10135</v>
      </c>
      <c r="K1931">
        <v>0</v>
      </c>
    </row>
    <row r="1932" spans="1:11" hidden="1">
      <c r="A1932">
        <v>10136</v>
      </c>
      <c r="B1932" t="s">
        <v>5535</v>
      </c>
      <c r="C1932" t="s">
        <v>4629</v>
      </c>
      <c r="E1932" t="s">
        <v>6289</v>
      </c>
      <c r="F1932" t="s">
        <v>3081</v>
      </c>
      <c r="H1932" t="s">
        <v>3056</v>
      </c>
      <c r="I1932">
        <v>10136</v>
      </c>
      <c r="K1932">
        <v>0</v>
      </c>
    </row>
    <row r="1933" spans="1:11" hidden="1">
      <c r="A1933">
        <v>10137</v>
      </c>
      <c r="B1933" t="s">
        <v>5535</v>
      </c>
      <c r="C1933" t="s">
        <v>4624</v>
      </c>
      <c r="E1933" t="s">
        <v>6289</v>
      </c>
      <c r="F1933" t="s">
        <v>3129</v>
      </c>
      <c r="H1933" t="s">
        <v>3056</v>
      </c>
      <c r="I1933">
        <v>10137</v>
      </c>
      <c r="K1933">
        <v>0</v>
      </c>
    </row>
    <row r="1934" spans="1:11" hidden="1">
      <c r="A1934">
        <v>10141</v>
      </c>
      <c r="B1934" t="s">
        <v>5535</v>
      </c>
      <c r="C1934" t="s">
        <v>4623</v>
      </c>
      <c r="E1934" t="s">
        <v>6289</v>
      </c>
      <c r="F1934" t="s">
        <v>4155</v>
      </c>
      <c r="H1934" t="s">
        <v>3056</v>
      </c>
      <c r="I1934">
        <v>10141</v>
      </c>
      <c r="K1934">
        <v>0</v>
      </c>
    </row>
    <row r="1935" spans="1:11" hidden="1">
      <c r="A1935">
        <v>631</v>
      </c>
      <c r="B1935" t="s">
        <v>5538</v>
      </c>
      <c r="C1935" t="s">
        <v>5539</v>
      </c>
      <c r="E1935" t="s">
        <v>6289</v>
      </c>
      <c r="F1935" t="s">
        <v>3136</v>
      </c>
      <c r="H1935" t="s">
        <v>3056</v>
      </c>
      <c r="I1935">
        <v>631</v>
      </c>
      <c r="K1935">
        <v>0</v>
      </c>
    </row>
    <row r="1936" spans="1:11" hidden="1">
      <c r="A1936">
        <v>632</v>
      </c>
      <c r="B1936" t="s">
        <v>5538</v>
      </c>
      <c r="C1936" t="s">
        <v>5540</v>
      </c>
      <c r="E1936" t="s">
        <v>6289</v>
      </c>
      <c r="F1936" t="s">
        <v>3450</v>
      </c>
      <c r="H1936" t="s">
        <v>3056</v>
      </c>
      <c r="I1936">
        <v>632</v>
      </c>
      <c r="K1936">
        <v>0</v>
      </c>
    </row>
    <row r="1937" spans="1:11" hidden="1">
      <c r="A1937">
        <v>593</v>
      </c>
      <c r="B1937" t="s">
        <v>5541</v>
      </c>
      <c r="C1937" t="s">
        <v>5543</v>
      </c>
      <c r="E1937" t="s">
        <v>6289</v>
      </c>
      <c r="F1937" t="s">
        <v>3348</v>
      </c>
      <c r="H1937" t="s">
        <v>3056</v>
      </c>
      <c r="I1937">
        <v>593</v>
      </c>
      <c r="K1937">
        <v>0</v>
      </c>
    </row>
    <row r="1938" spans="1:11" hidden="1">
      <c r="A1938">
        <v>594</v>
      </c>
      <c r="B1938" t="s">
        <v>5541</v>
      </c>
      <c r="C1938" t="s">
        <v>5542</v>
      </c>
      <c r="E1938" t="s">
        <v>6289</v>
      </c>
      <c r="F1938" t="s">
        <v>4432</v>
      </c>
      <c r="H1938" t="s">
        <v>3056</v>
      </c>
      <c r="I1938">
        <v>594</v>
      </c>
      <c r="K1938">
        <v>0</v>
      </c>
    </row>
    <row r="1939" spans="1:11" hidden="1">
      <c r="A1939">
        <v>570</v>
      </c>
      <c r="B1939" t="s">
        <v>5544</v>
      </c>
      <c r="C1939" t="s">
        <v>5548</v>
      </c>
      <c r="E1939" t="s">
        <v>6289</v>
      </c>
      <c r="F1939" t="s">
        <v>5549</v>
      </c>
      <c r="H1939" t="s">
        <v>3056</v>
      </c>
      <c r="I1939">
        <v>570</v>
      </c>
      <c r="K1939">
        <v>0</v>
      </c>
    </row>
    <row r="1940" spans="1:11" hidden="1">
      <c r="A1940">
        <v>571</v>
      </c>
      <c r="B1940" t="s">
        <v>5544</v>
      </c>
      <c r="C1940" t="s">
        <v>5550</v>
      </c>
      <c r="E1940" t="s">
        <v>6289</v>
      </c>
      <c r="F1940" t="s">
        <v>5551</v>
      </c>
      <c r="H1940" t="s">
        <v>3056</v>
      </c>
      <c r="I1940">
        <v>571</v>
      </c>
      <c r="K1940">
        <v>0</v>
      </c>
    </row>
    <row r="1941" spans="1:11" hidden="1">
      <c r="A1941">
        <v>572</v>
      </c>
      <c r="B1941" t="s">
        <v>5544</v>
      </c>
      <c r="C1941" t="s">
        <v>5552</v>
      </c>
      <c r="E1941" t="s">
        <v>6289</v>
      </c>
      <c r="F1941" t="s">
        <v>5553</v>
      </c>
      <c r="H1941" t="s">
        <v>3056</v>
      </c>
      <c r="I1941">
        <v>572</v>
      </c>
      <c r="K1941">
        <v>0</v>
      </c>
    </row>
    <row r="1942" spans="1:11" hidden="1">
      <c r="A1942">
        <v>573</v>
      </c>
      <c r="B1942" t="s">
        <v>5544</v>
      </c>
      <c r="C1942" t="s">
        <v>5554</v>
      </c>
      <c r="E1942" t="s">
        <v>6289</v>
      </c>
      <c r="F1942" t="s">
        <v>5555</v>
      </c>
      <c r="H1942" t="s">
        <v>3056</v>
      </c>
      <c r="I1942">
        <v>573</v>
      </c>
      <c r="K1942">
        <v>0</v>
      </c>
    </row>
    <row r="1943" spans="1:11" hidden="1">
      <c r="A1943">
        <v>574</v>
      </c>
      <c r="B1943" t="s">
        <v>5544</v>
      </c>
      <c r="C1943" t="s">
        <v>5556</v>
      </c>
      <c r="E1943" t="s">
        <v>6289</v>
      </c>
      <c r="F1943" t="s">
        <v>5557</v>
      </c>
      <c r="H1943" t="s">
        <v>3056</v>
      </c>
      <c r="I1943">
        <v>574</v>
      </c>
      <c r="K1943">
        <v>0</v>
      </c>
    </row>
    <row r="1944" spans="1:11" hidden="1">
      <c r="A1944">
        <v>575</v>
      </c>
      <c r="B1944" t="s">
        <v>5544</v>
      </c>
      <c r="C1944" t="s">
        <v>5546</v>
      </c>
      <c r="E1944" t="s">
        <v>6289</v>
      </c>
      <c r="F1944" t="s">
        <v>5547</v>
      </c>
      <c r="H1944" t="s">
        <v>3056</v>
      </c>
      <c r="I1944">
        <v>575</v>
      </c>
      <c r="K1944">
        <v>0</v>
      </c>
    </row>
    <row r="1945" spans="1:11" hidden="1">
      <c r="A1945">
        <v>623</v>
      </c>
      <c r="B1945" t="s">
        <v>5544</v>
      </c>
      <c r="C1945" t="s">
        <v>5545</v>
      </c>
      <c r="E1945" t="s">
        <v>6289</v>
      </c>
      <c r="F1945" t="s">
        <v>142</v>
      </c>
      <c r="H1945" t="s">
        <v>3056</v>
      </c>
      <c r="I1945">
        <v>623</v>
      </c>
      <c r="K1945">
        <v>0</v>
      </c>
    </row>
    <row r="1946" spans="1:11" hidden="1">
      <c r="A1946">
        <v>2000000013</v>
      </c>
      <c r="B1946" t="s">
        <v>5558</v>
      </c>
      <c r="C1946" t="s">
        <v>3102</v>
      </c>
      <c r="D1946">
        <v>0</v>
      </c>
      <c r="E1946" t="s">
        <v>6289</v>
      </c>
      <c r="F1946" t="s">
        <v>3103</v>
      </c>
      <c r="H1946" t="s">
        <v>3061</v>
      </c>
      <c r="I1946">
        <v>2000000013</v>
      </c>
      <c r="K1946">
        <v>0</v>
      </c>
    </row>
    <row r="1947" spans="1:11" hidden="1">
      <c r="A1947">
        <v>2000000015</v>
      </c>
      <c r="B1947" t="s">
        <v>5558</v>
      </c>
      <c r="C1947" t="s">
        <v>4911</v>
      </c>
      <c r="D1947">
        <v>3</v>
      </c>
      <c r="E1947" t="s">
        <v>6289</v>
      </c>
      <c r="F1947" t="s">
        <v>3146</v>
      </c>
      <c r="H1947" t="s">
        <v>3061</v>
      </c>
      <c r="I1947">
        <v>2000000015</v>
      </c>
      <c r="K1947">
        <v>0</v>
      </c>
    </row>
    <row r="1948" spans="1:11" hidden="1">
      <c r="A1948">
        <v>2000000016</v>
      </c>
      <c r="B1948" t="s">
        <v>5558</v>
      </c>
      <c r="C1948" t="s">
        <v>5559</v>
      </c>
      <c r="D1948">
        <v>4</v>
      </c>
      <c r="E1948" t="s">
        <v>6289</v>
      </c>
      <c r="F1948" t="s">
        <v>5560</v>
      </c>
      <c r="H1948" t="s">
        <v>3061</v>
      </c>
      <c r="I1948">
        <v>2000000016</v>
      </c>
      <c r="K1948">
        <v>0</v>
      </c>
    </row>
    <row r="1949" spans="1:11" hidden="1">
      <c r="A1949">
        <v>2000000017</v>
      </c>
      <c r="B1949" t="s">
        <v>5558</v>
      </c>
      <c r="C1949" t="s">
        <v>5562</v>
      </c>
      <c r="D1949">
        <v>5</v>
      </c>
      <c r="E1949" t="s">
        <v>6289</v>
      </c>
      <c r="F1949" t="s">
        <v>5563</v>
      </c>
      <c r="H1949" t="s">
        <v>3061</v>
      </c>
      <c r="I1949">
        <v>2000000017</v>
      </c>
      <c r="K1949">
        <v>0</v>
      </c>
    </row>
    <row r="1950" spans="1:11" hidden="1">
      <c r="A1950">
        <v>2000000018</v>
      </c>
      <c r="B1950" t="s">
        <v>5558</v>
      </c>
      <c r="C1950" t="s">
        <v>3123</v>
      </c>
      <c r="D1950">
        <v>6</v>
      </c>
      <c r="E1950" t="s">
        <v>6289</v>
      </c>
      <c r="F1950" t="s">
        <v>3124</v>
      </c>
      <c r="H1950" t="s">
        <v>3061</v>
      </c>
      <c r="I1950">
        <v>2000000018</v>
      </c>
      <c r="K1950">
        <v>0</v>
      </c>
    </row>
    <row r="1951" spans="1:11" hidden="1">
      <c r="A1951">
        <v>2000000077</v>
      </c>
      <c r="B1951" t="s">
        <v>5558</v>
      </c>
      <c r="C1951" t="s">
        <v>5561</v>
      </c>
      <c r="D1951">
        <v>1</v>
      </c>
      <c r="E1951" t="s">
        <v>6289</v>
      </c>
      <c r="F1951" t="s">
        <v>4603</v>
      </c>
      <c r="H1951" t="s">
        <v>3061</v>
      </c>
      <c r="I1951">
        <v>2000000077</v>
      </c>
      <c r="K1951">
        <v>0</v>
      </c>
    </row>
    <row r="1952" spans="1:11" hidden="1">
      <c r="A1952">
        <v>2000000078</v>
      </c>
      <c r="B1952" t="s">
        <v>5558</v>
      </c>
      <c r="C1952" t="s">
        <v>3701</v>
      </c>
      <c r="D1952">
        <v>8</v>
      </c>
      <c r="E1952" t="s">
        <v>6289</v>
      </c>
      <c r="F1952" t="s">
        <v>86</v>
      </c>
      <c r="H1952" t="s">
        <v>3061</v>
      </c>
      <c r="I1952">
        <v>2000000078</v>
      </c>
      <c r="K1952">
        <v>0</v>
      </c>
    </row>
    <row r="1953" spans="1:11" hidden="1">
      <c r="A1953">
        <v>1</v>
      </c>
      <c r="B1953" t="s">
        <v>3608</v>
      </c>
      <c r="C1953" t="s">
        <v>3609</v>
      </c>
      <c r="E1953" t="s">
        <v>6289</v>
      </c>
      <c r="G1953">
        <v>0</v>
      </c>
      <c r="H1953" t="s">
        <v>3056</v>
      </c>
      <c r="I1953">
        <v>482</v>
      </c>
      <c r="K1953" t="s">
        <v>2972</v>
      </c>
    </row>
    <row r="1954" spans="1:11" hidden="1">
      <c r="A1954">
        <v>2</v>
      </c>
      <c r="B1954" t="s">
        <v>3608</v>
      </c>
      <c r="C1954" t="s">
        <v>3088</v>
      </c>
      <c r="E1954" t="s">
        <v>6289</v>
      </c>
      <c r="G1954">
        <v>0</v>
      </c>
      <c r="H1954" t="s">
        <v>3056</v>
      </c>
      <c r="I1954">
        <v>483</v>
      </c>
      <c r="K1954" t="s">
        <v>2972</v>
      </c>
    </row>
    <row r="1955" spans="1:11" hidden="1">
      <c r="A1955">
        <v>1</v>
      </c>
      <c r="B1955" t="s">
        <v>3610</v>
      </c>
      <c r="C1955" t="s">
        <v>3494</v>
      </c>
      <c r="E1955" t="s">
        <v>6289</v>
      </c>
      <c r="G1955">
        <v>0</v>
      </c>
      <c r="H1955" t="s">
        <v>3056</v>
      </c>
      <c r="I1955">
        <v>2000000064</v>
      </c>
      <c r="K1955" t="s">
        <v>2972</v>
      </c>
    </row>
    <row r="1956" spans="1:11" hidden="1">
      <c r="A1956">
        <v>2</v>
      </c>
      <c r="B1956" t="s">
        <v>3610</v>
      </c>
      <c r="C1956" t="s">
        <v>3496</v>
      </c>
      <c r="E1956" t="s">
        <v>6289</v>
      </c>
      <c r="G1956">
        <v>0</v>
      </c>
      <c r="H1956" t="s">
        <v>3056</v>
      </c>
      <c r="I1956">
        <v>2000000019</v>
      </c>
      <c r="K1956" t="s">
        <v>2972</v>
      </c>
    </row>
    <row r="1957" spans="1:11" hidden="1">
      <c r="A1957">
        <v>14510</v>
      </c>
      <c r="B1957" t="s">
        <v>5564</v>
      </c>
      <c r="C1957" t="s">
        <v>3825</v>
      </c>
      <c r="E1957" t="s">
        <v>6289</v>
      </c>
      <c r="H1957" t="s">
        <v>3056</v>
      </c>
      <c r="I1957">
        <v>14510</v>
      </c>
      <c r="K1957">
        <v>0</v>
      </c>
    </row>
    <row r="1958" spans="1:11" hidden="1">
      <c r="A1958">
        <v>14520</v>
      </c>
      <c r="B1958" t="s">
        <v>5564</v>
      </c>
      <c r="C1958" t="s">
        <v>1429</v>
      </c>
      <c r="E1958" t="s">
        <v>6289</v>
      </c>
      <c r="H1958" t="s">
        <v>3056</v>
      </c>
      <c r="I1958">
        <v>14520</v>
      </c>
      <c r="K1958">
        <v>0</v>
      </c>
    </row>
    <row r="1959" spans="1:11" hidden="1">
      <c r="A1959">
        <v>12860</v>
      </c>
      <c r="B1959" t="s">
        <v>5565</v>
      </c>
      <c r="C1959" t="s">
        <v>5567</v>
      </c>
      <c r="E1959" t="s">
        <v>6289</v>
      </c>
      <c r="H1959" t="s">
        <v>3056</v>
      </c>
      <c r="I1959">
        <v>12860</v>
      </c>
      <c r="K1959">
        <v>0</v>
      </c>
    </row>
    <row r="1960" spans="1:11" hidden="1">
      <c r="A1960">
        <v>12870</v>
      </c>
      <c r="B1960" t="s">
        <v>5565</v>
      </c>
      <c r="C1960" t="s">
        <v>5566</v>
      </c>
      <c r="E1960" t="s">
        <v>6289</v>
      </c>
      <c r="H1960" t="s">
        <v>3056</v>
      </c>
      <c r="I1960">
        <v>12870</v>
      </c>
      <c r="K1960">
        <v>0</v>
      </c>
    </row>
    <row r="1961" spans="1:11" hidden="1">
      <c r="A1961">
        <v>12880</v>
      </c>
      <c r="B1961" t="s">
        <v>5565</v>
      </c>
      <c r="C1961" t="s">
        <v>3824</v>
      </c>
      <c r="E1961" t="s">
        <v>6289</v>
      </c>
      <c r="H1961" t="s">
        <v>3056</v>
      </c>
      <c r="I1961">
        <v>12880</v>
      </c>
      <c r="K1961">
        <v>0</v>
      </c>
    </row>
    <row r="1962" spans="1:11" hidden="1">
      <c r="A1962">
        <v>12890</v>
      </c>
      <c r="B1962" t="s">
        <v>5565</v>
      </c>
      <c r="C1962" t="s">
        <v>3825</v>
      </c>
      <c r="E1962" t="s">
        <v>6289</v>
      </c>
      <c r="H1962" t="s">
        <v>3056</v>
      </c>
      <c r="I1962">
        <v>12890</v>
      </c>
      <c r="K1962">
        <v>0</v>
      </c>
    </row>
    <row r="1963" spans="1:11" hidden="1">
      <c r="A1963">
        <v>12900</v>
      </c>
      <c r="B1963" t="s">
        <v>5565</v>
      </c>
      <c r="C1963" t="s">
        <v>3069</v>
      </c>
      <c r="E1963" t="s">
        <v>6289</v>
      </c>
      <c r="H1963" t="s">
        <v>3056</v>
      </c>
      <c r="I1963">
        <v>12900</v>
      </c>
      <c r="K1963">
        <v>0</v>
      </c>
    </row>
    <row r="1964" spans="1:11" hidden="1">
      <c r="A1964">
        <v>16040</v>
      </c>
      <c r="B1964" t="s">
        <v>5568</v>
      </c>
      <c r="C1964" t="s">
        <v>5570</v>
      </c>
      <c r="E1964" t="s">
        <v>6289</v>
      </c>
      <c r="H1964" t="s">
        <v>3056</v>
      </c>
      <c r="I1964">
        <v>16040</v>
      </c>
      <c r="K1964">
        <v>0</v>
      </c>
    </row>
    <row r="1965" spans="1:11" hidden="1">
      <c r="A1965">
        <v>16050</v>
      </c>
      <c r="B1965" t="s">
        <v>5568</v>
      </c>
      <c r="C1965" t="s">
        <v>5569</v>
      </c>
      <c r="E1965" t="s">
        <v>6289</v>
      </c>
      <c r="H1965" t="s">
        <v>3056</v>
      </c>
      <c r="I1965">
        <v>16050</v>
      </c>
      <c r="K1965">
        <v>0</v>
      </c>
    </row>
    <row r="1966" spans="1:11" hidden="1">
      <c r="A1966">
        <v>16100</v>
      </c>
      <c r="B1966" t="s">
        <v>5571</v>
      </c>
      <c r="C1966" t="s">
        <v>3621</v>
      </c>
      <c r="E1966" t="s">
        <v>6289</v>
      </c>
      <c r="H1966" t="s">
        <v>3056</v>
      </c>
      <c r="I1966">
        <v>16100</v>
      </c>
      <c r="K1966">
        <v>0</v>
      </c>
    </row>
    <row r="1967" spans="1:11" hidden="1">
      <c r="A1967">
        <v>16110</v>
      </c>
      <c r="B1967" t="s">
        <v>5571</v>
      </c>
      <c r="C1967" t="s">
        <v>5572</v>
      </c>
      <c r="E1967" t="s">
        <v>6289</v>
      </c>
      <c r="H1967" t="s">
        <v>3056</v>
      </c>
      <c r="I1967">
        <v>16110</v>
      </c>
      <c r="K1967">
        <v>0</v>
      </c>
    </row>
    <row r="1968" spans="1:11" hidden="1">
      <c r="A1968">
        <v>16120</v>
      </c>
      <c r="B1968" t="s">
        <v>5571</v>
      </c>
      <c r="C1968" t="s">
        <v>4770</v>
      </c>
      <c r="E1968" t="s">
        <v>6289</v>
      </c>
      <c r="H1968" t="s">
        <v>3056</v>
      </c>
      <c r="I1968">
        <v>16120</v>
      </c>
      <c r="K1968">
        <v>0</v>
      </c>
    </row>
    <row r="1969" spans="1:11" hidden="1">
      <c r="A1969">
        <v>16130</v>
      </c>
      <c r="B1969" t="s">
        <v>5571</v>
      </c>
      <c r="C1969" t="s">
        <v>4479</v>
      </c>
      <c r="E1969" t="s">
        <v>6289</v>
      </c>
      <c r="H1969" t="s">
        <v>3056</v>
      </c>
      <c r="I1969">
        <v>16130</v>
      </c>
      <c r="K1969">
        <v>0</v>
      </c>
    </row>
    <row r="1970" spans="1:11" hidden="1">
      <c r="A1970">
        <v>16170</v>
      </c>
      <c r="B1970" t="s">
        <v>5573</v>
      </c>
      <c r="C1970" t="s">
        <v>4003</v>
      </c>
      <c r="E1970" t="s">
        <v>6289</v>
      </c>
      <c r="H1970" t="s">
        <v>3056</v>
      </c>
      <c r="I1970">
        <v>16170</v>
      </c>
      <c r="K1970">
        <v>0</v>
      </c>
    </row>
    <row r="1971" spans="1:11" hidden="1">
      <c r="A1971">
        <v>16180</v>
      </c>
      <c r="B1971" t="s">
        <v>5573</v>
      </c>
      <c r="C1971" t="s">
        <v>4002</v>
      </c>
      <c r="E1971" t="s">
        <v>6289</v>
      </c>
      <c r="H1971" t="s">
        <v>3056</v>
      </c>
      <c r="I1971">
        <v>16180</v>
      </c>
      <c r="K1971">
        <v>0</v>
      </c>
    </row>
    <row r="1972" spans="1:11" hidden="1">
      <c r="A1972">
        <v>1</v>
      </c>
      <c r="B1972" t="s">
        <v>3611</v>
      </c>
      <c r="C1972" t="s">
        <v>3612</v>
      </c>
      <c r="E1972" t="s">
        <v>6289</v>
      </c>
      <c r="G1972">
        <v>0</v>
      </c>
      <c r="H1972" t="s">
        <v>3056</v>
      </c>
      <c r="I1972">
        <v>100155</v>
      </c>
      <c r="K1972" t="s">
        <v>2972</v>
      </c>
    </row>
    <row r="1973" spans="1:11" hidden="1">
      <c r="A1973">
        <v>2</v>
      </c>
      <c r="B1973" t="s">
        <v>3611</v>
      </c>
      <c r="C1973" t="s">
        <v>1086</v>
      </c>
      <c r="E1973" t="s">
        <v>6289</v>
      </c>
      <c r="G1973">
        <v>0</v>
      </c>
      <c r="H1973" t="s">
        <v>3056</v>
      </c>
      <c r="I1973">
        <v>100156</v>
      </c>
      <c r="K1973" t="s">
        <v>2972</v>
      </c>
    </row>
    <row r="1974" spans="1:11" hidden="1">
      <c r="A1974">
        <v>3</v>
      </c>
      <c r="B1974" t="s">
        <v>3611</v>
      </c>
      <c r="C1974" t="s">
        <v>3613</v>
      </c>
      <c r="E1974" t="s">
        <v>6289</v>
      </c>
      <c r="G1974">
        <v>0</v>
      </c>
      <c r="H1974" t="s">
        <v>3056</v>
      </c>
      <c r="I1974">
        <v>100157</v>
      </c>
      <c r="K1974" t="s">
        <v>2972</v>
      </c>
    </row>
    <row r="1975" spans="1:11" hidden="1">
      <c r="A1975">
        <v>4</v>
      </c>
      <c r="B1975" t="s">
        <v>3611</v>
      </c>
      <c r="C1975" t="s">
        <v>1365</v>
      </c>
      <c r="E1975" t="s">
        <v>6289</v>
      </c>
      <c r="G1975">
        <v>0</v>
      </c>
      <c r="H1975" t="s">
        <v>3056</v>
      </c>
      <c r="I1975">
        <v>100158</v>
      </c>
      <c r="K1975" t="s">
        <v>2972</v>
      </c>
    </row>
    <row r="1976" spans="1:11" hidden="1">
      <c r="A1976">
        <v>5</v>
      </c>
      <c r="B1976" t="s">
        <v>3611</v>
      </c>
      <c r="C1976" t="s">
        <v>3614</v>
      </c>
      <c r="E1976" t="s">
        <v>6289</v>
      </c>
      <c r="G1976">
        <v>0</v>
      </c>
      <c r="H1976" t="s">
        <v>3056</v>
      </c>
      <c r="I1976">
        <v>100159</v>
      </c>
      <c r="K1976" t="s">
        <v>2972</v>
      </c>
    </row>
    <row r="1977" spans="1:11" hidden="1">
      <c r="A1977">
        <v>14730</v>
      </c>
      <c r="B1977" t="s">
        <v>5574</v>
      </c>
      <c r="C1977" t="s">
        <v>3475</v>
      </c>
      <c r="E1977" t="s">
        <v>6289</v>
      </c>
      <c r="H1977" t="s">
        <v>3056</v>
      </c>
      <c r="I1977">
        <v>14730</v>
      </c>
      <c r="K1977">
        <v>0</v>
      </c>
    </row>
    <row r="1978" spans="1:11" hidden="1">
      <c r="A1978">
        <v>14740</v>
      </c>
      <c r="B1978" t="s">
        <v>5574</v>
      </c>
      <c r="C1978" t="s">
        <v>3474</v>
      </c>
      <c r="E1978" t="s">
        <v>6289</v>
      </c>
      <c r="H1978" t="s">
        <v>3056</v>
      </c>
      <c r="I1978">
        <v>14740</v>
      </c>
      <c r="K1978">
        <v>0</v>
      </c>
    </row>
    <row r="1979" spans="1:11" hidden="1">
      <c r="A1979">
        <v>14750</v>
      </c>
      <c r="B1979" t="s">
        <v>5574</v>
      </c>
      <c r="C1979" t="s">
        <v>4059</v>
      </c>
      <c r="E1979" t="s">
        <v>6289</v>
      </c>
      <c r="H1979" t="s">
        <v>3056</v>
      </c>
      <c r="I1979">
        <v>14750</v>
      </c>
      <c r="K1979">
        <v>0</v>
      </c>
    </row>
    <row r="1980" spans="1:11" hidden="1">
      <c r="A1980">
        <v>11730</v>
      </c>
      <c r="B1980" t="s">
        <v>453</v>
      </c>
      <c r="C1980" t="s">
        <v>3893</v>
      </c>
      <c r="E1980" t="s">
        <v>6289</v>
      </c>
      <c r="H1980" t="s">
        <v>3056</v>
      </c>
      <c r="I1980">
        <v>11730</v>
      </c>
      <c r="K1980">
        <v>0</v>
      </c>
    </row>
    <row r="1981" spans="1:11" hidden="1">
      <c r="A1981">
        <v>11740</v>
      </c>
      <c r="B1981" t="s">
        <v>453</v>
      </c>
      <c r="C1981" t="s">
        <v>3894</v>
      </c>
      <c r="E1981" t="s">
        <v>6289</v>
      </c>
      <c r="H1981" t="s">
        <v>3056</v>
      </c>
      <c r="I1981">
        <v>11740</v>
      </c>
      <c r="K1981">
        <v>0</v>
      </c>
    </row>
    <row r="1982" spans="1:11" hidden="1">
      <c r="A1982">
        <v>11750</v>
      </c>
      <c r="B1982" t="s">
        <v>453</v>
      </c>
      <c r="C1982" t="s">
        <v>3895</v>
      </c>
      <c r="E1982" t="s">
        <v>6289</v>
      </c>
      <c r="H1982" t="s">
        <v>3056</v>
      </c>
      <c r="I1982">
        <v>11750</v>
      </c>
      <c r="K1982">
        <v>0</v>
      </c>
    </row>
    <row r="1983" spans="1:11" hidden="1">
      <c r="A1983">
        <v>13570</v>
      </c>
      <c r="B1983" t="s">
        <v>5575</v>
      </c>
      <c r="C1983" t="s">
        <v>3893</v>
      </c>
      <c r="E1983" t="s">
        <v>6289</v>
      </c>
      <c r="H1983" t="s">
        <v>3056</v>
      </c>
      <c r="I1983">
        <v>13570</v>
      </c>
      <c r="K1983">
        <v>0</v>
      </c>
    </row>
    <row r="1984" spans="1:11" hidden="1">
      <c r="A1984">
        <v>13580</v>
      </c>
      <c r="B1984" t="s">
        <v>5575</v>
      </c>
      <c r="C1984" t="s">
        <v>5576</v>
      </c>
      <c r="E1984" t="s">
        <v>6289</v>
      </c>
      <c r="H1984" t="s">
        <v>3056</v>
      </c>
      <c r="I1984">
        <v>13580</v>
      </c>
      <c r="K1984">
        <v>0</v>
      </c>
    </row>
    <row r="1985" spans="1:11" hidden="1">
      <c r="A1985">
        <v>13590</v>
      </c>
      <c r="B1985" t="s">
        <v>5575</v>
      </c>
      <c r="C1985" t="s">
        <v>5050</v>
      </c>
      <c r="E1985" t="s">
        <v>6289</v>
      </c>
      <c r="H1985" t="s">
        <v>3056</v>
      </c>
      <c r="I1985">
        <v>13590</v>
      </c>
      <c r="K1985">
        <v>0</v>
      </c>
    </row>
    <row r="1986" spans="1:11">
      <c r="A1986">
        <v>1</v>
      </c>
      <c r="B1986" t="s">
        <v>2018</v>
      </c>
      <c r="C1986" t="s">
        <v>3615</v>
      </c>
      <c r="E1986" t="s">
        <v>6289</v>
      </c>
      <c r="G1986">
        <v>0</v>
      </c>
      <c r="H1986" t="s">
        <v>3056</v>
      </c>
      <c r="I1986">
        <v>2000000087</v>
      </c>
      <c r="K1986" t="s">
        <v>2972</v>
      </c>
    </row>
    <row r="1987" spans="1:11">
      <c r="A1987">
        <v>2</v>
      </c>
      <c r="B1987" t="s">
        <v>2018</v>
      </c>
      <c r="C1987" t="s">
        <v>3072</v>
      </c>
      <c r="E1987" t="s">
        <v>6289</v>
      </c>
      <c r="G1987">
        <v>0</v>
      </c>
      <c r="H1987" t="s">
        <v>3056</v>
      </c>
      <c r="I1987">
        <v>2000000092</v>
      </c>
      <c r="K1987" t="s">
        <v>2972</v>
      </c>
    </row>
    <row r="1988" spans="1:11">
      <c r="A1988">
        <v>3</v>
      </c>
      <c r="B1988" t="s">
        <v>2018</v>
      </c>
      <c r="C1988" t="s">
        <v>3616</v>
      </c>
      <c r="E1988" t="s">
        <v>6289</v>
      </c>
      <c r="G1988">
        <v>0</v>
      </c>
      <c r="H1988" t="s">
        <v>3056</v>
      </c>
      <c r="I1988">
        <v>2000000089</v>
      </c>
      <c r="K1988" t="s">
        <v>2972</v>
      </c>
    </row>
    <row r="1989" spans="1:11">
      <c r="A1989">
        <v>4</v>
      </c>
      <c r="B1989" t="s">
        <v>2018</v>
      </c>
      <c r="C1989" t="s">
        <v>3058</v>
      </c>
      <c r="E1989" t="s">
        <v>6289</v>
      </c>
      <c r="G1989">
        <v>0</v>
      </c>
      <c r="H1989" t="s">
        <v>3056</v>
      </c>
      <c r="I1989">
        <v>2000000112</v>
      </c>
      <c r="K1989" t="s">
        <v>2972</v>
      </c>
    </row>
    <row r="1990" spans="1:11">
      <c r="A1990">
        <v>5</v>
      </c>
      <c r="B1990" t="s">
        <v>2018</v>
      </c>
      <c r="C1990" t="s">
        <v>3617</v>
      </c>
      <c r="E1990" t="s">
        <v>6289</v>
      </c>
      <c r="G1990">
        <v>0</v>
      </c>
      <c r="H1990" t="s">
        <v>3056</v>
      </c>
      <c r="I1990">
        <v>2000000094</v>
      </c>
      <c r="K1990" t="s">
        <v>2972</v>
      </c>
    </row>
    <row r="1991" spans="1:11">
      <c r="A1991">
        <v>6</v>
      </c>
      <c r="B1991" t="s">
        <v>2018</v>
      </c>
      <c r="C1991" t="s">
        <v>3618</v>
      </c>
      <c r="E1991" t="s">
        <v>6289</v>
      </c>
      <c r="G1991">
        <v>0</v>
      </c>
      <c r="H1991" t="s">
        <v>3056</v>
      </c>
      <c r="I1991">
        <v>2000000093</v>
      </c>
      <c r="K1991" t="s">
        <v>2972</v>
      </c>
    </row>
    <row r="1992" spans="1:11">
      <c r="A1992">
        <v>7</v>
      </c>
      <c r="B1992" t="s">
        <v>2018</v>
      </c>
      <c r="C1992" t="s">
        <v>3619</v>
      </c>
      <c r="E1992" t="s">
        <v>6289</v>
      </c>
      <c r="G1992">
        <v>0</v>
      </c>
      <c r="H1992" t="s">
        <v>3056</v>
      </c>
      <c r="I1992">
        <v>2000000123</v>
      </c>
      <c r="K1992" t="s">
        <v>2972</v>
      </c>
    </row>
    <row r="1993" spans="1:11">
      <c r="A1993">
        <v>8</v>
      </c>
      <c r="B1993" t="s">
        <v>2018</v>
      </c>
      <c r="C1993" t="s">
        <v>3620</v>
      </c>
      <c r="E1993" t="s">
        <v>6289</v>
      </c>
      <c r="G1993">
        <v>0</v>
      </c>
      <c r="H1993" t="s">
        <v>3056</v>
      </c>
      <c r="I1993">
        <v>2000000124</v>
      </c>
      <c r="K1993" t="s">
        <v>2972</v>
      </c>
    </row>
    <row r="1994" spans="1:11">
      <c r="A1994">
        <v>9</v>
      </c>
      <c r="B1994" t="s">
        <v>2018</v>
      </c>
      <c r="C1994" t="s">
        <v>3621</v>
      </c>
      <c r="E1994" t="s">
        <v>6289</v>
      </c>
      <c r="G1994">
        <v>0</v>
      </c>
      <c r="H1994" t="s">
        <v>3056</v>
      </c>
      <c r="I1994">
        <v>2000000084</v>
      </c>
      <c r="K1994" t="s">
        <v>2972</v>
      </c>
    </row>
    <row r="1995" spans="1:11">
      <c r="A1995">
        <v>10</v>
      </c>
      <c r="B1995" t="s">
        <v>2018</v>
      </c>
      <c r="C1995" t="s">
        <v>3622</v>
      </c>
      <c r="E1995" t="s">
        <v>6289</v>
      </c>
      <c r="G1995">
        <v>0</v>
      </c>
      <c r="H1995" t="s">
        <v>3056</v>
      </c>
      <c r="I1995">
        <v>2000000086</v>
      </c>
      <c r="K1995" t="s">
        <v>2972</v>
      </c>
    </row>
    <row r="1996" spans="1:11">
      <c r="A1996">
        <v>11</v>
      </c>
      <c r="B1996" t="s">
        <v>2018</v>
      </c>
      <c r="C1996" t="s">
        <v>3623</v>
      </c>
      <c r="E1996" t="s">
        <v>6289</v>
      </c>
      <c r="G1996">
        <v>0</v>
      </c>
      <c r="H1996" t="s">
        <v>3056</v>
      </c>
      <c r="I1996">
        <v>2000000088</v>
      </c>
      <c r="K1996" t="s">
        <v>2972</v>
      </c>
    </row>
    <row r="1997" spans="1:11">
      <c r="A1997">
        <v>12</v>
      </c>
      <c r="B1997" t="s">
        <v>2018</v>
      </c>
      <c r="C1997" t="s">
        <v>3624</v>
      </c>
      <c r="E1997" t="s">
        <v>6289</v>
      </c>
      <c r="G1997">
        <v>0</v>
      </c>
      <c r="H1997" t="s">
        <v>3056</v>
      </c>
      <c r="I1997">
        <v>2000000125</v>
      </c>
      <c r="K1997" t="s">
        <v>2972</v>
      </c>
    </row>
    <row r="1998" spans="1:11">
      <c r="A1998">
        <v>13</v>
      </c>
      <c r="B1998" t="s">
        <v>2018</v>
      </c>
      <c r="C1998" t="s">
        <v>3625</v>
      </c>
      <c r="E1998" t="s">
        <v>6289</v>
      </c>
      <c r="G1998">
        <v>0</v>
      </c>
      <c r="H1998" t="s">
        <v>3056</v>
      </c>
      <c r="I1998">
        <v>2000000126</v>
      </c>
      <c r="K1998" t="s">
        <v>2972</v>
      </c>
    </row>
    <row r="1999" spans="1:11">
      <c r="A1999">
        <v>14</v>
      </c>
      <c r="B1999" t="s">
        <v>2018</v>
      </c>
      <c r="C1999" t="s">
        <v>3626</v>
      </c>
      <c r="E1999" t="s">
        <v>6289</v>
      </c>
      <c r="G1999">
        <v>0</v>
      </c>
      <c r="H1999" t="s">
        <v>3056</v>
      </c>
      <c r="I1999">
        <v>100041</v>
      </c>
      <c r="K1999" t="s">
        <v>2972</v>
      </c>
    </row>
    <row r="2000" spans="1:11">
      <c r="A2000">
        <v>15</v>
      </c>
      <c r="B2000" t="s">
        <v>2018</v>
      </c>
      <c r="C2000" t="s">
        <v>3627</v>
      </c>
      <c r="E2000" t="s">
        <v>6289</v>
      </c>
      <c r="G2000">
        <v>0</v>
      </c>
      <c r="H2000" t="s">
        <v>3056</v>
      </c>
      <c r="I2000">
        <v>2000000090</v>
      </c>
      <c r="K2000" t="s">
        <v>2972</v>
      </c>
    </row>
    <row r="2001" spans="1:11">
      <c r="A2001">
        <v>16</v>
      </c>
      <c r="B2001" t="s">
        <v>2018</v>
      </c>
      <c r="C2001" t="s">
        <v>3628</v>
      </c>
      <c r="E2001" t="s">
        <v>6289</v>
      </c>
      <c r="G2001">
        <v>0</v>
      </c>
      <c r="H2001" t="s">
        <v>3056</v>
      </c>
      <c r="I2001">
        <v>2000000085</v>
      </c>
      <c r="K2001" t="s">
        <v>2972</v>
      </c>
    </row>
    <row r="2002" spans="1:11">
      <c r="A2002">
        <v>17</v>
      </c>
      <c r="B2002" t="s">
        <v>2018</v>
      </c>
      <c r="C2002" t="s">
        <v>3629</v>
      </c>
      <c r="E2002" t="s">
        <v>6289</v>
      </c>
      <c r="G2002">
        <v>0</v>
      </c>
      <c r="H2002" t="s">
        <v>3056</v>
      </c>
      <c r="I2002">
        <v>2000000117</v>
      </c>
      <c r="K2002" t="s">
        <v>2972</v>
      </c>
    </row>
    <row r="2003" spans="1:11">
      <c r="A2003">
        <v>18</v>
      </c>
      <c r="B2003" t="s">
        <v>2018</v>
      </c>
      <c r="C2003" t="s">
        <v>3630</v>
      </c>
      <c r="E2003" t="s">
        <v>6289</v>
      </c>
      <c r="G2003">
        <v>0</v>
      </c>
      <c r="H2003" t="s">
        <v>3056</v>
      </c>
      <c r="I2003">
        <v>2000000116</v>
      </c>
      <c r="K2003" t="s">
        <v>2972</v>
      </c>
    </row>
    <row r="2004" spans="1:11">
      <c r="A2004">
        <v>1</v>
      </c>
      <c r="B2004" t="s">
        <v>2015</v>
      </c>
      <c r="C2004" t="s">
        <v>1171</v>
      </c>
      <c r="E2004" t="s">
        <v>6289</v>
      </c>
      <c r="G2004">
        <v>0</v>
      </c>
      <c r="H2004" t="s">
        <v>3056</v>
      </c>
      <c r="I2004">
        <v>2000000083</v>
      </c>
      <c r="K2004" t="s">
        <v>2972</v>
      </c>
    </row>
    <row r="2005" spans="1:11">
      <c r="A2005">
        <v>2</v>
      </c>
      <c r="B2005" t="s">
        <v>2015</v>
      </c>
      <c r="C2005" t="s">
        <v>1920</v>
      </c>
      <c r="E2005" t="s">
        <v>6289</v>
      </c>
      <c r="G2005">
        <v>0</v>
      </c>
      <c r="H2005" t="s">
        <v>3056</v>
      </c>
      <c r="I2005">
        <v>2000000081</v>
      </c>
      <c r="K2005" t="s">
        <v>2972</v>
      </c>
    </row>
    <row r="2006" spans="1:11">
      <c r="A2006">
        <v>3</v>
      </c>
      <c r="B2006" t="s">
        <v>2015</v>
      </c>
      <c r="C2006" t="s">
        <v>3631</v>
      </c>
      <c r="E2006" t="s">
        <v>6289</v>
      </c>
      <c r="G2006">
        <v>0</v>
      </c>
      <c r="H2006" t="s">
        <v>3056</v>
      </c>
      <c r="I2006">
        <v>2000000082</v>
      </c>
      <c r="K2006" t="s">
        <v>2972</v>
      </c>
    </row>
    <row r="2007" spans="1:11" hidden="1">
      <c r="A2007">
        <v>12650</v>
      </c>
      <c r="B2007" t="s">
        <v>5577</v>
      </c>
      <c r="C2007" t="s">
        <v>5580</v>
      </c>
      <c r="E2007" t="s">
        <v>6289</v>
      </c>
      <c r="H2007" t="s">
        <v>3056</v>
      </c>
      <c r="I2007">
        <v>12650</v>
      </c>
      <c r="K2007">
        <v>0</v>
      </c>
    </row>
    <row r="2008" spans="1:11" hidden="1">
      <c r="A2008">
        <v>12660</v>
      </c>
      <c r="B2008" t="s">
        <v>5577</v>
      </c>
      <c r="C2008" t="s">
        <v>5578</v>
      </c>
      <c r="E2008" t="s">
        <v>6289</v>
      </c>
      <c r="H2008" t="s">
        <v>3056</v>
      </c>
      <c r="I2008">
        <v>12660</v>
      </c>
      <c r="K2008">
        <v>0</v>
      </c>
    </row>
    <row r="2009" spans="1:11" hidden="1">
      <c r="A2009">
        <v>12670</v>
      </c>
      <c r="B2009" t="s">
        <v>5577</v>
      </c>
      <c r="C2009" t="s">
        <v>5581</v>
      </c>
      <c r="E2009" t="s">
        <v>6289</v>
      </c>
      <c r="H2009" t="s">
        <v>3056</v>
      </c>
      <c r="I2009">
        <v>12670</v>
      </c>
      <c r="K2009">
        <v>0</v>
      </c>
    </row>
    <row r="2010" spans="1:11" hidden="1">
      <c r="A2010">
        <v>12680</v>
      </c>
      <c r="B2010" t="s">
        <v>5577</v>
      </c>
      <c r="C2010" t="s">
        <v>5579</v>
      </c>
      <c r="E2010" t="s">
        <v>6289</v>
      </c>
      <c r="H2010" t="s">
        <v>3056</v>
      </c>
      <c r="I2010">
        <v>12680</v>
      </c>
      <c r="K2010">
        <v>0</v>
      </c>
    </row>
    <row r="2011" spans="1:11" hidden="1">
      <c r="A2011">
        <v>19000</v>
      </c>
      <c r="B2011" t="s">
        <v>5582</v>
      </c>
      <c r="C2011" t="s">
        <v>5583</v>
      </c>
      <c r="E2011" t="s">
        <v>6289</v>
      </c>
      <c r="H2011" t="s">
        <v>3056</v>
      </c>
      <c r="I2011">
        <v>19000</v>
      </c>
      <c r="K2011">
        <v>0</v>
      </c>
    </row>
    <row r="2012" spans="1:11" hidden="1">
      <c r="A2012">
        <v>19010</v>
      </c>
      <c r="B2012" t="s">
        <v>5582</v>
      </c>
      <c r="C2012" t="s">
        <v>3447</v>
      </c>
      <c r="E2012" t="s">
        <v>6289</v>
      </c>
      <c r="H2012" t="s">
        <v>3056</v>
      </c>
      <c r="I2012">
        <v>19010</v>
      </c>
      <c r="K2012">
        <v>0</v>
      </c>
    </row>
    <row r="2013" spans="1:11" hidden="1">
      <c r="A2013">
        <v>5400</v>
      </c>
      <c r="B2013" t="s">
        <v>5584</v>
      </c>
      <c r="C2013" t="s">
        <v>132</v>
      </c>
      <c r="E2013" t="s">
        <v>6289</v>
      </c>
      <c r="H2013" t="s">
        <v>3061</v>
      </c>
      <c r="I2013">
        <v>5400</v>
      </c>
      <c r="K2013">
        <v>0</v>
      </c>
    </row>
    <row r="2014" spans="1:11" hidden="1">
      <c r="A2014">
        <v>5401</v>
      </c>
      <c r="B2014" t="s">
        <v>5584</v>
      </c>
      <c r="C2014" t="s">
        <v>3449</v>
      </c>
      <c r="E2014" t="s">
        <v>6289</v>
      </c>
      <c r="H2014" t="s">
        <v>3061</v>
      </c>
      <c r="I2014">
        <v>5401</v>
      </c>
      <c r="K2014">
        <v>0</v>
      </c>
    </row>
    <row r="2015" spans="1:11" hidden="1">
      <c r="A2015">
        <v>12690</v>
      </c>
      <c r="B2015" t="s">
        <v>5584</v>
      </c>
      <c r="C2015" t="s">
        <v>5036</v>
      </c>
      <c r="E2015" t="s">
        <v>6289</v>
      </c>
      <c r="H2015" t="s">
        <v>3056</v>
      </c>
      <c r="I2015">
        <v>12690</v>
      </c>
      <c r="K2015">
        <v>0</v>
      </c>
    </row>
    <row r="2016" spans="1:11" hidden="1">
      <c r="A2016">
        <v>12700</v>
      </c>
      <c r="B2016" t="s">
        <v>5584</v>
      </c>
      <c r="C2016" t="s">
        <v>5037</v>
      </c>
      <c r="E2016" t="s">
        <v>6289</v>
      </c>
      <c r="H2016" t="s">
        <v>3056</v>
      </c>
      <c r="I2016">
        <v>12700</v>
      </c>
      <c r="K2016">
        <v>0</v>
      </c>
    </row>
    <row r="2017" spans="1:11" hidden="1">
      <c r="A2017">
        <v>1300</v>
      </c>
      <c r="B2017" t="s">
        <v>5585</v>
      </c>
      <c r="C2017" t="s">
        <v>5587</v>
      </c>
      <c r="D2017">
        <v>1</v>
      </c>
      <c r="E2017" t="s">
        <v>6289</v>
      </c>
      <c r="H2017" t="s">
        <v>3056</v>
      </c>
      <c r="I2017">
        <v>1300</v>
      </c>
      <c r="K2017">
        <v>0</v>
      </c>
    </row>
    <row r="2018" spans="1:11" hidden="1">
      <c r="A2018">
        <v>1301</v>
      </c>
      <c r="B2018" t="s">
        <v>5585</v>
      </c>
      <c r="C2018" t="s">
        <v>5589</v>
      </c>
      <c r="D2018">
        <v>2</v>
      </c>
      <c r="E2018" t="s">
        <v>6289</v>
      </c>
      <c r="H2018" t="s">
        <v>3056</v>
      </c>
      <c r="I2018">
        <v>1301</v>
      </c>
      <c r="K2018">
        <v>0</v>
      </c>
    </row>
    <row r="2019" spans="1:11" hidden="1">
      <c r="A2019">
        <v>1302</v>
      </c>
      <c r="B2019" t="s">
        <v>5585</v>
      </c>
      <c r="C2019" t="s">
        <v>5586</v>
      </c>
      <c r="D2019">
        <v>3</v>
      </c>
      <c r="E2019" t="s">
        <v>6289</v>
      </c>
      <c r="H2019" t="s">
        <v>3056</v>
      </c>
      <c r="I2019">
        <v>1302</v>
      </c>
      <c r="K2019">
        <v>0</v>
      </c>
    </row>
    <row r="2020" spans="1:11" hidden="1">
      <c r="A2020">
        <v>1303</v>
      </c>
      <c r="B2020" t="s">
        <v>5585</v>
      </c>
      <c r="C2020" t="s">
        <v>5588</v>
      </c>
      <c r="D2020">
        <v>4</v>
      </c>
      <c r="E2020" t="s">
        <v>6289</v>
      </c>
      <c r="H2020" t="s">
        <v>3056</v>
      </c>
      <c r="I2020">
        <v>1303</v>
      </c>
      <c r="K2020">
        <v>0</v>
      </c>
    </row>
    <row r="2021" spans="1:11" hidden="1">
      <c r="A2021">
        <v>10055</v>
      </c>
      <c r="B2021" t="s">
        <v>5590</v>
      </c>
      <c r="C2021" t="s">
        <v>5592</v>
      </c>
      <c r="D2021">
        <v>0</v>
      </c>
      <c r="E2021" t="s">
        <v>6289</v>
      </c>
      <c r="F2021" t="s">
        <v>5593</v>
      </c>
      <c r="H2021" t="s">
        <v>3056</v>
      </c>
      <c r="I2021">
        <v>10055</v>
      </c>
      <c r="K2021">
        <v>0</v>
      </c>
    </row>
    <row r="2022" spans="1:11" hidden="1">
      <c r="A2022">
        <v>10056</v>
      </c>
      <c r="B2022" t="s">
        <v>5590</v>
      </c>
      <c r="C2022" t="s">
        <v>5591</v>
      </c>
      <c r="D2022">
        <v>1</v>
      </c>
      <c r="E2022" t="s">
        <v>6289</v>
      </c>
      <c r="F2022" t="s">
        <v>3060</v>
      </c>
      <c r="H2022" t="s">
        <v>3056</v>
      </c>
      <c r="I2022">
        <v>10056</v>
      </c>
      <c r="K2022">
        <v>0</v>
      </c>
    </row>
    <row r="2023" spans="1:11" hidden="1">
      <c r="A2023">
        <v>15540</v>
      </c>
      <c r="B2023" t="s">
        <v>5594</v>
      </c>
      <c r="C2023" t="s">
        <v>5595</v>
      </c>
      <c r="E2023" t="s">
        <v>6289</v>
      </c>
      <c r="H2023" t="s">
        <v>3056</v>
      </c>
      <c r="I2023">
        <v>15540</v>
      </c>
      <c r="K2023">
        <v>0</v>
      </c>
    </row>
    <row r="2024" spans="1:11" hidden="1">
      <c r="A2024">
        <v>15550</v>
      </c>
      <c r="B2024" t="s">
        <v>5594</v>
      </c>
      <c r="C2024" t="s">
        <v>3069</v>
      </c>
      <c r="E2024" t="s">
        <v>6289</v>
      </c>
      <c r="H2024" t="s">
        <v>3056</v>
      </c>
      <c r="I2024">
        <v>15550</v>
      </c>
      <c r="K2024">
        <v>0</v>
      </c>
    </row>
    <row r="2025" spans="1:11" hidden="1">
      <c r="A2025">
        <v>15560</v>
      </c>
      <c r="B2025" t="s">
        <v>5596</v>
      </c>
      <c r="C2025" t="s">
        <v>5598</v>
      </c>
      <c r="E2025" t="s">
        <v>6289</v>
      </c>
      <c r="H2025" t="s">
        <v>3056</v>
      </c>
      <c r="I2025">
        <v>15560</v>
      </c>
      <c r="K2025">
        <v>0</v>
      </c>
    </row>
    <row r="2026" spans="1:11" hidden="1">
      <c r="A2026">
        <v>15570</v>
      </c>
      <c r="B2026" t="s">
        <v>5596</v>
      </c>
      <c r="C2026" t="s">
        <v>5597</v>
      </c>
      <c r="E2026" t="s">
        <v>6289</v>
      </c>
      <c r="H2026" t="s">
        <v>3056</v>
      </c>
      <c r="I2026">
        <v>15570</v>
      </c>
      <c r="K2026">
        <v>0</v>
      </c>
    </row>
    <row r="2027" spans="1:11" hidden="1">
      <c r="A2027">
        <v>1515</v>
      </c>
      <c r="B2027" t="s">
        <v>5599</v>
      </c>
      <c r="C2027" t="s">
        <v>5600</v>
      </c>
      <c r="D2027">
        <v>1</v>
      </c>
      <c r="E2027" t="s">
        <v>6289</v>
      </c>
      <c r="F2027" t="s">
        <v>5600</v>
      </c>
      <c r="H2027" t="s">
        <v>3056</v>
      </c>
      <c r="I2027">
        <v>1515</v>
      </c>
      <c r="K2027">
        <v>0</v>
      </c>
    </row>
    <row r="2028" spans="1:11" hidden="1">
      <c r="A2028">
        <v>1516</v>
      </c>
      <c r="B2028" t="s">
        <v>5599</v>
      </c>
      <c r="C2028" t="s">
        <v>5602</v>
      </c>
      <c r="D2028">
        <v>2</v>
      </c>
      <c r="E2028" t="s">
        <v>6289</v>
      </c>
      <c r="F2028" t="s">
        <v>5602</v>
      </c>
      <c r="H2028" t="s">
        <v>3056</v>
      </c>
      <c r="I2028">
        <v>1516</v>
      </c>
      <c r="K2028">
        <v>0</v>
      </c>
    </row>
    <row r="2029" spans="1:11" hidden="1">
      <c r="A2029">
        <v>1517</v>
      </c>
      <c r="B2029" t="s">
        <v>5599</v>
      </c>
      <c r="C2029" t="s">
        <v>3069</v>
      </c>
      <c r="D2029">
        <v>3</v>
      </c>
      <c r="E2029" t="s">
        <v>6289</v>
      </c>
      <c r="F2029" t="s">
        <v>3069</v>
      </c>
      <c r="H2029" t="s">
        <v>3056</v>
      </c>
      <c r="I2029">
        <v>1517</v>
      </c>
      <c r="K2029">
        <v>0</v>
      </c>
    </row>
    <row r="2030" spans="1:11" hidden="1">
      <c r="A2030">
        <v>1702</v>
      </c>
      <c r="B2030" t="s">
        <v>5599</v>
      </c>
      <c r="C2030" t="s">
        <v>4793</v>
      </c>
      <c r="E2030" t="s">
        <v>6289</v>
      </c>
      <c r="F2030" t="s">
        <v>5601</v>
      </c>
      <c r="H2030" t="s">
        <v>3056</v>
      </c>
      <c r="I2030">
        <v>1702</v>
      </c>
      <c r="K2030">
        <v>0</v>
      </c>
    </row>
    <row r="2031" spans="1:11" hidden="1">
      <c r="A2031">
        <v>13180</v>
      </c>
      <c r="B2031" t="s">
        <v>5603</v>
      </c>
      <c r="C2031" t="s">
        <v>5604</v>
      </c>
      <c r="E2031" t="s">
        <v>6289</v>
      </c>
      <c r="H2031" t="s">
        <v>3056</v>
      </c>
      <c r="I2031">
        <v>13180</v>
      </c>
      <c r="K2031">
        <v>0</v>
      </c>
    </row>
    <row r="2032" spans="1:11" hidden="1">
      <c r="A2032">
        <v>13190</v>
      </c>
      <c r="B2032" t="s">
        <v>5603</v>
      </c>
      <c r="C2032" t="s">
        <v>5605</v>
      </c>
      <c r="E2032" t="s">
        <v>6289</v>
      </c>
      <c r="H2032" t="s">
        <v>3056</v>
      </c>
      <c r="I2032">
        <v>13190</v>
      </c>
      <c r="K2032">
        <v>0</v>
      </c>
    </row>
    <row r="2033" spans="1:11" hidden="1">
      <c r="A2033">
        <v>13200</v>
      </c>
      <c r="B2033" t="s">
        <v>5603</v>
      </c>
      <c r="C2033" t="s">
        <v>5607</v>
      </c>
      <c r="E2033" t="s">
        <v>6289</v>
      </c>
      <c r="H2033" t="s">
        <v>3056</v>
      </c>
      <c r="I2033">
        <v>13200</v>
      </c>
      <c r="K2033">
        <v>0</v>
      </c>
    </row>
    <row r="2034" spans="1:11" hidden="1">
      <c r="A2034">
        <v>13210</v>
      </c>
      <c r="B2034" t="s">
        <v>5603</v>
      </c>
      <c r="C2034" t="s">
        <v>5608</v>
      </c>
      <c r="E2034" t="s">
        <v>6289</v>
      </c>
      <c r="H2034" t="s">
        <v>3056</v>
      </c>
      <c r="I2034">
        <v>13210</v>
      </c>
      <c r="K2034">
        <v>0</v>
      </c>
    </row>
    <row r="2035" spans="1:11" hidden="1">
      <c r="A2035">
        <v>13220</v>
      </c>
      <c r="B2035" t="s">
        <v>5603</v>
      </c>
      <c r="C2035" t="s">
        <v>5609</v>
      </c>
      <c r="E2035" t="s">
        <v>6289</v>
      </c>
      <c r="H2035" t="s">
        <v>3056</v>
      </c>
      <c r="I2035">
        <v>13220</v>
      </c>
      <c r="K2035">
        <v>0</v>
      </c>
    </row>
    <row r="2036" spans="1:11" hidden="1">
      <c r="A2036">
        <v>13230</v>
      </c>
      <c r="B2036" t="s">
        <v>5603</v>
      </c>
      <c r="C2036" t="s">
        <v>5606</v>
      </c>
      <c r="E2036" t="s">
        <v>6289</v>
      </c>
      <c r="H2036" t="s">
        <v>3056</v>
      </c>
      <c r="I2036">
        <v>13230</v>
      </c>
      <c r="K2036">
        <v>0</v>
      </c>
    </row>
    <row r="2037" spans="1:11" hidden="1">
      <c r="A2037">
        <v>16320</v>
      </c>
      <c r="B2037" t="s">
        <v>5610</v>
      </c>
      <c r="C2037" t="s">
        <v>5614</v>
      </c>
      <c r="E2037" t="s">
        <v>6289</v>
      </c>
      <c r="H2037" t="s">
        <v>3056</v>
      </c>
      <c r="I2037">
        <v>16320</v>
      </c>
      <c r="K2037">
        <v>0</v>
      </c>
    </row>
    <row r="2038" spans="1:11" hidden="1">
      <c r="A2038">
        <v>16330</v>
      </c>
      <c r="B2038" t="s">
        <v>5610</v>
      </c>
      <c r="C2038" t="s">
        <v>4337</v>
      </c>
      <c r="E2038" t="s">
        <v>6289</v>
      </c>
      <c r="H2038" t="s">
        <v>3056</v>
      </c>
      <c r="I2038">
        <v>16330</v>
      </c>
      <c r="K2038">
        <v>0</v>
      </c>
    </row>
    <row r="2039" spans="1:11" hidden="1">
      <c r="A2039">
        <v>16340</v>
      </c>
      <c r="B2039" t="s">
        <v>5610</v>
      </c>
      <c r="C2039" t="s">
        <v>5615</v>
      </c>
      <c r="E2039" t="s">
        <v>6289</v>
      </c>
      <c r="H2039" t="s">
        <v>3056</v>
      </c>
      <c r="I2039">
        <v>16340</v>
      </c>
      <c r="K2039">
        <v>0</v>
      </c>
    </row>
    <row r="2040" spans="1:11" hidden="1">
      <c r="A2040">
        <v>16350</v>
      </c>
      <c r="B2040" t="s">
        <v>5610</v>
      </c>
      <c r="C2040" t="s">
        <v>5612</v>
      </c>
      <c r="E2040" t="s">
        <v>6289</v>
      </c>
      <c r="H2040" t="s">
        <v>3056</v>
      </c>
      <c r="I2040">
        <v>16350</v>
      </c>
      <c r="K2040">
        <v>0</v>
      </c>
    </row>
    <row r="2041" spans="1:11" hidden="1">
      <c r="A2041">
        <v>16360</v>
      </c>
      <c r="B2041" t="s">
        <v>5610</v>
      </c>
      <c r="C2041" t="s">
        <v>5611</v>
      </c>
      <c r="E2041" t="s">
        <v>6289</v>
      </c>
      <c r="H2041" t="s">
        <v>3056</v>
      </c>
      <c r="I2041">
        <v>16360</v>
      </c>
      <c r="K2041">
        <v>0</v>
      </c>
    </row>
    <row r="2042" spans="1:11" hidden="1">
      <c r="A2042">
        <v>16370</v>
      </c>
      <c r="B2042" t="s">
        <v>5610</v>
      </c>
      <c r="C2042" t="s">
        <v>5613</v>
      </c>
      <c r="E2042" t="s">
        <v>6289</v>
      </c>
      <c r="H2042" t="s">
        <v>3056</v>
      </c>
      <c r="I2042">
        <v>16370</v>
      </c>
      <c r="K2042">
        <v>0</v>
      </c>
    </row>
    <row r="2043" spans="1:11" hidden="1">
      <c r="A2043">
        <v>15330</v>
      </c>
      <c r="B2043" t="s">
        <v>5616</v>
      </c>
      <c r="C2043" t="s">
        <v>5617</v>
      </c>
      <c r="E2043" t="s">
        <v>6289</v>
      </c>
      <c r="H2043" t="s">
        <v>3056</v>
      </c>
      <c r="I2043">
        <v>15330</v>
      </c>
      <c r="K2043">
        <v>0</v>
      </c>
    </row>
    <row r="2044" spans="1:11" hidden="1">
      <c r="A2044">
        <v>15340</v>
      </c>
      <c r="B2044" t="s">
        <v>5616</v>
      </c>
      <c r="C2044" t="s">
        <v>5618</v>
      </c>
      <c r="E2044" t="s">
        <v>6289</v>
      </c>
      <c r="H2044" t="s">
        <v>3056</v>
      </c>
      <c r="I2044">
        <v>15340</v>
      </c>
      <c r="K2044">
        <v>0</v>
      </c>
    </row>
    <row r="2045" spans="1:11" hidden="1">
      <c r="A2045">
        <v>15350</v>
      </c>
      <c r="B2045" t="s">
        <v>5616</v>
      </c>
      <c r="C2045" t="s">
        <v>4607</v>
      </c>
      <c r="E2045" t="s">
        <v>6289</v>
      </c>
      <c r="H2045" t="s">
        <v>3056</v>
      </c>
      <c r="I2045">
        <v>15350</v>
      </c>
      <c r="K2045">
        <v>0</v>
      </c>
    </row>
    <row r="2046" spans="1:11" hidden="1">
      <c r="A2046">
        <v>15360</v>
      </c>
      <c r="B2046" t="s">
        <v>5616</v>
      </c>
      <c r="C2046" t="s">
        <v>5619</v>
      </c>
      <c r="E2046" t="s">
        <v>6289</v>
      </c>
      <c r="H2046" t="s">
        <v>3056</v>
      </c>
      <c r="I2046">
        <v>15360</v>
      </c>
      <c r="K2046">
        <v>0</v>
      </c>
    </row>
    <row r="2047" spans="1:11" hidden="1">
      <c r="A2047">
        <v>15500</v>
      </c>
      <c r="B2047" t="s">
        <v>5620</v>
      </c>
      <c r="C2047" t="s">
        <v>5623</v>
      </c>
      <c r="E2047" t="s">
        <v>6289</v>
      </c>
      <c r="H2047" t="s">
        <v>3056</v>
      </c>
      <c r="I2047">
        <v>15500</v>
      </c>
      <c r="K2047">
        <v>0</v>
      </c>
    </row>
    <row r="2048" spans="1:11" hidden="1">
      <c r="A2048">
        <v>15510</v>
      </c>
      <c r="B2048" t="s">
        <v>5620</v>
      </c>
      <c r="C2048" t="s">
        <v>5622</v>
      </c>
      <c r="E2048" t="s">
        <v>6289</v>
      </c>
      <c r="H2048" t="s">
        <v>3056</v>
      </c>
      <c r="I2048">
        <v>15510</v>
      </c>
      <c r="K2048">
        <v>0</v>
      </c>
    </row>
    <row r="2049" spans="1:11" hidden="1">
      <c r="A2049">
        <v>15520</v>
      </c>
      <c r="B2049" t="s">
        <v>5620</v>
      </c>
      <c r="C2049" t="s">
        <v>5621</v>
      </c>
      <c r="E2049" t="s">
        <v>6289</v>
      </c>
      <c r="H2049" t="s">
        <v>3056</v>
      </c>
      <c r="I2049">
        <v>15520</v>
      </c>
      <c r="K2049">
        <v>0</v>
      </c>
    </row>
    <row r="2050" spans="1:11" hidden="1">
      <c r="A2050">
        <v>1</v>
      </c>
      <c r="B2050" t="s">
        <v>3632</v>
      </c>
      <c r="C2050" t="s">
        <v>3633</v>
      </c>
      <c r="D2050">
        <v>0</v>
      </c>
      <c r="E2050" t="s">
        <v>6289</v>
      </c>
      <c r="G2050">
        <v>0</v>
      </c>
      <c r="H2050" t="s">
        <v>3056</v>
      </c>
      <c r="I2050">
        <v>5502</v>
      </c>
      <c r="K2050" t="s">
        <v>2972</v>
      </c>
    </row>
    <row r="2051" spans="1:11" hidden="1">
      <c r="A2051">
        <v>2</v>
      </c>
      <c r="B2051" t="s">
        <v>3632</v>
      </c>
      <c r="C2051" t="s">
        <v>3634</v>
      </c>
      <c r="D2051">
        <v>2</v>
      </c>
      <c r="E2051" t="s">
        <v>6289</v>
      </c>
      <c r="G2051">
        <v>0</v>
      </c>
      <c r="H2051" t="s">
        <v>3056</v>
      </c>
      <c r="I2051">
        <v>5501</v>
      </c>
      <c r="K2051" t="s">
        <v>2972</v>
      </c>
    </row>
    <row r="2052" spans="1:11" hidden="1">
      <c r="A2052">
        <v>3</v>
      </c>
      <c r="B2052" t="s">
        <v>3632</v>
      </c>
      <c r="C2052" t="s">
        <v>3635</v>
      </c>
      <c r="D2052">
        <v>3</v>
      </c>
      <c r="E2052" t="s">
        <v>6289</v>
      </c>
      <c r="G2052">
        <v>0</v>
      </c>
      <c r="H2052" t="s">
        <v>3056</v>
      </c>
      <c r="I2052">
        <v>5500</v>
      </c>
      <c r="K2052" t="s">
        <v>2972</v>
      </c>
    </row>
    <row r="2053" spans="1:11" hidden="1">
      <c r="A2053">
        <v>4</v>
      </c>
      <c r="B2053" t="s">
        <v>3632</v>
      </c>
      <c r="C2053" t="s">
        <v>3636</v>
      </c>
      <c r="D2053">
        <v>1</v>
      </c>
      <c r="E2053" t="s">
        <v>6289</v>
      </c>
      <c r="G2053">
        <v>0</v>
      </c>
      <c r="H2053" t="s">
        <v>3056</v>
      </c>
      <c r="I2053">
        <v>5503</v>
      </c>
      <c r="K2053" t="s">
        <v>2972</v>
      </c>
    </row>
    <row r="2054" spans="1:11" hidden="1">
      <c r="A2054">
        <v>447</v>
      </c>
      <c r="B2054" t="s">
        <v>5624</v>
      </c>
      <c r="C2054" t="s">
        <v>5153</v>
      </c>
      <c r="E2054" t="s">
        <v>6289</v>
      </c>
      <c r="F2054" t="s">
        <v>3756</v>
      </c>
      <c r="H2054" t="s">
        <v>3056</v>
      </c>
      <c r="I2054">
        <v>447</v>
      </c>
      <c r="K2054">
        <v>0</v>
      </c>
    </row>
    <row r="2055" spans="1:11" hidden="1">
      <c r="A2055">
        <v>448</v>
      </c>
      <c r="B2055" t="s">
        <v>5624</v>
      </c>
      <c r="C2055" t="s">
        <v>5154</v>
      </c>
      <c r="E2055" t="s">
        <v>6289</v>
      </c>
      <c r="F2055" t="s">
        <v>3756</v>
      </c>
      <c r="H2055" t="s">
        <v>3056</v>
      </c>
      <c r="I2055">
        <v>448</v>
      </c>
      <c r="K2055">
        <v>0</v>
      </c>
    </row>
    <row r="2056" spans="1:11" hidden="1">
      <c r="A2056">
        <v>449</v>
      </c>
      <c r="B2056" t="s">
        <v>5624</v>
      </c>
      <c r="C2056" t="s">
        <v>5633</v>
      </c>
      <c r="E2056" t="s">
        <v>6289</v>
      </c>
      <c r="F2056" t="s">
        <v>5634</v>
      </c>
      <c r="H2056" t="s">
        <v>3056</v>
      </c>
      <c r="I2056">
        <v>449</v>
      </c>
      <c r="K2056">
        <v>0</v>
      </c>
    </row>
    <row r="2057" spans="1:11" hidden="1">
      <c r="A2057">
        <v>450</v>
      </c>
      <c r="B2057" t="s">
        <v>5624</v>
      </c>
      <c r="C2057" t="s">
        <v>3765</v>
      </c>
      <c r="E2057" t="s">
        <v>6289</v>
      </c>
      <c r="F2057" t="s">
        <v>3766</v>
      </c>
      <c r="H2057" t="s">
        <v>3056</v>
      </c>
      <c r="I2057">
        <v>450</v>
      </c>
      <c r="K2057">
        <v>0</v>
      </c>
    </row>
    <row r="2058" spans="1:11" hidden="1">
      <c r="A2058">
        <v>451</v>
      </c>
      <c r="B2058" t="s">
        <v>5624</v>
      </c>
      <c r="C2058" t="s">
        <v>5158</v>
      </c>
      <c r="E2058" t="s">
        <v>6289</v>
      </c>
      <c r="F2058" t="s">
        <v>4745</v>
      </c>
      <c r="H2058" t="s">
        <v>3056</v>
      </c>
      <c r="I2058">
        <v>451</v>
      </c>
      <c r="K2058">
        <v>0</v>
      </c>
    </row>
    <row r="2059" spans="1:11" hidden="1">
      <c r="A2059">
        <v>452</v>
      </c>
      <c r="B2059" t="s">
        <v>5624</v>
      </c>
      <c r="C2059" t="s">
        <v>5632</v>
      </c>
      <c r="E2059" t="s">
        <v>6289</v>
      </c>
      <c r="F2059" t="s">
        <v>5164</v>
      </c>
      <c r="H2059" t="s">
        <v>3056</v>
      </c>
      <c r="I2059">
        <v>452</v>
      </c>
      <c r="K2059">
        <v>0</v>
      </c>
    </row>
    <row r="2060" spans="1:11" hidden="1">
      <c r="A2060">
        <v>453</v>
      </c>
      <c r="B2060" t="s">
        <v>5624</v>
      </c>
      <c r="C2060" t="s">
        <v>5627</v>
      </c>
      <c r="E2060" t="s">
        <v>6289</v>
      </c>
      <c r="F2060" t="s">
        <v>5628</v>
      </c>
      <c r="H2060" t="s">
        <v>3056</v>
      </c>
      <c r="I2060">
        <v>453</v>
      </c>
      <c r="K2060">
        <v>0</v>
      </c>
    </row>
    <row r="2061" spans="1:11" hidden="1">
      <c r="A2061">
        <v>454</v>
      </c>
      <c r="B2061" t="s">
        <v>5624</v>
      </c>
      <c r="C2061" t="s">
        <v>5631</v>
      </c>
      <c r="E2061" t="s">
        <v>6289</v>
      </c>
      <c r="F2061" t="s">
        <v>5160</v>
      </c>
      <c r="H2061" t="s">
        <v>3056</v>
      </c>
      <c r="I2061">
        <v>454</v>
      </c>
      <c r="K2061">
        <v>0</v>
      </c>
    </row>
    <row r="2062" spans="1:11" hidden="1">
      <c r="A2062">
        <v>455</v>
      </c>
      <c r="B2062" t="s">
        <v>5624</v>
      </c>
      <c r="C2062" t="s">
        <v>5161</v>
      </c>
      <c r="E2062" t="s">
        <v>6289</v>
      </c>
      <c r="F2062" t="s">
        <v>5162</v>
      </c>
      <c r="H2062" t="s">
        <v>3056</v>
      </c>
      <c r="I2062">
        <v>455</v>
      </c>
      <c r="K2062">
        <v>0</v>
      </c>
    </row>
    <row r="2063" spans="1:11" hidden="1">
      <c r="A2063">
        <v>456</v>
      </c>
      <c r="B2063" t="s">
        <v>5624</v>
      </c>
      <c r="C2063" t="s">
        <v>5625</v>
      </c>
      <c r="E2063" t="s">
        <v>6289</v>
      </c>
      <c r="F2063" t="s">
        <v>5626</v>
      </c>
      <c r="H2063" t="s">
        <v>3056</v>
      </c>
      <c r="I2063">
        <v>456</v>
      </c>
      <c r="K2063">
        <v>0</v>
      </c>
    </row>
    <row r="2064" spans="1:11" hidden="1">
      <c r="A2064">
        <v>10041</v>
      </c>
      <c r="B2064" t="s">
        <v>5624</v>
      </c>
      <c r="C2064" t="s">
        <v>5629</v>
      </c>
      <c r="E2064" t="s">
        <v>6289</v>
      </c>
      <c r="F2064" t="s">
        <v>5630</v>
      </c>
      <c r="H2064" t="s">
        <v>3056</v>
      </c>
      <c r="I2064">
        <v>10041</v>
      </c>
      <c r="K2064">
        <v>0</v>
      </c>
    </row>
    <row r="2065" spans="1:11" hidden="1">
      <c r="A2065">
        <v>16190</v>
      </c>
      <c r="B2065" t="s">
        <v>5635</v>
      </c>
      <c r="C2065" t="s">
        <v>5637</v>
      </c>
      <c r="E2065" t="s">
        <v>6289</v>
      </c>
      <c r="H2065" t="s">
        <v>3056</v>
      </c>
      <c r="I2065">
        <v>16190</v>
      </c>
      <c r="K2065">
        <v>0</v>
      </c>
    </row>
    <row r="2066" spans="1:11" hidden="1">
      <c r="A2066">
        <v>16200</v>
      </c>
      <c r="B2066" t="s">
        <v>5635</v>
      </c>
      <c r="C2066" t="s">
        <v>5636</v>
      </c>
      <c r="E2066" t="s">
        <v>6289</v>
      </c>
      <c r="H2066" t="s">
        <v>3056</v>
      </c>
      <c r="I2066">
        <v>16200</v>
      </c>
      <c r="K2066">
        <v>0</v>
      </c>
    </row>
    <row r="2067" spans="1:11" hidden="1">
      <c r="A2067">
        <v>16210</v>
      </c>
      <c r="B2067" t="s">
        <v>5635</v>
      </c>
      <c r="C2067" t="s">
        <v>3935</v>
      </c>
      <c r="E2067" t="s">
        <v>6289</v>
      </c>
      <c r="H2067" t="s">
        <v>3056</v>
      </c>
      <c r="I2067">
        <v>16210</v>
      </c>
      <c r="K2067">
        <v>0</v>
      </c>
    </row>
    <row r="2068" spans="1:11" hidden="1">
      <c r="A2068">
        <v>2000000097</v>
      </c>
      <c r="B2068" t="s">
        <v>5638</v>
      </c>
      <c r="C2068" t="s">
        <v>4003</v>
      </c>
      <c r="E2068" t="s">
        <v>6289</v>
      </c>
      <c r="H2068" t="s">
        <v>3056</v>
      </c>
      <c r="I2068">
        <v>2000000097</v>
      </c>
      <c r="K2068">
        <v>0</v>
      </c>
    </row>
    <row r="2069" spans="1:11" hidden="1">
      <c r="A2069">
        <v>2000000098</v>
      </c>
      <c r="B2069" t="s">
        <v>5638</v>
      </c>
      <c r="C2069" t="s">
        <v>4002</v>
      </c>
      <c r="E2069" t="s">
        <v>6289</v>
      </c>
      <c r="H2069" t="s">
        <v>3056</v>
      </c>
      <c r="I2069">
        <v>2000000098</v>
      </c>
      <c r="K2069">
        <v>0</v>
      </c>
    </row>
    <row r="2070" spans="1:11" hidden="1">
      <c r="A2070">
        <v>1</v>
      </c>
      <c r="B2070" t="s">
        <v>60</v>
      </c>
      <c r="C2070" t="s">
        <v>3637</v>
      </c>
      <c r="E2070" t="s">
        <v>6289</v>
      </c>
      <c r="G2070">
        <v>0</v>
      </c>
      <c r="H2070" t="s">
        <v>3056</v>
      </c>
      <c r="I2070">
        <v>511</v>
      </c>
      <c r="K2070" t="s">
        <v>2972</v>
      </c>
    </row>
    <row r="2071" spans="1:11" hidden="1">
      <c r="A2071">
        <v>2</v>
      </c>
      <c r="B2071" t="s">
        <v>60</v>
      </c>
      <c r="C2071" t="s">
        <v>3638</v>
      </c>
      <c r="E2071" t="s">
        <v>6289</v>
      </c>
      <c r="F2071" t="s">
        <v>3639</v>
      </c>
      <c r="G2071">
        <v>0</v>
      </c>
      <c r="H2071" t="s">
        <v>3056</v>
      </c>
      <c r="I2071">
        <v>794</v>
      </c>
      <c r="K2071" t="s">
        <v>2972</v>
      </c>
    </row>
    <row r="2072" spans="1:11" hidden="1">
      <c r="A2072">
        <v>3</v>
      </c>
      <c r="B2072" t="s">
        <v>60</v>
      </c>
      <c r="C2072" t="s">
        <v>3640</v>
      </c>
      <c r="E2072" t="s">
        <v>6289</v>
      </c>
      <c r="F2072" t="s">
        <v>3641</v>
      </c>
      <c r="G2072">
        <v>0</v>
      </c>
      <c r="H2072" t="s">
        <v>3056</v>
      </c>
      <c r="I2072">
        <v>781</v>
      </c>
      <c r="K2072" t="s">
        <v>2972</v>
      </c>
    </row>
    <row r="2073" spans="1:11" hidden="1">
      <c r="A2073">
        <v>4</v>
      </c>
      <c r="B2073" t="s">
        <v>60</v>
      </c>
      <c r="C2073" t="s">
        <v>3642</v>
      </c>
      <c r="E2073" t="s">
        <v>6289</v>
      </c>
      <c r="F2073" t="s">
        <v>3643</v>
      </c>
      <c r="G2073">
        <v>0</v>
      </c>
      <c r="H2073" t="s">
        <v>3056</v>
      </c>
      <c r="I2073">
        <v>799</v>
      </c>
      <c r="K2073" t="s">
        <v>2972</v>
      </c>
    </row>
    <row r="2074" spans="1:11" hidden="1">
      <c r="A2074">
        <v>5</v>
      </c>
      <c r="B2074" t="s">
        <v>60</v>
      </c>
      <c r="C2074" t="s">
        <v>3644</v>
      </c>
      <c r="E2074" t="s">
        <v>6289</v>
      </c>
      <c r="F2074" t="s">
        <v>3645</v>
      </c>
      <c r="G2074">
        <v>0</v>
      </c>
      <c r="H2074" t="s">
        <v>3056</v>
      </c>
      <c r="I2074">
        <v>792</v>
      </c>
      <c r="K2074" t="s">
        <v>2972</v>
      </c>
    </row>
    <row r="2075" spans="1:11" hidden="1">
      <c r="A2075">
        <v>6</v>
      </c>
      <c r="B2075" t="s">
        <v>60</v>
      </c>
      <c r="C2075" t="s">
        <v>3132</v>
      </c>
      <c r="E2075" t="s">
        <v>6289</v>
      </c>
      <c r="F2075" t="s">
        <v>3132</v>
      </c>
      <c r="G2075">
        <v>0</v>
      </c>
      <c r="H2075" t="s">
        <v>3061</v>
      </c>
      <c r="I2075">
        <v>5709</v>
      </c>
      <c r="K2075" t="s">
        <v>2972</v>
      </c>
    </row>
    <row r="2076" spans="1:11" hidden="1">
      <c r="A2076">
        <v>7</v>
      </c>
      <c r="B2076" t="s">
        <v>60</v>
      </c>
      <c r="C2076" t="s">
        <v>3646</v>
      </c>
      <c r="E2076" t="s">
        <v>6289</v>
      </c>
      <c r="G2076">
        <v>0</v>
      </c>
      <c r="H2076" t="s">
        <v>3056</v>
      </c>
      <c r="I2076">
        <v>622</v>
      </c>
      <c r="K2076" t="s">
        <v>2972</v>
      </c>
    </row>
    <row r="2077" spans="1:11" hidden="1">
      <c r="A2077">
        <v>8</v>
      </c>
      <c r="B2077" t="s">
        <v>60</v>
      </c>
      <c r="C2077" t="s">
        <v>3647</v>
      </c>
      <c r="E2077" t="s">
        <v>6289</v>
      </c>
      <c r="G2077">
        <v>0</v>
      </c>
      <c r="H2077" t="s">
        <v>3056</v>
      </c>
      <c r="I2077">
        <v>4</v>
      </c>
      <c r="K2077" t="s">
        <v>2972</v>
      </c>
    </row>
    <row r="2078" spans="1:11" hidden="1">
      <c r="A2078">
        <v>9</v>
      </c>
      <c r="B2078" t="s">
        <v>60</v>
      </c>
      <c r="C2078" t="s">
        <v>3648</v>
      </c>
      <c r="E2078" t="s">
        <v>6289</v>
      </c>
      <c r="F2078" t="s">
        <v>3648</v>
      </c>
      <c r="G2078">
        <v>0</v>
      </c>
      <c r="H2078" t="s">
        <v>3061</v>
      </c>
      <c r="I2078">
        <v>5706</v>
      </c>
      <c r="K2078" t="s">
        <v>2972</v>
      </c>
    </row>
    <row r="2079" spans="1:11" hidden="1">
      <c r="A2079">
        <v>10</v>
      </c>
      <c r="B2079" t="s">
        <v>60</v>
      </c>
      <c r="C2079" t="s">
        <v>3649</v>
      </c>
      <c r="E2079" t="s">
        <v>6289</v>
      </c>
      <c r="F2079" t="s">
        <v>3650</v>
      </c>
      <c r="G2079">
        <v>0</v>
      </c>
      <c r="H2079" t="s">
        <v>3056</v>
      </c>
      <c r="I2079">
        <v>779</v>
      </c>
      <c r="K2079" t="s">
        <v>2972</v>
      </c>
    </row>
    <row r="2080" spans="1:11" hidden="1">
      <c r="A2080">
        <v>11</v>
      </c>
      <c r="B2080" t="s">
        <v>60</v>
      </c>
      <c r="C2080" t="s">
        <v>3651</v>
      </c>
      <c r="E2080" t="s">
        <v>6289</v>
      </c>
      <c r="G2080">
        <v>0</v>
      </c>
      <c r="H2080" t="s">
        <v>3056</v>
      </c>
      <c r="I2080">
        <v>510</v>
      </c>
      <c r="K2080" t="s">
        <v>2972</v>
      </c>
    </row>
    <row r="2081" spans="1:11" hidden="1">
      <c r="A2081">
        <v>12</v>
      </c>
      <c r="B2081" t="s">
        <v>60</v>
      </c>
      <c r="C2081" t="s">
        <v>3652</v>
      </c>
      <c r="E2081" t="s">
        <v>6289</v>
      </c>
      <c r="F2081" t="s">
        <v>3653</v>
      </c>
      <c r="G2081">
        <v>0</v>
      </c>
      <c r="H2081" t="s">
        <v>3056</v>
      </c>
      <c r="I2081">
        <v>793</v>
      </c>
      <c r="K2081" t="s">
        <v>2972</v>
      </c>
    </row>
    <row r="2082" spans="1:11" hidden="1">
      <c r="A2082">
        <v>13</v>
      </c>
      <c r="B2082" t="s">
        <v>60</v>
      </c>
      <c r="C2082" t="s">
        <v>3137</v>
      </c>
      <c r="E2082" t="s">
        <v>6289</v>
      </c>
      <c r="G2082">
        <v>0</v>
      </c>
      <c r="H2082" t="s">
        <v>3056</v>
      </c>
      <c r="I2082">
        <v>5</v>
      </c>
      <c r="K2082" t="s">
        <v>2972</v>
      </c>
    </row>
    <row r="2083" spans="1:11" hidden="1">
      <c r="A2083">
        <v>14</v>
      </c>
      <c r="B2083" t="s">
        <v>60</v>
      </c>
      <c r="C2083" t="s">
        <v>3654</v>
      </c>
      <c r="E2083" t="s">
        <v>6289</v>
      </c>
      <c r="F2083" t="s">
        <v>3655</v>
      </c>
      <c r="G2083">
        <v>0</v>
      </c>
      <c r="H2083" t="s">
        <v>3056</v>
      </c>
      <c r="I2083">
        <v>795</v>
      </c>
      <c r="K2083" t="s">
        <v>2972</v>
      </c>
    </row>
    <row r="2084" spans="1:11" hidden="1">
      <c r="A2084">
        <v>15</v>
      </c>
      <c r="B2084" t="s">
        <v>60</v>
      </c>
      <c r="C2084" t="s">
        <v>3656</v>
      </c>
      <c r="E2084" t="s">
        <v>6289</v>
      </c>
      <c r="F2084" t="s">
        <v>3657</v>
      </c>
      <c r="G2084">
        <v>0</v>
      </c>
      <c r="H2084" t="s">
        <v>3056</v>
      </c>
      <c r="I2084">
        <v>796</v>
      </c>
      <c r="K2084" t="s">
        <v>2972</v>
      </c>
    </row>
    <row r="2085" spans="1:11" hidden="1">
      <c r="A2085">
        <v>16</v>
      </c>
      <c r="B2085" t="s">
        <v>60</v>
      </c>
      <c r="C2085" t="s">
        <v>3141</v>
      </c>
      <c r="E2085" t="s">
        <v>6289</v>
      </c>
      <c r="F2085" t="s">
        <v>3141</v>
      </c>
      <c r="G2085">
        <v>0</v>
      </c>
      <c r="H2085" t="s">
        <v>3061</v>
      </c>
      <c r="I2085">
        <v>5710</v>
      </c>
      <c r="K2085" t="s">
        <v>2972</v>
      </c>
    </row>
    <row r="2086" spans="1:11" hidden="1">
      <c r="A2086">
        <v>17</v>
      </c>
      <c r="B2086" t="s">
        <v>60</v>
      </c>
      <c r="C2086" t="s">
        <v>3144</v>
      </c>
      <c r="E2086" t="s">
        <v>6289</v>
      </c>
      <c r="F2086" t="s">
        <v>3145</v>
      </c>
      <c r="G2086">
        <v>0</v>
      </c>
      <c r="H2086" t="s">
        <v>3061</v>
      </c>
      <c r="I2086">
        <v>5711</v>
      </c>
      <c r="K2086" t="s">
        <v>2972</v>
      </c>
    </row>
    <row r="2087" spans="1:11" hidden="1">
      <c r="A2087">
        <v>18</v>
      </c>
      <c r="B2087" t="s">
        <v>60</v>
      </c>
      <c r="C2087" t="s">
        <v>3658</v>
      </c>
      <c r="E2087" t="s">
        <v>6289</v>
      </c>
      <c r="F2087" t="s">
        <v>3659</v>
      </c>
      <c r="G2087">
        <v>0</v>
      </c>
      <c r="H2087" t="s">
        <v>3056</v>
      </c>
      <c r="I2087">
        <v>782</v>
      </c>
      <c r="K2087" t="s">
        <v>2972</v>
      </c>
    </row>
    <row r="2088" spans="1:11" hidden="1">
      <c r="A2088">
        <v>19</v>
      </c>
      <c r="B2088" t="s">
        <v>60</v>
      </c>
      <c r="C2088" t="s">
        <v>3069</v>
      </c>
      <c r="E2088" t="s">
        <v>6289</v>
      </c>
      <c r="F2088" t="s">
        <v>3069</v>
      </c>
      <c r="G2088">
        <v>0</v>
      </c>
      <c r="H2088" t="s">
        <v>3061</v>
      </c>
      <c r="I2088">
        <v>5708</v>
      </c>
      <c r="K2088" t="s">
        <v>2972</v>
      </c>
    </row>
    <row r="2089" spans="1:11" hidden="1">
      <c r="A2089">
        <v>20</v>
      </c>
      <c r="B2089" t="s">
        <v>60</v>
      </c>
      <c r="C2089" t="s">
        <v>451</v>
      </c>
      <c r="E2089" t="s">
        <v>6289</v>
      </c>
      <c r="F2089" t="s">
        <v>451</v>
      </c>
      <c r="G2089">
        <v>0</v>
      </c>
      <c r="H2089" t="s">
        <v>3061</v>
      </c>
      <c r="I2089">
        <v>5703</v>
      </c>
      <c r="K2089" t="s">
        <v>2972</v>
      </c>
    </row>
    <row r="2090" spans="1:11" hidden="1">
      <c r="A2090">
        <v>21</v>
      </c>
      <c r="B2090" t="s">
        <v>60</v>
      </c>
      <c r="C2090" t="s">
        <v>3660</v>
      </c>
      <c r="E2090" t="s">
        <v>6289</v>
      </c>
      <c r="G2090">
        <v>0</v>
      </c>
      <c r="H2090" t="s">
        <v>3056</v>
      </c>
      <c r="I2090">
        <v>737</v>
      </c>
      <c r="K2090" t="s">
        <v>2972</v>
      </c>
    </row>
    <row r="2091" spans="1:11" hidden="1">
      <c r="A2091">
        <v>22</v>
      </c>
      <c r="B2091" t="s">
        <v>60</v>
      </c>
      <c r="C2091" t="s">
        <v>3661</v>
      </c>
      <c r="E2091" t="s">
        <v>6289</v>
      </c>
      <c r="F2091" t="s">
        <v>3661</v>
      </c>
      <c r="G2091">
        <v>0</v>
      </c>
      <c r="H2091" t="s">
        <v>3061</v>
      </c>
      <c r="I2091">
        <v>5702</v>
      </c>
      <c r="K2091" t="s">
        <v>2972</v>
      </c>
    </row>
    <row r="2092" spans="1:11" hidden="1">
      <c r="A2092">
        <v>23</v>
      </c>
      <c r="B2092" t="s">
        <v>60</v>
      </c>
      <c r="C2092" t="s">
        <v>3662</v>
      </c>
      <c r="E2092" t="s">
        <v>6289</v>
      </c>
      <c r="G2092">
        <v>0</v>
      </c>
      <c r="H2092" t="s">
        <v>3056</v>
      </c>
      <c r="I2092">
        <v>621</v>
      </c>
      <c r="K2092" t="s">
        <v>2972</v>
      </c>
    </row>
    <row r="2093" spans="1:11" hidden="1">
      <c r="A2093">
        <v>24</v>
      </c>
      <c r="B2093" t="s">
        <v>60</v>
      </c>
      <c r="C2093" t="s">
        <v>3663</v>
      </c>
      <c r="E2093" t="s">
        <v>6289</v>
      </c>
      <c r="F2093" t="s">
        <v>3664</v>
      </c>
      <c r="G2093">
        <v>0</v>
      </c>
      <c r="H2093" t="s">
        <v>3056</v>
      </c>
      <c r="I2093">
        <v>784</v>
      </c>
      <c r="K2093" t="s">
        <v>2972</v>
      </c>
    </row>
    <row r="2094" spans="1:11" hidden="1">
      <c r="A2094">
        <v>25</v>
      </c>
      <c r="B2094" t="s">
        <v>60</v>
      </c>
      <c r="C2094" t="s">
        <v>3665</v>
      </c>
      <c r="E2094" t="s">
        <v>6289</v>
      </c>
      <c r="F2094" t="s">
        <v>3666</v>
      </c>
      <c r="G2094">
        <v>0</v>
      </c>
      <c r="H2094" t="s">
        <v>3056</v>
      </c>
      <c r="I2094">
        <v>785</v>
      </c>
      <c r="K2094" t="s">
        <v>2972</v>
      </c>
    </row>
    <row r="2095" spans="1:11" hidden="1">
      <c r="A2095">
        <v>26</v>
      </c>
      <c r="B2095" t="s">
        <v>60</v>
      </c>
      <c r="C2095" t="s">
        <v>3667</v>
      </c>
      <c r="E2095" t="s">
        <v>6289</v>
      </c>
      <c r="F2095" t="s">
        <v>3668</v>
      </c>
      <c r="G2095">
        <v>0</v>
      </c>
      <c r="H2095" t="s">
        <v>3056</v>
      </c>
      <c r="I2095">
        <v>797</v>
      </c>
      <c r="K2095" t="s">
        <v>2972</v>
      </c>
    </row>
    <row r="2096" spans="1:11" hidden="1">
      <c r="A2096">
        <v>27</v>
      </c>
      <c r="B2096" t="s">
        <v>60</v>
      </c>
      <c r="C2096" t="s">
        <v>3669</v>
      </c>
      <c r="E2096" t="s">
        <v>6289</v>
      </c>
      <c r="F2096" t="s">
        <v>3670</v>
      </c>
      <c r="G2096">
        <v>0</v>
      </c>
      <c r="H2096" t="s">
        <v>3056</v>
      </c>
      <c r="I2096">
        <v>798</v>
      </c>
      <c r="K2096" t="s">
        <v>2972</v>
      </c>
    </row>
    <row r="2097" spans="1:11" hidden="1">
      <c r="A2097">
        <v>28</v>
      </c>
      <c r="B2097" t="s">
        <v>60</v>
      </c>
      <c r="C2097" t="s">
        <v>3671</v>
      </c>
      <c r="E2097" t="s">
        <v>6289</v>
      </c>
      <c r="F2097" t="s">
        <v>3672</v>
      </c>
      <c r="G2097">
        <v>0</v>
      </c>
      <c r="H2097" t="s">
        <v>3056</v>
      </c>
      <c r="I2097">
        <v>783</v>
      </c>
      <c r="K2097" t="s">
        <v>2972</v>
      </c>
    </row>
    <row r="2098" spans="1:11" hidden="1">
      <c r="A2098">
        <v>29</v>
      </c>
      <c r="B2098" t="s">
        <v>60</v>
      </c>
      <c r="C2098" t="s">
        <v>3673</v>
      </c>
      <c r="E2098" t="s">
        <v>6289</v>
      </c>
      <c r="F2098" t="s">
        <v>3673</v>
      </c>
      <c r="G2098">
        <v>0</v>
      </c>
      <c r="H2098" t="s">
        <v>3061</v>
      </c>
      <c r="I2098">
        <v>5701</v>
      </c>
      <c r="K2098" t="s">
        <v>2972</v>
      </c>
    </row>
    <row r="2099" spans="1:11" hidden="1">
      <c r="A2099">
        <v>30</v>
      </c>
      <c r="B2099" t="s">
        <v>60</v>
      </c>
      <c r="C2099" t="s">
        <v>3674</v>
      </c>
      <c r="E2099" t="s">
        <v>6289</v>
      </c>
      <c r="F2099" t="s">
        <v>3674</v>
      </c>
      <c r="G2099">
        <v>0</v>
      </c>
      <c r="H2099" t="s">
        <v>3061</v>
      </c>
      <c r="I2099">
        <v>5704</v>
      </c>
      <c r="K2099" t="s">
        <v>2972</v>
      </c>
    </row>
    <row r="2100" spans="1:11" hidden="1">
      <c r="A2100">
        <v>31</v>
      </c>
      <c r="B2100" t="s">
        <v>60</v>
      </c>
      <c r="C2100" t="s">
        <v>3675</v>
      </c>
      <c r="E2100" t="s">
        <v>6289</v>
      </c>
      <c r="F2100" t="s">
        <v>3676</v>
      </c>
      <c r="G2100">
        <v>0</v>
      </c>
      <c r="H2100" t="s">
        <v>3056</v>
      </c>
      <c r="I2100">
        <v>780</v>
      </c>
      <c r="K2100" t="s">
        <v>2972</v>
      </c>
    </row>
    <row r="2101" spans="1:11" hidden="1">
      <c r="A2101">
        <v>32</v>
      </c>
      <c r="B2101" t="s">
        <v>60</v>
      </c>
      <c r="C2101" t="s">
        <v>3677</v>
      </c>
      <c r="E2101" t="s">
        <v>6289</v>
      </c>
      <c r="F2101" t="s">
        <v>3678</v>
      </c>
      <c r="G2101">
        <v>0</v>
      </c>
      <c r="H2101" t="s">
        <v>3056</v>
      </c>
      <c r="I2101">
        <v>788</v>
      </c>
      <c r="K2101" t="s">
        <v>2972</v>
      </c>
    </row>
    <row r="2102" spans="1:11" hidden="1">
      <c r="A2102">
        <v>33</v>
      </c>
      <c r="B2102" t="s">
        <v>60</v>
      </c>
      <c r="C2102" t="s">
        <v>3679</v>
      </c>
      <c r="E2102" t="s">
        <v>6289</v>
      </c>
      <c r="F2102" t="s">
        <v>3680</v>
      </c>
      <c r="G2102">
        <v>0</v>
      </c>
      <c r="H2102" t="s">
        <v>3056</v>
      </c>
      <c r="I2102">
        <v>787</v>
      </c>
      <c r="K2102" t="s">
        <v>2972</v>
      </c>
    </row>
    <row r="2103" spans="1:11" hidden="1">
      <c r="A2103">
        <v>34</v>
      </c>
      <c r="B2103" t="s">
        <v>60</v>
      </c>
      <c r="C2103" t="s">
        <v>3681</v>
      </c>
      <c r="E2103" t="s">
        <v>6289</v>
      </c>
      <c r="F2103" t="s">
        <v>3681</v>
      </c>
      <c r="G2103">
        <v>0</v>
      </c>
      <c r="H2103" t="s">
        <v>3061</v>
      </c>
      <c r="I2103">
        <v>5700</v>
      </c>
      <c r="K2103" t="s">
        <v>2972</v>
      </c>
    </row>
    <row r="2104" spans="1:11" hidden="1">
      <c r="A2104">
        <v>35</v>
      </c>
      <c r="B2104" t="s">
        <v>60</v>
      </c>
      <c r="C2104" t="s">
        <v>3682</v>
      </c>
      <c r="E2104" t="s">
        <v>6289</v>
      </c>
      <c r="F2104" t="s">
        <v>3682</v>
      </c>
      <c r="G2104">
        <v>0</v>
      </c>
      <c r="H2104" t="s">
        <v>3061</v>
      </c>
      <c r="I2104">
        <v>5707</v>
      </c>
      <c r="K2104" t="s">
        <v>2972</v>
      </c>
    </row>
    <row r="2105" spans="1:11" hidden="1">
      <c r="A2105">
        <v>36</v>
      </c>
      <c r="B2105" t="s">
        <v>60</v>
      </c>
      <c r="C2105" t="s">
        <v>3683</v>
      </c>
      <c r="E2105" t="s">
        <v>6289</v>
      </c>
      <c r="F2105" t="s">
        <v>3683</v>
      </c>
      <c r="G2105">
        <v>0</v>
      </c>
      <c r="H2105" t="s">
        <v>3061</v>
      </c>
      <c r="I2105">
        <v>5705</v>
      </c>
      <c r="K2105" t="s">
        <v>2972</v>
      </c>
    </row>
    <row r="2106" spans="1:11" hidden="1">
      <c r="A2106">
        <v>37</v>
      </c>
      <c r="B2106" t="s">
        <v>60</v>
      </c>
      <c r="C2106" t="s">
        <v>3684</v>
      </c>
      <c r="E2106" t="s">
        <v>6289</v>
      </c>
      <c r="F2106" t="s">
        <v>3685</v>
      </c>
      <c r="G2106">
        <v>0</v>
      </c>
      <c r="H2106" t="s">
        <v>3056</v>
      </c>
      <c r="I2106">
        <v>790</v>
      </c>
      <c r="K2106" t="s">
        <v>2972</v>
      </c>
    </row>
    <row r="2107" spans="1:11" hidden="1">
      <c r="A2107">
        <v>38</v>
      </c>
      <c r="B2107" t="s">
        <v>60</v>
      </c>
      <c r="C2107" t="s">
        <v>3686</v>
      </c>
      <c r="E2107" t="s">
        <v>6289</v>
      </c>
      <c r="G2107">
        <v>0</v>
      </c>
      <c r="H2107" t="s">
        <v>3056</v>
      </c>
      <c r="I2107">
        <v>509</v>
      </c>
      <c r="K2107" t="s">
        <v>2972</v>
      </c>
    </row>
    <row r="2108" spans="1:11" hidden="1">
      <c r="A2108">
        <v>39</v>
      </c>
      <c r="B2108" t="s">
        <v>60</v>
      </c>
      <c r="C2108" t="s">
        <v>3687</v>
      </c>
      <c r="E2108" t="s">
        <v>6289</v>
      </c>
      <c r="G2108">
        <v>0</v>
      </c>
      <c r="H2108" t="s">
        <v>3056</v>
      </c>
      <c r="I2108">
        <v>778</v>
      </c>
      <c r="K2108" t="s">
        <v>2972</v>
      </c>
    </row>
    <row r="2109" spans="1:11" hidden="1">
      <c r="A2109">
        <v>40</v>
      </c>
      <c r="B2109" t="s">
        <v>60</v>
      </c>
      <c r="C2109" t="s">
        <v>3688</v>
      </c>
      <c r="E2109" t="s">
        <v>6289</v>
      </c>
      <c r="F2109" t="s">
        <v>3689</v>
      </c>
      <c r="G2109">
        <v>0</v>
      </c>
      <c r="H2109" t="s">
        <v>3056</v>
      </c>
      <c r="I2109">
        <v>786</v>
      </c>
      <c r="K2109" t="s">
        <v>2972</v>
      </c>
    </row>
    <row r="2110" spans="1:11" hidden="1">
      <c r="A2110">
        <v>41</v>
      </c>
      <c r="B2110" t="s">
        <v>60</v>
      </c>
      <c r="C2110" t="s">
        <v>3690</v>
      </c>
      <c r="E2110" t="s">
        <v>6289</v>
      </c>
      <c r="F2110" t="s">
        <v>3691</v>
      </c>
      <c r="G2110">
        <v>0</v>
      </c>
      <c r="H2110" t="s">
        <v>3056</v>
      </c>
      <c r="I2110">
        <v>791</v>
      </c>
      <c r="K2110" t="s">
        <v>2972</v>
      </c>
    </row>
    <row r="2111" spans="1:11" hidden="1">
      <c r="A2111">
        <v>42</v>
      </c>
      <c r="B2111" t="s">
        <v>60</v>
      </c>
      <c r="C2111" t="s">
        <v>3161</v>
      </c>
      <c r="E2111" t="s">
        <v>6289</v>
      </c>
      <c r="G2111">
        <v>0</v>
      </c>
      <c r="H2111" t="s">
        <v>3056</v>
      </c>
      <c r="I2111">
        <v>6</v>
      </c>
      <c r="K2111" t="s">
        <v>2972</v>
      </c>
    </row>
    <row r="2112" spans="1:11" hidden="1">
      <c r="A2112">
        <v>43</v>
      </c>
      <c r="B2112" t="s">
        <v>60</v>
      </c>
      <c r="C2112" t="s">
        <v>3692</v>
      </c>
      <c r="E2112" t="s">
        <v>6289</v>
      </c>
      <c r="F2112" t="s">
        <v>3693</v>
      </c>
      <c r="G2112">
        <v>0</v>
      </c>
      <c r="H2112" t="s">
        <v>3056</v>
      </c>
      <c r="I2112">
        <v>789</v>
      </c>
      <c r="K2112" t="s">
        <v>2972</v>
      </c>
    </row>
    <row r="2113" spans="1:11" hidden="1">
      <c r="A2113">
        <v>44</v>
      </c>
      <c r="B2113" t="s">
        <v>60</v>
      </c>
      <c r="C2113" t="s">
        <v>3694</v>
      </c>
      <c r="E2113" t="s">
        <v>6289</v>
      </c>
      <c r="G2113">
        <v>0</v>
      </c>
      <c r="H2113" t="s">
        <v>3056</v>
      </c>
      <c r="I2113">
        <v>732</v>
      </c>
      <c r="K2113" t="s">
        <v>2972</v>
      </c>
    </row>
    <row r="2114" spans="1:11" hidden="1">
      <c r="A2114">
        <v>1100</v>
      </c>
      <c r="B2114" t="s">
        <v>5639</v>
      </c>
      <c r="C2114" t="s">
        <v>3088</v>
      </c>
      <c r="D2114">
        <v>0</v>
      </c>
      <c r="E2114" t="s">
        <v>6289</v>
      </c>
      <c r="H2114" t="s">
        <v>3056</v>
      </c>
      <c r="I2114">
        <v>1100</v>
      </c>
      <c r="K2114">
        <v>0</v>
      </c>
    </row>
    <row r="2115" spans="1:11" hidden="1">
      <c r="A2115">
        <v>1101</v>
      </c>
      <c r="B2115" t="s">
        <v>5639</v>
      </c>
      <c r="C2115" t="s">
        <v>3072</v>
      </c>
      <c r="D2115">
        <v>1</v>
      </c>
      <c r="E2115" t="s">
        <v>6289</v>
      </c>
      <c r="H2115" t="s">
        <v>3056</v>
      </c>
      <c r="I2115">
        <v>1101</v>
      </c>
      <c r="K2115">
        <v>0</v>
      </c>
    </row>
    <row r="2116" spans="1:11" hidden="1">
      <c r="A2116">
        <v>719</v>
      </c>
      <c r="B2116" t="s">
        <v>5640</v>
      </c>
      <c r="C2116" t="s">
        <v>3903</v>
      </c>
      <c r="E2116" t="s">
        <v>6289</v>
      </c>
      <c r="F2116" t="s">
        <v>155</v>
      </c>
      <c r="H2116" t="s">
        <v>3056</v>
      </c>
      <c r="I2116">
        <v>719</v>
      </c>
      <c r="K2116">
        <v>0</v>
      </c>
    </row>
    <row r="2117" spans="1:11" hidden="1">
      <c r="A2117">
        <v>720</v>
      </c>
      <c r="B2117" t="s">
        <v>5640</v>
      </c>
      <c r="C2117" t="s">
        <v>3906</v>
      </c>
      <c r="E2117" t="s">
        <v>6289</v>
      </c>
      <c r="F2117" t="s">
        <v>3907</v>
      </c>
      <c r="H2117" t="s">
        <v>3056</v>
      </c>
      <c r="I2117">
        <v>720</v>
      </c>
      <c r="K2117">
        <v>0</v>
      </c>
    </row>
    <row r="2118" spans="1:11" hidden="1">
      <c r="A2118">
        <v>736</v>
      </c>
      <c r="B2118" t="s">
        <v>5640</v>
      </c>
      <c r="C2118" t="s">
        <v>3635</v>
      </c>
      <c r="E2118" t="s">
        <v>6289</v>
      </c>
      <c r="F2118" t="s">
        <v>3141</v>
      </c>
      <c r="H2118" t="s">
        <v>3056</v>
      </c>
      <c r="I2118">
        <v>736</v>
      </c>
      <c r="K2118">
        <v>0</v>
      </c>
    </row>
    <row r="2119" spans="1:11" hidden="1">
      <c r="A2119">
        <v>5801</v>
      </c>
      <c r="B2119" t="s">
        <v>5641</v>
      </c>
      <c r="C2119" t="s">
        <v>5645</v>
      </c>
      <c r="E2119" t="s">
        <v>6289</v>
      </c>
      <c r="F2119" t="s">
        <v>4616</v>
      </c>
      <c r="H2119" t="s">
        <v>3061</v>
      </c>
      <c r="I2119">
        <v>5801</v>
      </c>
      <c r="K2119">
        <v>0</v>
      </c>
    </row>
    <row r="2120" spans="1:11" hidden="1">
      <c r="A2120">
        <v>5802</v>
      </c>
      <c r="B2120" t="s">
        <v>5641</v>
      </c>
      <c r="C2120" t="s">
        <v>5644</v>
      </c>
      <c r="E2120" t="s">
        <v>6289</v>
      </c>
      <c r="F2120" t="s">
        <v>3889</v>
      </c>
      <c r="H2120" t="s">
        <v>3061</v>
      </c>
      <c r="I2120">
        <v>5802</v>
      </c>
      <c r="K2120">
        <v>0</v>
      </c>
    </row>
    <row r="2121" spans="1:11" hidden="1">
      <c r="A2121">
        <v>5803</v>
      </c>
      <c r="B2121" t="s">
        <v>5641</v>
      </c>
      <c r="C2121" t="s">
        <v>5643</v>
      </c>
      <c r="E2121" t="s">
        <v>6289</v>
      </c>
      <c r="F2121" t="s">
        <v>4608</v>
      </c>
      <c r="H2121" t="s">
        <v>3061</v>
      </c>
      <c r="I2121">
        <v>5803</v>
      </c>
      <c r="K2121">
        <v>0</v>
      </c>
    </row>
    <row r="2122" spans="1:11" hidden="1">
      <c r="A2122">
        <v>5804</v>
      </c>
      <c r="B2122" t="s">
        <v>5641</v>
      </c>
      <c r="C2122" t="s">
        <v>5642</v>
      </c>
      <c r="E2122" t="s">
        <v>6289</v>
      </c>
      <c r="F2122" t="s">
        <v>3848</v>
      </c>
      <c r="H2122" t="s">
        <v>3061</v>
      </c>
      <c r="I2122">
        <v>5804</v>
      </c>
      <c r="K2122">
        <v>0</v>
      </c>
    </row>
    <row r="2123" spans="1:11" hidden="1">
      <c r="A2123">
        <v>100125</v>
      </c>
      <c r="B2123" t="s">
        <v>5646</v>
      </c>
      <c r="C2123" t="s">
        <v>5647</v>
      </c>
      <c r="E2123" t="s">
        <v>6289</v>
      </c>
      <c r="F2123" t="s">
        <v>5648</v>
      </c>
      <c r="H2123" t="s">
        <v>3056</v>
      </c>
      <c r="I2123">
        <v>100125</v>
      </c>
      <c r="K2123">
        <v>0</v>
      </c>
    </row>
    <row r="2124" spans="1:11" hidden="1">
      <c r="A2124">
        <v>100126</v>
      </c>
      <c r="B2124" t="s">
        <v>5646</v>
      </c>
      <c r="C2124" t="s">
        <v>5649</v>
      </c>
      <c r="E2124" t="s">
        <v>6289</v>
      </c>
      <c r="F2124" t="s">
        <v>5650</v>
      </c>
      <c r="H2124" t="s">
        <v>3056</v>
      </c>
      <c r="I2124">
        <v>100126</v>
      </c>
      <c r="K2124">
        <v>0</v>
      </c>
    </row>
    <row r="2125" spans="1:11" hidden="1">
      <c r="A2125">
        <v>100127</v>
      </c>
      <c r="B2125" t="s">
        <v>5646</v>
      </c>
      <c r="C2125" t="s">
        <v>5664</v>
      </c>
      <c r="E2125" t="s">
        <v>6289</v>
      </c>
      <c r="F2125" t="s">
        <v>5665</v>
      </c>
      <c r="H2125" t="s">
        <v>3056</v>
      </c>
      <c r="I2125">
        <v>100127</v>
      </c>
      <c r="K2125">
        <v>0</v>
      </c>
    </row>
    <row r="2126" spans="1:11" hidden="1">
      <c r="A2126">
        <v>100128</v>
      </c>
      <c r="B2126" t="s">
        <v>5646</v>
      </c>
      <c r="C2126" t="s">
        <v>5666</v>
      </c>
      <c r="E2126" t="s">
        <v>6289</v>
      </c>
      <c r="F2126" t="s">
        <v>5667</v>
      </c>
      <c r="H2126" t="s">
        <v>3056</v>
      </c>
      <c r="I2126">
        <v>100128</v>
      </c>
      <c r="K2126">
        <v>0</v>
      </c>
    </row>
    <row r="2127" spans="1:11" hidden="1">
      <c r="A2127">
        <v>100129</v>
      </c>
      <c r="B2127" t="s">
        <v>5646</v>
      </c>
      <c r="C2127" t="s">
        <v>5660</v>
      </c>
      <c r="E2127" t="s">
        <v>6289</v>
      </c>
      <c r="F2127" t="s">
        <v>5661</v>
      </c>
      <c r="H2127" t="s">
        <v>3056</v>
      </c>
      <c r="I2127">
        <v>100129</v>
      </c>
      <c r="K2127">
        <v>0</v>
      </c>
    </row>
    <row r="2128" spans="1:11" hidden="1">
      <c r="A2128">
        <v>100130</v>
      </c>
      <c r="B2128" t="s">
        <v>5646</v>
      </c>
      <c r="C2128" t="s">
        <v>5662</v>
      </c>
      <c r="E2128" t="s">
        <v>6289</v>
      </c>
      <c r="F2128" t="s">
        <v>5663</v>
      </c>
      <c r="H2128" t="s">
        <v>3056</v>
      </c>
      <c r="I2128">
        <v>100130</v>
      </c>
      <c r="K2128">
        <v>0</v>
      </c>
    </row>
    <row r="2129" spans="1:11" hidden="1">
      <c r="A2129">
        <v>100131</v>
      </c>
      <c r="B2129" t="s">
        <v>5646</v>
      </c>
      <c r="C2129" t="s">
        <v>5651</v>
      </c>
      <c r="E2129" t="s">
        <v>6289</v>
      </c>
      <c r="F2129" t="s">
        <v>5652</v>
      </c>
      <c r="H2129" t="s">
        <v>3056</v>
      </c>
      <c r="I2129">
        <v>100131</v>
      </c>
      <c r="K2129">
        <v>0</v>
      </c>
    </row>
    <row r="2130" spans="1:11" hidden="1">
      <c r="A2130">
        <v>100132</v>
      </c>
      <c r="B2130" t="s">
        <v>5646</v>
      </c>
      <c r="C2130" t="s">
        <v>5653</v>
      </c>
      <c r="E2130" t="s">
        <v>6289</v>
      </c>
      <c r="F2130" t="s">
        <v>5654</v>
      </c>
      <c r="H2130" t="s">
        <v>3056</v>
      </c>
      <c r="I2130">
        <v>100132</v>
      </c>
      <c r="K2130">
        <v>0</v>
      </c>
    </row>
    <row r="2131" spans="1:11" hidden="1">
      <c r="A2131">
        <v>100133</v>
      </c>
      <c r="B2131" t="s">
        <v>5646</v>
      </c>
      <c r="C2131" t="s">
        <v>5668</v>
      </c>
      <c r="E2131" t="s">
        <v>6289</v>
      </c>
      <c r="F2131" t="s">
        <v>5669</v>
      </c>
      <c r="H2131" t="s">
        <v>3056</v>
      </c>
      <c r="I2131">
        <v>100133</v>
      </c>
      <c r="K2131">
        <v>0</v>
      </c>
    </row>
    <row r="2132" spans="1:11" hidden="1">
      <c r="A2132">
        <v>100134</v>
      </c>
      <c r="B2132" t="s">
        <v>5646</v>
      </c>
      <c r="C2132" t="s">
        <v>5670</v>
      </c>
      <c r="E2132" t="s">
        <v>6289</v>
      </c>
      <c r="F2132" t="s">
        <v>5671</v>
      </c>
      <c r="H2132" t="s">
        <v>3056</v>
      </c>
      <c r="I2132">
        <v>100134</v>
      </c>
      <c r="K2132">
        <v>0</v>
      </c>
    </row>
    <row r="2133" spans="1:11" hidden="1">
      <c r="A2133">
        <v>100135</v>
      </c>
      <c r="B2133" t="s">
        <v>5646</v>
      </c>
      <c r="C2133" t="s">
        <v>5672</v>
      </c>
      <c r="E2133" t="s">
        <v>6289</v>
      </c>
      <c r="F2133" t="s">
        <v>5673</v>
      </c>
      <c r="H2133" t="s">
        <v>3056</v>
      </c>
      <c r="I2133">
        <v>100135</v>
      </c>
      <c r="K2133">
        <v>0</v>
      </c>
    </row>
    <row r="2134" spans="1:11" hidden="1">
      <c r="A2134">
        <v>100136</v>
      </c>
      <c r="B2134" t="s">
        <v>5646</v>
      </c>
      <c r="C2134" t="s">
        <v>5657</v>
      </c>
      <c r="E2134" t="s">
        <v>6289</v>
      </c>
      <c r="F2134" t="s">
        <v>3953</v>
      </c>
      <c r="H2134" t="s">
        <v>3056</v>
      </c>
      <c r="I2134">
        <v>100136</v>
      </c>
      <c r="K2134">
        <v>0</v>
      </c>
    </row>
    <row r="2135" spans="1:11" hidden="1">
      <c r="A2135">
        <v>100137</v>
      </c>
      <c r="B2135" t="s">
        <v>5646</v>
      </c>
      <c r="C2135" t="s">
        <v>5655</v>
      </c>
      <c r="E2135" t="s">
        <v>6289</v>
      </c>
      <c r="F2135" t="s">
        <v>5656</v>
      </c>
      <c r="H2135" t="s">
        <v>3056</v>
      </c>
      <c r="I2135">
        <v>100137</v>
      </c>
      <c r="K2135">
        <v>0</v>
      </c>
    </row>
    <row r="2136" spans="1:11" hidden="1">
      <c r="A2136">
        <v>100140</v>
      </c>
      <c r="B2136" t="s">
        <v>5646</v>
      </c>
      <c r="C2136" t="s">
        <v>5658</v>
      </c>
      <c r="E2136" t="s">
        <v>6289</v>
      </c>
      <c r="F2136" t="s">
        <v>3801</v>
      </c>
      <c r="H2136" t="s">
        <v>3056</v>
      </c>
      <c r="I2136">
        <v>100140</v>
      </c>
      <c r="K2136">
        <v>0</v>
      </c>
    </row>
    <row r="2137" spans="1:11" hidden="1">
      <c r="A2137">
        <v>100145</v>
      </c>
      <c r="B2137" t="s">
        <v>5646</v>
      </c>
      <c r="C2137" t="s">
        <v>5659</v>
      </c>
      <c r="E2137" t="s">
        <v>6289</v>
      </c>
      <c r="F2137" t="s">
        <v>3471</v>
      </c>
      <c r="H2137" t="s">
        <v>3056</v>
      </c>
      <c r="I2137">
        <v>100145</v>
      </c>
      <c r="K2137">
        <v>0</v>
      </c>
    </row>
    <row r="2138" spans="1:11" hidden="1">
      <c r="A2138">
        <v>12040</v>
      </c>
      <c r="B2138" t="s">
        <v>5674</v>
      </c>
      <c r="C2138" t="s">
        <v>3789</v>
      </c>
      <c r="E2138" t="s">
        <v>6289</v>
      </c>
      <c r="H2138" t="s">
        <v>3056</v>
      </c>
      <c r="I2138">
        <v>12040</v>
      </c>
      <c r="K2138">
        <v>0</v>
      </c>
    </row>
    <row r="2139" spans="1:11" hidden="1">
      <c r="A2139">
        <v>12050</v>
      </c>
      <c r="B2139" t="s">
        <v>5674</v>
      </c>
      <c r="C2139" t="s">
        <v>4042</v>
      </c>
      <c r="E2139" t="s">
        <v>6289</v>
      </c>
      <c r="H2139" t="s">
        <v>3056</v>
      </c>
      <c r="I2139">
        <v>12050</v>
      </c>
      <c r="K2139">
        <v>0</v>
      </c>
    </row>
    <row r="2140" spans="1:11" hidden="1">
      <c r="A2140">
        <v>12060</v>
      </c>
      <c r="B2140" t="s">
        <v>5674</v>
      </c>
      <c r="C2140" t="s">
        <v>4043</v>
      </c>
      <c r="E2140" t="s">
        <v>6289</v>
      </c>
      <c r="H2140" t="s">
        <v>3056</v>
      </c>
      <c r="I2140">
        <v>12060</v>
      </c>
      <c r="K2140">
        <v>0</v>
      </c>
    </row>
    <row r="2141" spans="1:11" hidden="1">
      <c r="A2141">
        <v>12070</v>
      </c>
      <c r="B2141" t="s">
        <v>5674</v>
      </c>
      <c r="C2141" t="s">
        <v>4033</v>
      </c>
      <c r="E2141" t="s">
        <v>6289</v>
      </c>
      <c r="H2141" t="s">
        <v>3056</v>
      </c>
      <c r="I2141">
        <v>12070</v>
      </c>
      <c r="K2141">
        <v>0</v>
      </c>
    </row>
    <row r="2142" spans="1:11" hidden="1">
      <c r="A2142">
        <v>12080</v>
      </c>
      <c r="B2142" t="s">
        <v>5675</v>
      </c>
      <c r="C2142" t="s">
        <v>132</v>
      </c>
      <c r="E2142" t="s">
        <v>6289</v>
      </c>
      <c r="H2142" t="s">
        <v>3056</v>
      </c>
      <c r="I2142">
        <v>12080</v>
      </c>
      <c r="K2142">
        <v>0</v>
      </c>
    </row>
    <row r="2143" spans="1:11" hidden="1">
      <c r="A2143">
        <v>12090</v>
      </c>
      <c r="B2143" t="s">
        <v>5675</v>
      </c>
      <c r="C2143" t="s">
        <v>3057</v>
      </c>
      <c r="E2143" t="s">
        <v>6289</v>
      </c>
      <c r="H2143" t="s">
        <v>3056</v>
      </c>
      <c r="I2143">
        <v>12090</v>
      </c>
      <c r="K2143">
        <v>0</v>
      </c>
    </row>
    <row r="2144" spans="1:11" hidden="1">
      <c r="A2144">
        <v>12100</v>
      </c>
      <c r="B2144" t="s">
        <v>5675</v>
      </c>
      <c r="C2144" t="s">
        <v>3449</v>
      </c>
      <c r="E2144" t="s">
        <v>6289</v>
      </c>
      <c r="H2144" t="s">
        <v>3056</v>
      </c>
      <c r="I2144">
        <v>12100</v>
      </c>
      <c r="K2144">
        <v>0</v>
      </c>
    </row>
    <row r="2145" spans="1:11" hidden="1">
      <c r="A2145">
        <v>12110</v>
      </c>
      <c r="B2145" t="s">
        <v>5675</v>
      </c>
      <c r="C2145" t="s">
        <v>3088</v>
      </c>
      <c r="E2145" t="s">
        <v>6289</v>
      </c>
      <c r="H2145" t="s">
        <v>3056</v>
      </c>
      <c r="I2145">
        <v>12110</v>
      </c>
      <c r="K2145">
        <v>0</v>
      </c>
    </row>
    <row r="2146" spans="1:11" hidden="1">
      <c r="A2146">
        <v>1</v>
      </c>
      <c r="B2146" t="s">
        <v>3695</v>
      </c>
      <c r="C2146" t="s">
        <v>3696</v>
      </c>
      <c r="E2146" t="s">
        <v>6289</v>
      </c>
      <c r="F2146" t="s">
        <v>3697</v>
      </c>
      <c r="G2146">
        <v>0</v>
      </c>
      <c r="H2146" t="s">
        <v>3056</v>
      </c>
      <c r="I2146">
        <v>4000</v>
      </c>
      <c r="K2146" t="s">
        <v>2972</v>
      </c>
    </row>
    <row r="2147" spans="1:11" hidden="1">
      <c r="A2147">
        <v>2</v>
      </c>
      <c r="B2147" t="s">
        <v>3695</v>
      </c>
      <c r="C2147" t="s">
        <v>3698</v>
      </c>
      <c r="E2147" t="s">
        <v>6289</v>
      </c>
      <c r="F2147" t="s">
        <v>3352</v>
      </c>
      <c r="G2147">
        <v>0</v>
      </c>
      <c r="H2147" t="s">
        <v>3056</v>
      </c>
      <c r="I2147">
        <v>4001</v>
      </c>
      <c r="K2147" t="s">
        <v>2972</v>
      </c>
    </row>
    <row r="2148" spans="1:11" hidden="1">
      <c r="A2148">
        <v>3</v>
      </c>
      <c r="B2148" t="s">
        <v>3695</v>
      </c>
      <c r="C2148" t="s">
        <v>3699</v>
      </c>
      <c r="E2148" t="s">
        <v>6289</v>
      </c>
      <c r="F2148" t="s">
        <v>3358</v>
      </c>
      <c r="G2148">
        <v>0</v>
      </c>
      <c r="H2148" t="s">
        <v>3056</v>
      </c>
      <c r="I2148">
        <v>4002</v>
      </c>
      <c r="K2148" t="s">
        <v>2972</v>
      </c>
    </row>
    <row r="2149" spans="1:11" hidden="1">
      <c r="A2149">
        <v>5543</v>
      </c>
      <c r="B2149" t="s">
        <v>5676</v>
      </c>
      <c r="C2149" t="s">
        <v>5678</v>
      </c>
      <c r="E2149" t="s">
        <v>6289</v>
      </c>
      <c r="H2149" t="s">
        <v>3061</v>
      </c>
      <c r="I2149">
        <v>5543</v>
      </c>
      <c r="K2149">
        <v>0</v>
      </c>
    </row>
    <row r="2150" spans="1:11" hidden="1">
      <c r="A2150">
        <v>5544</v>
      </c>
      <c r="B2150" t="s">
        <v>5676</v>
      </c>
      <c r="C2150" t="s">
        <v>5679</v>
      </c>
      <c r="E2150" t="s">
        <v>6289</v>
      </c>
      <c r="H2150" t="s">
        <v>3061</v>
      </c>
      <c r="I2150">
        <v>5544</v>
      </c>
      <c r="K2150">
        <v>0</v>
      </c>
    </row>
    <row r="2151" spans="1:11" hidden="1">
      <c r="A2151">
        <v>5545</v>
      </c>
      <c r="B2151" t="s">
        <v>5676</v>
      </c>
      <c r="C2151" t="s">
        <v>5680</v>
      </c>
      <c r="E2151" t="s">
        <v>6289</v>
      </c>
      <c r="H2151" t="s">
        <v>3061</v>
      </c>
      <c r="I2151">
        <v>5545</v>
      </c>
      <c r="K2151">
        <v>0</v>
      </c>
    </row>
    <row r="2152" spans="1:11" hidden="1">
      <c r="A2152">
        <v>5546</v>
      </c>
      <c r="B2152" t="s">
        <v>5676</v>
      </c>
      <c r="C2152" t="s">
        <v>5677</v>
      </c>
      <c r="E2152" t="s">
        <v>6289</v>
      </c>
      <c r="H2152" t="s">
        <v>3061</v>
      </c>
      <c r="I2152">
        <v>5546</v>
      </c>
      <c r="K2152">
        <v>0</v>
      </c>
    </row>
    <row r="2153" spans="1:11" hidden="1">
      <c r="A2153">
        <v>5547</v>
      </c>
      <c r="B2153" t="s">
        <v>5681</v>
      </c>
      <c r="C2153" t="s">
        <v>5682</v>
      </c>
      <c r="E2153" t="s">
        <v>6289</v>
      </c>
      <c r="H2153" t="s">
        <v>3061</v>
      </c>
      <c r="I2153">
        <v>5547</v>
      </c>
      <c r="K2153">
        <v>0</v>
      </c>
    </row>
    <row r="2154" spans="1:11" hidden="1">
      <c r="A2154">
        <v>5548</v>
      </c>
      <c r="B2154" t="s">
        <v>5681</v>
      </c>
      <c r="C2154" t="s">
        <v>5684</v>
      </c>
      <c r="E2154" t="s">
        <v>6289</v>
      </c>
      <c r="H2154" t="s">
        <v>3061</v>
      </c>
      <c r="I2154">
        <v>5548</v>
      </c>
      <c r="K2154">
        <v>0</v>
      </c>
    </row>
    <row r="2155" spans="1:11" hidden="1">
      <c r="A2155">
        <v>5549</v>
      </c>
      <c r="B2155" t="s">
        <v>5681</v>
      </c>
      <c r="C2155" t="s">
        <v>5683</v>
      </c>
      <c r="E2155" t="s">
        <v>6289</v>
      </c>
      <c r="H2155" t="s">
        <v>3061</v>
      </c>
      <c r="I2155">
        <v>5549</v>
      </c>
      <c r="K2155">
        <v>0</v>
      </c>
    </row>
    <row r="2156" spans="1:11" hidden="1">
      <c r="A2156">
        <v>5550</v>
      </c>
      <c r="B2156" t="s">
        <v>5685</v>
      </c>
      <c r="C2156" t="s">
        <v>5678</v>
      </c>
      <c r="E2156" t="s">
        <v>6289</v>
      </c>
      <c r="H2156" t="s">
        <v>3061</v>
      </c>
      <c r="I2156">
        <v>5550</v>
      </c>
      <c r="K2156">
        <v>0</v>
      </c>
    </row>
    <row r="2157" spans="1:11" hidden="1">
      <c r="A2157">
        <v>5552</v>
      </c>
      <c r="B2157" t="s">
        <v>5685</v>
      </c>
      <c r="C2157" t="s">
        <v>5679</v>
      </c>
      <c r="E2157" t="s">
        <v>6289</v>
      </c>
      <c r="H2157" t="s">
        <v>3061</v>
      </c>
      <c r="I2157">
        <v>5552</v>
      </c>
      <c r="K2157">
        <v>0</v>
      </c>
    </row>
    <row r="2158" spans="1:11" hidden="1">
      <c r="A2158">
        <v>5553</v>
      </c>
      <c r="B2158" t="s">
        <v>5685</v>
      </c>
      <c r="C2158" t="s">
        <v>5680</v>
      </c>
      <c r="E2158" t="s">
        <v>6289</v>
      </c>
      <c r="H2158" t="s">
        <v>3061</v>
      </c>
      <c r="I2158">
        <v>5553</v>
      </c>
      <c r="K2158">
        <v>0</v>
      </c>
    </row>
    <row r="2159" spans="1:11" hidden="1">
      <c r="A2159">
        <v>5554</v>
      </c>
      <c r="B2159" t="s">
        <v>5685</v>
      </c>
      <c r="C2159" t="s">
        <v>5677</v>
      </c>
      <c r="E2159" t="s">
        <v>6289</v>
      </c>
      <c r="H2159" t="s">
        <v>3061</v>
      </c>
      <c r="I2159">
        <v>5554</v>
      </c>
      <c r="K2159">
        <v>0</v>
      </c>
    </row>
    <row r="2160" spans="1:11" hidden="1">
      <c r="A2160">
        <v>5563</v>
      </c>
      <c r="B2160" t="s">
        <v>5686</v>
      </c>
      <c r="C2160" t="s">
        <v>5689</v>
      </c>
      <c r="E2160" t="s">
        <v>6289</v>
      </c>
      <c r="H2160" t="s">
        <v>3061</v>
      </c>
      <c r="I2160">
        <v>5563</v>
      </c>
      <c r="K2160">
        <v>0</v>
      </c>
    </row>
    <row r="2161" spans="1:11" hidden="1">
      <c r="A2161">
        <v>5564</v>
      </c>
      <c r="B2161" t="s">
        <v>5686</v>
      </c>
      <c r="C2161" t="s">
        <v>5687</v>
      </c>
      <c r="E2161" t="s">
        <v>6289</v>
      </c>
      <c r="H2161" t="s">
        <v>3061</v>
      </c>
      <c r="I2161">
        <v>5564</v>
      </c>
      <c r="K2161">
        <v>0</v>
      </c>
    </row>
    <row r="2162" spans="1:11" hidden="1">
      <c r="A2162">
        <v>5565</v>
      </c>
      <c r="B2162" t="s">
        <v>5686</v>
      </c>
      <c r="C2162" t="s">
        <v>5688</v>
      </c>
      <c r="E2162" t="s">
        <v>6289</v>
      </c>
      <c r="H2162" t="s">
        <v>3061</v>
      </c>
      <c r="I2162">
        <v>5565</v>
      </c>
      <c r="K2162">
        <v>0</v>
      </c>
    </row>
    <row r="2163" spans="1:11" hidden="1">
      <c r="A2163">
        <v>5560</v>
      </c>
      <c r="B2163" t="s">
        <v>5690</v>
      </c>
      <c r="C2163" t="s">
        <v>5692</v>
      </c>
      <c r="E2163" t="s">
        <v>6289</v>
      </c>
      <c r="H2163" t="s">
        <v>3061</v>
      </c>
      <c r="I2163">
        <v>5560</v>
      </c>
      <c r="K2163">
        <v>0</v>
      </c>
    </row>
    <row r="2164" spans="1:11" hidden="1">
      <c r="A2164">
        <v>5561</v>
      </c>
      <c r="B2164" t="s">
        <v>5690</v>
      </c>
      <c r="C2164" t="s">
        <v>5691</v>
      </c>
      <c r="E2164" t="s">
        <v>6289</v>
      </c>
      <c r="H2164" t="s">
        <v>3061</v>
      </c>
      <c r="I2164">
        <v>5561</v>
      </c>
      <c r="K2164">
        <v>0</v>
      </c>
    </row>
    <row r="2165" spans="1:11" hidden="1">
      <c r="A2165">
        <v>5562</v>
      </c>
      <c r="B2165" t="s">
        <v>5690</v>
      </c>
      <c r="C2165" t="s">
        <v>5693</v>
      </c>
      <c r="E2165" t="s">
        <v>6289</v>
      </c>
      <c r="H2165" t="s">
        <v>3061</v>
      </c>
      <c r="I2165">
        <v>5562</v>
      </c>
      <c r="K2165">
        <v>0</v>
      </c>
    </row>
    <row r="2166" spans="1:11" hidden="1">
      <c r="A2166">
        <v>5513</v>
      </c>
      <c r="B2166" t="s">
        <v>5694</v>
      </c>
      <c r="C2166" t="s">
        <v>5708</v>
      </c>
      <c r="E2166" t="s">
        <v>6289</v>
      </c>
      <c r="H2166" t="s">
        <v>3061</v>
      </c>
      <c r="I2166">
        <v>5513</v>
      </c>
      <c r="K2166">
        <v>0</v>
      </c>
    </row>
    <row r="2167" spans="1:11" hidden="1">
      <c r="A2167">
        <v>5514</v>
      </c>
      <c r="B2167" t="s">
        <v>5694</v>
      </c>
      <c r="C2167" t="s">
        <v>5706</v>
      </c>
      <c r="E2167" t="s">
        <v>6289</v>
      </c>
      <c r="H2167" t="s">
        <v>3061</v>
      </c>
      <c r="I2167">
        <v>5514</v>
      </c>
      <c r="K2167">
        <v>0</v>
      </c>
    </row>
    <row r="2168" spans="1:11" hidden="1">
      <c r="A2168">
        <v>5515</v>
      </c>
      <c r="B2168" t="s">
        <v>5694</v>
      </c>
      <c r="C2168" t="s">
        <v>5701</v>
      </c>
      <c r="E2168" t="s">
        <v>6289</v>
      </c>
      <c r="H2168" t="s">
        <v>3061</v>
      </c>
      <c r="I2168">
        <v>5515</v>
      </c>
      <c r="K2168">
        <v>0</v>
      </c>
    </row>
    <row r="2169" spans="1:11" hidden="1">
      <c r="A2169">
        <v>5516</v>
      </c>
      <c r="B2169" t="s">
        <v>5694</v>
      </c>
      <c r="C2169" t="s">
        <v>5702</v>
      </c>
      <c r="E2169" t="s">
        <v>6289</v>
      </c>
      <c r="H2169" t="s">
        <v>3061</v>
      </c>
      <c r="I2169">
        <v>5516</v>
      </c>
      <c r="K2169">
        <v>0</v>
      </c>
    </row>
    <row r="2170" spans="1:11" hidden="1">
      <c r="A2170">
        <v>5517</v>
      </c>
      <c r="B2170" t="s">
        <v>5694</v>
      </c>
      <c r="C2170" t="s">
        <v>5698</v>
      </c>
      <c r="E2170" t="s">
        <v>6289</v>
      </c>
      <c r="H2170" t="s">
        <v>3061</v>
      </c>
      <c r="I2170">
        <v>5517</v>
      </c>
      <c r="K2170">
        <v>0</v>
      </c>
    </row>
    <row r="2171" spans="1:11" hidden="1">
      <c r="A2171">
        <v>5518</v>
      </c>
      <c r="B2171" t="s">
        <v>5694</v>
      </c>
      <c r="C2171" t="s">
        <v>5704</v>
      </c>
      <c r="E2171" t="s">
        <v>6289</v>
      </c>
      <c r="H2171" t="s">
        <v>3061</v>
      </c>
      <c r="I2171">
        <v>5518</v>
      </c>
      <c r="K2171">
        <v>0</v>
      </c>
    </row>
    <row r="2172" spans="1:11" hidden="1">
      <c r="A2172">
        <v>5519</v>
      </c>
      <c r="B2172" t="s">
        <v>5694</v>
      </c>
      <c r="C2172" t="s">
        <v>5700</v>
      </c>
      <c r="E2172" t="s">
        <v>6289</v>
      </c>
      <c r="H2172" t="s">
        <v>3061</v>
      </c>
      <c r="I2172">
        <v>5519</v>
      </c>
      <c r="K2172">
        <v>0</v>
      </c>
    </row>
    <row r="2173" spans="1:11" hidden="1">
      <c r="A2173">
        <v>5520</v>
      </c>
      <c r="B2173" t="s">
        <v>5694</v>
      </c>
      <c r="C2173" t="s">
        <v>5699</v>
      </c>
      <c r="E2173" t="s">
        <v>6289</v>
      </c>
      <c r="H2173" t="s">
        <v>3061</v>
      </c>
      <c r="I2173">
        <v>5520</v>
      </c>
      <c r="K2173">
        <v>0</v>
      </c>
    </row>
    <row r="2174" spans="1:11" hidden="1">
      <c r="A2174">
        <v>5521</v>
      </c>
      <c r="B2174" t="s">
        <v>5694</v>
      </c>
      <c r="C2174" t="s">
        <v>5697</v>
      </c>
      <c r="E2174" t="s">
        <v>6289</v>
      </c>
      <c r="H2174" t="s">
        <v>3061</v>
      </c>
      <c r="I2174">
        <v>5521</v>
      </c>
      <c r="K2174">
        <v>0</v>
      </c>
    </row>
    <row r="2175" spans="1:11" hidden="1">
      <c r="A2175">
        <v>5522</v>
      </c>
      <c r="B2175" t="s">
        <v>5694</v>
      </c>
      <c r="C2175" t="s">
        <v>5705</v>
      </c>
      <c r="E2175" t="s">
        <v>6289</v>
      </c>
      <c r="H2175" t="s">
        <v>3061</v>
      </c>
      <c r="I2175">
        <v>5522</v>
      </c>
      <c r="K2175">
        <v>0</v>
      </c>
    </row>
    <row r="2176" spans="1:11" hidden="1">
      <c r="A2176">
        <v>5523</v>
      </c>
      <c r="B2176" t="s">
        <v>5694</v>
      </c>
      <c r="C2176" t="s">
        <v>5696</v>
      </c>
      <c r="E2176" t="s">
        <v>6289</v>
      </c>
      <c r="H2176" t="s">
        <v>3061</v>
      </c>
      <c r="I2176">
        <v>5523</v>
      </c>
      <c r="K2176">
        <v>0</v>
      </c>
    </row>
    <row r="2177" spans="1:11" hidden="1">
      <c r="A2177">
        <v>5524</v>
      </c>
      <c r="B2177" t="s">
        <v>5694</v>
      </c>
      <c r="C2177" t="s">
        <v>5707</v>
      </c>
      <c r="E2177" t="s">
        <v>6289</v>
      </c>
      <c r="H2177" t="s">
        <v>3061</v>
      </c>
      <c r="I2177">
        <v>5524</v>
      </c>
      <c r="K2177">
        <v>0</v>
      </c>
    </row>
    <row r="2178" spans="1:11" hidden="1">
      <c r="A2178">
        <v>5525</v>
      </c>
      <c r="B2178" t="s">
        <v>5694</v>
      </c>
      <c r="C2178" t="s">
        <v>4993</v>
      </c>
      <c r="E2178" t="s">
        <v>6289</v>
      </c>
      <c r="H2178" t="s">
        <v>3061</v>
      </c>
      <c r="I2178">
        <v>5525</v>
      </c>
      <c r="K2178">
        <v>0</v>
      </c>
    </row>
    <row r="2179" spans="1:11" hidden="1">
      <c r="A2179">
        <v>5526</v>
      </c>
      <c r="B2179" t="s">
        <v>5694</v>
      </c>
      <c r="C2179" t="s">
        <v>5703</v>
      </c>
      <c r="E2179" t="s">
        <v>6289</v>
      </c>
      <c r="H2179" t="s">
        <v>3061</v>
      </c>
      <c r="I2179">
        <v>5526</v>
      </c>
      <c r="K2179">
        <v>0</v>
      </c>
    </row>
    <row r="2180" spans="1:11" hidden="1">
      <c r="A2180">
        <v>5527</v>
      </c>
      <c r="B2180" t="s">
        <v>5694</v>
      </c>
      <c r="C2180" t="s">
        <v>5695</v>
      </c>
      <c r="E2180" t="s">
        <v>6289</v>
      </c>
      <c r="H2180" t="s">
        <v>3061</v>
      </c>
      <c r="I2180">
        <v>5527</v>
      </c>
      <c r="K2180">
        <v>0</v>
      </c>
    </row>
    <row r="2181" spans="1:11" hidden="1">
      <c r="A2181">
        <v>5500</v>
      </c>
      <c r="B2181" t="s">
        <v>5709</v>
      </c>
      <c r="C2181" t="s">
        <v>5714</v>
      </c>
      <c r="E2181" t="s">
        <v>6289</v>
      </c>
      <c r="H2181" t="s">
        <v>3061</v>
      </c>
      <c r="I2181">
        <v>5500</v>
      </c>
      <c r="K2181">
        <v>0</v>
      </c>
    </row>
    <row r="2182" spans="1:11" hidden="1">
      <c r="A2182">
        <v>5502</v>
      </c>
      <c r="B2182" t="s">
        <v>5709</v>
      </c>
      <c r="C2182" t="s">
        <v>5713</v>
      </c>
      <c r="E2182" t="s">
        <v>6289</v>
      </c>
      <c r="H2182" t="s">
        <v>3061</v>
      </c>
      <c r="I2182">
        <v>5502</v>
      </c>
      <c r="K2182">
        <v>0</v>
      </c>
    </row>
    <row r="2183" spans="1:11" hidden="1">
      <c r="A2183">
        <v>5503</v>
      </c>
      <c r="B2183" t="s">
        <v>5709</v>
      </c>
      <c r="C2183" t="s">
        <v>5700</v>
      </c>
      <c r="E2183" t="s">
        <v>6289</v>
      </c>
      <c r="H2183" t="s">
        <v>3061</v>
      </c>
      <c r="I2183">
        <v>5503</v>
      </c>
      <c r="K2183">
        <v>0</v>
      </c>
    </row>
    <row r="2184" spans="1:11" hidden="1">
      <c r="A2184">
        <v>5504</v>
      </c>
      <c r="B2184" t="s">
        <v>5709</v>
      </c>
      <c r="C2184" t="s">
        <v>5715</v>
      </c>
      <c r="E2184" t="s">
        <v>6289</v>
      </c>
      <c r="H2184" t="s">
        <v>3061</v>
      </c>
      <c r="I2184">
        <v>5504</v>
      </c>
      <c r="K2184">
        <v>0</v>
      </c>
    </row>
    <row r="2185" spans="1:11" hidden="1">
      <c r="A2185">
        <v>5505</v>
      </c>
      <c r="B2185" t="s">
        <v>5709</v>
      </c>
      <c r="C2185" t="s">
        <v>5712</v>
      </c>
      <c r="E2185" t="s">
        <v>6289</v>
      </c>
      <c r="H2185" t="s">
        <v>3061</v>
      </c>
      <c r="I2185">
        <v>5505</v>
      </c>
      <c r="K2185">
        <v>0</v>
      </c>
    </row>
    <row r="2186" spans="1:11" hidden="1">
      <c r="A2186">
        <v>5506</v>
      </c>
      <c r="B2186" t="s">
        <v>5709</v>
      </c>
      <c r="C2186" t="s">
        <v>5711</v>
      </c>
      <c r="E2186" t="s">
        <v>6289</v>
      </c>
      <c r="H2186" t="s">
        <v>3061</v>
      </c>
      <c r="I2186">
        <v>5506</v>
      </c>
      <c r="K2186">
        <v>0</v>
      </c>
    </row>
    <row r="2187" spans="1:11" hidden="1">
      <c r="A2187">
        <v>5507</v>
      </c>
      <c r="B2187" t="s">
        <v>5709</v>
      </c>
      <c r="C2187" t="s">
        <v>5710</v>
      </c>
      <c r="E2187" t="s">
        <v>6289</v>
      </c>
      <c r="H2187" t="s">
        <v>3061</v>
      </c>
      <c r="I2187">
        <v>5507</v>
      </c>
      <c r="K2187">
        <v>0</v>
      </c>
    </row>
    <row r="2188" spans="1:11" hidden="1">
      <c r="A2188">
        <v>5508</v>
      </c>
      <c r="B2188" t="s">
        <v>5709</v>
      </c>
      <c r="C2188" t="s">
        <v>5704</v>
      </c>
      <c r="E2188" t="s">
        <v>6289</v>
      </c>
      <c r="H2188" t="s">
        <v>3061</v>
      </c>
      <c r="I2188">
        <v>5508</v>
      </c>
      <c r="K2188">
        <v>0</v>
      </c>
    </row>
    <row r="2189" spans="1:11" hidden="1">
      <c r="A2189">
        <v>5509</v>
      </c>
      <c r="B2189" t="s">
        <v>5716</v>
      </c>
      <c r="C2189" t="s">
        <v>5719</v>
      </c>
      <c r="E2189" t="s">
        <v>6289</v>
      </c>
      <c r="H2189" t="s">
        <v>3061</v>
      </c>
      <c r="I2189">
        <v>5509</v>
      </c>
      <c r="K2189">
        <v>0</v>
      </c>
    </row>
    <row r="2190" spans="1:11" hidden="1">
      <c r="A2190">
        <v>5510</v>
      </c>
      <c r="B2190" t="s">
        <v>5716</v>
      </c>
      <c r="C2190" t="s">
        <v>5717</v>
      </c>
      <c r="E2190" t="s">
        <v>6289</v>
      </c>
      <c r="H2190" t="s">
        <v>3061</v>
      </c>
      <c r="I2190">
        <v>5510</v>
      </c>
      <c r="K2190">
        <v>0</v>
      </c>
    </row>
    <row r="2191" spans="1:11" hidden="1">
      <c r="A2191">
        <v>5511</v>
      </c>
      <c r="B2191" t="s">
        <v>5716</v>
      </c>
      <c r="C2191" t="s">
        <v>5720</v>
      </c>
      <c r="E2191" t="s">
        <v>6289</v>
      </c>
      <c r="H2191" t="s">
        <v>3061</v>
      </c>
      <c r="I2191">
        <v>5511</v>
      </c>
      <c r="K2191">
        <v>0</v>
      </c>
    </row>
    <row r="2192" spans="1:11" hidden="1">
      <c r="A2192">
        <v>5512</v>
      </c>
      <c r="B2192" t="s">
        <v>5716</v>
      </c>
      <c r="C2192" t="s">
        <v>5718</v>
      </c>
      <c r="E2192" t="s">
        <v>6289</v>
      </c>
      <c r="H2192" t="s">
        <v>3061</v>
      </c>
      <c r="I2192">
        <v>5512</v>
      </c>
      <c r="K2192">
        <v>0</v>
      </c>
    </row>
    <row r="2193" spans="1:11" hidden="1">
      <c r="A2193">
        <v>5539</v>
      </c>
      <c r="B2193" t="s">
        <v>5721</v>
      </c>
      <c r="C2193" t="s">
        <v>5725</v>
      </c>
      <c r="E2193" t="s">
        <v>6289</v>
      </c>
      <c r="H2193" t="s">
        <v>3061</v>
      </c>
      <c r="I2193">
        <v>5539</v>
      </c>
      <c r="K2193">
        <v>0</v>
      </c>
    </row>
    <row r="2194" spans="1:11" hidden="1">
      <c r="A2194">
        <v>5540</v>
      </c>
      <c r="B2194" t="s">
        <v>5721</v>
      </c>
      <c r="C2194" t="s">
        <v>5722</v>
      </c>
      <c r="E2194" t="s">
        <v>6289</v>
      </c>
      <c r="H2194" t="s">
        <v>3061</v>
      </c>
      <c r="I2194">
        <v>5540</v>
      </c>
      <c r="K2194">
        <v>0</v>
      </c>
    </row>
    <row r="2195" spans="1:11" hidden="1">
      <c r="A2195">
        <v>5541</v>
      </c>
      <c r="B2195" t="s">
        <v>5721</v>
      </c>
      <c r="C2195" t="s">
        <v>5723</v>
      </c>
      <c r="E2195" t="s">
        <v>6289</v>
      </c>
      <c r="H2195" t="s">
        <v>3061</v>
      </c>
      <c r="I2195">
        <v>5541</v>
      </c>
      <c r="K2195">
        <v>0</v>
      </c>
    </row>
    <row r="2196" spans="1:11" hidden="1">
      <c r="A2196">
        <v>5542</v>
      </c>
      <c r="B2196" t="s">
        <v>5721</v>
      </c>
      <c r="C2196" t="s">
        <v>5724</v>
      </c>
      <c r="E2196" t="s">
        <v>6289</v>
      </c>
      <c r="H2196" t="s">
        <v>3061</v>
      </c>
      <c r="I2196">
        <v>5542</v>
      </c>
      <c r="K2196">
        <v>0</v>
      </c>
    </row>
    <row r="2197" spans="1:11" hidden="1">
      <c r="A2197">
        <v>5528</v>
      </c>
      <c r="B2197" t="s">
        <v>5726</v>
      </c>
      <c r="C2197" t="s">
        <v>5729</v>
      </c>
      <c r="E2197" t="s">
        <v>6289</v>
      </c>
      <c r="H2197" t="s">
        <v>3061</v>
      </c>
      <c r="I2197">
        <v>5528</v>
      </c>
      <c r="K2197">
        <v>0</v>
      </c>
    </row>
    <row r="2198" spans="1:11" hidden="1">
      <c r="A2198">
        <v>5529</v>
      </c>
      <c r="B2198" t="s">
        <v>5726</v>
      </c>
      <c r="C2198" t="s">
        <v>5732</v>
      </c>
      <c r="E2198" t="s">
        <v>6289</v>
      </c>
      <c r="H2198" t="s">
        <v>3061</v>
      </c>
      <c r="I2198">
        <v>5529</v>
      </c>
      <c r="K2198">
        <v>0</v>
      </c>
    </row>
    <row r="2199" spans="1:11" hidden="1">
      <c r="A2199">
        <v>5532</v>
      </c>
      <c r="B2199" t="s">
        <v>5726</v>
      </c>
      <c r="C2199" t="s">
        <v>5728</v>
      </c>
      <c r="E2199" t="s">
        <v>6289</v>
      </c>
      <c r="H2199" t="s">
        <v>3061</v>
      </c>
      <c r="I2199">
        <v>5532</v>
      </c>
      <c r="K2199">
        <v>0</v>
      </c>
    </row>
    <row r="2200" spans="1:11" hidden="1">
      <c r="A2200">
        <v>5533</v>
      </c>
      <c r="B2200" t="s">
        <v>5726</v>
      </c>
      <c r="C2200" t="s">
        <v>5733</v>
      </c>
      <c r="E2200" t="s">
        <v>6289</v>
      </c>
      <c r="H2200" t="s">
        <v>3061</v>
      </c>
      <c r="I2200">
        <v>5533</v>
      </c>
      <c r="K2200">
        <v>0</v>
      </c>
    </row>
    <row r="2201" spans="1:11" hidden="1">
      <c r="A2201">
        <v>5534</v>
      </c>
      <c r="B2201" t="s">
        <v>5726</v>
      </c>
      <c r="C2201" t="s">
        <v>5730</v>
      </c>
      <c r="E2201" t="s">
        <v>6289</v>
      </c>
      <c r="H2201" t="s">
        <v>3061</v>
      </c>
      <c r="I2201">
        <v>5534</v>
      </c>
      <c r="K2201">
        <v>0</v>
      </c>
    </row>
    <row r="2202" spans="1:11" hidden="1">
      <c r="A2202">
        <v>5535</v>
      </c>
      <c r="B2202" t="s">
        <v>5726</v>
      </c>
      <c r="C2202" t="s">
        <v>5727</v>
      </c>
      <c r="E2202" t="s">
        <v>6289</v>
      </c>
      <c r="H2202" t="s">
        <v>3061</v>
      </c>
      <c r="I2202">
        <v>5535</v>
      </c>
      <c r="K2202">
        <v>0</v>
      </c>
    </row>
    <row r="2203" spans="1:11" hidden="1">
      <c r="A2203">
        <v>5536</v>
      </c>
      <c r="B2203" t="s">
        <v>5726</v>
      </c>
      <c r="C2203" t="s">
        <v>5731</v>
      </c>
      <c r="E2203" t="s">
        <v>6289</v>
      </c>
      <c r="H2203" t="s">
        <v>3061</v>
      </c>
      <c r="I2203">
        <v>5536</v>
      </c>
      <c r="K2203">
        <v>0</v>
      </c>
    </row>
    <row r="2204" spans="1:11" hidden="1">
      <c r="A2204">
        <v>5537</v>
      </c>
      <c r="B2204" t="s">
        <v>5726</v>
      </c>
      <c r="C2204" t="s">
        <v>5708</v>
      </c>
      <c r="E2204" t="s">
        <v>6289</v>
      </c>
      <c r="H2204" t="s">
        <v>3061</v>
      </c>
      <c r="I2204">
        <v>5537</v>
      </c>
      <c r="K2204">
        <v>0</v>
      </c>
    </row>
    <row r="2205" spans="1:11" hidden="1">
      <c r="A2205">
        <v>5538</v>
      </c>
      <c r="B2205" t="s">
        <v>5726</v>
      </c>
      <c r="C2205" t="s">
        <v>5695</v>
      </c>
      <c r="E2205" t="s">
        <v>6289</v>
      </c>
      <c r="H2205" t="s">
        <v>3061</v>
      </c>
      <c r="I2205">
        <v>5538</v>
      </c>
      <c r="K2205">
        <v>0</v>
      </c>
    </row>
    <row r="2206" spans="1:11" hidden="1">
      <c r="A2206">
        <v>5555</v>
      </c>
      <c r="B2206" t="s">
        <v>5734</v>
      </c>
      <c r="C2206" t="s">
        <v>5736</v>
      </c>
      <c r="E2206" t="s">
        <v>6289</v>
      </c>
      <c r="H2206" t="s">
        <v>3061</v>
      </c>
      <c r="I2206">
        <v>5555</v>
      </c>
      <c r="K2206">
        <v>0</v>
      </c>
    </row>
    <row r="2207" spans="1:11" hidden="1">
      <c r="A2207">
        <v>5556</v>
      </c>
      <c r="B2207" t="s">
        <v>5734</v>
      </c>
      <c r="C2207" t="s">
        <v>5737</v>
      </c>
      <c r="E2207" t="s">
        <v>6289</v>
      </c>
      <c r="H2207" t="s">
        <v>3061</v>
      </c>
      <c r="I2207">
        <v>5556</v>
      </c>
      <c r="K2207">
        <v>0</v>
      </c>
    </row>
    <row r="2208" spans="1:11" hidden="1">
      <c r="A2208">
        <v>5557</v>
      </c>
      <c r="B2208" t="s">
        <v>5734</v>
      </c>
      <c r="C2208" t="s">
        <v>5735</v>
      </c>
      <c r="E2208" t="s">
        <v>6289</v>
      </c>
      <c r="H2208" t="s">
        <v>3061</v>
      </c>
      <c r="I2208">
        <v>5557</v>
      </c>
      <c r="K2208">
        <v>0</v>
      </c>
    </row>
    <row r="2209" spans="1:11" hidden="1">
      <c r="A2209">
        <v>5558</v>
      </c>
      <c r="B2209" t="s">
        <v>5734</v>
      </c>
      <c r="C2209" t="s">
        <v>5738</v>
      </c>
      <c r="E2209" t="s">
        <v>6289</v>
      </c>
      <c r="H2209" t="s">
        <v>3061</v>
      </c>
      <c r="I2209">
        <v>5558</v>
      </c>
      <c r="K2209">
        <v>0</v>
      </c>
    </row>
    <row r="2210" spans="1:11" hidden="1">
      <c r="A2210">
        <v>5559</v>
      </c>
      <c r="B2210" t="s">
        <v>5734</v>
      </c>
      <c r="C2210" t="s">
        <v>4679</v>
      </c>
      <c r="E2210" t="s">
        <v>6289</v>
      </c>
      <c r="H2210" t="s">
        <v>3061</v>
      </c>
      <c r="I2210">
        <v>5559</v>
      </c>
      <c r="K2210">
        <v>0</v>
      </c>
    </row>
    <row r="2211" spans="1:11" hidden="1">
      <c r="A2211">
        <v>741</v>
      </c>
      <c r="B2211" t="s">
        <v>5739</v>
      </c>
      <c r="C2211" t="s">
        <v>5741</v>
      </c>
      <c r="E2211" t="s">
        <v>6289</v>
      </c>
      <c r="H2211" t="s">
        <v>3056</v>
      </c>
      <c r="I2211">
        <v>741</v>
      </c>
      <c r="K2211">
        <v>0</v>
      </c>
    </row>
    <row r="2212" spans="1:11" hidden="1">
      <c r="A2212">
        <v>742</v>
      </c>
      <c r="B2212" t="s">
        <v>5739</v>
      </c>
      <c r="C2212" t="s">
        <v>5743</v>
      </c>
      <c r="E2212" t="s">
        <v>6289</v>
      </c>
      <c r="H2212" t="s">
        <v>3056</v>
      </c>
      <c r="I2212">
        <v>742</v>
      </c>
      <c r="K2212">
        <v>0</v>
      </c>
    </row>
    <row r="2213" spans="1:11" hidden="1">
      <c r="A2213">
        <v>743</v>
      </c>
      <c r="B2213" t="s">
        <v>5739</v>
      </c>
      <c r="C2213" t="s">
        <v>5742</v>
      </c>
      <c r="E2213" t="s">
        <v>6289</v>
      </c>
      <c r="H2213" t="s">
        <v>3056</v>
      </c>
      <c r="I2213">
        <v>743</v>
      </c>
      <c r="K2213">
        <v>0</v>
      </c>
    </row>
    <row r="2214" spans="1:11" hidden="1">
      <c r="A2214">
        <v>744</v>
      </c>
      <c r="B2214" t="s">
        <v>5739</v>
      </c>
      <c r="C2214" t="s">
        <v>5745</v>
      </c>
      <c r="E2214" t="s">
        <v>6289</v>
      </c>
      <c r="H2214" t="s">
        <v>3056</v>
      </c>
      <c r="I2214">
        <v>744</v>
      </c>
      <c r="K2214">
        <v>0</v>
      </c>
    </row>
    <row r="2215" spans="1:11" hidden="1">
      <c r="A2215">
        <v>745</v>
      </c>
      <c r="B2215" t="s">
        <v>5739</v>
      </c>
      <c r="C2215" t="s">
        <v>5744</v>
      </c>
      <c r="E2215" t="s">
        <v>6289</v>
      </c>
      <c r="H2215" t="s">
        <v>3056</v>
      </c>
      <c r="I2215">
        <v>745</v>
      </c>
      <c r="K2215">
        <v>0</v>
      </c>
    </row>
    <row r="2216" spans="1:11" hidden="1">
      <c r="A2216">
        <v>11960</v>
      </c>
      <c r="B2216" t="s">
        <v>5739</v>
      </c>
      <c r="C2216" t="s">
        <v>5740</v>
      </c>
      <c r="E2216" t="s">
        <v>6289</v>
      </c>
      <c r="H2216" t="s">
        <v>3056</v>
      </c>
      <c r="I2216">
        <v>11960</v>
      </c>
      <c r="K2216">
        <v>0</v>
      </c>
    </row>
    <row r="2217" spans="1:11" hidden="1">
      <c r="A2217">
        <v>11970</v>
      </c>
      <c r="B2217" t="s">
        <v>5739</v>
      </c>
      <c r="C2217" t="s">
        <v>3069</v>
      </c>
      <c r="E2217" t="s">
        <v>6289</v>
      </c>
      <c r="H2217" t="s">
        <v>3056</v>
      </c>
      <c r="I2217">
        <v>11970</v>
      </c>
      <c r="K2217">
        <v>0</v>
      </c>
    </row>
    <row r="2218" spans="1:11" hidden="1">
      <c r="A2218">
        <v>18390</v>
      </c>
      <c r="B2218" t="s">
        <v>5746</v>
      </c>
      <c r="C2218" t="s">
        <v>5747</v>
      </c>
      <c r="E2218" t="s">
        <v>6289</v>
      </c>
      <c r="H2218" t="s">
        <v>3056</v>
      </c>
      <c r="I2218">
        <v>18390</v>
      </c>
      <c r="K2218">
        <v>0</v>
      </c>
    </row>
    <row r="2219" spans="1:11" hidden="1">
      <c r="A2219">
        <v>18400</v>
      </c>
      <c r="B2219" t="s">
        <v>5746</v>
      </c>
      <c r="C2219" t="s">
        <v>5750</v>
      </c>
      <c r="E2219" t="s">
        <v>6289</v>
      </c>
      <c r="H2219" t="s">
        <v>3056</v>
      </c>
      <c r="I2219">
        <v>18400</v>
      </c>
      <c r="K2219">
        <v>0</v>
      </c>
    </row>
    <row r="2220" spans="1:11" hidden="1">
      <c r="A2220">
        <v>18410</v>
      </c>
      <c r="B2220" t="s">
        <v>5746</v>
      </c>
      <c r="C2220" t="s">
        <v>5749</v>
      </c>
      <c r="E2220" t="s">
        <v>6289</v>
      </c>
      <c r="H2220" t="s">
        <v>3056</v>
      </c>
      <c r="I2220">
        <v>18410</v>
      </c>
      <c r="K2220">
        <v>0</v>
      </c>
    </row>
    <row r="2221" spans="1:11" hidden="1">
      <c r="A2221">
        <v>18420</v>
      </c>
      <c r="B2221" t="s">
        <v>5746</v>
      </c>
      <c r="C2221" t="s">
        <v>4233</v>
      </c>
      <c r="E2221" t="s">
        <v>6289</v>
      </c>
      <c r="H2221" t="s">
        <v>3056</v>
      </c>
      <c r="I2221">
        <v>18420</v>
      </c>
      <c r="K2221">
        <v>0</v>
      </c>
    </row>
    <row r="2222" spans="1:11" hidden="1">
      <c r="A2222">
        <v>18430</v>
      </c>
      <c r="B2222" t="s">
        <v>5746</v>
      </c>
      <c r="C2222" t="s">
        <v>4097</v>
      </c>
      <c r="E2222" t="s">
        <v>6289</v>
      </c>
      <c r="H2222" t="s">
        <v>3056</v>
      </c>
      <c r="I2222">
        <v>18430</v>
      </c>
      <c r="K2222">
        <v>0</v>
      </c>
    </row>
    <row r="2223" spans="1:11" hidden="1">
      <c r="A2223">
        <v>18440</v>
      </c>
      <c r="B2223" t="s">
        <v>5746</v>
      </c>
      <c r="C2223" t="s">
        <v>5748</v>
      </c>
      <c r="E2223" t="s">
        <v>6289</v>
      </c>
      <c r="H2223" t="s">
        <v>3056</v>
      </c>
      <c r="I2223">
        <v>18440</v>
      </c>
      <c r="K2223">
        <v>0</v>
      </c>
    </row>
    <row r="2224" spans="1:11" hidden="1">
      <c r="A2224">
        <v>18350</v>
      </c>
      <c r="B2224" t="s">
        <v>5751</v>
      </c>
      <c r="C2224" t="s">
        <v>3059</v>
      </c>
      <c r="E2224" t="s">
        <v>6289</v>
      </c>
      <c r="H2224" t="s">
        <v>3056</v>
      </c>
      <c r="I2224">
        <v>18350</v>
      </c>
      <c r="K2224">
        <v>0</v>
      </c>
    </row>
    <row r="2225" spans="1:11" hidden="1">
      <c r="A2225">
        <v>18360</v>
      </c>
      <c r="B2225" t="s">
        <v>5751</v>
      </c>
      <c r="C2225" t="s">
        <v>3716</v>
      </c>
      <c r="E2225" t="s">
        <v>6289</v>
      </c>
      <c r="H2225" t="s">
        <v>3056</v>
      </c>
      <c r="I2225">
        <v>18360</v>
      </c>
      <c r="K2225">
        <v>0</v>
      </c>
    </row>
    <row r="2226" spans="1:11" hidden="1">
      <c r="A2226">
        <v>1768</v>
      </c>
      <c r="B2226" t="s">
        <v>5752</v>
      </c>
      <c r="C2226" t="s">
        <v>5753</v>
      </c>
      <c r="E2226" t="s">
        <v>6289</v>
      </c>
      <c r="F2226" t="s">
        <v>3835</v>
      </c>
      <c r="H2226" t="s">
        <v>3056</v>
      </c>
      <c r="I2226">
        <v>1768</v>
      </c>
      <c r="K2226">
        <v>0</v>
      </c>
    </row>
    <row r="2227" spans="1:11" hidden="1">
      <c r="A2227">
        <v>1769</v>
      </c>
      <c r="B2227" t="s">
        <v>5752</v>
      </c>
      <c r="C2227" t="s">
        <v>5754</v>
      </c>
      <c r="E2227" t="s">
        <v>6289</v>
      </c>
      <c r="F2227" t="s">
        <v>5755</v>
      </c>
      <c r="H2227" t="s">
        <v>3056</v>
      </c>
      <c r="I2227">
        <v>1769</v>
      </c>
      <c r="K2227">
        <v>0</v>
      </c>
    </row>
    <row r="2228" spans="1:11" hidden="1">
      <c r="A2228">
        <v>14270</v>
      </c>
      <c r="B2228" t="s">
        <v>5756</v>
      </c>
      <c r="C2228" t="s">
        <v>5757</v>
      </c>
      <c r="E2228" t="s">
        <v>6289</v>
      </c>
      <c r="H2228" t="s">
        <v>3056</v>
      </c>
      <c r="I2228">
        <v>14270</v>
      </c>
      <c r="K2228">
        <v>0</v>
      </c>
    </row>
    <row r="2229" spans="1:11" hidden="1">
      <c r="A2229">
        <v>14280</v>
      </c>
      <c r="B2229" t="s">
        <v>5756</v>
      </c>
      <c r="C2229" t="s">
        <v>5764</v>
      </c>
      <c r="E2229" t="s">
        <v>6289</v>
      </c>
      <c r="H2229" t="s">
        <v>3056</v>
      </c>
      <c r="I2229">
        <v>14280</v>
      </c>
      <c r="K2229">
        <v>0</v>
      </c>
    </row>
    <row r="2230" spans="1:11" hidden="1">
      <c r="A2230">
        <v>14290</v>
      </c>
      <c r="B2230" t="s">
        <v>5756</v>
      </c>
      <c r="C2230" t="s">
        <v>5761</v>
      </c>
      <c r="E2230" t="s">
        <v>6289</v>
      </c>
      <c r="H2230" t="s">
        <v>3056</v>
      </c>
      <c r="I2230">
        <v>14290</v>
      </c>
      <c r="K2230">
        <v>0</v>
      </c>
    </row>
    <row r="2231" spans="1:11" hidden="1">
      <c r="A2231">
        <v>14300</v>
      </c>
      <c r="B2231" t="s">
        <v>5756</v>
      </c>
      <c r="C2231" t="s">
        <v>5762</v>
      </c>
      <c r="E2231" t="s">
        <v>6289</v>
      </c>
      <c r="H2231" t="s">
        <v>3056</v>
      </c>
      <c r="I2231">
        <v>14300</v>
      </c>
      <c r="K2231">
        <v>0</v>
      </c>
    </row>
    <row r="2232" spans="1:11" hidden="1">
      <c r="A2232">
        <v>14310</v>
      </c>
      <c r="B2232" t="s">
        <v>5756</v>
      </c>
      <c r="C2232" t="s">
        <v>5760</v>
      </c>
      <c r="E2232" t="s">
        <v>6289</v>
      </c>
      <c r="H2232" t="s">
        <v>3056</v>
      </c>
      <c r="I2232">
        <v>14310</v>
      </c>
      <c r="K2232">
        <v>0</v>
      </c>
    </row>
    <row r="2233" spans="1:11" hidden="1">
      <c r="A2233">
        <v>14320</v>
      </c>
      <c r="B2233" t="s">
        <v>5756</v>
      </c>
      <c r="C2233" t="s">
        <v>5763</v>
      </c>
      <c r="E2233" t="s">
        <v>6289</v>
      </c>
      <c r="H2233" t="s">
        <v>3056</v>
      </c>
      <c r="I2233">
        <v>14320</v>
      </c>
      <c r="K2233">
        <v>0</v>
      </c>
    </row>
    <row r="2234" spans="1:11" hidden="1">
      <c r="A2234">
        <v>14330</v>
      </c>
      <c r="B2234" t="s">
        <v>5756</v>
      </c>
      <c r="C2234" t="s">
        <v>5759</v>
      </c>
      <c r="E2234" t="s">
        <v>6289</v>
      </c>
      <c r="H2234" t="s">
        <v>3056</v>
      </c>
      <c r="I2234">
        <v>14330</v>
      </c>
      <c r="K2234">
        <v>0</v>
      </c>
    </row>
    <row r="2235" spans="1:11" hidden="1">
      <c r="A2235">
        <v>14340</v>
      </c>
      <c r="B2235" t="s">
        <v>5756</v>
      </c>
      <c r="C2235" t="s">
        <v>5758</v>
      </c>
      <c r="E2235" t="s">
        <v>6289</v>
      </c>
      <c r="H2235" t="s">
        <v>3056</v>
      </c>
      <c r="I2235">
        <v>14340</v>
      </c>
      <c r="K2235">
        <v>0</v>
      </c>
    </row>
    <row r="2236" spans="1:11" hidden="1">
      <c r="A2236">
        <v>5900</v>
      </c>
      <c r="B2236" t="s">
        <v>3158</v>
      </c>
      <c r="C2236" t="s">
        <v>5766</v>
      </c>
      <c r="E2236" t="s">
        <v>6289</v>
      </c>
      <c r="F2236">
        <v>1000003073</v>
      </c>
      <c r="H2236" t="s">
        <v>3061</v>
      </c>
      <c r="I2236">
        <v>5900</v>
      </c>
      <c r="K2236">
        <v>0</v>
      </c>
    </row>
    <row r="2237" spans="1:11" hidden="1">
      <c r="A2237">
        <v>5901</v>
      </c>
      <c r="B2237" t="s">
        <v>3158</v>
      </c>
      <c r="C2237" t="s">
        <v>5767</v>
      </c>
      <c r="E2237" t="s">
        <v>6289</v>
      </c>
      <c r="F2237">
        <v>1000003074</v>
      </c>
      <c r="H2237" t="s">
        <v>3061</v>
      </c>
      <c r="I2237">
        <v>5901</v>
      </c>
      <c r="K2237">
        <v>0</v>
      </c>
    </row>
    <row r="2238" spans="1:11" hidden="1">
      <c r="A2238">
        <v>5902</v>
      </c>
      <c r="B2238" t="s">
        <v>3158</v>
      </c>
      <c r="C2238" t="s">
        <v>5765</v>
      </c>
      <c r="E2238" t="s">
        <v>6289</v>
      </c>
      <c r="F2238">
        <v>1000003075</v>
      </c>
      <c r="H2238" t="s">
        <v>3061</v>
      </c>
      <c r="I2238">
        <v>5902</v>
      </c>
      <c r="K2238">
        <v>0</v>
      </c>
    </row>
    <row r="2239" spans="1:11" hidden="1">
      <c r="A2239">
        <v>5904</v>
      </c>
      <c r="B2239" t="s">
        <v>3158</v>
      </c>
      <c r="C2239" t="s">
        <v>5768</v>
      </c>
      <c r="E2239" t="s">
        <v>6289</v>
      </c>
      <c r="F2239">
        <v>1000007340</v>
      </c>
      <c r="H2239" t="s">
        <v>3061</v>
      </c>
      <c r="I2239">
        <v>5904</v>
      </c>
      <c r="K2239">
        <v>0</v>
      </c>
    </row>
    <row r="2240" spans="1:11" hidden="1">
      <c r="A2240">
        <v>1053</v>
      </c>
      <c r="B2240" t="s">
        <v>5769</v>
      </c>
      <c r="C2240" t="s">
        <v>4003</v>
      </c>
      <c r="D2240">
        <v>1</v>
      </c>
      <c r="E2240" t="s">
        <v>6289</v>
      </c>
      <c r="H2240" t="s">
        <v>3056</v>
      </c>
      <c r="I2240">
        <v>1053</v>
      </c>
      <c r="K2240">
        <v>0</v>
      </c>
    </row>
    <row r="2241" spans="1:11" hidden="1">
      <c r="A2241">
        <v>1054</v>
      </c>
      <c r="B2241" t="s">
        <v>5769</v>
      </c>
      <c r="C2241" t="s">
        <v>4002</v>
      </c>
      <c r="D2241">
        <v>2</v>
      </c>
      <c r="E2241" t="s">
        <v>6289</v>
      </c>
      <c r="H2241" t="s">
        <v>3056</v>
      </c>
      <c r="I2241">
        <v>1054</v>
      </c>
      <c r="K2241">
        <v>0</v>
      </c>
    </row>
    <row r="2242" spans="1:11" hidden="1">
      <c r="A2242">
        <v>1055</v>
      </c>
      <c r="B2242" t="s">
        <v>5769</v>
      </c>
      <c r="C2242" t="s">
        <v>3088</v>
      </c>
      <c r="D2242">
        <v>3</v>
      </c>
      <c r="E2242" t="s">
        <v>6289</v>
      </c>
      <c r="H2242" t="s">
        <v>3056</v>
      </c>
      <c r="I2242">
        <v>1055</v>
      </c>
      <c r="K2242">
        <v>0</v>
      </c>
    </row>
    <row r="2243" spans="1:11" hidden="1">
      <c r="A2243">
        <v>583</v>
      </c>
      <c r="B2243" t="s">
        <v>5770</v>
      </c>
      <c r="C2243" t="s">
        <v>5775</v>
      </c>
      <c r="E2243" t="s">
        <v>6289</v>
      </c>
      <c r="F2243" t="s">
        <v>3569</v>
      </c>
      <c r="H2243" t="s">
        <v>3056</v>
      </c>
      <c r="I2243">
        <v>583</v>
      </c>
      <c r="K2243">
        <v>0</v>
      </c>
    </row>
    <row r="2244" spans="1:11" hidden="1">
      <c r="A2244">
        <v>584</v>
      </c>
      <c r="B2244" t="s">
        <v>5770</v>
      </c>
      <c r="C2244" t="s">
        <v>3449</v>
      </c>
      <c r="E2244" t="s">
        <v>6289</v>
      </c>
      <c r="F2244" t="s">
        <v>3558</v>
      </c>
      <c r="H2244" t="s">
        <v>3056</v>
      </c>
      <c r="I2244">
        <v>584</v>
      </c>
      <c r="K2244">
        <v>0</v>
      </c>
    </row>
    <row r="2245" spans="1:11" hidden="1">
      <c r="A2245">
        <v>585</v>
      </c>
      <c r="B2245" t="s">
        <v>5770</v>
      </c>
      <c r="C2245" t="s">
        <v>5771</v>
      </c>
      <c r="E2245" t="s">
        <v>6289</v>
      </c>
      <c r="F2245" t="s">
        <v>5772</v>
      </c>
      <c r="H2245" t="s">
        <v>3056</v>
      </c>
      <c r="I2245">
        <v>585</v>
      </c>
      <c r="K2245">
        <v>0</v>
      </c>
    </row>
    <row r="2246" spans="1:11" hidden="1">
      <c r="A2246">
        <v>586</v>
      </c>
      <c r="B2246" t="s">
        <v>5770</v>
      </c>
      <c r="C2246" t="s">
        <v>5774</v>
      </c>
      <c r="E2246" t="s">
        <v>6289</v>
      </c>
      <c r="F2246" t="s">
        <v>165</v>
      </c>
      <c r="H2246" t="s">
        <v>3056</v>
      </c>
      <c r="I2246">
        <v>586</v>
      </c>
      <c r="K2246">
        <v>0</v>
      </c>
    </row>
    <row r="2247" spans="1:11" hidden="1">
      <c r="A2247">
        <v>587</v>
      </c>
      <c r="B2247" t="s">
        <v>5770</v>
      </c>
      <c r="C2247" t="s">
        <v>5773</v>
      </c>
      <c r="E2247" t="s">
        <v>6289</v>
      </c>
      <c r="F2247" t="s">
        <v>5021</v>
      </c>
      <c r="H2247" t="s">
        <v>3056</v>
      </c>
      <c r="I2247">
        <v>587</v>
      </c>
      <c r="K2247">
        <v>0</v>
      </c>
    </row>
    <row r="2248" spans="1:11" hidden="1">
      <c r="A2248">
        <v>588</v>
      </c>
      <c r="B2248" t="s">
        <v>5770</v>
      </c>
      <c r="C2248" t="s">
        <v>5777</v>
      </c>
      <c r="E2248" t="s">
        <v>6289</v>
      </c>
      <c r="F2248" t="s">
        <v>86</v>
      </c>
      <c r="H2248" t="s">
        <v>3056</v>
      </c>
      <c r="I2248">
        <v>588</v>
      </c>
      <c r="K2248">
        <v>0</v>
      </c>
    </row>
    <row r="2249" spans="1:11" hidden="1">
      <c r="A2249">
        <v>589</v>
      </c>
      <c r="B2249" t="s">
        <v>5770</v>
      </c>
      <c r="C2249" t="s">
        <v>5776</v>
      </c>
      <c r="E2249" t="s">
        <v>6289</v>
      </c>
      <c r="F2249" t="s">
        <v>3157</v>
      </c>
      <c r="H2249" t="s">
        <v>3056</v>
      </c>
      <c r="I2249">
        <v>589</v>
      </c>
      <c r="K2249">
        <v>0</v>
      </c>
    </row>
    <row r="2250" spans="1:11" hidden="1">
      <c r="A2250">
        <v>672</v>
      </c>
      <c r="B2250" t="s">
        <v>5778</v>
      </c>
      <c r="C2250" t="s">
        <v>5791</v>
      </c>
      <c r="E2250" t="s">
        <v>6289</v>
      </c>
      <c r="F2250" t="s">
        <v>4026</v>
      </c>
      <c r="H2250" t="s">
        <v>3056</v>
      </c>
      <c r="I2250">
        <v>672</v>
      </c>
      <c r="K2250">
        <v>0</v>
      </c>
    </row>
    <row r="2251" spans="1:11" hidden="1">
      <c r="A2251">
        <v>673</v>
      </c>
      <c r="B2251" t="s">
        <v>5778</v>
      </c>
      <c r="C2251" t="s">
        <v>5792</v>
      </c>
      <c r="E2251" t="s">
        <v>6289</v>
      </c>
      <c r="F2251" t="s">
        <v>3558</v>
      </c>
      <c r="H2251" t="s">
        <v>3056</v>
      </c>
      <c r="I2251">
        <v>673</v>
      </c>
      <c r="K2251">
        <v>0</v>
      </c>
    </row>
    <row r="2252" spans="1:11" hidden="1">
      <c r="A2252">
        <v>674</v>
      </c>
      <c r="B2252" t="s">
        <v>5778</v>
      </c>
      <c r="C2252" t="s">
        <v>5803</v>
      </c>
      <c r="E2252" t="s">
        <v>6289</v>
      </c>
      <c r="F2252" t="s">
        <v>4771</v>
      </c>
      <c r="H2252" t="s">
        <v>3056</v>
      </c>
      <c r="I2252">
        <v>674</v>
      </c>
      <c r="K2252">
        <v>0</v>
      </c>
    </row>
    <row r="2253" spans="1:11" hidden="1">
      <c r="A2253">
        <v>675</v>
      </c>
      <c r="B2253" t="s">
        <v>5778</v>
      </c>
      <c r="C2253" t="s">
        <v>5799</v>
      </c>
      <c r="E2253" t="s">
        <v>6289</v>
      </c>
      <c r="F2253" t="s">
        <v>3937</v>
      </c>
      <c r="H2253" t="s">
        <v>3056</v>
      </c>
      <c r="I2253">
        <v>675</v>
      </c>
      <c r="K2253">
        <v>0</v>
      </c>
    </row>
    <row r="2254" spans="1:11" hidden="1">
      <c r="A2254">
        <v>676</v>
      </c>
      <c r="B2254" t="s">
        <v>5778</v>
      </c>
      <c r="C2254" t="s">
        <v>5797</v>
      </c>
      <c r="E2254" t="s">
        <v>6289</v>
      </c>
      <c r="F2254" t="s">
        <v>3157</v>
      </c>
      <c r="H2254" t="s">
        <v>3056</v>
      </c>
      <c r="I2254">
        <v>676</v>
      </c>
      <c r="K2254">
        <v>0</v>
      </c>
    </row>
    <row r="2255" spans="1:11" hidden="1">
      <c r="A2255">
        <v>677</v>
      </c>
      <c r="B2255" t="s">
        <v>5778</v>
      </c>
      <c r="C2255" t="s">
        <v>5789</v>
      </c>
      <c r="E2255" t="s">
        <v>6289</v>
      </c>
      <c r="F2255" t="s">
        <v>5790</v>
      </c>
      <c r="H2255" t="s">
        <v>3056</v>
      </c>
      <c r="I2255">
        <v>677</v>
      </c>
      <c r="K2255">
        <v>0</v>
      </c>
    </row>
    <row r="2256" spans="1:11" hidden="1">
      <c r="A2256">
        <v>678</v>
      </c>
      <c r="B2256" t="s">
        <v>5778</v>
      </c>
      <c r="C2256" t="s">
        <v>5794</v>
      </c>
      <c r="E2256" t="s">
        <v>6289</v>
      </c>
      <c r="F2256" t="s">
        <v>3107</v>
      </c>
      <c r="H2256" t="s">
        <v>3056</v>
      </c>
      <c r="I2256">
        <v>678</v>
      </c>
      <c r="K2256">
        <v>0</v>
      </c>
    </row>
    <row r="2257" spans="1:11" hidden="1">
      <c r="A2257">
        <v>679</v>
      </c>
      <c r="B2257" t="s">
        <v>5778</v>
      </c>
      <c r="C2257" t="s">
        <v>5785</v>
      </c>
      <c r="E2257" t="s">
        <v>6289</v>
      </c>
      <c r="F2257" t="s">
        <v>1551</v>
      </c>
      <c r="H2257" t="s">
        <v>3056</v>
      </c>
      <c r="I2257">
        <v>679</v>
      </c>
      <c r="K2257">
        <v>0</v>
      </c>
    </row>
    <row r="2258" spans="1:11" hidden="1">
      <c r="A2258">
        <v>939</v>
      </c>
      <c r="B2258" t="s">
        <v>5778</v>
      </c>
      <c r="C2258" t="s">
        <v>5786</v>
      </c>
      <c r="E2258" t="s">
        <v>6289</v>
      </c>
      <c r="F2258" t="s">
        <v>4155</v>
      </c>
      <c r="H2258" t="s">
        <v>3056</v>
      </c>
      <c r="I2258">
        <v>939</v>
      </c>
      <c r="K2258">
        <v>0</v>
      </c>
    </row>
    <row r="2259" spans="1:11" hidden="1">
      <c r="A2259">
        <v>989</v>
      </c>
      <c r="B2259" t="s">
        <v>5778</v>
      </c>
      <c r="C2259" t="s">
        <v>5783</v>
      </c>
      <c r="E2259" t="s">
        <v>6289</v>
      </c>
      <c r="F2259" t="s">
        <v>5784</v>
      </c>
      <c r="H2259" t="s">
        <v>3056</v>
      </c>
      <c r="I2259">
        <v>989</v>
      </c>
      <c r="K2259">
        <v>0</v>
      </c>
    </row>
    <row r="2260" spans="1:11" hidden="1">
      <c r="A2260">
        <v>990</v>
      </c>
      <c r="B2260" t="s">
        <v>5778</v>
      </c>
      <c r="C2260" t="s">
        <v>5800</v>
      </c>
      <c r="E2260" t="s">
        <v>6289</v>
      </c>
      <c r="F2260" t="s">
        <v>3119</v>
      </c>
      <c r="H2260" t="s">
        <v>3056</v>
      </c>
      <c r="I2260">
        <v>990</v>
      </c>
      <c r="K2260">
        <v>0</v>
      </c>
    </row>
    <row r="2261" spans="1:11" hidden="1">
      <c r="A2261">
        <v>991</v>
      </c>
      <c r="B2261" t="s">
        <v>5778</v>
      </c>
      <c r="C2261" t="s">
        <v>5781</v>
      </c>
      <c r="E2261" t="s">
        <v>6289</v>
      </c>
      <c r="F2261" t="s">
        <v>165</v>
      </c>
      <c r="H2261" t="s">
        <v>3056</v>
      </c>
      <c r="I2261">
        <v>991</v>
      </c>
      <c r="K2261">
        <v>0</v>
      </c>
    </row>
    <row r="2262" spans="1:11" hidden="1">
      <c r="A2262">
        <v>992</v>
      </c>
      <c r="B2262" t="s">
        <v>5778</v>
      </c>
      <c r="C2262" t="s">
        <v>5801</v>
      </c>
      <c r="E2262" t="s">
        <v>6289</v>
      </c>
      <c r="F2262" t="s">
        <v>3124</v>
      </c>
      <c r="H2262" t="s">
        <v>3056</v>
      </c>
      <c r="I2262">
        <v>992</v>
      </c>
      <c r="K2262">
        <v>0</v>
      </c>
    </row>
    <row r="2263" spans="1:11" hidden="1">
      <c r="A2263">
        <v>1021</v>
      </c>
      <c r="B2263" t="s">
        <v>5778</v>
      </c>
      <c r="C2263" t="s">
        <v>5782</v>
      </c>
      <c r="E2263" t="s">
        <v>6289</v>
      </c>
      <c r="F2263" t="s">
        <v>142</v>
      </c>
      <c r="H2263" t="s">
        <v>3056</v>
      </c>
      <c r="I2263">
        <v>1021</v>
      </c>
      <c r="K2263">
        <v>0</v>
      </c>
    </row>
    <row r="2264" spans="1:11" hidden="1">
      <c r="A2264">
        <v>14350</v>
      </c>
      <c r="B2264" t="s">
        <v>5778</v>
      </c>
      <c r="C2264" t="s">
        <v>5779</v>
      </c>
      <c r="E2264" t="s">
        <v>6289</v>
      </c>
      <c r="H2264" t="s">
        <v>3056</v>
      </c>
      <c r="I2264">
        <v>14350</v>
      </c>
      <c r="K2264">
        <v>0</v>
      </c>
    </row>
    <row r="2265" spans="1:11" hidden="1">
      <c r="A2265">
        <v>14360</v>
      </c>
      <c r="B2265" t="s">
        <v>5778</v>
      </c>
      <c r="C2265" t="s">
        <v>5795</v>
      </c>
      <c r="E2265" t="s">
        <v>6289</v>
      </c>
      <c r="H2265" t="s">
        <v>3056</v>
      </c>
      <c r="I2265">
        <v>14360</v>
      </c>
      <c r="K2265">
        <v>0</v>
      </c>
    </row>
    <row r="2266" spans="1:11" hidden="1">
      <c r="A2266">
        <v>14370</v>
      </c>
      <c r="B2266" t="s">
        <v>5778</v>
      </c>
      <c r="C2266" t="s">
        <v>5793</v>
      </c>
      <c r="E2266" t="s">
        <v>6289</v>
      </c>
      <c r="H2266" t="s">
        <v>3056</v>
      </c>
      <c r="I2266">
        <v>14370</v>
      </c>
      <c r="K2266">
        <v>0</v>
      </c>
    </row>
    <row r="2267" spans="1:11" hidden="1">
      <c r="A2267">
        <v>14380</v>
      </c>
      <c r="B2267" t="s">
        <v>5778</v>
      </c>
      <c r="C2267" t="s">
        <v>5787</v>
      </c>
      <c r="E2267" t="s">
        <v>6289</v>
      </c>
      <c r="H2267" t="s">
        <v>3056</v>
      </c>
      <c r="I2267">
        <v>14380</v>
      </c>
      <c r="K2267">
        <v>0</v>
      </c>
    </row>
    <row r="2268" spans="1:11" hidden="1">
      <c r="A2268">
        <v>14390</v>
      </c>
      <c r="B2268" t="s">
        <v>5778</v>
      </c>
      <c r="C2268" t="s">
        <v>5788</v>
      </c>
      <c r="E2268" t="s">
        <v>6289</v>
      </c>
      <c r="H2268" t="s">
        <v>3056</v>
      </c>
      <c r="I2268">
        <v>14390</v>
      </c>
      <c r="K2268">
        <v>0</v>
      </c>
    </row>
    <row r="2269" spans="1:11" hidden="1">
      <c r="A2269">
        <v>14400</v>
      </c>
      <c r="B2269" t="s">
        <v>5778</v>
      </c>
      <c r="C2269" t="s">
        <v>5780</v>
      </c>
      <c r="E2269" t="s">
        <v>6289</v>
      </c>
      <c r="H2269" t="s">
        <v>3056</v>
      </c>
      <c r="I2269">
        <v>14400</v>
      </c>
      <c r="K2269">
        <v>0</v>
      </c>
    </row>
    <row r="2270" spans="1:11" hidden="1">
      <c r="A2270">
        <v>14410</v>
      </c>
      <c r="B2270" t="s">
        <v>5778</v>
      </c>
      <c r="C2270" t="s">
        <v>5796</v>
      </c>
      <c r="E2270" t="s">
        <v>6289</v>
      </c>
      <c r="H2270" t="s">
        <v>3056</v>
      </c>
      <c r="I2270">
        <v>14410</v>
      </c>
      <c r="K2270">
        <v>0</v>
      </c>
    </row>
    <row r="2271" spans="1:11" hidden="1">
      <c r="A2271">
        <v>14420</v>
      </c>
      <c r="B2271" t="s">
        <v>5778</v>
      </c>
      <c r="C2271" t="s">
        <v>5802</v>
      </c>
      <c r="E2271" t="s">
        <v>6289</v>
      </c>
      <c r="H2271" t="s">
        <v>3056</v>
      </c>
      <c r="I2271">
        <v>14420</v>
      </c>
      <c r="K2271">
        <v>0</v>
      </c>
    </row>
    <row r="2272" spans="1:11" hidden="1">
      <c r="A2272">
        <v>14430</v>
      </c>
      <c r="B2272" t="s">
        <v>5778</v>
      </c>
      <c r="C2272" t="s">
        <v>5798</v>
      </c>
      <c r="E2272" t="s">
        <v>6289</v>
      </c>
      <c r="H2272" t="s">
        <v>3056</v>
      </c>
      <c r="I2272">
        <v>14430</v>
      </c>
      <c r="K2272">
        <v>0</v>
      </c>
    </row>
    <row r="2273" spans="1:11" hidden="1">
      <c r="A2273">
        <v>100020</v>
      </c>
      <c r="B2273" t="s">
        <v>5804</v>
      </c>
      <c r="C2273" t="s">
        <v>5805</v>
      </c>
      <c r="E2273" t="s">
        <v>6289</v>
      </c>
      <c r="H2273" t="s">
        <v>3056</v>
      </c>
      <c r="I2273">
        <v>100020</v>
      </c>
      <c r="K2273">
        <v>0</v>
      </c>
    </row>
    <row r="2274" spans="1:11" hidden="1">
      <c r="A2274">
        <v>18290</v>
      </c>
      <c r="B2274" t="s">
        <v>5806</v>
      </c>
      <c r="C2274" t="s">
        <v>5036</v>
      </c>
      <c r="E2274" t="s">
        <v>6289</v>
      </c>
      <c r="H2274" t="s">
        <v>3056</v>
      </c>
      <c r="I2274">
        <v>18290</v>
      </c>
      <c r="K2274">
        <v>0</v>
      </c>
    </row>
    <row r="2275" spans="1:11" hidden="1">
      <c r="A2275">
        <v>18300</v>
      </c>
      <c r="B2275" t="s">
        <v>5806</v>
      </c>
      <c r="C2275" t="s">
        <v>3449</v>
      </c>
      <c r="E2275" t="s">
        <v>6289</v>
      </c>
      <c r="H2275" t="s">
        <v>3056</v>
      </c>
      <c r="I2275">
        <v>18300</v>
      </c>
      <c r="K2275">
        <v>0</v>
      </c>
    </row>
    <row r="2276" spans="1:11" hidden="1">
      <c r="A2276">
        <v>16060</v>
      </c>
      <c r="B2276" t="s">
        <v>5807</v>
      </c>
      <c r="C2276" t="s">
        <v>5808</v>
      </c>
      <c r="E2276" t="s">
        <v>6289</v>
      </c>
      <c r="H2276" t="s">
        <v>3056</v>
      </c>
      <c r="I2276">
        <v>16060</v>
      </c>
      <c r="K2276">
        <v>0</v>
      </c>
    </row>
    <row r="2277" spans="1:11" hidden="1">
      <c r="A2277">
        <v>16070</v>
      </c>
      <c r="B2277" t="s">
        <v>5807</v>
      </c>
      <c r="C2277" t="s">
        <v>5810</v>
      </c>
      <c r="E2277" t="s">
        <v>6289</v>
      </c>
      <c r="H2277" t="s">
        <v>3056</v>
      </c>
      <c r="I2277">
        <v>16070</v>
      </c>
      <c r="K2277">
        <v>0</v>
      </c>
    </row>
    <row r="2278" spans="1:11" hidden="1">
      <c r="A2278">
        <v>16080</v>
      </c>
      <c r="B2278" t="s">
        <v>5807</v>
      </c>
      <c r="C2278" t="s">
        <v>5809</v>
      </c>
      <c r="E2278" t="s">
        <v>6289</v>
      </c>
      <c r="H2278" t="s">
        <v>3056</v>
      </c>
      <c r="I2278">
        <v>16080</v>
      </c>
      <c r="K2278">
        <v>0</v>
      </c>
    </row>
    <row r="2279" spans="1:11" hidden="1">
      <c r="A2279">
        <v>16090</v>
      </c>
      <c r="B2279" t="s">
        <v>5807</v>
      </c>
      <c r="C2279" t="s">
        <v>81</v>
      </c>
      <c r="E2279" t="s">
        <v>6289</v>
      </c>
      <c r="H2279" t="s">
        <v>3056</v>
      </c>
      <c r="I2279">
        <v>16090</v>
      </c>
      <c r="K2279">
        <v>0</v>
      </c>
    </row>
    <row r="2280" spans="1:11" hidden="1">
      <c r="A2280">
        <v>18310</v>
      </c>
      <c r="B2280" t="s">
        <v>5811</v>
      </c>
      <c r="C2280" t="s">
        <v>3059</v>
      </c>
      <c r="E2280" t="s">
        <v>6289</v>
      </c>
      <c r="H2280" t="s">
        <v>3056</v>
      </c>
      <c r="I2280">
        <v>18310</v>
      </c>
      <c r="K2280">
        <v>0</v>
      </c>
    </row>
    <row r="2281" spans="1:11" hidden="1">
      <c r="A2281">
        <v>18320</v>
      </c>
      <c r="B2281" t="s">
        <v>5811</v>
      </c>
      <c r="C2281" t="s">
        <v>3716</v>
      </c>
      <c r="E2281" t="s">
        <v>6289</v>
      </c>
      <c r="H2281" t="s">
        <v>3056</v>
      </c>
      <c r="I2281">
        <v>18320</v>
      </c>
      <c r="K2281">
        <v>0</v>
      </c>
    </row>
    <row r="2282" spans="1:11" hidden="1">
      <c r="A2282">
        <v>17590</v>
      </c>
      <c r="B2282" t="s">
        <v>5812</v>
      </c>
      <c r="C2282" t="s">
        <v>5815</v>
      </c>
      <c r="E2282" t="s">
        <v>6289</v>
      </c>
      <c r="H2282" t="s">
        <v>3056</v>
      </c>
      <c r="I2282">
        <v>17590</v>
      </c>
      <c r="K2282">
        <v>0</v>
      </c>
    </row>
    <row r="2283" spans="1:11" hidden="1">
      <c r="A2283">
        <v>17600</v>
      </c>
      <c r="B2283" t="s">
        <v>5812</v>
      </c>
      <c r="C2283" t="s">
        <v>5813</v>
      </c>
      <c r="E2283" t="s">
        <v>6289</v>
      </c>
      <c r="H2283" t="s">
        <v>3056</v>
      </c>
      <c r="I2283">
        <v>17600</v>
      </c>
      <c r="K2283">
        <v>0</v>
      </c>
    </row>
    <row r="2284" spans="1:11" hidden="1">
      <c r="A2284">
        <v>17610</v>
      </c>
      <c r="B2284" t="s">
        <v>5812</v>
      </c>
      <c r="C2284" t="s">
        <v>5814</v>
      </c>
      <c r="E2284" t="s">
        <v>6289</v>
      </c>
      <c r="H2284" t="s">
        <v>3056</v>
      </c>
      <c r="I2284">
        <v>17610</v>
      </c>
      <c r="K2284">
        <v>0</v>
      </c>
    </row>
    <row r="2285" spans="1:11" hidden="1">
      <c r="A2285">
        <v>6100</v>
      </c>
      <c r="B2285" t="s">
        <v>5816</v>
      </c>
      <c r="C2285" t="s">
        <v>5817</v>
      </c>
      <c r="E2285" t="s">
        <v>6289</v>
      </c>
      <c r="H2285" t="s">
        <v>3061</v>
      </c>
      <c r="I2285">
        <v>6100</v>
      </c>
      <c r="K2285">
        <v>0</v>
      </c>
    </row>
    <row r="2286" spans="1:11" hidden="1">
      <c r="A2286">
        <v>6101</v>
      </c>
      <c r="B2286" t="s">
        <v>5816</v>
      </c>
      <c r="C2286" t="s">
        <v>5818</v>
      </c>
      <c r="E2286" t="s">
        <v>6289</v>
      </c>
      <c r="H2286" t="s">
        <v>3061</v>
      </c>
      <c r="I2286">
        <v>6101</v>
      </c>
      <c r="K2286">
        <v>0</v>
      </c>
    </row>
    <row r="2287" spans="1:11" hidden="1">
      <c r="A2287">
        <v>6102</v>
      </c>
      <c r="B2287" t="s">
        <v>5816</v>
      </c>
      <c r="C2287" t="s">
        <v>3141</v>
      </c>
      <c r="E2287" t="s">
        <v>6289</v>
      </c>
      <c r="F2287" t="s">
        <v>3141</v>
      </c>
      <c r="H2287" t="s">
        <v>3061</v>
      </c>
      <c r="I2287">
        <v>6102</v>
      </c>
      <c r="K2287">
        <v>0</v>
      </c>
    </row>
    <row r="2288" spans="1:11" hidden="1">
      <c r="A2288">
        <v>6103</v>
      </c>
      <c r="B2288" t="s">
        <v>5816</v>
      </c>
      <c r="C2288" t="s">
        <v>3144</v>
      </c>
      <c r="E2288" t="s">
        <v>6289</v>
      </c>
      <c r="F2288" t="s">
        <v>3145</v>
      </c>
      <c r="H2288" t="s">
        <v>3061</v>
      </c>
      <c r="I2288">
        <v>6103</v>
      </c>
      <c r="K2288">
        <v>0</v>
      </c>
    </row>
    <row r="2289" spans="1:11" hidden="1">
      <c r="A2289">
        <v>14890</v>
      </c>
      <c r="B2289" t="s">
        <v>5819</v>
      </c>
      <c r="C2289" t="s">
        <v>5826</v>
      </c>
      <c r="E2289" t="s">
        <v>6289</v>
      </c>
      <c r="H2289" t="s">
        <v>3056</v>
      </c>
      <c r="I2289">
        <v>14890</v>
      </c>
      <c r="K2289">
        <v>0</v>
      </c>
    </row>
    <row r="2290" spans="1:11" hidden="1">
      <c r="A2290">
        <v>14900</v>
      </c>
      <c r="B2290" t="s">
        <v>5819</v>
      </c>
      <c r="C2290" t="s">
        <v>5825</v>
      </c>
      <c r="E2290" t="s">
        <v>6289</v>
      </c>
      <c r="H2290" t="s">
        <v>3056</v>
      </c>
      <c r="I2290">
        <v>14900</v>
      </c>
      <c r="K2290">
        <v>0</v>
      </c>
    </row>
    <row r="2291" spans="1:11" hidden="1">
      <c r="A2291">
        <v>14910</v>
      </c>
      <c r="B2291" t="s">
        <v>5819</v>
      </c>
      <c r="C2291" t="s">
        <v>5821</v>
      </c>
      <c r="E2291" t="s">
        <v>6289</v>
      </c>
      <c r="H2291" t="s">
        <v>3056</v>
      </c>
      <c r="I2291">
        <v>14910</v>
      </c>
      <c r="K2291">
        <v>0</v>
      </c>
    </row>
    <row r="2292" spans="1:11" hidden="1">
      <c r="A2292">
        <v>14920</v>
      </c>
      <c r="B2292" t="s">
        <v>5819</v>
      </c>
      <c r="C2292" t="s">
        <v>5820</v>
      </c>
      <c r="E2292" t="s">
        <v>6289</v>
      </c>
      <c r="H2292" t="s">
        <v>3056</v>
      </c>
      <c r="I2292">
        <v>14920</v>
      </c>
      <c r="K2292">
        <v>0</v>
      </c>
    </row>
    <row r="2293" spans="1:11" hidden="1">
      <c r="A2293">
        <v>14930</v>
      </c>
      <c r="B2293" t="s">
        <v>5819</v>
      </c>
      <c r="C2293" t="s">
        <v>5823</v>
      </c>
      <c r="E2293" t="s">
        <v>6289</v>
      </c>
      <c r="H2293" t="s">
        <v>3056</v>
      </c>
      <c r="I2293">
        <v>14930</v>
      </c>
      <c r="K2293">
        <v>0</v>
      </c>
    </row>
    <row r="2294" spans="1:11" hidden="1">
      <c r="A2294">
        <v>14940</v>
      </c>
      <c r="B2294" t="s">
        <v>5819</v>
      </c>
      <c r="C2294" t="s">
        <v>5824</v>
      </c>
      <c r="E2294" t="s">
        <v>6289</v>
      </c>
      <c r="H2294" t="s">
        <v>3056</v>
      </c>
      <c r="I2294">
        <v>14940</v>
      </c>
      <c r="K2294">
        <v>0</v>
      </c>
    </row>
    <row r="2295" spans="1:11" hidden="1">
      <c r="A2295">
        <v>14950</v>
      </c>
      <c r="B2295" t="s">
        <v>5819</v>
      </c>
      <c r="C2295" t="s">
        <v>5822</v>
      </c>
      <c r="E2295" t="s">
        <v>6289</v>
      </c>
      <c r="H2295" t="s">
        <v>3056</v>
      </c>
      <c r="I2295">
        <v>14950</v>
      </c>
      <c r="K2295">
        <v>0</v>
      </c>
    </row>
    <row r="2296" spans="1:11" hidden="1">
      <c r="A2296">
        <v>6201</v>
      </c>
      <c r="B2296" t="s">
        <v>5827</v>
      </c>
      <c r="C2296" t="s">
        <v>5828</v>
      </c>
      <c r="E2296" t="s">
        <v>6289</v>
      </c>
      <c r="H2296" t="s">
        <v>3061</v>
      </c>
      <c r="I2296">
        <v>6201</v>
      </c>
      <c r="K2296">
        <v>0</v>
      </c>
    </row>
    <row r="2297" spans="1:11" hidden="1">
      <c r="A2297">
        <v>6202</v>
      </c>
      <c r="B2297" t="s">
        <v>5827</v>
      </c>
      <c r="C2297" t="s">
        <v>5830</v>
      </c>
      <c r="E2297" t="s">
        <v>6289</v>
      </c>
      <c r="H2297" t="s">
        <v>3061</v>
      </c>
      <c r="I2297">
        <v>6202</v>
      </c>
      <c r="K2297">
        <v>0</v>
      </c>
    </row>
    <row r="2298" spans="1:11" hidden="1">
      <c r="A2298">
        <v>6203</v>
      </c>
      <c r="B2298" t="s">
        <v>5827</v>
      </c>
      <c r="C2298" t="s">
        <v>5829</v>
      </c>
      <c r="E2298" t="s">
        <v>6289</v>
      </c>
      <c r="H2298" t="s">
        <v>3061</v>
      </c>
      <c r="I2298">
        <v>6203</v>
      </c>
      <c r="K2298">
        <v>0</v>
      </c>
    </row>
    <row r="2299" spans="1:11" hidden="1">
      <c r="A2299">
        <v>6204</v>
      </c>
      <c r="B2299" t="s">
        <v>5827</v>
      </c>
      <c r="C2299" t="s">
        <v>4474</v>
      </c>
      <c r="E2299" t="s">
        <v>6289</v>
      </c>
      <c r="H2299" t="s">
        <v>3061</v>
      </c>
      <c r="I2299">
        <v>6204</v>
      </c>
      <c r="K2299">
        <v>0</v>
      </c>
    </row>
    <row r="2300" spans="1:11" hidden="1">
      <c r="A2300">
        <v>6300</v>
      </c>
      <c r="B2300" t="s">
        <v>5831</v>
      </c>
      <c r="C2300" t="s">
        <v>5835</v>
      </c>
      <c r="E2300" t="s">
        <v>6289</v>
      </c>
      <c r="F2300" t="s">
        <v>5836</v>
      </c>
      <c r="H2300" t="s">
        <v>3061</v>
      </c>
      <c r="I2300">
        <v>6300</v>
      </c>
      <c r="K2300">
        <v>0</v>
      </c>
    </row>
    <row r="2301" spans="1:11" hidden="1">
      <c r="A2301">
        <v>6301</v>
      </c>
      <c r="B2301" t="s">
        <v>5831</v>
      </c>
      <c r="C2301" t="s">
        <v>5833</v>
      </c>
      <c r="E2301" t="s">
        <v>6289</v>
      </c>
      <c r="F2301" t="s">
        <v>5834</v>
      </c>
      <c r="H2301" t="s">
        <v>3061</v>
      </c>
      <c r="I2301">
        <v>6301</v>
      </c>
      <c r="K2301">
        <v>0</v>
      </c>
    </row>
    <row r="2302" spans="1:11" hidden="1">
      <c r="A2302">
        <v>6302</v>
      </c>
      <c r="B2302" t="s">
        <v>5831</v>
      </c>
      <c r="C2302" t="s">
        <v>5832</v>
      </c>
      <c r="E2302" t="s">
        <v>6289</v>
      </c>
      <c r="F2302" t="s">
        <v>165</v>
      </c>
      <c r="H2302" t="s">
        <v>3061</v>
      </c>
      <c r="I2302">
        <v>6302</v>
      </c>
      <c r="K2302">
        <v>0</v>
      </c>
    </row>
    <row r="2303" spans="1:11" hidden="1">
      <c r="A2303">
        <v>6303</v>
      </c>
      <c r="B2303" t="s">
        <v>5831</v>
      </c>
      <c r="C2303" t="s">
        <v>3141</v>
      </c>
      <c r="E2303" t="s">
        <v>6289</v>
      </c>
      <c r="F2303" t="s">
        <v>3141</v>
      </c>
      <c r="H2303" t="s">
        <v>3061</v>
      </c>
      <c r="I2303">
        <v>6303</v>
      </c>
      <c r="K2303">
        <v>0</v>
      </c>
    </row>
    <row r="2304" spans="1:11" hidden="1">
      <c r="A2304">
        <v>6304</v>
      </c>
      <c r="B2304" t="s">
        <v>5831</v>
      </c>
      <c r="C2304" t="s">
        <v>3144</v>
      </c>
      <c r="E2304" t="s">
        <v>6289</v>
      </c>
      <c r="F2304" t="s">
        <v>3145</v>
      </c>
      <c r="H2304" t="s">
        <v>3061</v>
      </c>
      <c r="I2304">
        <v>6304</v>
      </c>
      <c r="K2304">
        <v>0</v>
      </c>
    </row>
    <row r="2305" spans="1:11" hidden="1">
      <c r="A2305">
        <v>6400</v>
      </c>
      <c r="B2305" t="s">
        <v>5837</v>
      </c>
      <c r="C2305" t="s">
        <v>4509</v>
      </c>
      <c r="E2305" t="s">
        <v>6289</v>
      </c>
      <c r="H2305" t="s">
        <v>3061</v>
      </c>
      <c r="I2305">
        <v>6400</v>
      </c>
      <c r="K2305">
        <v>0</v>
      </c>
    </row>
    <row r="2306" spans="1:11" hidden="1">
      <c r="A2306">
        <v>6401</v>
      </c>
      <c r="B2306" t="s">
        <v>5837</v>
      </c>
      <c r="C2306" t="s">
        <v>5838</v>
      </c>
      <c r="E2306" t="s">
        <v>6289</v>
      </c>
      <c r="H2306" t="s">
        <v>3061</v>
      </c>
      <c r="I2306">
        <v>6401</v>
      </c>
      <c r="K2306">
        <v>0</v>
      </c>
    </row>
    <row r="2307" spans="1:11" hidden="1">
      <c r="A2307">
        <v>6500</v>
      </c>
      <c r="B2307" t="s">
        <v>5839</v>
      </c>
      <c r="C2307" t="s">
        <v>4203</v>
      </c>
      <c r="E2307" t="s">
        <v>6289</v>
      </c>
      <c r="H2307" t="s">
        <v>3061</v>
      </c>
      <c r="I2307">
        <v>6500</v>
      </c>
      <c r="K2307">
        <v>0</v>
      </c>
    </row>
    <row r="2308" spans="1:11" hidden="1">
      <c r="A2308">
        <v>6501</v>
      </c>
      <c r="B2308" t="s">
        <v>5839</v>
      </c>
      <c r="C2308" t="s">
        <v>5844</v>
      </c>
      <c r="E2308" t="s">
        <v>6289</v>
      </c>
      <c r="H2308" t="s">
        <v>3061</v>
      </c>
      <c r="I2308">
        <v>6501</v>
      </c>
      <c r="K2308">
        <v>0</v>
      </c>
    </row>
    <row r="2309" spans="1:11" hidden="1">
      <c r="A2309">
        <v>6502</v>
      </c>
      <c r="B2309" t="s">
        <v>5839</v>
      </c>
      <c r="C2309" t="s">
        <v>4572</v>
      </c>
      <c r="E2309" t="s">
        <v>6289</v>
      </c>
      <c r="H2309" t="s">
        <v>3061</v>
      </c>
      <c r="I2309">
        <v>6502</v>
      </c>
      <c r="K2309">
        <v>0</v>
      </c>
    </row>
    <row r="2310" spans="1:11" hidden="1">
      <c r="A2310">
        <v>6503</v>
      </c>
      <c r="B2310" t="s">
        <v>5839</v>
      </c>
      <c r="C2310" t="s">
        <v>5841</v>
      </c>
      <c r="E2310" t="s">
        <v>6289</v>
      </c>
      <c r="H2310" t="s">
        <v>3061</v>
      </c>
      <c r="I2310">
        <v>6503</v>
      </c>
      <c r="K2310">
        <v>0</v>
      </c>
    </row>
    <row r="2311" spans="1:11" hidden="1">
      <c r="A2311">
        <v>6504</v>
      </c>
      <c r="B2311" t="s">
        <v>5839</v>
      </c>
      <c r="C2311" t="s">
        <v>5845</v>
      </c>
      <c r="E2311" t="s">
        <v>6289</v>
      </c>
      <c r="H2311" t="s">
        <v>3061</v>
      </c>
      <c r="I2311">
        <v>6504</v>
      </c>
      <c r="K2311">
        <v>0</v>
      </c>
    </row>
    <row r="2312" spans="1:11" hidden="1">
      <c r="A2312">
        <v>6505</v>
      </c>
      <c r="B2312" t="s">
        <v>5839</v>
      </c>
      <c r="C2312" t="s">
        <v>5842</v>
      </c>
      <c r="E2312" t="s">
        <v>6289</v>
      </c>
      <c r="H2312" t="s">
        <v>3061</v>
      </c>
      <c r="I2312">
        <v>6505</v>
      </c>
      <c r="K2312">
        <v>0</v>
      </c>
    </row>
    <row r="2313" spans="1:11" hidden="1">
      <c r="A2313">
        <v>6506</v>
      </c>
      <c r="B2313" t="s">
        <v>5839</v>
      </c>
      <c r="C2313" t="s">
        <v>5840</v>
      </c>
      <c r="E2313" t="s">
        <v>6289</v>
      </c>
      <c r="H2313" t="s">
        <v>3061</v>
      </c>
      <c r="I2313">
        <v>6506</v>
      </c>
      <c r="K2313">
        <v>0</v>
      </c>
    </row>
    <row r="2314" spans="1:11" hidden="1">
      <c r="A2314">
        <v>6507</v>
      </c>
      <c r="B2314" t="s">
        <v>5839</v>
      </c>
      <c r="C2314" t="s">
        <v>5846</v>
      </c>
      <c r="E2314" t="s">
        <v>6289</v>
      </c>
      <c r="H2314" t="s">
        <v>3061</v>
      </c>
      <c r="I2314">
        <v>6507</v>
      </c>
      <c r="K2314">
        <v>0</v>
      </c>
    </row>
    <row r="2315" spans="1:11" hidden="1">
      <c r="A2315">
        <v>6508</v>
      </c>
      <c r="B2315" t="s">
        <v>5839</v>
      </c>
      <c r="C2315" t="s">
        <v>5843</v>
      </c>
      <c r="E2315" t="s">
        <v>6289</v>
      </c>
      <c r="H2315" t="s">
        <v>3061</v>
      </c>
      <c r="I2315">
        <v>6508</v>
      </c>
      <c r="K2315">
        <v>0</v>
      </c>
    </row>
    <row r="2316" spans="1:11" hidden="1">
      <c r="A2316">
        <v>6509</v>
      </c>
      <c r="B2316" t="s">
        <v>5839</v>
      </c>
      <c r="C2316" t="s">
        <v>3141</v>
      </c>
      <c r="E2316" t="s">
        <v>6289</v>
      </c>
      <c r="H2316" t="s">
        <v>3061</v>
      </c>
      <c r="I2316">
        <v>6509</v>
      </c>
      <c r="K2316">
        <v>0</v>
      </c>
    </row>
    <row r="2317" spans="1:11" hidden="1">
      <c r="A2317">
        <v>6510</v>
      </c>
      <c r="B2317" t="s">
        <v>5839</v>
      </c>
      <c r="C2317" t="s">
        <v>3144</v>
      </c>
      <c r="E2317" t="s">
        <v>6289</v>
      </c>
      <c r="H2317" t="s">
        <v>3061</v>
      </c>
      <c r="I2317">
        <v>6510</v>
      </c>
      <c r="K2317">
        <v>0</v>
      </c>
    </row>
    <row r="2318" spans="1:11" hidden="1">
      <c r="A2318">
        <v>408</v>
      </c>
      <c r="B2318" t="s">
        <v>1138</v>
      </c>
      <c r="C2318" t="s">
        <v>5847</v>
      </c>
      <c r="E2318" t="s">
        <v>6289</v>
      </c>
      <c r="F2318" t="s">
        <v>5848</v>
      </c>
      <c r="H2318" t="s">
        <v>3056</v>
      </c>
      <c r="I2318">
        <v>408</v>
      </c>
      <c r="K2318">
        <v>0</v>
      </c>
    </row>
    <row r="2319" spans="1:11" hidden="1">
      <c r="A2319">
        <v>409</v>
      </c>
      <c r="B2319" t="s">
        <v>1138</v>
      </c>
      <c r="C2319" t="s">
        <v>5849</v>
      </c>
      <c r="E2319" t="s">
        <v>6289</v>
      </c>
      <c r="F2319" t="s">
        <v>5850</v>
      </c>
      <c r="H2319" t="s">
        <v>3056</v>
      </c>
      <c r="I2319">
        <v>409</v>
      </c>
      <c r="K2319">
        <v>0</v>
      </c>
    </row>
    <row r="2320" spans="1:11" hidden="1">
      <c r="A2320">
        <v>410</v>
      </c>
      <c r="B2320" t="s">
        <v>1138</v>
      </c>
      <c r="C2320" t="s">
        <v>5851</v>
      </c>
      <c r="E2320" t="s">
        <v>6289</v>
      </c>
      <c r="H2320" t="s">
        <v>3056</v>
      </c>
      <c r="I2320">
        <v>410</v>
      </c>
      <c r="K2320">
        <v>0</v>
      </c>
    </row>
    <row r="2321" spans="1:11" hidden="1">
      <c r="A2321">
        <v>411</v>
      </c>
      <c r="B2321" t="s">
        <v>1138</v>
      </c>
      <c r="C2321" t="s">
        <v>5852</v>
      </c>
      <c r="E2321" t="s">
        <v>6289</v>
      </c>
      <c r="H2321" t="s">
        <v>3056</v>
      </c>
      <c r="I2321">
        <v>411</v>
      </c>
      <c r="K2321">
        <v>0</v>
      </c>
    </row>
    <row r="2322" spans="1:11" hidden="1">
      <c r="A2322">
        <v>412</v>
      </c>
      <c r="B2322" t="s">
        <v>1138</v>
      </c>
      <c r="C2322" t="s">
        <v>5853</v>
      </c>
      <c r="E2322" t="s">
        <v>6289</v>
      </c>
      <c r="H2322" t="s">
        <v>3056</v>
      </c>
      <c r="I2322">
        <v>412</v>
      </c>
      <c r="K2322">
        <v>0</v>
      </c>
    </row>
    <row r="2323" spans="1:11" hidden="1">
      <c r="A2323">
        <v>413</v>
      </c>
      <c r="B2323" t="s">
        <v>1138</v>
      </c>
      <c r="C2323" t="s">
        <v>5854</v>
      </c>
      <c r="E2323" t="s">
        <v>6289</v>
      </c>
      <c r="H2323" t="s">
        <v>3056</v>
      </c>
      <c r="I2323">
        <v>413</v>
      </c>
      <c r="K2323">
        <v>0</v>
      </c>
    </row>
    <row r="2324" spans="1:11" hidden="1">
      <c r="A2324">
        <v>414</v>
      </c>
      <c r="B2324" t="s">
        <v>1138</v>
      </c>
      <c r="C2324" t="s">
        <v>5855</v>
      </c>
      <c r="E2324" t="s">
        <v>6289</v>
      </c>
      <c r="H2324" t="s">
        <v>3056</v>
      </c>
      <c r="I2324">
        <v>414</v>
      </c>
      <c r="K2324">
        <v>0</v>
      </c>
    </row>
    <row r="2325" spans="1:11" hidden="1">
      <c r="A2325">
        <v>415</v>
      </c>
      <c r="B2325" t="s">
        <v>1138</v>
      </c>
      <c r="C2325" t="s">
        <v>5856</v>
      </c>
      <c r="E2325" t="s">
        <v>6289</v>
      </c>
      <c r="H2325" t="s">
        <v>3056</v>
      </c>
      <c r="I2325">
        <v>415</v>
      </c>
      <c r="K2325">
        <v>0</v>
      </c>
    </row>
    <row r="2326" spans="1:11" hidden="1">
      <c r="A2326">
        <v>416</v>
      </c>
      <c r="B2326" t="s">
        <v>1138</v>
      </c>
      <c r="C2326" t="s">
        <v>5857</v>
      </c>
      <c r="E2326" t="s">
        <v>6289</v>
      </c>
      <c r="H2326" t="s">
        <v>3056</v>
      </c>
      <c r="I2326">
        <v>416</v>
      </c>
      <c r="K2326">
        <v>0</v>
      </c>
    </row>
    <row r="2327" spans="1:11" hidden="1">
      <c r="A2327">
        <v>417</v>
      </c>
      <c r="B2327" t="s">
        <v>1138</v>
      </c>
      <c r="C2327" t="s">
        <v>5858</v>
      </c>
      <c r="E2327" t="s">
        <v>6289</v>
      </c>
      <c r="H2327" t="s">
        <v>3056</v>
      </c>
      <c r="I2327">
        <v>417</v>
      </c>
      <c r="K2327">
        <v>0</v>
      </c>
    </row>
    <row r="2328" spans="1:11" hidden="1">
      <c r="A2328">
        <v>418</v>
      </c>
      <c r="B2328" t="s">
        <v>1138</v>
      </c>
      <c r="C2328" t="s">
        <v>5859</v>
      </c>
      <c r="E2328" t="s">
        <v>6289</v>
      </c>
      <c r="H2328" t="s">
        <v>3056</v>
      </c>
      <c r="I2328">
        <v>418</v>
      </c>
      <c r="K2328">
        <v>0</v>
      </c>
    </row>
    <row r="2329" spans="1:11" hidden="1">
      <c r="A2329">
        <v>419</v>
      </c>
      <c r="B2329" t="s">
        <v>1138</v>
      </c>
      <c r="C2329" t="s">
        <v>5860</v>
      </c>
      <c r="E2329" t="s">
        <v>6289</v>
      </c>
      <c r="H2329" t="s">
        <v>3056</v>
      </c>
      <c r="I2329">
        <v>419</v>
      </c>
      <c r="K2329">
        <v>0</v>
      </c>
    </row>
    <row r="2330" spans="1:11" hidden="1">
      <c r="A2330">
        <v>10162</v>
      </c>
      <c r="B2330" t="s">
        <v>1138</v>
      </c>
      <c r="C2330" t="s">
        <v>3781</v>
      </c>
      <c r="E2330" t="s">
        <v>6289</v>
      </c>
      <c r="H2330" t="s">
        <v>3056</v>
      </c>
      <c r="I2330">
        <v>10162</v>
      </c>
      <c r="K2330">
        <v>0</v>
      </c>
    </row>
    <row r="2331" spans="1:11" hidden="1">
      <c r="A2331">
        <v>16010</v>
      </c>
      <c r="B2331" t="s">
        <v>5861</v>
      </c>
      <c r="C2331" t="s">
        <v>5862</v>
      </c>
      <c r="E2331" t="s">
        <v>6289</v>
      </c>
      <c r="H2331" t="s">
        <v>3056</v>
      </c>
      <c r="I2331">
        <v>16010</v>
      </c>
      <c r="K2331">
        <v>0</v>
      </c>
    </row>
    <row r="2332" spans="1:11" hidden="1">
      <c r="A2332">
        <v>16020</v>
      </c>
      <c r="B2332" t="s">
        <v>5861</v>
      </c>
      <c r="C2332" t="s">
        <v>5863</v>
      </c>
      <c r="E2332" t="s">
        <v>6289</v>
      </c>
      <c r="H2332" t="s">
        <v>3056</v>
      </c>
      <c r="I2332">
        <v>16020</v>
      </c>
      <c r="K2332">
        <v>0</v>
      </c>
    </row>
    <row r="2333" spans="1:11" hidden="1">
      <c r="A2333">
        <v>16030</v>
      </c>
      <c r="B2333" t="s">
        <v>5861</v>
      </c>
      <c r="C2333" t="s">
        <v>5864</v>
      </c>
      <c r="E2333" t="s">
        <v>6289</v>
      </c>
      <c r="H2333" t="s">
        <v>3056</v>
      </c>
      <c r="I2333">
        <v>16030</v>
      </c>
      <c r="K2333">
        <v>0</v>
      </c>
    </row>
    <row r="2334" spans="1:11" hidden="1">
      <c r="A2334">
        <v>12770</v>
      </c>
      <c r="B2334" t="s">
        <v>5865</v>
      </c>
      <c r="C2334" t="s">
        <v>5867</v>
      </c>
      <c r="E2334" t="s">
        <v>6289</v>
      </c>
      <c r="H2334" t="s">
        <v>3056</v>
      </c>
      <c r="I2334">
        <v>12770</v>
      </c>
      <c r="K2334">
        <v>0</v>
      </c>
    </row>
    <row r="2335" spans="1:11" hidden="1">
      <c r="A2335">
        <v>12780</v>
      </c>
      <c r="B2335" t="s">
        <v>5865</v>
      </c>
      <c r="C2335" t="s">
        <v>5566</v>
      </c>
      <c r="E2335" t="s">
        <v>6289</v>
      </c>
      <c r="H2335" t="s">
        <v>3056</v>
      </c>
      <c r="I2335">
        <v>12780</v>
      </c>
      <c r="K2335">
        <v>0</v>
      </c>
    </row>
    <row r="2336" spans="1:11" hidden="1">
      <c r="A2336">
        <v>12790</v>
      </c>
      <c r="B2336" t="s">
        <v>5865</v>
      </c>
      <c r="C2336" t="s">
        <v>5866</v>
      </c>
      <c r="E2336" t="s">
        <v>6289</v>
      </c>
      <c r="H2336" t="s">
        <v>3056</v>
      </c>
      <c r="I2336">
        <v>12790</v>
      </c>
      <c r="K2336">
        <v>0</v>
      </c>
    </row>
    <row r="2337" spans="1:11" hidden="1">
      <c r="A2337">
        <v>12800</v>
      </c>
      <c r="B2337" t="s">
        <v>5865</v>
      </c>
      <c r="C2337" t="s">
        <v>3825</v>
      </c>
      <c r="E2337" t="s">
        <v>6289</v>
      </c>
      <c r="H2337" t="s">
        <v>3056</v>
      </c>
      <c r="I2337">
        <v>12800</v>
      </c>
      <c r="K2337">
        <v>0</v>
      </c>
    </row>
    <row r="2338" spans="1:11" hidden="1">
      <c r="A2338">
        <v>12810</v>
      </c>
      <c r="B2338" t="s">
        <v>5865</v>
      </c>
      <c r="C2338" t="s">
        <v>3069</v>
      </c>
      <c r="E2338" t="s">
        <v>6289</v>
      </c>
      <c r="H2338" t="s">
        <v>3056</v>
      </c>
      <c r="I2338">
        <v>12810</v>
      </c>
      <c r="K2338">
        <v>0</v>
      </c>
    </row>
    <row r="2339" spans="1:11" hidden="1">
      <c r="A2339">
        <v>12820</v>
      </c>
      <c r="B2339" t="s">
        <v>5868</v>
      </c>
      <c r="C2339" t="s">
        <v>132</v>
      </c>
      <c r="E2339" t="s">
        <v>6289</v>
      </c>
      <c r="H2339" t="s">
        <v>3056</v>
      </c>
      <c r="I2339">
        <v>12820</v>
      </c>
      <c r="K2339">
        <v>0</v>
      </c>
    </row>
    <row r="2340" spans="1:11" hidden="1">
      <c r="A2340">
        <v>12830</v>
      </c>
      <c r="B2340" t="s">
        <v>5868</v>
      </c>
      <c r="C2340" t="s">
        <v>3449</v>
      </c>
      <c r="E2340" t="s">
        <v>6289</v>
      </c>
      <c r="H2340" t="s">
        <v>3056</v>
      </c>
      <c r="I2340">
        <v>12830</v>
      </c>
      <c r="K2340">
        <v>0</v>
      </c>
    </row>
    <row r="2341" spans="1:11" hidden="1">
      <c r="A2341">
        <v>12840</v>
      </c>
      <c r="B2341" t="s">
        <v>5869</v>
      </c>
      <c r="C2341" t="s">
        <v>4615</v>
      </c>
      <c r="E2341" t="s">
        <v>6289</v>
      </c>
      <c r="H2341" t="s">
        <v>3056</v>
      </c>
      <c r="I2341">
        <v>12840</v>
      </c>
      <c r="K2341">
        <v>0</v>
      </c>
    </row>
    <row r="2342" spans="1:11" hidden="1">
      <c r="A2342">
        <v>12850</v>
      </c>
      <c r="B2342" t="s">
        <v>5869</v>
      </c>
      <c r="C2342" t="s">
        <v>5870</v>
      </c>
      <c r="E2342" t="s">
        <v>6289</v>
      </c>
      <c r="H2342" t="s">
        <v>3056</v>
      </c>
      <c r="I2342">
        <v>12850</v>
      </c>
      <c r="K2342">
        <v>0</v>
      </c>
    </row>
    <row r="2343" spans="1:11" hidden="1">
      <c r="A2343">
        <v>1</v>
      </c>
      <c r="B2343" t="s">
        <v>3700</v>
      </c>
      <c r="C2343" t="s">
        <v>6118</v>
      </c>
      <c r="E2343" t="s">
        <v>6289</v>
      </c>
      <c r="G2343">
        <v>0</v>
      </c>
      <c r="H2343" t="s">
        <v>3061</v>
      </c>
      <c r="I2343">
        <v>6921</v>
      </c>
      <c r="K2343" t="s">
        <v>2972</v>
      </c>
    </row>
    <row r="2344" spans="1:11" hidden="1">
      <c r="A2344">
        <v>2</v>
      </c>
      <c r="B2344" t="s">
        <v>3700</v>
      </c>
      <c r="C2344" t="s">
        <v>3701</v>
      </c>
      <c r="E2344" t="s">
        <v>6289</v>
      </c>
      <c r="G2344">
        <v>0</v>
      </c>
      <c r="H2344" t="s">
        <v>3061</v>
      </c>
      <c r="I2344">
        <v>6979</v>
      </c>
      <c r="K2344" t="s">
        <v>2972</v>
      </c>
    </row>
    <row r="2345" spans="1:11" hidden="1">
      <c r="A2345">
        <v>3</v>
      </c>
      <c r="B2345" t="s">
        <v>3700</v>
      </c>
      <c r="C2345" t="s">
        <v>3612</v>
      </c>
      <c r="E2345" t="s">
        <v>6289</v>
      </c>
      <c r="G2345">
        <v>0</v>
      </c>
      <c r="H2345" t="s">
        <v>3061</v>
      </c>
      <c r="I2345">
        <v>6986</v>
      </c>
      <c r="K2345" t="s">
        <v>2972</v>
      </c>
    </row>
    <row r="2346" spans="1:11" hidden="1">
      <c r="A2346">
        <v>4</v>
      </c>
      <c r="B2346" t="s">
        <v>3700</v>
      </c>
      <c r="C2346" t="s">
        <v>6103</v>
      </c>
      <c r="E2346" t="s">
        <v>6289</v>
      </c>
      <c r="G2346">
        <v>0</v>
      </c>
      <c r="H2346" t="s">
        <v>3061</v>
      </c>
      <c r="I2346">
        <v>6954</v>
      </c>
      <c r="K2346" t="s">
        <v>2972</v>
      </c>
    </row>
    <row r="2347" spans="1:11" hidden="1">
      <c r="A2347">
        <v>43</v>
      </c>
      <c r="B2347" t="s">
        <v>5871</v>
      </c>
      <c r="C2347" t="s">
        <v>4003</v>
      </c>
      <c r="E2347" t="s">
        <v>6289</v>
      </c>
      <c r="F2347" t="s">
        <v>92</v>
      </c>
      <c r="H2347" t="s">
        <v>3056</v>
      </c>
      <c r="I2347">
        <v>43</v>
      </c>
      <c r="K2347">
        <v>0</v>
      </c>
    </row>
    <row r="2348" spans="1:11" hidden="1">
      <c r="A2348">
        <v>44</v>
      </c>
      <c r="B2348" t="s">
        <v>5871</v>
      </c>
      <c r="C2348" t="s">
        <v>4002</v>
      </c>
      <c r="E2348" t="s">
        <v>6289</v>
      </c>
      <c r="F2348" t="s">
        <v>919</v>
      </c>
      <c r="H2348" t="s">
        <v>3056</v>
      </c>
      <c r="I2348">
        <v>44</v>
      </c>
      <c r="K2348">
        <v>0</v>
      </c>
    </row>
    <row r="2349" spans="1:11" hidden="1">
      <c r="A2349">
        <v>51</v>
      </c>
      <c r="B2349" t="s">
        <v>5871</v>
      </c>
      <c r="C2349" t="s">
        <v>5872</v>
      </c>
      <c r="E2349" t="s">
        <v>6289</v>
      </c>
      <c r="F2349" t="s">
        <v>3162</v>
      </c>
      <c r="H2349" t="s">
        <v>3056</v>
      </c>
      <c r="I2349">
        <v>51</v>
      </c>
      <c r="K2349">
        <v>0</v>
      </c>
    </row>
    <row r="2350" spans="1:11" hidden="1">
      <c r="A2350">
        <v>2000000045</v>
      </c>
      <c r="B2350" t="s">
        <v>5873</v>
      </c>
      <c r="C2350" t="s">
        <v>3088</v>
      </c>
      <c r="D2350">
        <v>0</v>
      </c>
      <c r="E2350" t="s">
        <v>6289</v>
      </c>
      <c r="H2350" t="s">
        <v>3061</v>
      </c>
      <c r="I2350">
        <v>2000000045</v>
      </c>
      <c r="K2350">
        <v>0</v>
      </c>
    </row>
    <row r="2351" spans="1:11" hidden="1">
      <c r="A2351">
        <v>2000000046</v>
      </c>
      <c r="B2351" t="s">
        <v>5873</v>
      </c>
      <c r="C2351" t="s">
        <v>132</v>
      </c>
      <c r="D2351">
        <v>1</v>
      </c>
      <c r="E2351" t="s">
        <v>6289</v>
      </c>
      <c r="H2351" t="s">
        <v>3061</v>
      </c>
      <c r="I2351">
        <v>2000000046</v>
      </c>
      <c r="K2351">
        <v>0</v>
      </c>
    </row>
    <row r="2352" spans="1:11" hidden="1">
      <c r="A2352">
        <v>2000000047</v>
      </c>
      <c r="B2352" t="s">
        <v>5873</v>
      </c>
      <c r="C2352" t="s">
        <v>3449</v>
      </c>
      <c r="D2352">
        <v>2</v>
      </c>
      <c r="E2352" t="s">
        <v>6289</v>
      </c>
      <c r="H2352" t="s">
        <v>3061</v>
      </c>
      <c r="I2352">
        <v>2000000047</v>
      </c>
      <c r="K2352">
        <v>0</v>
      </c>
    </row>
    <row r="2353" spans="1:11" hidden="1">
      <c r="A2353">
        <v>100001</v>
      </c>
      <c r="B2353" t="s">
        <v>5874</v>
      </c>
      <c r="C2353" t="s">
        <v>3472</v>
      </c>
      <c r="E2353" t="s">
        <v>6289</v>
      </c>
      <c r="H2353" t="s">
        <v>3056</v>
      </c>
      <c r="I2353">
        <v>100001</v>
      </c>
      <c r="K2353">
        <v>0</v>
      </c>
    </row>
    <row r="2354" spans="1:11" hidden="1">
      <c r="A2354">
        <v>100002</v>
      </c>
      <c r="B2354" t="s">
        <v>5874</v>
      </c>
      <c r="C2354" t="s">
        <v>447</v>
      </c>
      <c r="E2354" t="s">
        <v>6289</v>
      </c>
      <c r="H2354" t="s">
        <v>3056</v>
      </c>
      <c r="I2354">
        <v>100002</v>
      </c>
      <c r="K2354">
        <v>0</v>
      </c>
    </row>
    <row r="2355" spans="1:11" hidden="1">
      <c r="A2355">
        <v>100003</v>
      </c>
      <c r="B2355" t="s">
        <v>5874</v>
      </c>
      <c r="C2355" t="s">
        <v>3069</v>
      </c>
      <c r="E2355" t="s">
        <v>6289</v>
      </c>
      <c r="H2355" t="s">
        <v>3056</v>
      </c>
      <c r="I2355">
        <v>100003</v>
      </c>
      <c r="K2355">
        <v>0</v>
      </c>
    </row>
    <row r="2356" spans="1:11" hidden="1">
      <c r="A2356">
        <v>5063</v>
      </c>
      <c r="B2356" t="s">
        <v>5875</v>
      </c>
      <c r="C2356" t="s">
        <v>132</v>
      </c>
      <c r="E2356" t="s">
        <v>6289</v>
      </c>
      <c r="H2356" t="s">
        <v>3056</v>
      </c>
      <c r="I2356">
        <v>5063</v>
      </c>
      <c r="K2356">
        <v>0</v>
      </c>
    </row>
    <row r="2357" spans="1:11" hidden="1">
      <c r="A2357">
        <v>5064</v>
      </c>
      <c r="B2357" t="s">
        <v>5875</v>
      </c>
      <c r="C2357" t="s">
        <v>5877</v>
      </c>
      <c r="E2357" t="s">
        <v>6289</v>
      </c>
      <c r="H2357" t="s">
        <v>3056</v>
      </c>
      <c r="I2357">
        <v>5064</v>
      </c>
      <c r="K2357">
        <v>0</v>
      </c>
    </row>
    <row r="2358" spans="1:11" hidden="1">
      <c r="A2358">
        <v>5065</v>
      </c>
      <c r="B2358" t="s">
        <v>5875</v>
      </c>
      <c r="C2358" t="s">
        <v>5876</v>
      </c>
      <c r="E2358" t="s">
        <v>6289</v>
      </c>
      <c r="H2358" t="s">
        <v>3056</v>
      </c>
      <c r="I2358">
        <v>5065</v>
      </c>
      <c r="K2358">
        <v>0</v>
      </c>
    </row>
    <row r="2359" spans="1:11" hidden="1">
      <c r="A2359">
        <v>5066</v>
      </c>
      <c r="B2359" t="s">
        <v>5875</v>
      </c>
      <c r="C2359" t="s">
        <v>3058</v>
      </c>
      <c r="E2359" t="s">
        <v>6289</v>
      </c>
      <c r="H2359" t="s">
        <v>3056</v>
      </c>
      <c r="I2359">
        <v>5066</v>
      </c>
      <c r="K2359">
        <v>0</v>
      </c>
    </row>
    <row r="2360" spans="1:11" hidden="1">
      <c r="A2360">
        <v>5067</v>
      </c>
      <c r="B2360" t="s">
        <v>5875</v>
      </c>
      <c r="C2360" t="s">
        <v>3057</v>
      </c>
      <c r="E2360" t="s">
        <v>6289</v>
      </c>
      <c r="H2360" t="s">
        <v>3056</v>
      </c>
      <c r="I2360">
        <v>5067</v>
      </c>
      <c r="K2360">
        <v>0</v>
      </c>
    </row>
    <row r="2361" spans="1:11" hidden="1">
      <c r="A2361">
        <v>5068</v>
      </c>
      <c r="B2361" t="s">
        <v>5878</v>
      </c>
      <c r="C2361" t="s">
        <v>5879</v>
      </c>
      <c r="E2361" t="s">
        <v>6289</v>
      </c>
      <c r="H2361" t="s">
        <v>3056</v>
      </c>
      <c r="I2361">
        <v>5068</v>
      </c>
      <c r="K2361">
        <v>0</v>
      </c>
    </row>
    <row r="2362" spans="1:11" hidden="1">
      <c r="A2362">
        <v>5069</v>
      </c>
      <c r="B2362" t="s">
        <v>5878</v>
      </c>
      <c r="C2362" t="s">
        <v>5881</v>
      </c>
      <c r="E2362" t="s">
        <v>6289</v>
      </c>
      <c r="H2362" t="s">
        <v>3056</v>
      </c>
      <c r="I2362">
        <v>5069</v>
      </c>
      <c r="K2362">
        <v>0</v>
      </c>
    </row>
    <row r="2363" spans="1:11" hidden="1">
      <c r="A2363">
        <v>5070</v>
      </c>
      <c r="B2363" t="s">
        <v>5878</v>
      </c>
      <c r="C2363" t="s">
        <v>5882</v>
      </c>
      <c r="E2363" t="s">
        <v>6289</v>
      </c>
      <c r="H2363" t="s">
        <v>3056</v>
      </c>
      <c r="I2363">
        <v>5070</v>
      </c>
      <c r="K2363">
        <v>0</v>
      </c>
    </row>
    <row r="2364" spans="1:11" hidden="1">
      <c r="A2364">
        <v>5071</v>
      </c>
      <c r="B2364" t="s">
        <v>5878</v>
      </c>
      <c r="C2364" t="s">
        <v>5880</v>
      </c>
      <c r="E2364" t="s">
        <v>6289</v>
      </c>
      <c r="H2364" t="s">
        <v>3056</v>
      </c>
      <c r="I2364">
        <v>5071</v>
      </c>
      <c r="K2364">
        <v>0</v>
      </c>
    </row>
    <row r="2365" spans="1:11" hidden="1">
      <c r="A2365">
        <v>5044</v>
      </c>
      <c r="B2365" t="s">
        <v>5883</v>
      </c>
      <c r="C2365" t="s">
        <v>1086</v>
      </c>
      <c r="E2365" t="s">
        <v>6289</v>
      </c>
      <c r="H2365" t="s">
        <v>3056</v>
      </c>
      <c r="I2365">
        <v>5044</v>
      </c>
      <c r="K2365">
        <v>0</v>
      </c>
    </row>
    <row r="2366" spans="1:11" hidden="1">
      <c r="A2366">
        <v>5045</v>
      </c>
      <c r="B2366" t="s">
        <v>5883</v>
      </c>
      <c r="C2366" t="s">
        <v>1365</v>
      </c>
      <c r="E2366" t="s">
        <v>6289</v>
      </c>
      <c r="H2366" t="s">
        <v>3056</v>
      </c>
      <c r="I2366">
        <v>5045</v>
      </c>
      <c r="K2366">
        <v>0</v>
      </c>
    </row>
    <row r="2367" spans="1:11" hidden="1">
      <c r="A2367">
        <v>5042</v>
      </c>
      <c r="B2367" t="s">
        <v>5884</v>
      </c>
      <c r="C2367" t="s">
        <v>132</v>
      </c>
      <c r="E2367" t="s">
        <v>6289</v>
      </c>
      <c r="H2367" t="s">
        <v>3056</v>
      </c>
      <c r="I2367">
        <v>5042</v>
      </c>
      <c r="K2367">
        <v>0</v>
      </c>
    </row>
    <row r="2368" spans="1:11" hidden="1">
      <c r="A2368">
        <v>5043</v>
      </c>
      <c r="B2368" t="s">
        <v>5884</v>
      </c>
      <c r="C2368" t="s">
        <v>3449</v>
      </c>
      <c r="E2368" t="s">
        <v>6289</v>
      </c>
      <c r="H2368" t="s">
        <v>3056</v>
      </c>
      <c r="I2368">
        <v>5043</v>
      </c>
      <c r="K2368">
        <v>0</v>
      </c>
    </row>
    <row r="2369" spans="1:11" hidden="1">
      <c r="A2369">
        <v>5030</v>
      </c>
      <c r="B2369" t="s">
        <v>5885</v>
      </c>
      <c r="C2369" t="s">
        <v>5887</v>
      </c>
      <c r="E2369" t="s">
        <v>6289</v>
      </c>
      <c r="H2369" t="s">
        <v>3056</v>
      </c>
      <c r="I2369">
        <v>5030</v>
      </c>
      <c r="K2369">
        <v>0</v>
      </c>
    </row>
    <row r="2370" spans="1:11" hidden="1">
      <c r="A2370">
        <v>5031</v>
      </c>
      <c r="B2370" t="s">
        <v>5885</v>
      </c>
      <c r="C2370" t="s">
        <v>5894</v>
      </c>
      <c r="E2370" t="s">
        <v>6289</v>
      </c>
      <c r="H2370" t="s">
        <v>3056</v>
      </c>
      <c r="I2370">
        <v>5031</v>
      </c>
      <c r="K2370">
        <v>0</v>
      </c>
    </row>
    <row r="2371" spans="1:11" hidden="1">
      <c r="A2371">
        <v>5032</v>
      </c>
      <c r="B2371" t="s">
        <v>5885</v>
      </c>
      <c r="C2371" t="s">
        <v>5889</v>
      </c>
      <c r="E2371" t="s">
        <v>6289</v>
      </c>
      <c r="H2371" t="s">
        <v>3056</v>
      </c>
      <c r="I2371">
        <v>5032</v>
      </c>
      <c r="K2371">
        <v>0</v>
      </c>
    </row>
    <row r="2372" spans="1:11" hidden="1">
      <c r="A2372">
        <v>5033</v>
      </c>
      <c r="B2372" t="s">
        <v>5885</v>
      </c>
      <c r="C2372" t="s">
        <v>5892</v>
      </c>
      <c r="E2372" t="s">
        <v>6289</v>
      </c>
      <c r="H2372" t="s">
        <v>3056</v>
      </c>
      <c r="I2372">
        <v>5033</v>
      </c>
      <c r="K2372">
        <v>0</v>
      </c>
    </row>
    <row r="2373" spans="1:11" hidden="1">
      <c r="A2373">
        <v>5034</v>
      </c>
      <c r="B2373" t="s">
        <v>5885</v>
      </c>
      <c r="C2373" t="s">
        <v>5890</v>
      </c>
      <c r="E2373" t="s">
        <v>6289</v>
      </c>
      <c r="H2373" t="s">
        <v>3056</v>
      </c>
      <c r="I2373">
        <v>5034</v>
      </c>
      <c r="K2373">
        <v>0</v>
      </c>
    </row>
    <row r="2374" spans="1:11" hidden="1">
      <c r="A2374">
        <v>5035</v>
      </c>
      <c r="B2374" t="s">
        <v>5885</v>
      </c>
      <c r="C2374" t="s">
        <v>5895</v>
      </c>
      <c r="E2374" t="s">
        <v>6289</v>
      </c>
      <c r="H2374" t="s">
        <v>3056</v>
      </c>
      <c r="I2374">
        <v>5035</v>
      </c>
      <c r="K2374">
        <v>0</v>
      </c>
    </row>
    <row r="2375" spans="1:11" hidden="1">
      <c r="A2375">
        <v>5036</v>
      </c>
      <c r="B2375" t="s">
        <v>5885</v>
      </c>
      <c r="C2375" t="s">
        <v>5891</v>
      </c>
      <c r="E2375" t="s">
        <v>6289</v>
      </c>
      <c r="H2375" t="s">
        <v>3056</v>
      </c>
      <c r="I2375">
        <v>5036</v>
      </c>
      <c r="K2375">
        <v>0</v>
      </c>
    </row>
    <row r="2376" spans="1:11" hidden="1">
      <c r="A2376">
        <v>5037</v>
      </c>
      <c r="B2376" t="s">
        <v>5885</v>
      </c>
      <c r="C2376" t="s">
        <v>5896</v>
      </c>
      <c r="E2376" t="s">
        <v>6289</v>
      </c>
      <c r="H2376" t="s">
        <v>3056</v>
      </c>
      <c r="I2376">
        <v>5037</v>
      </c>
      <c r="K2376">
        <v>0</v>
      </c>
    </row>
    <row r="2377" spans="1:11" hidden="1">
      <c r="A2377">
        <v>5038</v>
      </c>
      <c r="B2377" t="s">
        <v>5885</v>
      </c>
      <c r="C2377" t="s">
        <v>5893</v>
      </c>
      <c r="E2377" t="s">
        <v>6289</v>
      </c>
      <c r="H2377" t="s">
        <v>3056</v>
      </c>
      <c r="I2377">
        <v>5038</v>
      </c>
      <c r="K2377">
        <v>0</v>
      </c>
    </row>
    <row r="2378" spans="1:11" hidden="1">
      <c r="A2378">
        <v>5039</v>
      </c>
      <c r="B2378" t="s">
        <v>5885</v>
      </c>
      <c r="C2378" t="s">
        <v>5886</v>
      </c>
      <c r="E2378" t="s">
        <v>6289</v>
      </c>
      <c r="H2378" t="s">
        <v>3056</v>
      </c>
      <c r="I2378">
        <v>5039</v>
      </c>
      <c r="K2378">
        <v>0</v>
      </c>
    </row>
    <row r="2379" spans="1:11" hidden="1">
      <c r="A2379">
        <v>5040</v>
      </c>
      <c r="B2379" t="s">
        <v>5885</v>
      </c>
      <c r="C2379" t="s">
        <v>5888</v>
      </c>
      <c r="E2379" t="s">
        <v>6289</v>
      </c>
      <c r="H2379" t="s">
        <v>3056</v>
      </c>
      <c r="I2379">
        <v>5040</v>
      </c>
      <c r="K2379">
        <v>0</v>
      </c>
    </row>
    <row r="2380" spans="1:11" hidden="1">
      <c r="A2380">
        <v>5041</v>
      </c>
      <c r="B2380" t="s">
        <v>5885</v>
      </c>
      <c r="C2380" t="s">
        <v>4222</v>
      </c>
      <c r="E2380" t="s">
        <v>6289</v>
      </c>
      <c r="H2380" t="s">
        <v>3056</v>
      </c>
      <c r="I2380">
        <v>5041</v>
      </c>
      <c r="K2380">
        <v>0</v>
      </c>
    </row>
    <row r="2381" spans="1:11" hidden="1">
      <c r="A2381">
        <v>5046</v>
      </c>
      <c r="B2381" t="s">
        <v>5897</v>
      </c>
      <c r="C2381" t="s">
        <v>5898</v>
      </c>
      <c r="E2381" t="s">
        <v>6289</v>
      </c>
      <c r="H2381" t="s">
        <v>3056</v>
      </c>
      <c r="I2381">
        <v>5046</v>
      </c>
      <c r="K2381">
        <v>0</v>
      </c>
    </row>
    <row r="2382" spans="1:11" hidden="1">
      <c r="A2382">
        <v>5047</v>
      </c>
      <c r="B2382" t="s">
        <v>5897</v>
      </c>
      <c r="C2382" t="s">
        <v>5899</v>
      </c>
      <c r="E2382" t="s">
        <v>6289</v>
      </c>
      <c r="H2382" t="s">
        <v>3056</v>
      </c>
      <c r="I2382">
        <v>5047</v>
      </c>
      <c r="K2382">
        <v>0</v>
      </c>
    </row>
    <row r="2383" spans="1:11" hidden="1">
      <c r="A2383">
        <v>5048</v>
      </c>
      <c r="B2383" t="s">
        <v>5897</v>
      </c>
      <c r="C2383" t="s">
        <v>5900</v>
      </c>
      <c r="E2383" t="s">
        <v>6289</v>
      </c>
      <c r="H2383" t="s">
        <v>3056</v>
      </c>
      <c r="I2383">
        <v>5048</v>
      </c>
      <c r="K2383">
        <v>0</v>
      </c>
    </row>
    <row r="2384" spans="1:11" hidden="1">
      <c r="A2384">
        <v>5001</v>
      </c>
      <c r="B2384" t="s">
        <v>5901</v>
      </c>
      <c r="C2384" t="s">
        <v>5922</v>
      </c>
      <c r="E2384" t="s">
        <v>6289</v>
      </c>
      <c r="H2384" t="s">
        <v>3056</v>
      </c>
      <c r="I2384">
        <v>5001</v>
      </c>
      <c r="K2384">
        <v>0</v>
      </c>
    </row>
    <row r="2385" spans="1:11" hidden="1">
      <c r="A2385">
        <v>5002</v>
      </c>
      <c r="B2385" t="s">
        <v>5901</v>
      </c>
      <c r="C2385" t="s">
        <v>5924</v>
      </c>
      <c r="E2385" t="s">
        <v>6289</v>
      </c>
      <c r="H2385" t="s">
        <v>3056</v>
      </c>
      <c r="I2385">
        <v>5002</v>
      </c>
      <c r="K2385">
        <v>0</v>
      </c>
    </row>
    <row r="2386" spans="1:11" hidden="1">
      <c r="A2386">
        <v>5003</v>
      </c>
      <c r="B2386" t="s">
        <v>5901</v>
      </c>
      <c r="C2386" t="s">
        <v>5903</v>
      </c>
      <c r="E2386" t="s">
        <v>6289</v>
      </c>
      <c r="H2386" t="s">
        <v>3056</v>
      </c>
      <c r="I2386">
        <v>5003</v>
      </c>
      <c r="K2386">
        <v>0</v>
      </c>
    </row>
    <row r="2387" spans="1:11" hidden="1">
      <c r="A2387">
        <v>5004</v>
      </c>
      <c r="B2387" t="s">
        <v>5901</v>
      </c>
      <c r="C2387" t="s">
        <v>5905</v>
      </c>
      <c r="E2387" t="s">
        <v>6289</v>
      </c>
      <c r="H2387" t="s">
        <v>3056</v>
      </c>
      <c r="I2387">
        <v>5004</v>
      </c>
      <c r="K2387">
        <v>0</v>
      </c>
    </row>
    <row r="2388" spans="1:11" hidden="1">
      <c r="A2388">
        <v>5005</v>
      </c>
      <c r="B2388" t="s">
        <v>5901</v>
      </c>
      <c r="C2388" t="s">
        <v>5927</v>
      </c>
      <c r="E2388" t="s">
        <v>6289</v>
      </c>
      <c r="H2388" t="s">
        <v>3056</v>
      </c>
      <c r="I2388">
        <v>5005</v>
      </c>
      <c r="K2388">
        <v>0</v>
      </c>
    </row>
    <row r="2389" spans="1:11" hidden="1">
      <c r="A2389">
        <v>5006</v>
      </c>
      <c r="B2389" t="s">
        <v>5901</v>
      </c>
      <c r="C2389" t="s">
        <v>5913</v>
      </c>
      <c r="E2389" t="s">
        <v>6289</v>
      </c>
      <c r="H2389" t="s">
        <v>3056</v>
      </c>
      <c r="I2389">
        <v>5006</v>
      </c>
      <c r="K2389">
        <v>0</v>
      </c>
    </row>
    <row r="2390" spans="1:11" hidden="1">
      <c r="A2390">
        <v>5007</v>
      </c>
      <c r="B2390" t="s">
        <v>5901</v>
      </c>
      <c r="C2390" t="s">
        <v>5912</v>
      </c>
      <c r="E2390" t="s">
        <v>6289</v>
      </c>
      <c r="H2390" t="s">
        <v>3056</v>
      </c>
      <c r="I2390">
        <v>5007</v>
      </c>
      <c r="K2390">
        <v>0</v>
      </c>
    </row>
    <row r="2391" spans="1:11" hidden="1">
      <c r="A2391">
        <v>5008</v>
      </c>
      <c r="B2391" t="s">
        <v>5901</v>
      </c>
      <c r="C2391" t="s">
        <v>5909</v>
      </c>
      <c r="E2391" t="s">
        <v>6289</v>
      </c>
      <c r="H2391" t="s">
        <v>3056</v>
      </c>
      <c r="I2391">
        <v>5008</v>
      </c>
      <c r="K2391">
        <v>0</v>
      </c>
    </row>
    <row r="2392" spans="1:11" hidden="1">
      <c r="A2392">
        <v>5009</v>
      </c>
      <c r="B2392" t="s">
        <v>5901</v>
      </c>
      <c r="C2392" t="s">
        <v>5921</v>
      </c>
      <c r="E2392" t="s">
        <v>6289</v>
      </c>
      <c r="H2392" t="s">
        <v>3056</v>
      </c>
      <c r="I2392">
        <v>5009</v>
      </c>
      <c r="K2392">
        <v>0</v>
      </c>
    </row>
    <row r="2393" spans="1:11" hidden="1">
      <c r="A2393">
        <v>5010</v>
      </c>
      <c r="B2393" t="s">
        <v>5901</v>
      </c>
      <c r="C2393" t="s">
        <v>5926</v>
      </c>
      <c r="E2393" t="s">
        <v>6289</v>
      </c>
      <c r="H2393" t="s">
        <v>3056</v>
      </c>
      <c r="I2393">
        <v>5010</v>
      </c>
      <c r="K2393">
        <v>0</v>
      </c>
    </row>
    <row r="2394" spans="1:11" hidden="1">
      <c r="A2394">
        <v>5011</v>
      </c>
      <c r="B2394" t="s">
        <v>5901</v>
      </c>
      <c r="C2394" t="s">
        <v>5911</v>
      </c>
      <c r="E2394" t="s">
        <v>6289</v>
      </c>
      <c r="H2394" t="s">
        <v>3056</v>
      </c>
      <c r="I2394">
        <v>5011</v>
      </c>
      <c r="K2394">
        <v>0</v>
      </c>
    </row>
    <row r="2395" spans="1:11" hidden="1">
      <c r="A2395">
        <v>5012</v>
      </c>
      <c r="B2395" t="s">
        <v>5901</v>
      </c>
      <c r="C2395" t="s">
        <v>5919</v>
      </c>
      <c r="E2395" t="s">
        <v>6289</v>
      </c>
      <c r="H2395" t="s">
        <v>3056</v>
      </c>
      <c r="I2395">
        <v>5012</v>
      </c>
      <c r="K2395">
        <v>0</v>
      </c>
    </row>
    <row r="2396" spans="1:11" hidden="1">
      <c r="A2396">
        <v>5013</v>
      </c>
      <c r="B2396" t="s">
        <v>5901</v>
      </c>
      <c r="C2396" t="s">
        <v>5910</v>
      </c>
      <c r="E2396" t="s">
        <v>6289</v>
      </c>
      <c r="H2396" t="s">
        <v>3056</v>
      </c>
      <c r="I2396">
        <v>5013</v>
      </c>
      <c r="K2396">
        <v>0</v>
      </c>
    </row>
    <row r="2397" spans="1:11" hidden="1">
      <c r="A2397">
        <v>5014</v>
      </c>
      <c r="B2397" t="s">
        <v>5901</v>
      </c>
      <c r="C2397" t="s">
        <v>5914</v>
      </c>
      <c r="E2397" t="s">
        <v>6289</v>
      </c>
      <c r="H2397" t="s">
        <v>3056</v>
      </c>
      <c r="I2397">
        <v>5014</v>
      </c>
      <c r="K2397">
        <v>0</v>
      </c>
    </row>
    <row r="2398" spans="1:11" hidden="1">
      <c r="A2398">
        <v>5015</v>
      </c>
      <c r="B2398" t="s">
        <v>5901</v>
      </c>
      <c r="C2398" t="s">
        <v>5916</v>
      </c>
      <c r="E2398" t="s">
        <v>6289</v>
      </c>
      <c r="H2398" t="s">
        <v>3056</v>
      </c>
      <c r="I2398">
        <v>5015</v>
      </c>
      <c r="K2398">
        <v>0</v>
      </c>
    </row>
    <row r="2399" spans="1:11" hidden="1">
      <c r="A2399">
        <v>5016</v>
      </c>
      <c r="B2399" t="s">
        <v>5901</v>
      </c>
      <c r="C2399" t="s">
        <v>5915</v>
      </c>
      <c r="E2399" t="s">
        <v>6289</v>
      </c>
      <c r="H2399" t="s">
        <v>3056</v>
      </c>
      <c r="I2399">
        <v>5016</v>
      </c>
      <c r="K2399">
        <v>0</v>
      </c>
    </row>
    <row r="2400" spans="1:11" hidden="1">
      <c r="A2400">
        <v>5017</v>
      </c>
      <c r="B2400" t="s">
        <v>5901</v>
      </c>
      <c r="C2400" t="s">
        <v>4052</v>
      </c>
      <c r="E2400" t="s">
        <v>6289</v>
      </c>
      <c r="H2400" t="s">
        <v>3056</v>
      </c>
      <c r="I2400">
        <v>5017</v>
      </c>
      <c r="K2400">
        <v>0</v>
      </c>
    </row>
    <row r="2401" spans="1:11" hidden="1">
      <c r="A2401">
        <v>5018</v>
      </c>
      <c r="B2401" t="s">
        <v>5901</v>
      </c>
      <c r="C2401" t="s">
        <v>5918</v>
      </c>
      <c r="E2401" t="s">
        <v>6289</v>
      </c>
      <c r="H2401" t="s">
        <v>3056</v>
      </c>
      <c r="I2401">
        <v>5018</v>
      </c>
      <c r="K2401">
        <v>0</v>
      </c>
    </row>
    <row r="2402" spans="1:11" hidden="1">
      <c r="A2402">
        <v>5019</v>
      </c>
      <c r="B2402" t="s">
        <v>5901</v>
      </c>
      <c r="C2402" t="s">
        <v>5920</v>
      </c>
      <c r="E2402" t="s">
        <v>6289</v>
      </c>
      <c r="H2402" t="s">
        <v>3056</v>
      </c>
      <c r="I2402">
        <v>5019</v>
      </c>
      <c r="K2402">
        <v>0</v>
      </c>
    </row>
    <row r="2403" spans="1:11" hidden="1">
      <c r="A2403">
        <v>5020</v>
      </c>
      <c r="B2403" t="s">
        <v>5901</v>
      </c>
      <c r="C2403" t="s">
        <v>5917</v>
      </c>
      <c r="E2403" t="s">
        <v>6289</v>
      </c>
      <c r="H2403" t="s">
        <v>3056</v>
      </c>
      <c r="I2403">
        <v>5020</v>
      </c>
      <c r="K2403">
        <v>0</v>
      </c>
    </row>
    <row r="2404" spans="1:11" hidden="1">
      <c r="A2404">
        <v>5021</v>
      </c>
      <c r="B2404" t="s">
        <v>5901</v>
      </c>
      <c r="C2404" t="s">
        <v>5907</v>
      </c>
      <c r="E2404" t="s">
        <v>6289</v>
      </c>
      <c r="H2404" t="s">
        <v>3056</v>
      </c>
      <c r="I2404">
        <v>5021</v>
      </c>
      <c r="K2404">
        <v>0</v>
      </c>
    </row>
    <row r="2405" spans="1:11" hidden="1">
      <c r="A2405">
        <v>5022</v>
      </c>
      <c r="B2405" t="s">
        <v>5901</v>
      </c>
      <c r="C2405" t="s">
        <v>5908</v>
      </c>
      <c r="E2405" t="s">
        <v>6289</v>
      </c>
      <c r="H2405" t="s">
        <v>3056</v>
      </c>
      <c r="I2405">
        <v>5022</v>
      </c>
      <c r="K2405">
        <v>0</v>
      </c>
    </row>
    <row r="2406" spans="1:11" hidden="1">
      <c r="A2406">
        <v>5023</v>
      </c>
      <c r="B2406" t="s">
        <v>5901</v>
      </c>
      <c r="C2406" t="s">
        <v>5902</v>
      </c>
      <c r="E2406" t="s">
        <v>6289</v>
      </c>
      <c r="H2406" t="s">
        <v>3056</v>
      </c>
      <c r="I2406">
        <v>5023</v>
      </c>
      <c r="K2406">
        <v>0</v>
      </c>
    </row>
    <row r="2407" spans="1:11" hidden="1">
      <c r="A2407">
        <v>5024</v>
      </c>
      <c r="B2407" t="s">
        <v>5901</v>
      </c>
      <c r="C2407" t="s">
        <v>5906</v>
      </c>
      <c r="E2407" t="s">
        <v>6289</v>
      </c>
      <c r="H2407" t="s">
        <v>3056</v>
      </c>
      <c r="I2407">
        <v>5024</v>
      </c>
      <c r="K2407">
        <v>0</v>
      </c>
    </row>
    <row r="2408" spans="1:11" hidden="1">
      <c r="A2408">
        <v>5025</v>
      </c>
      <c r="B2408" t="s">
        <v>5901</v>
      </c>
      <c r="C2408" t="s">
        <v>4346</v>
      </c>
      <c r="E2408" t="s">
        <v>6289</v>
      </c>
      <c r="H2408" t="s">
        <v>3056</v>
      </c>
      <c r="I2408">
        <v>5025</v>
      </c>
      <c r="K2408">
        <v>0</v>
      </c>
    </row>
    <row r="2409" spans="1:11" hidden="1">
      <c r="A2409">
        <v>5026</v>
      </c>
      <c r="B2409" t="s">
        <v>5901</v>
      </c>
      <c r="C2409" t="s">
        <v>5928</v>
      </c>
      <c r="E2409" t="s">
        <v>6289</v>
      </c>
      <c r="H2409" t="s">
        <v>3056</v>
      </c>
      <c r="I2409">
        <v>5026</v>
      </c>
      <c r="K2409">
        <v>0</v>
      </c>
    </row>
    <row r="2410" spans="1:11" hidden="1">
      <c r="A2410">
        <v>5027</v>
      </c>
      <c r="B2410" t="s">
        <v>5901</v>
      </c>
      <c r="C2410" t="s">
        <v>5923</v>
      </c>
      <c r="E2410" t="s">
        <v>6289</v>
      </c>
      <c r="H2410" t="s">
        <v>3056</v>
      </c>
      <c r="I2410">
        <v>5027</v>
      </c>
      <c r="K2410">
        <v>0</v>
      </c>
    </row>
    <row r="2411" spans="1:11" hidden="1">
      <c r="A2411">
        <v>5028</v>
      </c>
      <c r="B2411" t="s">
        <v>5901</v>
      </c>
      <c r="C2411" t="s">
        <v>5904</v>
      </c>
      <c r="E2411" t="s">
        <v>6289</v>
      </c>
      <c r="H2411" t="s">
        <v>3056</v>
      </c>
      <c r="I2411">
        <v>5028</v>
      </c>
      <c r="K2411">
        <v>0</v>
      </c>
    </row>
    <row r="2412" spans="1:11" hidden="1">
      <c r="A2412">
        <v>5029</v>
      </c>
      <c r="B2412" t="s">
        <v>5901</v>
      </c>
      <c r="C2412" t="s">
        <v>5925</v>
      </c>
      <c r="E2412" t="s">
        <v>6289</v>
      </c>
      <c r="H2412" t="s">
        <v>3056</v>
      </c>
      <c r="I2412">
        <v>5029</v>
      </c>
      <c r="K2412">
        <v>0</v>
      </c>
    </row>
    <row r="2413" spans="1:11" hidden="1">
      <c r="A2413">
        <v>17460</v>
      </c>
      <c r="B2413" t="s">
        <v>5929</v>
      </c>
      <c r="C2413" t="s">
        <v>5930</v>
      </c>
      <c r="E2413" t="s">
        <v>6289</v>
      </c>
      <c r="H2413" t="s">
        <v>3056</v>
      </c>
      <c r="I2413">
        <v>17460</v>
      </c>
      <c r="K2413">
        <v>0</v>
      </c>
    </row>
    <row r="2414" spans="1:11" hidden="1">
      <c r="A2414">
        <v>17470</v>
      </c>
      <c r="B2414" t="s">
        <v>5929</v>
      </c>
      <c r="C2414" t="s">
        <v>3547</v>
      </c>
      <c r="E2414" t="s">
        <v>6289</v>
      </c>
      <c r="H2414" t="s">
        <v>3056</v>
      </c>
      <c r="I2414">
        <v>17470</v>
      </c>
      <c r="K2414">
        <v>0</v>
      </c>
    </row>
    <row r="2415" spans="1:11" hidden="1">
      <c r="A2415">
        <v>18460</v>
      </c>
      <c r="B2415" t="s">
        <v>5931</v>
      </c>
      <c r="C2415" t="s">
        <v>5936</v>
      </c>
      <c r="E2415" t="s">
        <v>6289</v>
      </c>
      <c r="H2415" t="s">
        <v>3056</v>
      </c>
      <c r="I2415">
        <v>18460</v>
      </c>
      <c r="K2415">
        <v>0</v>
      </c>
    </row>
    <row r="2416" spans="1:11" hidden="1">
      <c r="A2416">
        <v>18470</v>
      </c>
      <c r="B2416" t="s">
        <v>5931</v>
      </c>
      <c r="C2416" t="s">
        <v>5935</v>
      </c>
      <c r="E2416" t="s">
        <v>6289</v>
      </c>
      <c r="H2416" t="s">
        <v>3056</v>
      </c>
      <c r="I2416">
        <v>18470</v>
      </c>
      <c r="K2416">
        <v>0</v>
      </c>
    </row>
    <row r="2417" spans="1:11" hidden="1">
      <c r="A2417">
        <v>18480</v>
      </c>
      <c r="B2417" t="s">
        <v>5931</v>
      </c>
      <c r="C2417" t="s">
        <v>5939</v>
      </c>
      <c r="E2417" t="s">
        <v>6289</v>
      </c>
      <c r="H2417" t="s">
        <v>3056</v>
      </c>
      <c r="I2417">
        <v>18480</v>
      </c>
      <c r="K2417">
        <v>0</v>
      </c>
    </row>
    <row r="2418" spans="1:11" hidden="1">
      <c r="A2418">
        <v>18490</v>
      </c>
      <c r="B2418" t="s">
        <v>5931</v>
      </c>
      <c r="C2418" t="s">
        <v>5932</v>
      </c>
      <c r="E2418" t="s">
        <v>6289</v>
      </c>
      <c r="H2418" t="s">
        <v>3056</v>
      </c>
      <c r="I2418">
        <v>18490</v>
      </c>
      <c r="K2418">
        <v>0</v>
      </c>
    </row>
    <row r="2419" spans="1:11" hidden="1">
      <c r="A2419">
        <v>18500</v>
      </c>
      <c r="B2419" t="s">
        <v>5931</v>
      </c>
      <c r="C2419" t="s">
        <v>5940</v>
      </c>
      <c r="E2419" t="s">
        <v>6289</v>
      </c>
      <c r="H2419" t="s">
        <v>3056</v>
      </c>
      <c r="I2419">
        <v>18500</v>
      </c>
      <c r="K2419">
        <v>0</v>
      </c>
    </row>
    <row r="2420" spans="1:11" hidden="1">
      <c r="A2420">
        <v>18510</v>
      </c>
      <c r="B2420" t="s">
        <v>5931</v>
      </c>
      <c r="C2420" t="s">
        <v>5938</v>
      </c>
      <c r="E2420" t="s">
        <v>6289</v>
      </c>
      <c r="H2420" t="s">
        <v>3056</v>
      </c>
      <c r="I2420">
        <v>18510</v>
      </c>
      <c r="K2420">
        <v>0</v>
      </c>
    </row>
    <row r="2421" spans="1:11" hidden="1">
      <c r="A2421">
        <v>18520</v>
      </c>
      <c r="B2421" t="s">
        <v>5931</v>
      </c>
      <c r="C2421" t="s">
        <v>5937</v>
      </c>
      <c r="E2421" t="s">
        <v>6289</v>
      </c>
      <c r="H2421" t="s">
        <v>3056</v>
      </c>
      <c r="I2421">
        <v>18520</v>
      </c>
      <c r="K2421">
        <v>0</v>
      </c>
    </row>
    <row r="2422" spans="1:11" hidden="1">
      <c r="A2422">
        <v>18530</v>
      </c>
      <c r="B2422" t="s">
        <v>5931</v>
      </c>
      <c r="C2422" t="s">
        <v>5933</v>
      </c>
      <c r="E2422" t="s">
        <v>6289</v>
      </c>
      <c r="H2422" t="s">
        <v>3056</v>
      </c>
      <c r="I2422">
        <v>18530</v>
      </c>
      <c r="K2422">
        <v>0</v>
      </c>
    </row>
    <row r="2423" spans="1:11" hidden="1">
      <c r="A2423">
        <v>18540</v>
      </c>
      <c r="B2423" t="s">
        <v>5931</v>
      </c>
      <c r="C2423" t="s">
        <v>5943</v>
      </c>
      <c r="E2423" t="s">
        <v>6289</v>
      </c>
      <c r="H2423" t="s">
        <v>3056</v>
      </c>
      <c r="I2423">
        <v>18540</v>
      </c>
      <c r="K2423">
        <v>0</v>
      </c>
    </row>
    <row r="2424" spans="1:11" hidden="1">
      <c r="A2424">
        <v>18550</v>
      </c>
      <c r="B2424" t="s">
        <v>5931</v>
      </c>
      <c r="C2424" t="s">
        <v>5942</v>
      </c>
      <c r="E2424" t="s">
        <v>6289</v>
      </c>
      <c r="H2424" t="s">
        <v>3056</v>
      </c>
      <c r="I2424">
        <v>18550</v>
      </c>
      <c r="K2424">
        <v>0</v>
      </c>
    </row>
    <row r="2425" spans="1:11" hidden="1">
      <c r="A2425">
        <v>18560</v>
      </c>
      <c r="B2425" t="s">
        <v>5931</v>
      </c>
      <c r="C2425" t="s">
        <v>5941</v>
      </c>
      <c r="E2425" t="s">
        <v>6289</v>
      </c>
      <c r="H2425" t="s">
        <v>3056</v>
      </c>
      <c r="I2425">
        <v>18560</v>
      </c>
      <c r="K2425">
        <v>0</v>
      </c>
    </row>
    <row r="2426" spans="1:11" hidden="1">
      <c r="A2426">
        <v>18570</v>
      </c>
      <c r="B2426" t="s">
        <v>5931</v>
      </c>
      <c r="C2426" t="s">
        <v>5934</v>
      </c>
      <c r="E2426" t="s">
        <v>6289</v>
      </c>
      <c r="H2426" t="s">
        <v>3056</v>
      </c>
      <c r="I2426">
        <v>18570</v>
      </c>
      <c r="K2426">
        <v>0</v>
      </c>
    </row>
    <row r="2427" spans="1:11" hidden="1">
      <c r="A2427">
        <v>100030</v>
      </c>
      <c r="B2427" t="s">
        <v>5944</v>
      </c>
      <c r="C2427" t="s">
        <v>3626</v>
      </c>
      <c r="D2427">
        <v>3</v>
      </c>
      <c r="E2427" t="s">
        <v>6289</v>
      </c>
      <c r="H2427" t="s">
        <v>3056</v>
      </c>
      <c r="I2427">
        <v>100030</v>
      </c>
      <c r="K2427">
        <v>0</v>
      </c>
    </row>
    <row r="2428" spans="1:11" hidden="1">
      <c r="A2428">
        <v>100031</v>
      </c>
      <c r="B2428" t="s">
        <v>5944</v>
      </c>
      <c r="C2428" t="s">
        <v>3072</v>
      </c>
      <c r="D2428">
        <v>4</v>
      </c>
      <c r="E2428" t="s">
        <v>6289</v>
      </c>
      <c r="H2428" t="s">
        <v>3056</v>
      </c>
      <c r="I2428">
        <v>100031</v>
      </c>
      <c r="K2428">
        <v>0</v>
      </c>
    </row>
    <row r="2429" spans="1:11" hidden="1">
      <c r="A2429">
        <v>100032</v>
      </c>
      <c r="B2429" t="s">
        <v>5944</v>
      </c>
      <c r="C2429" t="s">
        <v>5945</v>
      </c>
      <c r="D2429">
        <v>5</v>
      </c>
      <c r="E2429" t="s">
        <v>6289</v>
      </c>
      <c r="H2429" t="s">
        <v>3056</v>
      </c>
      <c r="I2429">
        <v>100032</v>
      </c>
      <c r="K2429">
        <v>0</v>
      </c>
    </row>
    <row r="2430" spans="1:11" hidden="1">
      <c r="A2430">
        <v>100033</v>
      </c>
      <c r="B2430" t="s">
        <v>5944</v>
      </c>
      <c r="C2430" t="s">
        <v>5947</v>
      </c>
      <c r="D2430">
        <v>2</v>
      </c>
      <c r="E2430" t="s">
        <v>6289</v>
      </c>
      <c r="H2430" t="s">
        <v>3056</v>
      </c>
      <c r="I2430">
        <v>100033</v>
      </c>
      <c r="K2430">
        <v>0</v>
      </c>
    </row>
    <row r="2431" spans="1:11" hidden="1">
      <c r="A2431">
        <v>100034</v>
      </c>
      <c r="B2431" t="s">
        <v>5944</v>
      </c>
      <c r="C2431" t="s">
        <v>5946</v>
      </c>
      <c r="D2431">
        <v>1</v>
      </c>
      <c r="E2431" t="s">
        <v>6289</v>
      </c>
      <c r="H2431" t="s">
        <v>3056</v>
      </c>
      <c r="I2431">
        <v>100034</v>
      </c>
      <c r="K2431">
        <v>0</v>
      </c>
    </row>
    <row r="2432" spans="1:11" hidden="1">
      <c r="A2432">
        <v>1</v>
      </c>
      <c r="B2432" t="s">
        <v>3703</v>
      </c>
      <c r="C2432" t="s">
        <v>3704</v>
      </c>
      <c r="E2432" t="s">
        <v>6289</v>
      </c>
      <c r="G2432">
        <v>0</v>
      </c>
      <c r="H2432" t="s">
        <v>3056</v>
      </c>
      <c r="I2432">
        <v>1050</v>
      </c>
      <c r="K2432" t="s">
        <v>2972</v>
      </c>
    </row>
    <row r="2433" spans="1:11" hidden="1">
      <c r="A2433">
        <v>2</v>
      </c>
      <c r="B2433" t="s">
        <v>3703</v>
      </c>
      <c r="C2433" t="s">
        <v>3069</v>
      </c>
      <c r="E2433" t="s">
        <v>6289</v>
      </c>
      <c r="G2433">
        <v>0</v>
      </c>
      <c r="H2433" t="s">
        <v>3056</v>
      </c>
      <c r="I2433">
        <v>1052</v>
      </c>
      <c r="K2433" t="s">
        <v>2972</v>
      </c>
    </row>
    <row r="2434" spans="1:11" hidden="1">
      <c r="A2434">
        <v>3</v>
      </c>
      <c r="B2434" t="s">
        <v>3703</v>
      </c>
      <c r="C2434" t="s">
        <v>3705</v>
      </c>
      <c r="E2434" t="s">
        <v>6289</v>
      </c>
      <c r="G2434">
        <v>0</v>
      </c>
      <c r="H2434" t="s">
        <v>3056</v>
      </c>
      <c r="I2434">
        <v>1051</v>
      </c>
      <c r="K2434" t="s">
        <v>2972</v>
      </c>
    </row>
    <row r="2435" spans="1:11" hidden="1">
      <c r="A2435">
        <v>311</v>
      </c>
      <c r="B2435" t="s">
        <v>5948</v>
      </c>
      <c r="C2435" t="s">
        <v>5949</v>
      </c>
      <c r="E2435" t="s">
        <v>6289</v>
      </c>
      <c r="F2435" t="s">
        <v>152</v>
      </c>
      <c r="H2435" t="s">
        <v>3056</v>
      </c>
      <c r="I2435">
        <v>311</v>
      </c>
      <c r="K2435">
        <v>0</v>
      </c>
    </row>
    <row r="2436" spans="1:11" hidden="1">
      <c r="A2436">
        <v>312</v>
      </c>
      <c r="B2436" t="s">
        <v>5948</v>
      </c>
      <c r="C2436" t="s">
        <v>5950</v>
      </c>
      <c r="E2436" t="s">
        <v>6289</v>
      </c>
      <c r="F2436" t="s">
        <v>4320</v>
      </c>
      <c r="H2436" t="s">
        <v>3056</v>
      </c>
      <c r="I2436">
        <v>312</v>
      </c>
      <c r="K2436">
        <v>0</v>
      </c>
    </row>
    <row r="2437" spans="1:11" hidden="1">
      <c r="A2437">
        <v>313</v>
      </c>
      <c r="B2437" t="s">
        <v>5948</v>
      </c>
      <c r="C2437" t="s">
        <v>5951</v>
      </c>
      <c r="E2437" t="s">
        <v>6289</v>
      </c>
      <c r="F2437" t="s">
        <v>5952</v>
      </c>
      <c r="H2437" t="s">
        <v>3056</v>
      </c>
      <c r="I2437">
        <v>313</v>
      </c>
      <c r="K2437">
        <v>0</v>
      </c>
    </row>
    <row r="2438" spans="1:11" hidden="1">
      <c r="A2438">
        <v>314</v>
      </c>
      <c r="B2438" t="s">
        <v>5948</v>
      </c>
      <c r="C2438" t="s">
        <v>5953</v>
      </c>
      <c r="E2438" t="s">
        <v>6289</v>
      </c>
      <c r="F2438" t="s">
        <v>4876</v>
      </c>
      <c r="H2438" t="s">
        <v>3056</v>
      </c>
      <c r="I2438">
        <v>314</v>
      </c>
      <c r="K2438">
        <v>0</v>
      </c>
    </row>
    <row r="2439" spans="1:11" hidden="1">
      <c r="A2439">
        <v>315</v>
      </c>
      <c r="B2439" t="s">
        <v>5948</v>
      </c>
      <c r="C2439" t="s">
        <v>5954</v>
      </c>
      <c r="E2439" t="s">
        <v>6289</v>
      </c>
      <c r="F2439" t="s">
        <v>3097</v>
      </c>
      <c r="H2439" t="s">
        <v>3056</v>
      </c>
      <c r="I2439">
        <v>315</v>
      </c>
      <c r="K2439">
        <v>0</v>
      </c>
    </row>
    <row r="2440" spans="1:11" hidden="1">
      <c r="A2440">
        <v>316</v>
      </c>
      <c r="B2440" t="s">
        <v>5948</v>
      </c>
      <c r="C2440" t="s">
        <v>5955</v>
      </c>
      <c r="E2440" t="s">
        <v>6289</v>
      </c>
      <c r="F2440" t="s">
        <v>4188</v>
      </c>
      <c r="H2440" t="s">
        <v>3056</v>
      </c>
      <c r="I2440">
        <v>316</v>
      </c>
      <c r="K2440">
        <v>0</v>
      </c>
    </row>
    <row r="2441" spans="1:11" hidden="1">
      <c r="A2441">
        <v>317</v>
      </c>
      <c r="B2441" t="s">
        <v>5948</v>
      </c>
      <c r="C2441" t="s">
        <v>5956</v>
      </c>
      <c r="E2441" t="s">
        <v>6289</v>
      </c>
      <c r="F2441" t="s">
        <v>5957</v>
      </c>
      <c r="H2441" t="s">
        <v>3056</v>
      </c>
      <c r="I2441">
        <v>317</v>
      </c>
      <c r="K2441">
        <v>0</v>
      </c>
    </row>
    <row r="2442" spans="1:11" hidden="1">
      <c r="A2442">
        <v>318</v>
      </c>
      <c r="B2442" t="s">
        <v>5948</v>
      </c>
      <c r="C2442" t="s">
        <v>5958</v>
      </c>
      <c r="E2442" t="s">
        <v>6289</v>
      </c>
      <c r="F2442" t="s">
        <v>5959</v>
      </c>
      <c r="H2442" t="s">
        <v>3056</v>
      </c>
      <c r="I2442">
        <v>318</v>
      </c>
      <c r="K2442">
        <v>0</v>
      </c>
    </row>
    <row r="2443" spans="1:11" hidden="1">
      <c r="A2443">
        <v>319</v>
      </c>
      <c r="B2443" t="s">
        <v>5948</v>
      </c>
      <c r="C2443" t="s">
        <v>5960</v>
      </c>
      <c r="E2443" t="s">
        <v>6289</v>
      </c>
      <c r="F2443" t="s">
        <v>5961</v>
      </c>
      <c r="H2443" t="s">
        <v>3056</v>
      </c>
      <c r="I2443">
        <v>319</v>
      </c>
      <c r="K2443">
        <v>0</v>
      </c>
    </row>
    <row r="2444" spans="1:11" hidden="1">
      <c r="A2444">
        <v>320</v>
      </c>
      <c r="B2444" t="s">
        <v>5948</v>
      </c>
      <c r="C2444" t="s">
        <v>5962</v>
      </c>
      <c r="E2444" t="s">
        <v>6289</v>
      </c>
      <c r="F2444" t="s">
        <v>5963</v>
      </c>
      <c r="H2444" t="s">
        <v>3056</v>
      </c>
      <c r="I2444">
        <v>320</v>
      </c>
      <c r="K2444">
        <v>0</v>
      </c>
    </row>
    <row r="2445" spans="1:11" hidden="1">
      <c r="A2445">
        <v>321</v>
      </c>
      <c r="B2445" t="s">
        <v>5948</v>
      </c>
      <c r="C2445" t="s">
        <v>5964</v>
      </c>
      <c r="E2445" t="s">
        <v>6289</v>
      </c>
      <c r="F2445" t="s">
        <v>5965</v>
      </c>
      <c r="H2445" t="s">
        <v>3056</v>
      </c>
      <c r="I2445">
        <v>321</v>
      </c>
      <c r="K2445">
        <v>0</v>
      </c>
    </row>
    <row r="2446" spans="1:11" hidden="1">
      <c r="A2446">
        <v>322</v>
      </c>
      <c r="B2446" t="s">
        <v>5948</v>
      </c>
      <c r="C2446" t="s">
        <v>5966</v>
      </c>
      <c r="E2446" t="s">
        <v>6289</v>
      </c>
      <c r="F2446" t="s">
        <v>4613</v>
      </c>
      <c r="H2446" t="s">
        <v>3056</v>
      </c>
      <c r="I2446">
        <v>322</v>
      </c>
      <c r="K2446">
        <v>0</v>
      </c>
    </row>
    <row r="2447" spans="1:11" hidden="1">
      <c r="A2447">
        <v>323</v>
      </c>
      <c r="B2447" t="s">
        <v>5948</v>
      </c>
      <c r="C2447" t="s">
        <v>3418</v>
      </c>
      <c r="E2447" t="s">
        <v>6289</v>
      </c>
      <c r="F2447" t="s">
        <v>5967</v>
      </c>
      <c r="H2447" t="s">
        <v>3056</v>
      </c>
      <c r="I2447">
        <v>323</v>
      </c>
      <c r="K2447">
        <v>0</v>
      </c>
    </row>
    <row r="2448" spans="1:11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</sheetData>
  <autoFilter ref="A1:K2554" xr:uid="{F5F2BAC3-A8B7-4F6F-907D-54CDD1D1AF68}">
    <filterColumn colId="1">
      <filters>
        <filter val="Process Status"/>
        <filter val="Process Type"/>
      </filters>
    </filterColumn>
  </autoFilter>
  <sortState xmlns:xlrd2="http://schemas.microsoft.com/office/spreadsheetml/2017/richdata2" ref="A2:K2554">
    <sortCondition ref="B2:B2554"/>
    <sortCondition ref="A2:A2554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44A3-0017-4B1A-8B34-6F35AD40C61F}">
  <sheetPr codeName="Sheet2"/>
  <dimension ref="A1:C154"/>
  <sheetViews>
    <sheetView topLeftCell="A40" workbookViewId="0">
      <selection activeCell="B50" sqref="B50"/>
    </sheetView>
  </sheetViews>
  <sheetFormatPr defaultRowHeight="14.25"/>
  <cols>
    <col min="1" max="1" width="27.3984375" bestFit="1" customWidth="1"/>
    <col min="2" max="2" width="31.86328125" bestFit="1" customWidth="1"/>
  </cols>
  <sheetData>
    <row r="1" spans="1:3">
      <c r="A1" t="s">
        <v>2974</v>
      </c>
      <c r="B1" t="s">
        <v>2975</v>
      </c>
      <c r="C1" t="s">
        <v>2976</v>
      </c>
    </row>
    <row r="2" spans="1:3">
      <c r="A2" t="s">
        <v>2892</v>
      </c>
      <c r="B2" t="s">
        <v>2894</v>
      </c>
      <c r="C2" s="11" t="s">
        <v>2972</v>
      </c>
    </row>
    <row r="3" spans="1:3">
      <c r="A3" t="s">
        <v>1979</v>
      </c>
      <c r="B3" t="s">
        <v>89</v>
      </c>
      <c r="C3" s="11" t="s">
        <v>2972</v>
      </c>
    </row>
    <row r="4" spans="1:3">
      <c r="A4" t="s">
        <v>1866</v>
      </c>
      <c r="B4" t="s">
        <v>2406</v>
      </c>
      <c r="C4" s="11" t="s">
        <v>2972</v>
      </c>
    </row>
    <row r="5" spans="1:3">
      <c r="A5" t="s">
        <v>1931</v>
      </c>
      <c r="B5" t="s">
        <v>2393</v>
      </c>
      <c r="C5" s="11" t="s">
        <v>2972</v>
      </c>
    </row>
    <row r="6" spans="1:3">
      <c r="A6" t="s">
        <v>2905</v>
      </c>
      <c r="B6" t="s">
        <v>2906</v>
      </c>
      <c r="C6" t="s">
        <v>2972</v>
      </c>
    </row>
    <row r="7" spans="1:3">
      <c r="A7" t="s">
        <v>2051</v>
      </c>
      <c r="B7" t="s">
        <v>2399</v>
      </c>
      <c r="C7" s="11" t="s">
        <v>2972</v>
      </c>
    </row>
    <row r="8" spans="1:3">
      <c r="A8" t="s">
        <v>1078</v>
      </c>
      <c r="B8" t="s">
        <v>2404</v>
      </c>
      <c r="C8" t="s">
        <v>2972</v>
      </c>
    </row>
    <row r="9" spans="1:3">
      <c r="A9" t="s">
        <v>2048</v>
      </c>
      <c r="B9" t="s">
        <v>2400</v>
      </c>
      <c r="C9" s="11" t="s">
        <v>2972</v>
      </c>
    </row>
    <row r="10" spans="1:3">
      <c r="A10" t="s">
        <v>268</v>
      </c>
      <c r="B10" t="s">
        <v>14</v>
      </c>
      <c r="C10" s="11" t="s">
        <v>2972</v>
      </c>
    </row>
    <row r="11" spans="1:3">
      <c r="A11" t="s">
        <v>1938</v>
      </c>
      <c r="B11" t="s">
        <v>2917</v>
      </c>
      <c r="C11" t="s">
        <v>2972</v>
      </c>
    </row>
    <row r="12" spans="1:3">
      <c r="A12" t="s">
        <v>1938</v>
      </c>
      <c r="B12" t="s">
        <v>2918</v>
      </c>
      <c r="C12" t="s">
        <v>2972</v>
      </c>
    </row>
    <row r="13" spans="1:3">
      <c r="A13" t="s">
        <v>1938</v>
      </c>
      <c r="B13" t="s">
        <v>2919</v>
      </c>
      <c r="C13" t="s">
        <v>2972</v>
      </c>
    </row>
    <row r="14" spans="1:3">
      <c r="A14" t="s">
        <v>1938</v>
      </c>
      <c r="B14" t="s">
        <v>2920</v>
      </c>
      <c r="C14" t="s">
        <v>2972</v>
      </c>
    </row>
    <row r="15" spans="1:3">
      <c r="A15" t="s">
        <v>1938</v>
      </c>
      <c r="B15" t="s">
        <v>2921</v>
      </c>
      <c r="C15" t="s">
        <v>2972</v>
      </c>
    </row>
    <row r="16" spans="1:3">
      <c r="A16" t="s">
        <v>1938</v>
      </c>
      <c r="B16" t="s">
        <v>2922</v>
      </c>
      <c r="C16" t="s">
        <v>2972</v>
      </c>
    </row>
    <row r="17" spans="1:3">
      <c r="A17" t="s">
        <v>2927</v>
      </c>
      <c r="B17" t="s">
        <v>49</v>
      </c>
      <c r="C17" s="11" t="s">
        <v>2972</v>
      </c>
    </row>
    <row r="18" spans="1:3">
      <c r="A18" t="s">
        <v>1915</v>
      </c>
      <c r="B18" t="s">
        <v>2941</v>
      </c>
      <c r="C18" s="11" t="s">
        <v>2972</v>
      </c>
    </row>
    <row r="19" spans="1:3">
      <c r="A19" t="s">
        <v>6</v>
      </c>
      <c r="B19" t="s">
        <v>2763</v>
      </c>
      <c r="C19" s="11" t="s">
        <v>2972</v>
      </c>
    </row>
    <row r="20" spans="1:3">
      <c r="A20" t="s">
        <v>2134</v>
      </c>
      <c r="B20" t="s">
        <v>2857</v>
      </c>
      <c r="C20" s="11" t="s">
        <v>2972</v>
      </c>
    </row>
    <row r="21" spans="1:3">
      <c r="A21" t="s">
        <v>2968</v>
      </c>
      <c r="B21" t="s">
        <v>2857</v>
      </c>
      <c r="C21" s="11" t="s">
        <v>2972</v>
      </c>
    </row>
    <row r="22" spans="1:3">
      <c r="A22" t="s">
        <v>2874</v>
      </c>
      <c r="B22" t="s">
        <v>2875</v>
      </c>
    </row>
    <row r="23" spans="1:3">
      <c r="A23" t="s">
        <v>2876</v>
      </c>
      <c r="B23" t="s">
        <v>1461</v>
      </c>
    </row>
    <row r="24" spans="1:3">
      <c r="A24" t="s">
        <v>2877</v>
      </c>
      <c r="B24" t="s">
        <v>2878</v>
      </c>
    </row>
    <row r="25" spans="1:3">
      <c r="A25" t="s">
        <v>2879</v>
      </c>
      <c r="B25" t="s">
        <v>2389</v>
      </c>
    </row>
    <row r="26" spans="1:3">
      <c r="A26" t="s">
        <v>2022</v>
      </c>
      <c r="B26" t="s">
        <v>2396</v>
      </c>
    </row>
    <row r="27" spans="1:3">
      <c r="A27" t="s">
        <v>2880</v>
      </c>
      <c r="B27" t="s">
        <v>2881</v>
      </c>
    </row>
    <row r="28" spans="1:3">
      <c r="A28" t="s">
        <v>9</v>
      </c>
      <c r="B28" t="s">
        <v>1343</v>
      </c>
    </row>
    <row r="29" spans="1:3">
      <c r="A29" t="s">
        <v>66</v>
      </c>
      <c r="B29" t="s">
        <v>2882</v>
      </c>
    </row>
    <row r="30" spans="1:3">
      <c r="A30" t="s">
        <v>2883</v>
      </c>
      <c r="B30" t="s">
        <v>2884</v>
      </c>
    </row>
    <row r="31" spans="1:3">
      <c r="A31" t="s">
        <v>47</v>
      </c>
      <c r="B31" t="s">
        <v>2885</v>
      </c>
    </row>
    <row r="32" spans="1:3">
      <c r="A32" t="s">
        <v>1117</v>
      </c>
      <c r="B32" t="s">
        <v>2860</v>
      </c>
    </row>
    <row r="33" spans="1:2">
      <c r="A33" t="s">
        <v>2886</v>
      </c>
      <c r="B33" t="s">
        <v>2887</v>
      </c>
    </row>
    <row r="34" spans="1:2">
      <c r="A34" t="s">
        <v>2888</v>
      </c>
      <c r="B34" t="s">
        <v>2889</v>
      </c>
    </row>
    <row r="35" spans="1:2">
      <c r="A35" t="s">
        <v>2890</v>
      </c>
      <c r="B35" t="s">
        <v>2891</v>
      </c>
    </row>
    <row r="36" spans="1:2">
      <c r="A36" t="s">
        <v>2892</v>
      </c>
      <c r="B36" t="s">
        <v>2893</v>
      </c>
    </row>
    <row r="37" spans="1:2">
      <c r="A37" t="s">
        <v>2895</v>
      </c>
      <c r="B37" t="s">
        <v>1279</v>
      </c>
    </row>
    <row r="38" spans="1:2">
      <c r="A38" t="s">
        <v>2896</v>
      </c>
      <c r="B38" t="s">
        <v>1344</v>
      </c>
    </row>
    <row r="39" spans="1:2">
      <c r="A39" t="s">
        <v>2897</v>
      </c>
      <c r="B39" t="s">
        <v>2898</v>
      </c>
    </row>
    <row r="40" spans="1:2">
      <c r="A40" t="s">
        <v>1936</v>
      </c>
      <c r="B40" t="s">
        <v>2899</v>
      </c>
    </row>
    <row r="41" spans="1:2">
      <c r="A41" t="s">
        <v>1969</v>
      </c>
      <c r="B41" t="s">
        <v>2900</v>
      </c>
    </row>
    <row r="42" spans="1:2">
      <c r="A42" t="s">
        <v>73</v>
      </c>
      <c r="B42" t="s">
        <v>2893</v>
      </c>
    </row>
    <row r="43" spans="1:2">
      <c r="A43" t="s">
        <v>2901</v>
      </c>
      <c r="B43" t="s">
        <v>2902</v>
      </c>
    </row>
    <row r="44" spans="1:2">
      <c r="A44" t="s">
        <v>2054</v>
      </c>
      <c r="B44" t="s">
        <v>2397</v>
      </c>
    </row>
    <row r="45" spans="1:2">
      <c r="A45" t="s">
        <v>2046</v>
      </c>
      <c r="B45" t="s">
        <v>2398</v>
      </c>
    </row>
    <row r="46" spans="1:2">
      <c r="A46" t="s">
        <v>1960</v>
      </c>
      <c r="B46" t="s">
        <v>2903</v>
      </c>
    </row>
    <row r="47" spans="1:2">
      <c r="A47" t="s">
        <v>2904</v>
      </c>
      <c r="B47" t="s">
        <v>2394</v>
      </c>
    </row>
    <row r="48" spans="1:2">
      <c r="A48" t="s">
        <v>2907</v>
      </c>
      <c r="B48" t="s">
        <v>2908</v>
      </c>
    </row>
    <row r="49" spans="1:2">
      <c r="A49" t="s">
        <v>2909</v>
      </c>
      <c r="B49" t="s">
        <v>2390</v>
      </c>
    </row>
    <row r="50" spans="1:2">
      <c r="A50" t="s">
        <v>20</v>
      </c>
      <c r="B50" t="s">
        <v>1339</v>
      </c>
    </row>
    <row r="51" spans="1:2">
      <c r="A51" t="s">
        <v>2910</v>
      </c>
      <c r="B51" t="s">
        <v>2395</v>
      </c>
    </row>
    <row r="52" spans="1:2">
      <c r="A52" t="s">
        <v>2911</v>
      </c>
      <c r="B52" t="s">
        <v>2912</v>
      </c>
    </row>
    <row r="53" spans="1:2">
      <c r="A53" t="s">
        <v>2913</v>
      </c>
      <c r="B53" t="s">
        <v>1281</v>
      </c>
    </row>
    <row r="54" spans="1:2">
      <c r="A54" t="s">
        <v>1934</v>
      </c>
      <c r="B54" t="s">
        <v>2914</v>
      </c>
    </row>
    <row r="55" spans="1:2">
      <c r="A55" t="s">
        <v>1967</v>
      </c>
      <c r="B55" t="s">
        <v>2915</v>
      </c>
    </row>
    <row r="56" spans="1:2">
      <c r="A56" t="s">
        <v>1933</v>
      </c>
      <c r="B56" t="s">
        <v>2916</v>
      </c>
    </row>
    <row r="57" spans="1:2">
      <c r="A57" t="s">
        <v>2923</v>
      </c>
      <c r="B57" t="s">
        <v>2924</v>
      </c>
    </row>
    <row r="58" spans="1:2">
      <c r="A58" t="s">
        <v>2925</v>
      </c>
      <c r="B58" t="s">
        <v>2973</v>
      </c>
    </row>
    <row r="59" spans="1:2">
      <c r="A59" t="s">
        <v>2023</v>
      </c>
      <c r="B59" t="s">
        <v>2926</v>
      </c>
    </row>
    <row r="60" spans="1:2">
      <c r="A60" t="s">
        <v>4</v>
      </c>
      <c r="B60" t="s">
        <v>1445</v>
      </c>
    </row>
    <row r="61" spans="1:2">
      <c r="A61" t="s">
        <v>2928</v>
      </c>
      <c r="B61" t="s">
        <v>252</v>
      </c>
    </row>
    <row r="62" spans="1:2">
      <c r="A62" t="s">
        <v>1999</v>
      </c>
      <c r="B62" t="s">
        <v>2929</v>
      </c>
    </row>
    <row r="63" spans="1:2">
      <c r="A63" t="s">
        <v>2930</v>
      </c>
      <c r="B63" t="s">
        <v>2931</v>
      </c>
    </row>
    <row r="64" spans="1:2">
      <c r="A64" t="s">
        <v>2932</v>
      </c>
      <c r="B64" t="s">
        <v>2933</v>
      </c>
    </row>
    <row r="65" spans="1:2">
      <c r="A65" t="s">
        <v>2934</v>
      </c>
      <c r="B65" t="s">
        <v>2935</v>
      </c>
    </row>
    <row r="66" spans="1:2">
      <c r="A66" t="s">
        <v>2936</v>
      </c>
      <c r="B66" t="s">
        <v>2937</v>
      </c>
    </row>
    <row r="67" spans="1:2">
      <c r="A67" t="s">
        <v>1914</v>
      </c>
      <c r="B67" t="s">
        <v>2938</v>
      </c>
    </row>
    <row r="68" spans="1:2">
      <c r="A68" t="s">
        <v>2939</v>
      </c>
      <c r="B68" t="s">
        <v>2940</v>
      </c>
    </row>
    <row r="69" spans="1:2">
      <c r="A69" t="s">
        <v>2942</v>
      </c>
      <c r="B69" t="s">
        <v>2943</v>
      </c>
    </row>
    <row r="70" spans="1:2">
      <c r="A70" t="s">
        <v>2017</v>
      </c>
      <c r="B70" t="s">
        <v>2944</v>
      </c>
    </row>
    <row r="71" spans="1:2">
      <c r="A71" t="s">
        <v>2014</v>
      </c>
      <c r="B71" t="s">
        <v>2945</v>
      </c>
    </row>
    <row r="72" spans="1:2">
      <c r="A72" t="s">
        <v>2946</v>
      </c>
      <c r="B72" t="s">
        <v>2947</v>
      </c>
    </row>
    <row r="73" spans="1:2">
      <c r="A73" t="s">
        <v>2005</v>
      </c>
      <c r="B73" t="s">
        <v>2948</v>
      </c>
    </row>
    <row r="74" spans="1:2">
      <c r="A74" t="s">
        <v>2032</v>
      </c>
      <c r="B74" t="s">
        <v>2949</v>
      </c>
    </row>
    <row r="75" spans="1:2">
      <c r="A75" t="s">
        <v>2950</v>
      </c>
      <c r="B75" t="s">
        <v>2951</v>
      </c>
    </row>
    <row r="76" spans="1:2">
      <c r="A76" t="s">
        <v>2952</v>
      </c>
      <c r="B76" t="s">
        <v>2953</v>
      </c>
    </row>
    <row r="77" spans="1:2">
      <c r="A77" t="s">
        <v>2001</v>
      </c>
      <c r="B77" t="s">
        <v>2954</v>
      </c>
    </row>
    <row r="78" spans="1:2">
      <c r="A78" t="s">
        <v>2955</v>
      </c>
      <c r="B78" t="s">
        <v>2956</v>
      </c>
    </row>
    <row r="79" spans="1:2">
      <c r="A79" t="s">
        <v>2957</v>
      </c>
      <c r="B79" t="s">
        <v>2958</v>
      </c>
    </row>
    <row r="80" spans="1:2">
      <c r="A80" t="s">
        <v>2959</v>
      </c>
      <c r="B80" t="s">
        <v>2960</v>
      </c>
    </row>
    <row r="81" spans="1:2">
      <c r="A81" t="s">
        <v>68</v>
      </c>
      <c r="B81" t="s">
        <v>2960</v>
      </c>
    </row>
    <row r="82" spans="1:2">
      <c r="A82" t="s">
        <v>2961</v>
      </c>
      <c r="B82" t="s">
        <v>2960</v>
      </c>
    </row>
    <row r="83" spans="1:2">
      <c r="A83" t="s">
        <v>1910</v>
      </c>
      <c r="B83" t="s">
        <v>2497</v>
      </c>
    </row>
    <row r="84" spans="1:2">
      <c r="A84" t="s">
        <v>2047</v>
      </c>
      <c r="B84" t="s">
        <v>2401</v>
      </c>
    </row>
    <row r="85" spans="1:2">
      <c r="A85" t="s">
        <v>69</v>
      </c>
      <c r="B85" t="s">
        <v>2721</v>
      </c>
    </row>
    <row r="86" spans="1:2">
      <c r="A86" t="s">
        <v>98</v>
      </c>
      <c r="B86" t="s">
        <v>2721</v>
      </c>
    </row>
    <row r="87" spans="1:2">
      <c r="A87" t="s">
        <v>203</v>
      </c>
      <c r="B87" t="s">
        <v>2731</v>
      </c>
    </row>
    <row r="88" spans="1:2">
      <c r="A88" t="s">
        <v>13</v>
      </c>
      <c r="B88" t="s">
        <v>2764</v>
      </c>
    </row>
    <row r="89" spans="1:2">
      <c r="A89" t="s">
        <v>19</v>
      </c>
      <c r="B89" t="s">
        <v>2765</v>
      </c>
    </row>
    <row r="90" spans="1:2">
      <c r="A90" t="s">
        <v>2962</v>
      </c>
      <c r="B90" t="s">
        <v>2780</v>
      </c>
    </row>
    <row r="91" spans="1:2">
      <c r="A91" t="s">
        <v>1352</v>
      </c>
      <c r="B91" t="s">
        <v>2802</v>
      </c>
    </row>
    <row r="92" spans="1:2">
      <c r="A92" t="s">
        <v>1056</v>
      </c>
      <c r="B92" t="s">
        <v>2801</v>
      </c>
    </row>
    <row r="93" spans="1:2">
      <c r="A93" t="s">
        <v>1058</v>
      </c>
      <c r="B93" t="s">
        <v>2803</v>
      </c>
    </row>
    <row r="94" spans="1:2">
      <c r="A94" t="s">
        <v>1059</v>
      </c>
      <c r="B94" t="s">
        <v>2804</v>
      </c>
    </row>
    <row r="95" spans="1:2">
      <c r="A95" t="s">
        <v>1983</v>
      </c>
      <c r="B95" t="s">
        <v>2826</v>
      </c>
    </row>
    <row r="96" spans="1:2">
      <c r="A96" t="s">
        <v>2067</v>
      </c>
      <c r="B96" t="s">
        <v>2827</v>
      </c>
    </row>
    <row r="97" spans="1:2">
      <c r="A97" t="s">
        <v>1984</v>
      </c>
      <c r="B97" t="s">
        <v>2828</v>
      </c>
    </row>
    <row r="98" spans="1:2">
      <c r="A98" t="s">
        <v>2963</v>
      </c>
      <c r="B98" t="s">
        <v>2747</v>
      </c>
    </row>
    <row r="99" spans="1:2">
      <c r="A99" t="s">
        <v>78</v>
      </c>
      <c r="B99" t="s">
        <v>2805</v>
      </c>
    </row>
    <row r="100" spans="1:2">
      <c r="A100" t="s">
        <v>2058</v>
      </c>
      <c r="B100" t="s">
        <v>2812</v>
      </c>
    </row>
    <row r="101" spans="1:2">
      <c r="A101" t="s">
        <v>1937</v>
      </c>
      <c r="B101" t="s">
        <v>2822</v>
      </c>
    </row>
    <row r="102" spans="1:2">
      <c r="A102" t="s">
        <v>2068</v>
      </c>
      <c r="B102" t="s">
        <v>2829</v>
      </c>
    </row>
    <row r="103" spans="1:2">
      <c r="A103" t="s">
        <v>2066</v>
      </c>
      <c r="B103" t="s">
        <v>2823</v>
      </c>
    </row>
    <row r="104" spans="1:2">
      <c r="A104" t="s">
        <v>2069</v>
      </c>
      <c r="B104" t="s">
        <v>2830</v>
      </c>
    </row>
    <row r="105" spans="1:2">
      <c r="A105" t="s">
        <v>2070</v>
      </c>
      <c r="B105" t="s">
        <v>2831</v>
      </c>
    </row>
    <row r="106" spans="1:2">
      <c r="A106" t="s">
        <v>2071</v>
      </c>
      <c r="B106" t="s">
        <v>2832</v>
      </c>
    </row>
    <row r="107" spans="1:2">
      <c r="A107" t="s">
        <v>334</v>
      </c>
      <c r="B107" t="s">
        <v>2833</v>
      </c>
    </row>
    <row r="108" spans="1:2">
      <c r="A108" t="s">
        <v>2120</v>
      </c>
      <c r="B108" t="s">
        <v>2854</v>
      </c>
    </row>
    <row r="109" spans="1:2">
      <c r="A109" t="s">
        <v>2964</v>
      </c>
      <c r="B109" t="s">
        <v>2807</v>
      </c>
    </row>
    <row r="110" spans="1:2">
      <c r="A110" t="s">
        <v>902</v>
      </c>
      <c r="B110" t="s">
        <v>2808</v>
      </c>
    </row>
    <row r="111" spans="1:2">
      <c r="A111" t="s">
        <v>2072</v>
      </c>
      <c r="B111" t="s">
        <v>2834</v>
      </c>
    </row>
    <row r="112" spans="1:2">
      <c r="A112" t="s">
        <v>2965</v>
      </c>
      <c r="B112" t="s">
        <v>2808</v>
      </c>
    </row>
    <row r="113" spans="1:2">
      <c r="A113" t="s">
        <v>82</v>
      </c>
      <c r="B113" t="s">
        <v>2748</v>
      </c>
    </row>
    <row r="114" spans="1:2">
      <c r="A114" t="s">
        <v>85</v>
      </c>
      <c r="B114" t="s">
        <v>2772</v>
      </c>
    </row>
    <row r="115" spans="1:2">
      <c r="A115" t="s">
        <v>1235</v>
      </c>
      <c r="B115" t="s">
        <v>2773</v>
      </c>
    </row>
    <row r="116" spans="1:2">
      <c r="A116" t="s">
        <v>2966</v>
      </c>
      <c r="B116" t="s">
        <v>2856</v>
      </c>
    </row>
    <row r="117" spans="1:2">
      <c r="A117" t="s">
        <v>2967</v>
      </c>
      <c r="B117" t="s">
        <v>2859</v>
      </c>
    </row>
    <row r="118" spans="1:2">
      <c r="A118" t="s">
        <v>2073</v>
      </c>
      <c r="B118" t="s">
        <v>2835</v>
      </c>
    </row>
    <row r="119" spans="1:2">
      <c r="A119" t="s">
        <v>53</v>
      </c>
      <c r="B119" t="s">
        <v>2739</v>
      </c>
    </row>
    <row r="120" spans="1:2">
      <c r="A120" t="s">
        <v>1935</v>
      </c>
      <c r="B120" t="s">
        <v>2824</v>
      </c>
    </row>
    <row r="121" spans="1:2">
      <c r="A121" t="s">
        <v>2969</v>
      </c>
      <c r="B121" t="s">
        <v>2815</v>
      </c>
    </row>
    <row r="122" spans="1:2">
      <c r="A122" t="s">
        <v>1171</v>
      </c>
      <c r="B122" t="s">
        <v>2817</v>
      </c>
    </row>
    <row r="123" spans="1:2">
      <c r="A123" t="s">
        <v>2063</v>
      </c>
      <c r="B123" t="s">
        <v>2819</v>
      </c>
    </row>
    <row r="124" spans="1:2">
      <c r="A124" t="s">
        <v>2065</v>
      </c>
      <c r="B124" t="s">
        <v>2821</v>
      </c>
    </row>
    <row r="125" spans="1:2">
      <c r="A125" t="s">
        <v>2064</v>
      </c>
      <c r="B125" t="s">
        <v>2820</v>
      </c>
    </row>
    <row r="126" spans="1:2">
      <c r="A126" t="s">
        <v>2074</v>
      </c>
      <c r="B126" t="s">
        <v>2836</v>
      </c>
    </row>
    <row r="127" spans="1:2">
      <c r="A127" t="s">
        <v>2075</v>
      </c>
      <c r="B127" t="s">
        <v>2837</v>
      </c>
    </row>
    <row r="128" spans="1:2">
      <c r="A128" t="s">
        <v>2062</v>
      </c>
      <c r="B128" t="s">
        <v>2818</v>
      </c>
    </row>
    <row r="129" spans="1:2">
      <c r="A129" t="s">
        <v>2076</v>
      </c>
      <c r="B129" t="s">
        <v>2838</v>
      </c>
    </row>
    <row r="130" spans="1:2">
      <c r="A130" t="s">
        <v>2077</v>
      </c>
      <c r="B130" t="s">
        <v>2839</v>
      </c>
    </row>
    <row r="131" spans="1:2">
      <c r="A131" t="s">
        <v>2078</v>
      </c>
      <c r="B131" t="s">
        <v>2840</v>
      </c>
    </row>
    <row r="132" spans="1:2">
      <c r="A132" t="s">
        <v>2079</v>
      </c>
      <c r="B132" t="s">
        <v>2841</v>
      </c>
    </row>
    <row r="133" spans="1:2">
      <c r="A133" t="s">
        <v>2080</v>
      </c>
      <c r="B133" t="s">
        <v>2842</v>
      </c>
    </row>
    <row r="134" spans="1:2">
      <c r="A134" t="s">
        <v>2081</v>
      </c>
      <c r="B134" t="s">
        <v>2843</v>
      </c>
    </row>
    <row r="135" spans="1:2">
      <c r="A135" t="s">
        <v>2970</v>
      </c>
      <c r="B135" t="s">
        <v>2772</v>
      </c>
    </row>
    <row r="136" spans="1:2">
      <c r="A136" t="s">
        <v>1920</v>
      </c>
      <c r="B136" t="s">
        <v>2816</v>
      </c>
    </row>
    <row r="137" spans="1:2">
      <c r="A137" t="s">
        <v>2055</v>
      </c>
      <c r="B137" t="s">
        <v>2844</v>
      </c>
    </row>
    <row r="138" spans="1:2">
      <c r="A138" t="s">
        <v>2082</v>
      </c>
      <c r="B138" t="s">
        <v>2845</v>
      </c>
    </row>
    <row r="139" spans="1:2">
      <c r="A139" t="s">
        <v>2083</v>
      </c>
      <c r="B139" t="s">
        <v>2846</v>
      </c>
    </row>
    <row r="140" spans="1:2">
      <c r="A140" t="s">
        <v>1050</v>
      </c>
      <c r="B140" t="s">
        <v>2777</v>
      </c>
    </row>
    <row r="141" spans="1:2">
      <c r="A141" t="s">
        <v>2000</v>
      </c>
      <c r="B141" t="s">
        <v>2847</v>
      </c>
    </row>
    <row r="142" spans="1:2">
      <c r="A142" t="s">
        <v>2060</v>
      </c>
      <c r="B142" t="s">
        <v>2813</v>
      </c>
    </row>
    <row r="143" spans="1:2">
      <c r="A143" t="s">
        <v>60</v>
      </c>
      <c r="B143" t="s">
        <v>2751</v>
      </c>
    </row>
    <row r="144" spans="1:2">
      <c r="A144" t="s">
        <v>2006</v>
      </c>
      <c r="B144" t="s">
        <v>2825</v>
      </c>
    </row>
    <row r="145" spans="1:2">
      <c r="A145" t="s">
        <v>2971</v>
      </c>
      <c r="B145" t="s">
        <v>2825</v>
      </c>
    </row>
    <row r="146" spans="1:2">
      <c r="A146" t="s">
        <v>2084</v>
      </c>
      <c r="B146" t="s">
        <v>2848</v>
      </c>
    </row>
    <row r="147" spans="1:2">
      <c r="A147" t="s">
        <v>2085</v>
      </c>
      <c r="B147" t="s">
        <v>2849</v>
      </c>
    </row>
    <row r="148" spans="1:2">
      <c r="A148" t="s">
        <v>1061</v>
      </c>
      <c r="B148" t="s">
        <v>2809</v>
      </c>
    </row>
    <row r="149" spans="1:2">
      <c r="A149" t="s">
        <v>1064</v>
      </c>
      <c r="B149" t="s">
        <v>2810</v>
      </c>
    </row>
    <row r="150" spans="1:2">
      <c r="A150" t="s">
        <v>1067</v>
      </c>
      <c r="B150" t="s">
        <v>2811</v>
      </c>
    </row>
    <row r="151" spans="1:2">
      <c r="A151" t="s">
        <v>1053</v>
      </c>
      <c r="B151" t="s">
        <v>2778</v>
      </c>
    </row>
    <row r="152" spans="1:2">
      <c r="A152" t="s">
        <v>2086</v>
      </c>
      <c r="B152" t="s">
        <v>2850</v>
      </c>
    </row>
    <row r="153" spans="1:2">
      <c r="A153" t="s">
        <v>2061</v>
      </c>
      <c r="B153" t="s">
        <v>2814</v>
      </c>
    </row>
    <row r="154" spans="1:2">
      <c r="A154" t="s">
        <v>65</v>
      </c>
      <c r="B154" t="s">
        <v>2779</v>
      </c>
    </row>
  </sheetData>
  <autoFilter ref="A1:C155" xr:uid="{1111DFBE-3074-40CC-AD29-60AF8C6CD1D6}">
    <sortState xmlns:xlrd2="http://schemas.microsoft.com/office/spreadsheetml/2017/richdata2" ref="A2:C155">
      <sortCondition ref="C1:C155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39"/>
  <sheetViews>
    <sheetView workbookViewId="0">
      <selection activeCell="A13" sqref="A13:A26"/>
    </sheetView>
  </sheetViews>
  <sheetFormatPr defaultRowHeight="14.25"/>
  <sheetData>
    <row r="1" spans="1:1">
      <c r="A1" t="s">
        <v>7238</v>
      </c>
    </row>
    <row r="2" spans="1:1">
      <c r="A2" t="s">
        <v>974</v>
      </c>
    </row>
    <row r="3" spans="1:1">
      <c r="A3" t="s">
        <v>1020</v>
      </c>
    </row>
    <row r="4" spans="1:1">
      <c r="A4" t="s">
        <v>1021</v>
      </c>
    </row>
    <row r="5" spans="1:1">
      <c r="A5" t="s">
        <v>1022</v>
      </c>
    </row>
    <row r="6" spans="1:1">
      <c r="A6" t="s">
        <v>1356</v>
      </c>
    </row>
    <row r="7" spans="1:1">
      <c r="A7" t="s">
        <v>7239</v>
      </c>
    </row>
    <row r="8" spans="1:1">
      <c r="A8" t="s">
        <v>1258</v>
      </c>
    </row>
    <row r="9" spans="1:1">
      <c r="A9" t="s">
        <v>7242</v>
      </c>
    </row>
    <row r="10" spans="1:1">
      <c r="A10" t="s">
        <v>7243</v>
      </c>
    </row>
    <row r="12" spans="1:1">
      <c r="A12" t="s">
        <v>1023</v>
      </c>
    </row>
    <row r="13" spans="1:1">
      <c r="A13" t="s">
        <v>1024</v>
      </c>
    </row>
    <row r="14" spans="1:1">
      <c r="A14" t="s">
        <v>1345</v>
      </c>
    </row>
    <row r="15" spans="1:1">
      <c r="A15" t="s">
        <v>7244</v>
      </c>
    </row>
    <row r="16" spans="1:1">
      <c r="A16" t="s">
        <v>7245</v>
      </c>
    </row>
    <row r="17" spans="1:1">
      <c r="A17" t="s">
        <v>7241</v>
      </c>
    </row>
    <row r="18" spans="1:1">
      <c r="A18" t="s">
        <v>7239</v>
      </c>
    </row>
    <row r="19" spans="1:1">
      <c r="A19" t="s">
        <v>1253</v>
      </c>
    </row>
    <row r="20" spans="1:1">
      <c r="A20" t="s">
        <v>1072</v>
      </c>
    </row>
    <row r="21" spans="1:1">
      <c r="A21" t="s">
        <v>1254</v>
      </c>
    </row>
    <row r="22" spans="1:1">
      <c r="A22" t="s">
        <v>1255</v>
      </c>
    </row>
    <row r="23" spans="1:1">
      <c r="A23" t="s">
        <v>1310</v>
      </c>
    </row>
    <row r="24" spans="1:1">
      <c r="A24" t="s">
        <v>1080</v>
      </c>
    </row>
    <row r="25" spans="1:1">
      <c r="A25" t="s">
        <v>1256</v>
      </c>
    </row>
    <row r="26" spans="1:1">
      <c r="A26" t="s">
        <v>1257</v>
      </c>
    </row>
    <row r="28" spans="1:1">
      <c r="A28" t="s">
        <v>1323</v>
      </c>
    </row>
    <row r="29" spans="1:1">
      <c r="A29" t="s">
        <v>1324</v>
      </c>
    </row>
    <row r="30" spans="1:1">
      <c r="A30" t="s">
        <v>1325</v>
      </c>
    </row>
    <row r="31" spans="1:1">
      <c r="A31" t="s">
        <v>7246</v>
      </c>
    </row>
    <row r="32" spans="1:1">
      <c r="A32" t="s">
        <v>7247</v>
      </c>
    </row>
    <row r="34" spans="1:1">
      <c r="A34" t="s">
        <v>7240</v>
      </c>
    </row>
    <row r="35" spans="1:1">
      <c r="A35" t="s">
        <v>0</v>
      </c>
    </row>
    <row r="36" spans="1:1">
      <c r="A36" t="s">
        <v>7236</v>
      </c>
    </row>
    <row r="37" spans="1:1">
      <c r="A37" t="s">
        <v>7237</v>
      </c>
    </row>
    <row r="38" spans="1:1">
      <c r="A38" t="s">
        <v>1250</v>
      </c>
    </row>
    <row r="39" spans="1:1">
      <c r="A39" t="s">
        <v>1249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82"/>
  <sheetViews>
    <sheetView topLeftCell="A7" workbookViewId="0">
      <selection activeCell="A16" sqref="A16"/>
    </sheetView>
  </sheetViews>
  <sheetFormatPr defaultRowHeight="14.25"/>
  <cols>
    <col min="1" max="1" width="87.86328125" customWidth="1"/>
  </cols>
  <sheetData>
    <row r="1" spans="1:1">
      <c r="A1" t="s">
        <v>6056</v>
      </c>
    </row>
    <row r="2" spans="1:1">
      <c r="A2" t="s">
        <v>2421</v>
      </c>
    </row>
    <row r="3" spans="1:1">
      <c r="A3" t="s">
        <v>2995</v>
      </c>
    </row>
    <row r="4" spans="1:1">
      <c r="A4" t="s">
        <v>2089</v>
      </c>
    </row>
    <row r="5" spans="1:1">
      <c r="A5" t="s">
        <v>2140</v>
      </c>
    </row>
    <row r="6" spans="1:1">
      <c r="A6" t="s">
        <v>2872</v>
      </c>
    </row>
    <row r="7" spans="1:1">
      <c r="A7" t="s">
        <v>6057</v>
      </c>
    </row>
    <row r="8" spans="1:1">
      <c r="A8" t="s">
        <v>2873</v>
      </c>
    </row>
    <row r="9" spans="1:1">
      <c r="A9" t="s">
        <v>2105</v>
      </c>
    </row>
    <row r="10" spans="1:1">
      <c r="A10" t="s">
        <v>6070</v>
      </c>
    </row>
    <row r="11" spans="1:1">
      <c r="A11" t="s">
        <v>6058</v>
      </c>
    </row>
    <row r="12" spans="1:1">
      <c r="A12" t="s">
        <v>6059</v>
      </c>
    </row>
    <row r="13" spans="1:1">
      <c r="A13" t="s">
        <v>6069</v>
      </c>
    </row>
    <row r="14" spans="1:1">
      <c r="A14" t="s">
        <v>6060</v>
      </c>
    </row>
    <row r="15" spans="1:1">
      <c r="A15" t="s">
        <v>6128</v>
      </c>
    </row>
    <row r="16" spans="1:1">
      <c r="A16" t="s">
        <v>6068</v>
      </c>
    </row>
    <row r="17" spans="1:1">
      <c r="A17" t="s">
        <v>6061</v>
      </c>
    </row>
    <row r="18" spans="1:1">
      <c r="A18" t="s">
        <v>6063</v>
      </c>
    </row>
    <row r="19" spans="1:1">
      <c r="A19" t="s">
        <v>6062</v>
      </c>
    </row>
    <row r="20" spans="1:1">
      <c r="A20" t="s">
        <v>6064</v>
      </c>
    </row>
    <row r="21" spans="1:1">
      <c r="A21" t="s">
        <v>6065</v>
      </c>
    </row>
    <row r="22" spans="1:1">
      <c r="A22" t="s">
        <v>6066</v>
      </c>
    </row>
    <row r="23" spans="1:1">
      <c r="A23" t="s">
        <v>6067</v>
      </c>
    </row>
    <row r="24" spans="1:1">
      <c r="A24" t="s">
        <v>2108</v>
      </c>
    </row>
    <row r="25" spans="1:1">
      <c r="A25" t="s">
        <v>1246</v>
      </c>
    </row>
    <row r="26" spans="1:1">
      <c r="A26" t="s">
        <v>1211</v>
      </c>
    </row>
    <row r="27" spans="1:1">
      <c r="A27" t="s">
        <v>1203</v>
      </c>
    </row>
    <row r="28" spans="1:1">
      <c r="A28" t="s">
        <v>1355</v>
      </c>
    </row>
    <row r="29" spans="1:1">
      <c r="A29" t="s">
        <v>1442</v>
      </c>
    </row>
    <row r="30" spans="1:1">
      <c r="A30" t="s">
        <v>1437</v>
      </c>
    </row>
    <row r="31" spans="1:1">
      <c r="A31" t="s">
        <v>1357</v>
      </c>
    </row>
    <row r="32" spans="1:1">
      <c r="A32" t="s">
        <v>2141</v>
      </c>
    </row>
    <row r="33" spans="1:1">
      <c r="A33" t="s">
        <v>1247</v>
      </c>
    </row>
    <row r="34" spans="1:1">
      <c r="A34" t="s">
        <v>1292</v>
      </c>
    </row>
    <row r="35" spans="1:1">
      <c r="A35" t="s">
        <v>1299</v>
      </c>
    </row>
    <row r="36" spans="1:1">
      <c r="A36" t="s">
        <v>1270</v>
      </c>
    </row>
    <row r="37" spans="1:1">
      <c r="A37" t="s">
        <v>1304</v>
      </c>
    </row>
    <row r="38" spans="1:1">
      <c r="A38" t="s">
        <v>1354</v>
      </c>
    </row>
    <row r="39" spans="1:1">
      <c r="A39" t="s">
        <v>1438</v>
      </c>
    </row>
    <row r="40" spans="1:1">
      <c r="A40" t="s">
        <v>1331</v>
      </c>
    </row>
    <row r="41" spans="1:1">
      <c r="A41" t="s">
        <v>1439</v>
      </c>
    </row>
    <row r="42" spans="1:1">
      <c r="A42" t="s">
        <v>1440</v>
      </c>
    </row>
    <row r="43" spans="1:1">
      <c r="A43" t="s">
        <v>3047</v>
      </c>
    </row>
    <row r="44" spans="1:1">
      <c r="A44" t="s">
        <v>1204</v>
      </c>
    </row>
    <row r="45" spans="1:1">
      <c r="A45" t="s">
        <v>1441</v>
      </c>
    </row>
    <row r="46" spans="1:1">
      <c r="A46" t="s">
        <v>1300</v>
      </c>
    </row>
    <row r="47" spans="1:1">
      <c r="A47" t="s">
        <v>1443</v>
      </c>
    </row>
    <row r="48" spans="1:1">
      <c r="A48" t="s">
        <v>1272</v>
      </c>
    </row>
    <row r="49" spans="1:1">
      <c r="A49" t="s">
        <v>1327</v>
      </c>
    </row>
    <row r="50" spans="1:1">
      <c r="A50" t="s">
        <v>1305</v>
      </c>
    </row>
    <row r="51" spans="1:1">
      <c r="A51" t="s">
        <v>1209</v>
      </c>
    </row>
    <row r="52" spans="1:1">
      <c r="A52" t="s">
        <v>1202</v>
      </c>
    </row>
    <row r="53" spans="1:1">
      <c r="A53" t="s">
        <v>1474</v>
      </c>
    </row>
    <row r="54" spans="1:1">
      <c r="A54" t="s">
        <v>3049</v>
      </c>
    </row>
    <row r="55" spans="1:1">
      <c r="A55" t="s">
        <v>1332</v>
      </c>
    </row>
    <row r="56" spans="1:1">
      <c r="A56" t="s">
        <v>1259</v>
      </c>
    </row>
    <row r="57" spans="1:1">
      <c r="A57" t="s">
        <v>2096</v>
      </c>
    </row>
    <row r="58" spans="1:1">
      <c r="A58" t="s">
        <v>1251</v>
      </c>
    </row>
    <row r="59" spans="1:1">
      <c r="A59" t="s">
        <v>984</v>
      </c>
    </row>
    <row r="60" spans="1:1">
      <c r="A60" t="s">
        <v>1238</v>
      </c>
    </row>
    <row r="61" spans="1:1">
      <c r="A61" t="s">
        <v>1306</v>
      </c>
    </row>
    <row r="62" spans="1:1">
      <c r="A62" t="s">
        <v>1237</v>
      </c>
    </row>
    <row r="63" spans="1:1">
      <c r="A63" t="s">
        <v>1273</v>
      </c>
    </row>
    <row r="64" spans="1:1">
      <c r="A64" t="s">
        <v>1229</v>
      </c>
    </row>
    <row r="65" spans="1:1">
      <c r="A65" t="s">
        <v>1205</v>
      </c>
    </row>
    <row r="66" spans="1:1">
      <c r="A66" t="s">
        <v>1335</v>
      </c>
    </row>
    <row r="67" spans="1:1">
      <c r="A67" t="s">
        <v>1208</v>
      </c>
    </row>
    <row r="68" spans="1:1">
      <c r="A68" t="s">
        <v>1444</v>
      </c>
    </row>
    <row r="69" spans="1:1">
      <c r="A69" t="s">
        <v>1239</v>
      </c>
    </row>
    <row r="70" spans="1:1">
      <c r="A70" t="s">
        <v>3048</v>
      </c>
    </row>
    <row r="71" spans="1:1">
      <c r="A71" t="s">
        <v>2097</v>
      </c>
    </row>
    <row r="72" spans="1:1">
      <c r="A72" t="s">
        <v>2098</v>
      </c>
    </row>
    <row r="73" spans="1:1">
      <c r="A73" t="s">
        <v>2099</v>
      </c>
    </row>
    <row r="74" spans="1:1">
      <c r="A74" t="s">
        <v>2100</v>
      </c>
    </row>
    <row r="75" spans="1:1">
      <c r="A75" t="s">
        <v>2101</v>
      </c>
    </row>
    <row r="76" spans="1:1">
      <c r="A76" t="s">
        <v>2184</v>
      </c>
    </row>
    <row r="77" spans="1:1">
      <c r="A77" t="s">
        <v>2992</v>
      </c>
    </row>
    <row r="78" spans="1:1">
      <c r="A78" t="s">
        <v>2102</v>
      </c>
    </row>
    <row r="79" spans="1:1">
      <c r="A79" t="s">
        <v>2103</v>
      </c>
    </row>
    <row r="80" spans="1:1">
      <c r="A80" t="s">
        <v>2104</v>
      </c>
    </row>
    <row r="81" spans="1:1">
      <c r="A81" t="s">
        <v>2106</v>
      </c>
    </row>
    <row r="82" spans="1:1">
      <c r="A82" t="s">
        <v>2107</v>
      </c>
    </row>
  </sheetData>
  <sortState xmlns:xlrd2="http://schemas.microsoft.com/office/spreadsheetml/2017/richdata2" ref="A1:A87">
    <sortCondition ref="A1:A87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C5030-1953-4946-B88B-72ED6DF20D9E}">
  <sheetPr codeName="Sheet11"/>
  <dimension ref="A1:B1332"/>
  <sheetViews>
    <sheetView topLeftCell="A897" workbookViewId="0">
      <selection activeCell="B907" sqref="B907"/>
    </sheetView>
  </sheetViews>
  <sheetFormatPr defaultRowHeight="14.25"/>
  <cols>
    <col min="1" max="1" width="7.265625" bestFit="1" customWidth="1"/>
    <col min="2" max="2" width="37.73046875" bestFit="1" customWidth="1"/>
  </cols>
  <sheetData>
    <row r="1" spans="1:2">
      <c r="A1" t="s">
        <v>0</v>
      </c>
      <c r="B1" t="s">
        <v>125</v>
      </c>
    </row>
    <row r="2" spans="1:2">
      <c r="A2">
        <v>401660</v>
      </c>
      <c r="B2" t="s">
        <v>1536</v>
      </c>
    </row>
    <row r="3" spans="1:2">
      <c r="A3">
        <v>401640</v>
      </c>
      <c r="B3" t="s">
        <v>14</v>
      </c>
    </row>
    <row r="4" spans="1:2">
      <c r="A4">
        <v>401630</v>
      </c>
      <c r="B4" t="s">
        <v>2495</v>
      </c>
    </row>
    <row r="5" spans="1:2">
      <c r="A5">
        <v>401650</v>
      </c>
      <c r="B5" t="s">
        <v>1116</v>
      </c>
    </row>
    <row r="6" spans="1:2">
      <c r="A6">
        <v>401580</v>
      </c>
      <c r="B6" t="s">
        <v>0</v>
      </c>
    </row>
    <row r="7" spans="1:2">
      <c r="A7">
        <v>411280</v>
      </c>
      <c r="B7" t="s">
        <v>22</v>
      </c>
    </row>
    <row r="8" spans="1:2">
      <c r="A8">
        <v>401960</v>
      </c>
      <c r="B8" t="s">
        <v>2496</v>
      </c>
    </row>
    <row r="9" spans="1:2">
      <c r="A9">
        <v>401670</v>
      </c>
      <c r="B9" t="s">
        <v>1445</v>
      </c>
    </row>
    <row r="10" spans="1:2">
      <c r="A10">
        <v>401680</v>
      </c>
      <c r="B10" t="s">
        <v>2497</v>
      </c>
    </row>
    <row r="11" spans="1:2">
      <c r="A11">
        <v>411290</v>
      </c>
      <c r="B11" t="s">
        <v>2498</v>
      </c>
    </row>
    <row r="12" spans="1:2">
      <c r="A12">
        <v>401590</v>
      </c>
      <c r="B12" t="s">
        <v>2499</v>
      </c>
    </row>
    <row r="13" spans="1:2">
      <c r="A13">
        <v>401600</v>
      </c>
      <c r="B13" t="s">
        <v>72</v>
      </c>
    </row>
    <row r="14" spans="1:2">
      <c r="A14">
        <v>401610</v>
      </c>
      <c r="B14" t="s">
        <v>1252</v>
      </c>
    </row>
    <row r="15" spans="1:2">
      <c r="A15">
        <v>401620</v>
      </c>
      <c r="B15" t="s">
        <v>1541</v>
      </c>
    </row>
    <row r="16" spans="1:2">
      <c r="A16">
        <v>411340</v>
      </c>
      <c r="B16" t="s">
        <v>1118</v>
      </c>
    </row>
    <row r="17" spans="1:2">
      <c r="A17">
        <v>411420</v>
      </c>
      <c r="B17" t="s">
        <v>1536</v>
      </c>
    </row>
    <row r="18" spans="1:2">
      <c r="A18">
        <v>411360</v>
      </c>
      <c r="B18" t="s">
        <v>1119</v>
      </c>
    </row>
    <row r="19" spans="1:2">
      <c r="A19">
        <v>411380</v>
      </c>
      <c r="B19" t="s">
        <v>1121</v>
      </c>
    </row>
    <row r="20" spans="1:2">
      <c r="A20">
        <v>203110</v>
      </c>
      <c r="B20" t="s">
        <v>4</v>
      </c>
    </row>
    <row r="21" spans="1:2">
      <c r="A21">
        <v>201090</v>
      </c>
      <c r="B21" t="s">
        <v>54</v>
      </c>
    </row>
    <row r="22" spans="1:2">
      <c r="A22">
        <v>201020</v>
      </c>
      <c r="B22" t="s">
        <v>12</v>
      </c>
    </row>
    <row r="23" spans="1:2">
      <c r="A23">
        <v>201250</v>
      </c>
      <c r="B23" t="s">
        <v>268</v>
      </c>
    </row>
    <row r="24" spans="1:2">
      <c r="A24">
        <v>201160</v>
      </c>
      <c r="B24" t="s">
        <v>269</v>
      </c>
    </row>
    <row r="25" spans="1:2">
      <c r="A25">
        <v>201130</v>
      </c>
      <c r="B25" t="s">
        <v>313</v>
      </c>
    </row>
    <row r="26" spans="1:2">
      <c r="A26">
        <v>201260</v>
      </c>
      <c r="B26" t="s">
        <v>4</v>
      </c>
    </row>
    <row r="27" spans="1:2">
      <c r="A27">
        <v>203850</v>
      </c>
      <c r="B27" t="s">
        <v>4</v>
      </c>
    </row>
    <row r="28" spans="1:2">
      <c r="A28">
        <v>203950</v>
      </c>
      <c r="B28" t="s">
        <v>258</v>
      </c>
    </row>
    <row r="29" spans="1:2">
      <c r="A29">
        <v>203970</v>
      </c>
      <c r="B29" t="s">
        <v>29</v>
      </c>
    </row>
    <row r="30" spans="1:2">
      <c r="A30">
        <v>203910</v>
      </c>
      <c r="B30" t="s">
        <v>12</v>
      </c>
    </row>
    <row r="31" spans="1:2">
      <c r="A31">
        <v>203930</v>
      </c>
      <c r="B31" t="s">
        <v>268</v>
      </c>
    </row>
    <row r="32" spans="1:2">
      <c r="A32">
        <v>204040</v>
      </c>
      <c r="B32" t="s">
        <v>4</v>
      </c>
    </row>
    <row r="33" spans="1:2">
      <c r="A33">
        <v>204020</v>
      </c>
      <c r="B33" t="s">
        <v>28</v>
      </c>
    </row>
    <row r="34" spans="1:2">
      <c r="A34">
        <v>200880</v>
      </c>
      <c r="B34" t="s">
        <v>12</v>
      </c>
    </row>
    <row r="35" spans="1:2">
      <c r="A35">
        <v>200910</v>
      </c>
      <c r="B35" t="s">
        <v>267</v>
      </c>
    </row>
    <row r="36" spans="1:2">
      <c r="A36">
        <v>200990</v>
      </c>
      <c r="B36" t="s">
        <v>4</v>
      </c>
    </row>
    <row r="37" spans="1:2">
      <c r="A37">
        <v>200930</v>
      </c>
      <c r="B37" t="s">
        <v>273</v>
      </c>
    </row>
    <row r="38" spans="1:2">
      <c r="A38">
        <v>200970</v>
      </c>
      <c r="B38" t="s">
        <v>460</v>
      </c>
    </row>
    <row r="39" spans="1:2">
      <c r="A39">
        <v>203770</v>
      </c>
      <c r="B39" t="s">
        <v>268</v>
      </c>
    </row>
    <row r="40" spans="1:2">
      <c r="A40">
        <v>203780</v>
      </c>
      <c r="B40" t="s">
        <v>4</v>
      </c>
    </row>
    <row r="41" spans="1:2">
      <c r="A41">
        <v>203680</v>
      </c>
      <c r="B41" t="s">
        <v>12</v>
      </c>
    </row>
    <row r="42" spans="1:2">
      <c r="A42">
        <v>203720</v>
      </c>
      <c r="B42" t="s">
        <v>4</v>
      </c>
    </row>
    <row r="43" spans="1:2">
      <c r="A43">
        <v>202280</v>
      </c>
      <c r="B43" t="s">
        <v>14</v>
      </c>
    </row>
    <row r="44" spans="1:2">
      <c r="A44">
        <v>202270</v>
      </c>
      <c r="B44" t="s">
        <v>241</v>
      </c>
    </row>
    <row r="45" spans="1:2">
      <c r="A45">
        <v>202260</v>
      </c>
      <c r="B45" t="s">
        <v>38</v>
      </c>
    </row>
    <row r="46" spans="1:2">
      <c r="A46">
        <v>202300</v>
      </c>
      <c r="B46" t="s">
        <v>4</v>
      </c>
    </row>
    <row r="47" spans="1:2">
      <c r="A47">
        <v>202290</v>
      </c>
      <c r="B47" t="s">
        <v>275</v>
      </c>
    </row>
    <row r="48" spans="1:2">
      <c r="A48">
        <v>203000</v>
      </c>
      <c r="B48" t="s">
        <v>8</v>
      </c>
    </row>
    <row r="49" spans="1:2">
      <c r="A49">
        <v>203010</v>
      </c>
      <c r="B49" t="s">
        <v>4</v>
      </c>
    </row>
    <row r="50" spans="1:2">
      <c r="A50">
        <v>202920</v>
      </c>
      <c r="B50" t="s">
        <v>14</v>
      </c>
    </row>
    <row r="51" spans="1:2">
      <c r="A51">
        <v>202870</v>
      </c>
      <c r="B51" t="s">
        <v>12</v>
      </c>
    </row>
    <row r="52" spans="1:2">
      <c r="A52">
        <v>202890</v>
      </c>
      <c r="B52" t="s">
        <v>237</v>
      </c>
    </row>
    <row r="53" spans="1:2">
      <c r="A53">
        <v>202910</v>
      </c>
      <c r="B53" t="s">
        <v>15</v>
      </c>
    </row>
    <row r="54" spans="1:2">
      <c r="A54">
        <v>202930</v>
      </c>
      <c r="B54" t="s">
        <v>4</v>
      </c>
    </row>
    <row r="55" spans="1:2">
      <c r="A55">
        <v>202880</v>
      </c>
      <c r="B55" t="s">
        <v>89</v>
      </c>
    </row>
    <row r="56" spans="1:2">
      <c r="A56">
        <v>204430</v>
      </c>
      <c r="B56" t="s">
        <v>4</v>
      </c>
    </row>
    <row r="57" spans="1:2">
      <c r="A57">
        <v>203150</v>
      </c>
      <c r="B57" t="s">
        <v>22</v>
      </c>
    </row>
    <row r="58" spans="1:2">
      <c r="A58">
        <v>203240</v>
      </c>
      <c r="B58" t="s">
        <v>4</v>
      </c>
    </row>
    <row r="59" spans="1:2">
      <c r="A59">
        <v>203640</v>
      </c>
      <c r="B59" t="s">
        <v>268</v>
      </c>
    </row>
    <row r="60" spans="1:2">
      <c r="A60">
        <v>203650</v>
      </c>
      <c r="B60" t="s">
        <v>4</v>
      </c>
    </row>
    <row r="61" spans="1:2">
      <c r="A61">
        <v>201630</v>
      </c>
      <c r="B61" t="s">
        <v>345</v>
      </c>
    </row>
    <row r="62" spans="1:2">
      <c r="A62">
        <v>201670</v>
      </c>
      <c r="B62" t="s">
        <v>4</v>
      </c>
    </row>
    <row r="63" spans="1:2">
      <c r="A63">
        <v>201650</v>
      </c>
      <c r="B63" t="s">
        <v>460</v>
      </c>
    </row>
    <row r="64" spans="1:2">
      <c r="A64">
        <v>201450</v>
      </c>
      <c r="B64" t="s">
        <v>12</v>
      </c>
    </row>
    <row r="65" spans="1:2">
      <c r="A65">
        <v>201510</v>
      </c>
      <c r="B65" t="s">
        <v>239</v>
      </c>
    </row>
    <row r="66" spans="1:2">
      <c r="A66">
        <v>201560</v>
      </c>
      <c r="B66" t="s">
        <v>315</v>
      </c>
    </row>
    <row r="67" spans="1:2">
      <c r="A67">
        <v>201540</v>
      </c>
      <c r="B67" t="s">
        <v>240</v>
      </c>
    </row>
    <row r="68" spans="1:2">
      <c r="A68">
        <v>201500</v>
      </c>
      <c r="B68" t="s">
        <v>316</v>
      </c>
    </row>
    <row r="69" spans="1:2">
      <c r="A69">
        <v>201480</v>
      </c>
      <c r="B69" t="s">
        <v>243</v>
      </c>
    </row>
    <row r="70" spans="1:2">
      <c r="A70">
        <v>201470</v>
      </c>
      <c r="B70" t="s">
        <v>244</v>
      </c>
    </row>
    <row r="71" spans="1:2">
      <c r="A71">
        <v>201460</v>
      </c>
      <c r="B71" t="s">
        <v>319</v>
      </c>
    </row>
    <row r="72" spans="1:2">
      <c r="A72">
        <v>201580</v>
      </c>
      <c r="B72" t="s">
        <v>4</v>
      </c>
    </row>
    <row r="73" spans="1:2">
      <c r="A73">
        <v>201550</v>
      </c>
      <c r="B73" t="s">
        <v>2515</v>
      </c>
    </row>
    <row r="74" spans="1:2">
      <c r="A74">
        <v>200430</v>
      </c>
      <c r="B74" t="s">
        <v>1</v>
      </c>
    </row>
    <row r="75" spans="1:2">
      <c r="A75">
        <v>200440</v>
      </c>
      <c r="B75" t="s">
        <v>2</v>
      </c>
    </row>
    <row r="76" spans="1:2">
      <c r="A76">
        <v>200450</v>
      </c>
      <c r="B76" t="s">
        <v>24</v>
      </c>
    </row>
    <row r="77" spans="1:2">
      <c r="A77">
        <v>200530</v>
      </c>
      <c r="B77" t="s">
        <v>14</v>
      </c>
    </row>
    <row r="78" spans="1:2">
      <c r="A78">
        <v>200560</v>
      </c>
      <c r="B78" t="s">
        <v>29</v>
      </c>
    </row>
    <row r="79" spans="1:2">
      <c r="A79">
        <v>200640</v>
      </c>
      <c r="B79" t="s">
        <v>235</v>
      </c>
    </row>
    <row r="80" spans="1:2">
      <c r="A80">
        <v>200470</v>
      </c>
      <c r="B80" t="s">
        <v>30</v>
      </c>
    </row>
    <row r="81" spans="1:2">
      <c r="A81">
        <v>200480</v>
      </c>
      <c r="B81" t="s">
        <v>31</v>
      </c>
    </row>
    <row r="82" spans="1:2">
      <c r="A82">
        <v>200490</v>
      </c>
      <c r="B82" t="s">
        <v>32</v>
      </c>
    </row>
    <row r="83" spans="1:2">
      <c r="A83">
        <v>200500</v>
      </c>
      <c r="B83" t="s">
        <v>317</v>
      </c>
    </row>
    <row r="84" spans="1:2">
      <c r="A84">
        <v>200400</v>
      </c>
      <c r="B84" t="s">
        <v>22</v>
      </c>
    </row>
    <row r="85" spans="1:2">
      <c r="A85">
        <v>200590</v>
      </c>
      <c r="B85" t="s">
        <v>279</v>
      </c>
    </row>
    <row r="86" spans="1:2">
      <c r="A86">
        <v>200410</v>
      </c>
      <c r="B86" t="s">
        <v>33</v>
      </c>
    </row>
    <row r="87" spans="1:2">
      <c r="A87">
        <v>200420</v>
      </c>
      <c r="B87" t="s">
        <v>34</v>
      </c>
    </row>
    <row r="88" spans="1:2">
      <c r="A88">
        <v>200510</v>
      </c>
      <c r="B88" t="s">
        <v>270</v>
      </c>
    </row>
    <row r="89" spans="1:2">
      <c r="A89">
        <v>200460</v>
      </c>
      <c r="B89" t="s">
        <v>3</v>
      </c>
    </row>
    <row r="90" spans="1:2">
      <c r="A90">
        <v>200660</v>
      </c>
      <c r="B90" t="s">
        <v>4</v>
      </c>
    </row>
    <row r="91" spans="1:2">
      <c r="A91">
        <v>203380</v>
      </c>
      <c r="B91" t="s">
        <v>324</v>
      </c>
    </row>
    <row r="92" spans="1:2">
      <c r="A92">
        <v>203390</v>
      </c>
      <c r="B92" t="s">
        <v>230</v>
      </c>
    </row>
    <row r="93" spans="1:2">
      <c r="A93">
        <v>203560</v>
      </c>
      <c r="B93" t="s">
        <v>264</v>
      </c>
    </row>
    <row r="94" spans="1:2">
      <c r="A94">
        <v>203570</v>
      </c>
      <c r="B94" t="s">
        <v>4</v>
      </c>
    </row>
    <row r="95" spans="1:2">
      <c r="A95">
        <v>203520</v>
      </c>
      <c r="B95" t="s">
        <v>28</v>
      </c>
    </row>
    <row r="96" spans="1:2">
      <c r="A96">
        <v>203500</v>
      </c>
      <c r="B96" t="s">
        <v>253</v>
      </c>
    </row>
    <row r="97" spans="1:2">
      <c r="A97">
        <v>203510</v>
      </c>
      <c r="B97" t="s">
        <v>254</v>
      </c>
    </row>
    <row r="98" spans="1:2">
      <c r="A98">
        <v>204460</v>
      </c>
      <c r="B98" t="s">
        <v>12</v>
      </c>
    </row>
    <row r="99" spans="1:2">
      <c r="A99">
        <v>204480</v>
      </c>
      <c r="B99" t="s">
        <v>267</v>
      </c>
    </row>
    <row r="100" spans="1:2">
      <c r="A100">
        <v>204530</v>
      </c>
      <c r="B100" t="s">
        <v>4</v>
      </c>
    </row>
    <row r="101" spans="1:2">
      <c r="A101">
        <v>204490</v>
      </c>
      <c r="B101" t="s">
        <v>28</v>
      </c>
    </row>
    <row r="102" spans="1:2">
      <c r="A102">
        <v>204510</v>
      </c>
      <c r="B102" t="s">
        <v>460</v>
      </c>
    </row>
    <row r="103" spans="1:2">
      <c r="A103">
        <v>202520</v>
      </c>
      <c r="B103" t="s">
        <v>279</v>
      </c>
    </row>
    <row r="104" spans="1:2">
      <c r="A104">
        <v>202540</v>
      </c>
      <c r="B104" t="s">
        <v>4</v>
      </c>
    </row>
    <row r="105" spans="1:2">
      <c r="A105">
        <v>201380</v>
      </c>
      <c r="B105" t="s">
        <v>14</v>
      </c>
    </row>
    <row r="106" spans="1:2">
      <c r="A106">
        <v>201280</v>
      </c>
      <c r="B106" t="s">
        <v>44</v>
      </c>
    </row>
    <row r="107" spans="1:2">
      <c r="A107">
        <v>201300</v>
      </c>
      <c r="B107" t="s">
        <v>80</v>
      </c>
    </row>
    <row r="108" spans="1:2">
      <c r="A108">
        <v>201290</v>
      </c>
      <c r="B108" t="s">
        <v>45</v>
      </c>
    </row>
    <row r="109" spans="1:2">
      <c r="A109">
        <v>201430</v>
      </c>
      <c r="B109" t="s">
        <v>4</v>
      </c>
    </row>
    <row r="110" spans="1:2">
      <c r="A110">
        <v>202150</v>
      </c>
      <c r="B110" t="s">
        <v>14</v>
      </c>
    </row>
    <row r="111" spans="1:2">
      <c r="A111">
        <v>202130</v>
      </c>
      <c r="B111" t="s">
        <v>12</v>
      </c>
    </row>
    <row r="112" spans="1:2">
      <c r="A112">
        <v>202180</v>
      </c>
      <c r="B112" t="s">
        <v>228</v>
      </c>
    </row>
    <row r="113" spans="1:2">
      <c r="A113">
        <v>202190</v>
      </c>
      <c r="B113" t="s">
        <v>4</v>
      </c>
    </row>
    <row r="114" spans="1:2">
      <c r="A114">
        <v>202140</v>
      </c>
      <c r="B114" t="s">
        <v>274</v>
      </c>
    </row>
    <row r="115" spans="1:2">
      <c r="A115">
        <v>200080</v>
      </c>
      <c r="B115" t="s">
        <v>87</v>
      </c>
    </row>
    <row r="116" spans="1:2">
      <c r="A116">
        <v>200100</v>
      </c>
      <c r="B116" t="s">
        <v>4</v>
      </c>
    </row>
    <row r="117" spans="1:2">
      <c r="A117">
        <v>201870</v>
      </c>
      <c r="B117" t="s">
        <v>12</v>
      </c>
    </row>
    <row r="118" spans="1:2">
      <c r="A118">
        <v>201900</v>
      </c>
      <c r="B118" t="s">
        <v>246</v>
      </c>
    </row>
    <row r="119" spans="1:2">
      <c r="A119">
        <v>201910</v>
      </c>
      <c r="B119" t="s">
        <v>268</v>
      </c>
    </row>
    <row r="120" spans="1:2">
      <c r="A120">
        <v>201860</v>
      </c>
      <c r="B120" t="s">
        <v>279</v>
      </c>
    </row>
    <row r="121" spans="1:2">
      <c r="A121">
        <v>201990</v>
      </c>
      <c r="B121" t="s">
        <v>4</v>
      </c>
    </row>
    <row r="122" spans="1:2">
      <c r="A122">
        <v>201890</v>
      </c>
      <c r="B122" t="s">
        <v>227</v>
      </c>
    </row>
    <row r="123" spans="1:2">
      <c r="A123">
        <v>201700</v>
      </c>
      <c r="B123" t="s">
        <v>12</v>
      </c>
    </row>
    <row r="124" spans="1:2">
      <c r="A124">
        <v>201840</v>
      </c>
      <c r="B124" t="s">
        <v>4</v>
      </c>
    </row>
    <row r="125" spans="1:2">
      <c r="A125">
        <v>201720</v>
      </c>
      <c r="B125" t="s">
        <v>273</v>
      </c>
    </row>
    <row r="126" spans="1:2">
      <c r="A126">
        <v>201820</v>
      </c>
      <c r="B126" t="s">
        <v>460</v>
      </c>
    </row>
    <row r="127" spans="1:2">
      <c r="A127">
        <v>202760</v>
      </c>
      <c r="B127" t="s">
        <v>12</v>
      </c>
    </row>
    <row r="128" spans="1:2">
      <c r="A128">
        <v>202780</v>
      </c>
      <c r="B128" t="s">
        <v>267</v>
      </c>
    </row>
    <row r="129" spans="1:2">
      <c r="A129">
        <v>202850</v>
      </c>
      <c r="B129" t="s">
        <v>4</v>
      </c>
    </row>
    <row r="130" spans="1:2">
      <c r="A130">
        <v>202800</v>
      </c>
      <c r="B130" t="s">
        <v>28</v>
      </c>
    </row>
    <row r="131" spans="1:2">
      <c r="A131">
        <v>202830</v>
      </c>
      <c r="B131" t="s">
        <v>460</v>
      </c>
    </row>
    <row r="132" spans="1:2">
      <c r="A132">
        <v>202700</v>
      </c>
      <c r="B132" t="s">
        <v>14</v>
      </c>
    </row>
    <row r="133" spans="1:2">
      <c r="A133">
        <v>202620</v>
      </c>
      <c r="B133" t="s">
        <v>12</v>
      </c>
    </row>
    <row r="134" spans="1:2">
      <c r="A134">
        <v>202730</v>
      </c>
      <c r="B134" t="s">
        <v>4</v>
      </c>
    </row>
    <row r="135" spans="1:2">
      <c r="A135">
        <v>202670</v>
      </c>
      <c r="B135" t="s">
        <v>28</v>
      </c>
    </row>
    <row r="136" spans="1:2">
      <c r="A136">
        <v>202720</v>
      </c>
      <c r="B136" t="s">
        <v>83</v>
      </c>
    </row>
    <row r="137" spans="1:2">
      <c r="A137">
        <v>202030</v>
      </c>
      <c r="B137" t="s">
        <v>53</v>
      </c>
    </row>
    <row r="138" spans="1:2">
      <c r="A138">
        <v>202090</v>
      </c>
      <c r="B138" t="s">
        <v>267</v>
      </c>
    </row>
    <row r="139" spans="1:2">
      <c r="A139">
        <v>202010</v>
      </c>
      <c r="B139" t="s">
        <v>279</v>
      </c>
    </row>
    <row r="140" spans="1:2">
      <c r="A140">
        <v>202040</v>
      </c>
      <c r="B140" t="s">
        <v>318</v>
      </c>
    </row>
    <row r="141" spans="1:2">
      <c r="A141">
        <v>202100</v>
      </c>
      <c r="B141" t="s">
        <v>4</v>
      </c>
    </row>
    <row r="142" spans="1:2">
      <c r="A142">
        <v>202050</v>
      </c>
      <c r="B142" t="s">
        <v>257</v>
      </c>
    </row>
    <row r="143" spans="1:2">
      <c r="A143">
        <v>200760</v>
      </c>
      <c r="B143" t="s">
        <v>43</v>
      </c>
    </row>
    <row r="144" spans="1:2">
      <c r="A144">
        <v>200680</v>
      </c>
      <c r="B144" t="s">
        <v>44</v>
      </c>
    </row>
    <row r="145" spans="1:2">
      <c r="A145">
        <v>200740</v>
      </c>
      <c r="B145" t="s">
        <v>311</v>
      </c>
    </row>
    <row r="146" spans="1:2">
      <c r="A146">
        <v>200700</v>
      </c>
      <c r="B146" t="s">
        <v>80</v>
      </c>
    </row>
    <row r="147" spans="1:2">
      <c r="A147">
        <v>200690</v>
      </c>
      <c r="B147" t="s">
        <v>45</v>
      </c>
    </row>
    <row r="148" spans="1:2">
      <c r="A148">
        <v>200780</v>
      </c>
      <c r="B148" t="s">
        <v>4</v>
      </c>
    </row>
    <row r="149" spans="1:2">
      <c r="A149">
        <v>200770</v>
      </c>
      <c r="B149" t="s">
        <v>272</v>
      </c>
    </row>
    <row r="150" spans="1:2">
      <c r="A150">
        <v>200730</v>
      </c>
      <c r="B150" t="s">
        <v>250</v>
      </c>
    </row>
    <row r="151" spans="1:2">
      <c r="A151">
        <v>200750</v>
      </c>
      <c r="B151" t="s">
        <v>257</v>
      </c>
    </row>
    <row r="152" spans="1:2">
      <c r="A152">
        <v>202470</v>
      </c>
      <c r="B152" t="s">
        <v>14</v>
      </c>
    </row>
    <row r="153" spans="1:2">
      <c r="A153">
        <v>202480</v>
      </c>
      <c r="B153" t="s">
        <v>4</v>
      </c>
    </row>
    <row r="154" spans="1:2">
      <c r="A154">
        <v>202410</v>
      </c>
      <c r="B154" t="s">
        <v>14</v>
      </c>
    </row>
    <row r="155" spans="1:2">
      <c r="A155">
        <v>202380</v>
      </c>
      <c r="B155" t="s">
        <v>263</v>
      </c>
    </row>
    <row r="156" spans="1:2">
      <c r="A156">
        <v>202420</v>
      </c>
      <c r="B156" t="s">
        <v>4</v>
      </c>
    </row>
    <row r="157" spans="1:2">
      <c r="A157">
        <v>203300</v>
      </c>
      <c r="B157" t="s">
        <v>4</v>
      </c>
    </row>
    <row r="158" spans="1:2">
      <c r="A158">
        <v>204150</v>
      </c>
      <c r="B158" t="s">
        <v>4</v>
      </c>
    </row>
    <row r="159" spans="1:2">
      <c r="A159">
        <v>204080</v>
      </c>
      <c r="B159" t="s">
        <v>4</v>
      </c>
    </row>
    <row r="160" spans="1:2">
      <c r="A160">
        <v>200260</v>
      </c>
      <c r="B160" t="s">
        <v>14</v>
      </c>
    </row>
    <row r="161" spans="1:2">
      <c r="A161">
        <v>200240</v>
      </c>
      <c r="B161" t="s">
        <v>12</v>
      </c>
    </row>
    <row r="162" spans="1:2">
      <c r="A162">
        <v>200290</v>
      </c>
      <c r="B162" t="s">
        <v>4</v>
      </c>
    </row>
    <row r="163" spans="1:2">
      <c r="A163">
        <v>200250</v>
      </c>
      <c r="B163" t="s">
        <v>274</v>
      </c>
    </row>
    <row r="164" spans="1:2">
      <c r="A164">
        <v>200360</v>
      </c>
      <c r="B164" t="s">
        <v>12</v>
      </c>
    </row>
    <row r="165" spans="1:2">
      <c r="A165">
        <v>200380</v>
      </c>
      <c r="B165" t="s">
        <v>4</v>
      </c>
    </row>
    <row r="166" spans="1:2">
      <c r="A166">
        <v>200320</v>
      </c>
      <c r="B166" t="s">
        <v>16</v>
      </c>
    </row>
    <row r="167" spans="1:2">
      <c r="A167">
        <v>200370</v>
      </c>
      <c r="B167" t="s">
        <v>2515</v>
      </c>
    </row>
    <row r="168" spans="1:2">
      <c r="A168">
        <v>200330</v>
      </c>
      <c r="B168" t="s">
        <v>330</v>
      </c>
    </row>
    <row r="169" spans="1:2">
      <c r="A169">
        <v>200340</v>
      </c>
      <c r="B169" t="s">
        <v>331</v>
      </c>
    </row>
    <row r="170" spans="1:2">
      <c r="A170">
        <v>200830</v>
      </c>
      <c r="B170" t="s">
        <v>14</v>
      </c>
    </row>
    <row r="171" spans="1:2">
      <c r="A171">
        <v>200850</v>
      </c>
      <c r="B171" t="s">
        <v>4</v>
      </c>
    </row>
    <row r="172" spans="1:2">
      <c r="A172">
        <v>204310</v>
      </c>
      <c r="B172" t="s">
        <v>12</v>
      </c>
    </row>
    <row r="173" spans="1:2">
      <c r="A173">
        <v>204370</v>
      </c>
      <c r="B173" t="s">
        <v>4</v>
      </c>
    </row>
    <row r="174" spans="1:2">
      <c r="A174">
        <v>204350</v>
      </c>
      <c r="B174" t="s">
        <v>28</v>
      </c>
    </row>
    <row r="175" spans="1:2">
      <c r="A175">
        <v>204190</v>
      </c>
      <c r="B175" t="s">
        <v>1</v>
      </c>
    </row>
    <row r="176" spans="1:2">
      <c r="A176">
        <v>204200</v>
      </c>
      <c r="B176" t="s">
        <v>2</v>
      </c>
    </row>
    <row r="177" spans="1:2">
      <c r="A177">
        <v>204210</v>
      </c>
      <c r="B177" t="s">
        <v>24</v>
      </c>
    </row>
    <row r="178" spans="1:2">
      <c r="A178">
        <v>204180</v>
      </c>
      <c r="B178" t="s">
        <v>22</v>
      </c>
    </row>
    <row r="179" spans="1:2">
      <c r="A179">
        <v>204230</v>
      </c>
      <c r="B179" t="s">
        <v>270</v>
      </c>
    </row>
    <row r="180" spans="1:2">
      <c r="A180">
        <v>204220</v>
      </c>
      <c r="B180" t="s">
        <v>3</v>
      </c>
    </row>
    <row r="181" spans="1:2">
      <c r="A181">
        <v>204260</v>
      </c>
      <c r="B181" t="s">
        <v>4</v>
      </c>
    </row>
    <row r="182" spans="1:2">
      <c r="A182">
        <v>203350</v>
      </c>
      <c r="B182" t="s">
        <v>238</v>
      </c>
    </row>
    <row r="183" spans="1:2">
      <c r="A183">
        <v>203360</v>
      </c>
      <c r="B183" t="s">
        <v>4</v>
      </c>
    </row>
    <row r="184" spans="1:2">
      <c r="A184">
        <v>400401</v>
      </c>
      <c r="B184" t="s">
        <v>1469</v>
      </c>
    </row>
    <row r="185" spans="1:2">
      <c r="A185">
        <v>400441</v>
      </c>
      <c r="B185" t="s">
        <v>1472</v>
      </c>
    </row>
    <row r="186" spans="1:2">
      <c r="A186">
        <v>400451</v>
      </c>
      <c r="B186" t="s">
        <v>1472</v>
      </c>
    </row>
    <row r="187" spans="1:2">
      <c r="A187">
        <v>400000</v>
      </c>
      <c r="B187" t="s">
        <v>0</v>
      </c>
    </row>
    <row r="188" spans="1:2">
      <c r="A188">
        <v>206070</v>
      </c>
      <c r="B188" t="s">
        <v>2540</v>
      </c>
    </row>
    <row r="189" spans="1:2">
      <c r="A189">
        <v>206180</v>
      </c>
      <c r="B189" t="s">
        <v>2541</v>
      </c>
    </row>
    <row r="190" spans="1:2">
      <c r="A190">
        <v>400050</v>
      </c>
      <c r="B190" t="s">
        <v>2542</v>
      </c>
    </row>
    <row r="191" spans="1:2">
      <c r="A191">
        <v>400010</v>
      </c>
      <c r="B191" t="s">
        <v>70</v>
      </c>
    </row>
    <row r="192" spans="1:2">
      <c r="A192">
        <v>206090</v>
      </c>
      <c r="B192" t="s">
        <v>1241</v>
      </c>
    </row>
    <row r="193" spans="1:2">
      <c r="A193">
        <v>400100</v>
      </c>
      <c r="B193" t="s">
        <v>1240</v>
      </c>
    </row>
    <row r="194" spans="1:2">
      <c r="A194">
        <v>206030</v>
      </c>
      <c r="B194" t="s">
        <v>1447</v>
      </c>
    </row>
    <row r="195" spans="1:2">
      <c r="A195">
        <v>400030</v>
      </c>
      <c r="B195" t="s">
        <v>1448</v>
      </c>
    </row>
    <row r="196" spans="1:2">
      <c r="A196">
        <v>400070</v>
      </c>
      <c r="B196" t="s">
        <v>14</v>
      </c>
    </row>
    <row r="197" spans="1:2">
      <c r="A197">
        <v>206010</v>
      </c>
      <c r="B197" t="s">
        <v>282</v>
      </c>
    </row>
    <row r="198" spans="1:2">
      <c r="A198">
        <v>400040</v>
      </c>
      <c r="B198" t="s">
        <v>12</v>
      </c>
    </row>
    <row r="199" spans="1:2">
      <c r="A199">
        <v>206200</v>
      </c>
      <c r="B199" t="s">
        <v>17</v>
      </c>
    </row>
    <row r="200" spans="1:2">
      <c r="A200">
        <v>206080</v>
      </c>
      <c r="B200" t="s">
        <v>323</v>
      </c>
    </row>
    <row r="201" spans="1:2">
      <c r="A201">
        <v>400120</v>
      </c>
      <c r="B201" t="s">
        <v>2497</v>
      </c>
    </row>
    <row r="202" spans="1:2">
      <c r="A202">
        <v>400110</v>
      </c>
      <c r="B202" t="s">
        <v>1445</v>
      </c>
    </row>
    <row r="203" spans="1:2">
      <c r="A203">
        <v>211700</v>
      </c>
      <c r="B203" t="s">
        <v>0</v>
      </c>
    </row>
    <row r="204" spans="1:2">
      <c r="A204">
        <v>206230</v>
      </c>
      <c r="B204" t="s">
        <v>213</v>
      </c>
    </row>
    <row r="205" spans="1:2">
      <c r="A205">
        <v>206140</v>
      </c>
      <c r="B205" t="s">
        <v>221</v>
      </c>
    </row>
    <row r="206" spans="1:2">
      <c r="A206">
        <v>206110</v>
      </c>
      <c r="B206" t="s">
        <v>2543</v>
      </c>
    </row>
    <row r="207" spans="1:2">
      <c r="A207">
        <v>206240</v>
      </c>
      <c r="B207" t="s">
        <v>284</v>
      </c>
    </row>
    <row r="208" spans="1:2">
      <c r="A208">
        <v>206160</v>
      </c>
      <c r="B208" t="s">
        <v>1314</v>
      </c>
    </row>
    <row r="209" spans="1:2">
      <c r="A209">
        <v>206130</v>
      </c>
      <c r="B209" t="s">
        <v>313</v>
      </c>
    </row>
    <row r="210" spans="1:2">
      <c r="A210">
        <v>206040</v>
      </c>
      <c r="B210" t="s">
        <v>321</v>
      </c>
    </row>
    <row r="211" spans="1:2">
      <c r="A211">
        <v>212200</v>
      </c>
      <c r="B211" t="s">
        <v>2497</v>
      </c>
    </row>
    <row r="212" spans="1:2">
      <c r="A212">
        <v>211710</v>
      </c>
      <c r="B212" t="s">
        <v>1445</v>
      </c>
    </row>
    <row r="213" spans="1:2">
      <c r="A213">
        <v>209870</v>
      </c>
      <c r="B213" t="s">
        <v>0</v>
      </c>
    </row>
    <row r="214" spans="1:2">
      <c r="A214">
        <v>209880</v>
      </c>
      <c r="B214" t="s">
        <v>12</v>
      </c>
    </row>
    <row r="215" spans="1:2">
      <c r="A215">
        <v>209890</v>
      </c>
      <c r="B215" t="s">
        <v>975</v>
      </c>
    </row>
    <row r="216" spans="1:2">
      <c r="A216">
        <v>210830</v>
      </c>
      <c r="B216" t="s">
        <v>2497</v>
      </c>
    </row>
    <row r="217" spans="1:2">
      <c r="A217">
        <v>209900</v>
      </c>
      <c r="B217" t="s">
        <v>1445</v>
      </c>
    </row>
    <row r="218" spans="1:2">
      <c r="A218">
        <v>209910</v>
      </c>
      <c r="B218" t="s">
        <v>0</v>
      </c>
    </row>
    <row r="219" spans="1:2">
      <c r="A219">
        <v>209920</v>
      </c>
      <c r="B219" t="s">
        <v>12</v>
      </c>
    </row>
    <row r="220" spans="1:2">
      <c r="A220">
        <v>209940</v>
      </c>
      <c r="B220" t="s">
        <v>975</v>
      </c>
    </row>
    <row r="221" spans="1:2">
      <c r="A221">
        <v>209930</v>
      </c>
      <c r="B221" t="s">
        <v>16</v>
      </c>
    </row>
    <row r="222" spans="1:2">
      <c r="A222">
        <v>210840</v>
      </c>
      <c r="B222" t="s">
        <v>2497</v>
      </c>
    </row>
    <row r="223" spans="1:2">
      <c r="A223">
        <v>209950</v>
      </c>
      <c r="B223" t="s">
        <v>1445</v>
      </c>
    </row>
    <row r="224" spans="1:2">
      <c r="A224">
        <v>209960</v>
      </c>
      <c r="B224" t="s">
        <v>0</v>
      </c>
    </row>
    <row r="225" spans="1:2">
      <c r="A225">
        <v>209970</v>
      </c>
      <c r="B225" t="s">
        <v>12</v>
      </c>
    </row>
    <row r="226" spans="1:2">
      <c r="A226">
        <v>209980</v>
      </c>
      <c r="B226" t="s">
        <v>975</v>
      </c>
    </row>
    <row r="227" spans="1:2">
      <c r="A227">
        <v>210860</v>
      </c>
      <c r="B227" t="s">
        <v>2497</v>
      </c>
    </row>
    <row r="228" spans="1:2">
      <c r="A228">
        <v>209990</v>
      </c>
      <c r="B228" t="s">
        <v>1445</v>
      </c>
    </row>
    <row r="229" spans="1:2">
      <c r="A229">
        <v>209690</v>
      </c>
      <c r="B229" t="s">
        <v>0</v>
      </c>
    </row>
    <row r="230" spans="1:2">
      <c r="A230">
        <v>209700</v>
      </c>
      <c r="B230" t="s">
        <v>12</v>
      </c>
    </row>
    <row r="231" spans="1:2">
      <c r="A231">
        <v>209720</v>
      </c>
      <c r="B231" t="s">
        <v>975</v>
      </c>
    </row>
    <row r="232" spans="1:2">
      <c r="A232">
        <v>209710</v>
      </c>
      <c r="B232" t="s">
        <v>16</v>
      </c>
    </row>
    <row r="233" spans="1:2">
      <c r="A233">
        <v>210870</v>
      </c>
      <c r="B233" t="s">
        <v>2497</v>
      </c>
    </row>
    <row r="234" spans="1:2">
      <c r="A234">
        <v>209730</v>
      </c>
      <c r="B234" t="s">
        <v>1445</v>
      </c>
    </row>
    <row r="235" spans="1:2">
      <c r="A235">
        <v>208860</v>
      </c>
      <c r="B235" t="s">
        <v>0</v>
      </c>
    </row>
    <row r="236" spans="1:2">
      <c r="A236">
        <v>208960</v>
      </c>
      <c r="B236" t="s">
        <v>2544</v>
      </c>
    </row>
    <row r="237" spans="1:2">
      <c r="A237">
        <v>209010</v>
      </c>
      <c r="B237" t="s">
        <v>213</v>
      </c>
    </row>
    <row r="238" spans="1:2">
      <c r="A238">
        <v>209000</v>
      </c>
      <c r="B238" t="s">
        <v>2545</v>
      </c>
    </row>
    <row r="239" spans="1:2">
      <c r="A239">
        <v>208880</v>
      </c>
      <c r="B239" t="s">
        <v>2542</v>
      </c>
    </row>
    <row r="240" spans="1:2">
      <c r="A240">
        <v>208870</v>
      </c>
      <c r="B240" t="s">
        <v>73</v>
      </c>
    </row>
    <row r="241" spans="1:2">
      <c r="A241">
        <v>209030</v>
      </c>
      <c r="B241" t="s">
        <v>2546</v>
      </c>
    </row>
    <row r="242" spans="1:2">
      <c r="A242">
        <v>208940</v>
      </c>
      <c r="B242" t="s">
        <v>283</v>
      </c>
    </row>
    <row r="243" spans="1:2">
      <c r="A243">
        <v>208930</v>
      </c>
      <c r="B243" t="s">
        <v>14</v>
      </c>
    </row>
    <row r="244" spans="1:2">
      <c r="A244">
        <v>208890</v>
      </c>
      <c r="B244" t="s">
        <v>282</v>
      </c>
    </row>
    <row r="245" spans="1:2">
      <c r="A245">
        <v>208970</v>
      </c>
      <c r="B245" t="s">
        <v>29</v>
      </c>
    </row>
    <row r="246" spans="1:2">
      <c r="A246">
        <v>208910</v>
      </c>
      <c r="B246" t="s">
        <v>12</v>
      </c>
    </row>
    <row r="247" spans="1:2">
      <c r="A247">
        <v>208980</v>
      </c>
      <c r="B247" t="s">
        <v>305</v>
      </c>
    </row>
    <row r="248" spans="1:2">
      <c r="A248">
        <v>209020</v>
      </c>
      <c r="B248" t="s">
        <v>28</v>
      </c>
    </row>
    <row r="249" spans="1:2">
      <c r="A249">
        <v>208950</v>
      </c>
      <c r="B249" t="s">
        <v>16</v>
      </c>
    </row>
    <row r="250" spans="1:2">
      <c r="A250">
        <v>208900</v>
      </c>
      <c r="B250" t="s">
        <v>17</v>
      </c>
    </row>
    <row r="251" spans="1:2">
      <c r="A251">
        <v>210880</v>
      </c>
      <c r="B251" t="s">
        <v>2497</v>
      </c>
    </row>
    <row r="252" spans="1:2">
      <c r="A252">
        <v>209040</v>
      </c>
      <c r="B252" t="s">
        <v>1445</v>
      </c>
    </row>
    <row r="253" spans="1:2">
      <c r="A253">
        <v>208790</v>
      </c>
      <c r="B253" t="s">
        <v>0</v>
      </c>
    </row>
    <row r="254" spans="1:2">
      <c r="A254">
        <v>208810</v>
      </c>
      <c r="B254" t="s">
        <v>213</v>
      </c>
    </row>
    <row r="255" spans="1:2">
      <c r="A255">
        <v>208820</v>
      </c>
      <c r="B255" t="s">
        <v>70</v>
      </c>
    </row>
    <row r="256" spans="1:2">
      <c r="A256">
        <v>208800</v>
      </c>
      <c r="B256" t="s">
        <v>73</v>
      </c>
    </row>
    <row r="257" spans="1:2">
      <c r="A257">
        <v>208840</v>
      </c>
      <c r="B257" t="s">
        <v>261</v>
      </c>
    </row>
    <row r="258" spans="1:2">
      <c r="A258">
        <v>208830</v>
      </c>
      <c r="B258" t="s">
        <v>265</v>
      </c>
    </row>
    <row r="259" spans="1:2">
      <c r="A259">
        <v>210890</v>
      </c>
      <c r="B259" t="s">
        <v>2497</v>
      </c>
    </row>
    <row r="260" spans="1:2">
      <c r="A260">
        <v>208850</v>
      </c>
      <c r="B260" t="s">
        <v>1445</v>
      </c>
    </row>
    <row r="261" spans="1:2">
      <c r="A261">
        <v>208250</v>
      </c>
      <c r="B261" t="s">
        <v>0</v>
      </c>
    </row>
    <row r="262" spans="1:2">
      <c r="A262">
        <v>211831</v>
      </c>
      <c r="B262" t="s">
        <v>1249</v>
      </c>
    </row>
    <row r="263" spans="1:2">
      <c r="A263">
        <v>211841</v>
      </c>
      <c r="B263" t="s">
        <v>1250</v>
      </c>
    </row>
    <row r="264" spans="1:2">
      <c r="A264">
        <v>208290</v>
      </c>
      <c r="B264" t="s">
        <v>213</v>
      </c>
    </row>
    <row r="265" spans="1:2">
      <c r="A265">
        <v>208270</v>
      </c>
      <c r="B265" t="s">
        <v>70</v>
      </c>
    </row>
    <row r="266" spans="1:2">
      <c r="A266">
        <v>208261</v>
      </c>
      <c r="B266" t="s">
        <v>1457</v>
      </c>
    </row>
    <row r="267" spans="1:2">
      <c r="A267">
        <v>208260</v>
      </c>
      <c r="B267" t="s">
        <v>1460</v>
      </c>
    </row>
    <row r="268" spans="1:2">
      <c r="A268">
        <v>208280</v>
      </c>
      <c r="B268" t="s">
        <v>50</v>
      </c>
    </row>
    <row r="269" spans="1:2">
      <c r="A269">
        <v>210900</v>
      </c>
      <c r="B269" t="s">
        <v>2497</v>
      </c>
    </row>
    <row r="270" spans="1:2">
      <c r="A270">
        <v>208300</v>
      </c>
      <c r="B270" t="s">
        <v>1445</v>
      </c>
    </row>
    <row r="271" spans="1:2">
      <c r="A271">
        <v>209090</v>
      </c>
      <c r="B271" t="s">
        <v>0</v>
      </c>
    </row>
    <row r="272" spans="1:2">
      <c r="A272">
        <v>211851</v>
      </c>
      <c r="B272" t="s">
        <v>1249</v>
      </c>
    </row>
    <row r="273" spans="1:2">
      <c r="A273">
        <v>209140</v>
      </c>
      <c r="B273" t="s">
        <v>1250</v>
      </c>
    </row>
    <row r="274" spans="1:2">
      <c r="A274">
        <v>209130</v>
      </c>
      <c r="B274" t="s">
        <v>213</v>
      </c>
    </row>
    <row r="275" spans="1:2">
      <c r="A275">
        <v>209110</v>
      </c>
      <c r="B275" t="s">
        <v>70</v>
      </c>
    </row>
    <row r="276" spans="1:2">
      <c r="A276">
        <v>209101</v>
      </c>
      <c r="B276" t="s">
        <v>1457</v>
      </c>
    </row>
    <row r="277" spans="1:2">
      <c r="A277">
        <v>209100</v>
      </c>
      <c r="B277" t="s">
        <v>1460</v>
      </c>
    </row>
    <row r="278" spans="1:2">
      <c r="A278">
        <v>209120</v>
      </c>
      <c r="B278" t="s">
        <v>50</v>
      </c>
    </row>
    <row r="279" spans="1:2">
      <c r="A279">
        <v>210910</v>
      </c>
      <c r="B279" t="s">
        <v>2497</v>
      </c>
    </row>
    <row r="280" spans="1:2">
      <c r="A280">
        <v>209150</v>
      </c>
      <c r="B280" t="s">
        <v>1445</v>
      </c>
    </row>
    <row r="281" spans="1:2">
      <c r="A281">
        <v>209050</v>
      </c>
      <c r="B281" t="s">
        <v>0</v>
      </c>
    </row>
    <row r="282" spans="1:2">
      <c r="A282">
        <v>211871</v>
      </c>
      <c r="B282" t="s">
        <v>1249</v>
      </c>
    </row>
    <row r="283" spans="1:2">
      <c r="A283">
        <v>211861</v>
      </c>
      <c r="B283" t="s">
        <v>1250</v>
      </c>
    </row>
    <row r="284" spans="1:2">
      <c r="A284">
        <v>209070</v>
      </c>
      <c r="B284" t="s">
        <v>259</v>
      </c>
    </row>
    <row r="285" spans="1:2">
      <c r="A285">
        <v>210920</v>
      </c>
      <c r="B285" t="s">
        <v>2497</v>
      </c>
    </row>
    <row r="286" spans="1:2">
      <c r="A286">
        <v>209080</v>
      </c>
      <c r="B286" t="s">
        <v>1445</v>
      </c>
    </row>
    <row r="287" spans="1:2">
      <c r="A287">
        <v>209740</v>
      </c>
      <c r="B287" t="s">
        <v>0</v>
      </c>
    </row>
    <row r="288" spans="1:2">
      <c r="A288">
        <v>209750</v>
      </c>
      <c r="B288" t="s">
        <v>12</v>
      </c>
    </row>
    <row r="289" spans="1:2">
      <c r="A289">
        <v>209760</v>
      </c>
      <c r="B289" t="s">
        <v>975</v>
      </c>
    </row>
    <row r="290" spans="1:2">
      <c r="A290">
        <v>210930</v>
      </c>
      <c r="B290" t="s">
        <v>2497</v>
      </c>
    </row>
    <row r="291" spans="1:2">
      <c r="A291">
        <v>209770</v>
      </c>
      <c r="B291" t="s">
        <v>1445</v>
      </c>
    </row>
    <row r="292" spans="1:2">
      <c r="A292">
        <v>209780</v>
      </c>
      <c r="B292" t="s">
        <v>0</v>
      </c>
    </row>
    <row r="293" spans="1:2">
      <c r="A293">
        <v>209790</v>
      </c>
      <c r="B293" t="s">
        <v>12</v>
      </c>
    </row>
    <row r="294" spans="1:2">
      <c r="A294">
        <v>209810</v>
      </c>
      <c r="B294" t="s">
        <v>975</v>
      </c>
    </row>
    <row r="295" spans="1:2">
      <c r="A295">
        <v>209800</v>
      </c>
      <c r="B295" t="s">
        <v>16</v>
      </c>
    </row>
    <row r="296" spans="1:2">
      <c r="A296">
        <v>210940</v>
      </c>
      <c r="B296" t="s">
        <v>2497</v>
      </c>
    </row>
    <row r="297" spans="1:2">
      <c r="A297">
        <v>209820</v>
      </c>
      <c r="B297" t="s">
        <v>1445</v>
      </c>
    </row>
    <row r="298" spans="1:2">
      <c r="A298">
        <v>400220</v>
      </c>
      <c r="B298" t="s">
        <v>0</v>
      </c>
    </row>
    <row r="299" spans="1:2">
      <c r="A299">
        <v>205950</v>
      </c>
      <c r="B299" t="s">
        <v>2547</v>
      </c>
    </row>
    <row r="300" spans="1:2">
      <c r="A300">
        <v>205890</v>
      </c>
      <c r="B300" t="s">
        <v>70</v>
      </c>
    </row>
    <row r="301" spans="1:2">
      <c r="A301">
        <v>205960</v>
      </c>
      <c r="B301" t="s">
        <v>74</v>
      </c>
    </row>
    <row r="302" spans="1:2">
      <c r="A302">
        <v>205951</v>
      </c>
      <c r="B302" t="s">
        <v>2548</v>
      </c>
    </row>
    <row r="303" spans="1:2">
      <c r="A303">
        <v>205952</v>
      </c>
      <c r="B303" t="s">
        <v>2549</v>
      </c>
    </row>
    <row r="304" spans="1:2">
      <c r="A304">
        <v>205910</v>
      </c>
      <c r="B304" t="s">
        <v>14</v>
      </c>
    </row>
    <row r="305" spans="1:2">
      <c r="A305">
        <v>205880</v>
      </c>
      <c r="B305" t="s">
        <v>12</v>
      </c>
    </row>
    <row r="306" spans="1:2">
      <c r="A306">
        <v>205870</v>
      </c>
      <c r="B306" t="s">
        <v>975</v>
      </c>
    </row>
    <row r="307" spans="1:2">
      <c r="A307">
        <v>400270</v>
      </c>
      <c r="B307" t="s">
        <v>2497</v>
      </c>
    </row>
    <row r="308" spans="1:2">
      <c r="A308">
        <v>400260</v>
      </c>
      <c r="B308" t="s">
        <v>1445</v>
      </c>
    </row>
    <row r="309" spans="1:2">
      <c r="A309">
        <v>208660</v>
      </c>
      <c r="B309" t="s">
        <v>0</v>
      </c>
    </row>
    <row r="310" spans="1:2">
      <c r="A310">
        <v>208670</v>
      </c>
      <c r="B310" t="s">
        <v>214</v>
      </c>
    </row>
    <row r="311" spans="1:2">
      <c r="A311">
        <v>208710</v>
      </c>
      <c r="B311" t="s">
        <v>2550</v>
      </c>
    </row>
    <row r="312" spans="1:2">
      <c r="A312">
        <v>208680</v>
      </c>
      <c r="B312" t="s">
        <v>12</v>
      </c>
    </row>
    <row r="313" spans="1:2">
      <c r="A313">
        <v>208700</v>
      </c>
      <c r="B313" t="s">
        <v>1289</v>
      </c>
    </row>
    <row r="314" spans="1:2">
      <c r="A314">
        <v>208690</v>
      </c>
      <c r="B314" t="s">
        <v>975</v>
      </c>
    </row>
    <row r="315" spans="1:2">
      <c r="A315">
        <v>210950</v>
      </c>
      <c r="B315" t="s">
        <v>2497</v>
      </c>
    </row>
    <row r="316" spans="1:2">
      <c r="A316">
        <v>208720</v>
      </c>
      <c r="B316" t="s">
        <v>1445</v>
      </c>
    </row>
    <row r="317" spans="1:2">
      <c r="A317">
        <v>208730</v>
      </c>
      <c r="B317" t="s">
        <v>0</v>
      </c>
    </row>
    <row r="318" spans="1:2">
      <c r="A318">
        <v>208760</v>
      </c>
      <c r="B318" t="s">
        <v>214</v>
      </c>
    </row>
    <row r="319" spans="1:2">
      <c r="A319">
        <v>208740</v>
      </c>
      <c r="B319" t="s">
        <v>1456</v>
      </c>
    </row>
    <row r="320" spans="1:2">
      <c r="A320">
        <v>208750</v>
      </c>
      <c r="B320" t="s">
        <v>1459</v>
      </c>
    </row>
    <row r="321" spans="1:2">
      <c r="A321">
        <v>208770</v>
      </c>
      <c r="B321" t="s">
        <v>14</v>
      </c>
    </row>
    <row r="322" spans="1:2">
      <c r="A322">
        <v>210960</v>
      </c>
      <c r="B322" t="s">
        <v>2497</v>
      </c>
    </row>
    <row r="323" spans="1:2">
      <c r="A323">
        <v>208780</v>
      </c>
      <c r="B323" t="s">
        <v>1445</v>
      </c>
    </row>
    <row r="324" spans="1:2">
      <c r="A324">
        <v>401860</v>
      </c>
      <c r="B324" t="s">
        <v>0</v>
      </c>
    </row>
    <row r="325" spans="1:2">
      <c r="A325">
        <v>401870</v>
      </c>
      <c r="B325" t="s">
        <v>2551</v>
      </c>
    </row>
    <row r="326" spans="1:2">
      <c r="A326">
        <v>401880</v>
      </c>
      <c r="B326" t="s">
        <v>2552</v>
      </c>
    </row>
    <row r="327" spans="1:2">
      <c r="A327">
        <v>401900</v>
      </c>
      <c r="B327" t="s">
        <v>22</v>
      </c>
    </row>
    <row r="328" spans="1:2">
      <c r="A328">
        <v>401920</v>
      </c>
      <c r="B328" t="s">
        <v>2497</v>
      </c>
    </row>
    <row r="329" spans="1:2">
      <c r="A329">
        <v>401910</v>
      </c>
      <c r="B329" t="s">
        <v>1445</v>
      </c>
    </row>
    <row r="330" spans="1:2">
      <c r="A330">
        <v>210750</v>
      </c>
      <c r="B330" t="s">
        <v>0</v>
      </c>
    </row>
    <row r="331" spans="1:2">
      <c r="A331">
        <v>210751</v>
      </c>
      <c r="B331" t="s">
        <v>22</v>
      </c>
    </row>
    <row r="332" spans="1:2">
      <c r="A332">
        <v>210752</v>
      </c>
      <c r="B332" t="s">
        <v>16</v>
      </c>
    </row>
    <row r="333" spans="1:2">
      <c r="A333">
        <v>211350</v>
      </c>
      <c r="B333" t="s">
        <v>2497</v>
      </c>
    </row>
    <row r="334" spans="1:2">
      <c r="A334">
        <v>210754</v>
      </c>
      <c r="B334" t="s">
        <v>1445</v>
      </c>
    </row>
    <row r="335" spans="1:2">
      <c r="A335">
        <v>207490</v>
      </c>
      <c r="B335" t="s">
        <v>0</v>
      </c>
    </row>
    <row r="336" spans="1:2">
      <c r="A336">
        <v>207530</v>
      </c>
      <c r="B336" t="s">
        <v>2553</v>
      </c>
    </row>
    <row r="337" spans="1:2">
      <c r="A337">
        <v>207500</v>
      </c>
      <c r="B337" t="s">
        <v>1456</v>
      </c>
    </row>
    <row r="338" spans="1:2">
      <c r="A338">
        <v>207510</v>
      </c>
      <c r="B338" t="s">
        <v>1459</v>
      </c>
    </row>
    <row r="339" spans="1:2">
      <c r="A339">
        <v>207520</v>
      </c>
      <c r="B339" t="s">
        <v>279</v>
      </c>
    </row>
    <row r="340" spans="1:2">
      <c r="A340">
        <v>210980</v>
      </c>
      <c r="B340" t="s">
        <v>2497</v>
      </c>
    </row>
    <row r="341" spans="1:2">
      <c r="A341">
        <v>207540</v>
      </c>
      <c r="B341" t="s">
        <v>1445</v>
      </c>
    </row>
    <row r="342" spans="1:2">
      <c r="A342">
        <v>210700</v>
      </c>
      <c r="B342" t="s">
        <v>0</v>
      </c>
    </row>
    <row r="343" spans="1:2">
      <c r="A343">
        <v>210710</v>
      </c>
      <c r="B343" t="s">
        <v>12</v>
      </c>
    </row>
    <row r="344" spans="1:2">
      <c r="A344">
        <v>210720</v>
      </c>
      <c r="B344" t="s">
        <v>16</v>
      </c>
    </row>
    <row r="345" spans="1:2">
      <c r="A345">
        <v>210990</v>
      </c>
      <c r="B345" t="s">
        <v>2497</v>
      </c>
    </row>
    <row r="346" spans="1:2">
      <c r="A346">
        <v>210740</v>
      </c>
      <c r="B346" t="s">
        <v>1445</v>
      </c>
    </row>
    <row r="347" spans="1:2">
      <c r="A347">
        <v>207110</v>
      </c>
      <c r="B347" t="s">
        <v>0</v>
      </c>
    </row>
    <row r="348" spans="1:2">
      <c r="A348">
        <v>207160</v>
      </c>
      <c r="B348" t="s">
        <v>2554</v>
      </c>
    </row>
    <row r="349" spans="1:2">
      <c r="A349">
        <v>207150</v>
      </c>
      <c r="B349" t="s">
        <v>14</v>
      </c>
    </row>
    <row r="350" spans="1:2">
      <c r="A350">
        <v>207130</v>
      </c>
      <c r="B350" t="s">
        <v>12</v>
      </c>
    </row>
    <row r="351" spans="1:2">
      <c r="A351">
        <v>207170</v>
      </c>
      <c r="B351" t="s">
        <v>1288</v>
      </c>
    </row>
    <row r="352" spans="1:2">
      <c r="A352">
        <v>207120</v>
      </c>
      <c r="B352" t="s">
        <v>975</v>
      </c>
    </row>
    <row r="353" spans="1:2">
      <c r="A353">
        <v>207140</v>
      </c>
      <c r="B353" t="s">
        <v>16</v>
      </c>
    </row>
    <row r="354" spans="1:2">
      <c r="A354">
        <v>211000</v>
      </c>
      <c r="B354" t="s">
        <v>2497</v>
      </c>
    </row>
    <row r="355" spans="1:2">
      <c r="A355">
        <v>207190</v>
      </c>
      <c r="B355" t="s">
        <v>1445</v>
      </c>
    </row>
    <row r="356" spans="1:2">
      <c r="A356">
        <v>207430</v>
      </c>
      <c r="B356" t="s">
        <v>0</v>
      </c>
    </row>
    <row r="357" spans="1:2">
      <c r="A357">
        <v>207460</v>
      </c>
      <c r="B357" t="s">
        <v>2555</v>
      </c>
    </row>
    <row r="358" spans="1:2">
      <c r="A358">
        <v>207440</v>
      </c>
      <c r="B358" t="s">
        <v>1456</v>
      </c>
    </row>
    <row r="359" spans="1:2">
      <c r="A359">
        <v>207450</v>
      </c>
      <c r="B359" t="s">
        <v>1459</v>
      </c>
    </row>
    <row r="360" spans="1:2">
      <c r="A360">
        <v>207470</v>
      </c>
      <c r="B360" t="s">
        <v>14</v>
      </c>
    </row>
    <row r="361" spans="1:2">
      <c r="A361">
        <v>211010</v>
      </c>
      <c r="B361" t="s">
        <v>2497</v>
      </c>
    </row>
    <row r="362" spans="1:2">
      <c r="A362">
        <v>207480</v>
      </c>
      <c r="B362" t="s">
        <v>1445</v>
      </c>
    </row>
    <row r="363" spans="1:2">
      <c r="A363">
        <v>407200</v>
      </c>
      <c r="B363" t="s">
        <v>0</v>
      </c>
    </row>
    <row r="364" spans="1:2">
      <c r="A364">
        <v>211431</v>
      </c>
      <c r="B364" t="s">
        <v>2551</v>
      </c>
    </row>
    <row r="365" spans="1:2">
      <c r="A365">
        <v>407250</v>
      </c>
      <c r="B365" t="s">
        <v>22</v>
      </c>
    </row>
    <row r="366" spans="1:2">
      <c r="A366">
        <v>407270</v>
      </c>
      <c r="B366" t="s">
        <v>16</v>
      </c>
    </row>
    <row r="367" spans="1:2">
      <c r="A367">
        <v>407300</v>
      </c>
      <c r="B367" t="s">
        <v>2497</v>
      </c>
    </row>
    <row r="368" spans="1:2">
      <c r="A368">
        <v>211430</v>
      </c>
      <c r="B368" t="s">
        <v>1445</v>
      </c>
    </row>
    <row r="369" spans="1:2">
      <c r="A369">
        <v>400290</v>
      </c>
      <c r="B369" t="s">
        <v>0</v>
      </c>
    </row>
    <row r="370" spans="1:2">
      <c r="A370">
        <v>400310</v>
      </c>
      <c r="B370" t="s">
        <v>2556</v>
      </c>
    </row>
    <row r="371" spans="1:2">
      <c r="A371">
        <v>400340</v>
      </c>
      <c r="B371" t="s">
        <v>2551</v>
      </c>
    </row>
    <row r="372" spans="1:2">
      <c r="A372">
        <v>400360</v>
      </c>
      <c r="B372" t="s">
        <v>2552</v>
      </c>
    </row>
    <row r="373" spans="1:2">
      <c r="A373">
        <v>211830</v>
      </c>
      <c r="B373" t="s">
        <v>2557</v>
      </c>
    </row>
    <row r="374" spans="1:2">
      <c r="A374">
        <v>400300</v>
      </c>
      <c r="B374" t="s">
        <v>2558</v>
      </c>
    </row>
    <row r="375" spans="1:2">
      <c r="A375">
        <v>212010</v>
      </c>
      <c r="B375" t="s">
        <v>1449</v>
      </c>
    </row>
    <row r="376" spans="1:2">
      <c r="A376">
        <v>400320</v>
      </c>
      <c r="B376" t="s">
        <v>1450</v>
      </c>
    </row>
    <row r="377" spans="1:2">
      <c r="A377">
        <v>400370</v>
      </c>
      <c r="B377" t="s">
        <v>1265</v>
      </c>
    </row>
    <row r="378" spans="1:2">
      <c r="A378">
        <v>400380</v>
      </c>
      <c r="B378" t="s">
        <v>1</v>
      </c>
    </row>
    <row r="379" spans="1:2">
      <c r="A379">
        <v>400390</v>
      </c>
      <c r="B379" t="s">
        <v>2</v>
      </c>
    </row>
    <row r="380" spans="1:2">
      <c r="A380">
        <v>400400</v>
      </c>
      <c r="B380" t="s">
        <v>1085</v>
      </c>
    </row>
    <row r="381" spans="1:2">
      <c r="A381">
        <v>212060</v>
      </c>
      <c r="B381" t="s">
        <v>24</v>
      </c>
    </row>
    <row r="382" spans="1:2">
      <c r="A382">
        <v>400600</v>
      </c>
      <c r="B382" t="s">
        <v>51</v>
      </c>
    </row>
    <row r="383" spans="1:2">
      <c r="A383">
        <v>400510</v>
      </c>
      <c r="B383" t="s">
        <v>1267</v>
      </c>
    </row>
    <row r="384" spans="1:2">
      <c r="A384">
        <v>400500</v>
      </c>
      <c r="B384" t="s">
        <v>1311</v>
      </c>
    </row>
    <row r="385" spans="1:2">
      <c r="A385">
        <v>212070</v>
      </c>
      <c r="B385" t="s">
        <v>1333</v>
      </c>
    </row>
    <row r="386" spans="1:2">
      <c r="A386">
        <v>400620</v>
      </c>
      <c r="B386" t="s">
        <v>2497</v>
      </c>
    </row>
    <row r="387" spans="1:2">
      <c r="A387">
        <v>211440</v>
      </c>
      <c r="B387" t="s">
        <v>1445</v>
      </c>
    </row>
    <row r="388" spans="1:2">
      <c r="A388">
        <v>211860</v>
      </c>
      <c r="B388" t="s">
        <v>0</v>
      </c>
    </row>
    <row r="389" spans="1:2">
      <c r="A389">
        <v>211840</v>
      </c>
      <c r="B389" t="s">
        <v>2558</v>
      </c>
    </row>
    <row r="390" spans="1:2">
      <c r="A390">
        <v>211850</v>
      </c>
      <c r="B390" t="s">
        <v>73</v>
      </c>
    </row>
    <row r="391" spans="1:2">
      <c r="A391">
        <v>400440</v>
      </c>
      <c r="B391" t="s">
        <v>1086</v>
      </c>
    </row>
    <row r="392" spans="1:2">
      <c r="A392">
        <v>212140</v>
      </c>
      <c r="B392" t="s">
        <v>2497</v>
      </c>
    </row>
    <row r="393" spans="1:2">
      <c r="A393">
        <v>211870</v>
      </c>
      <c r="B393" t="s">
        <v>1445</v>
      </c>
    </row>
    <row r="394" spans="1:2">
      <c r="A394">
        <v>211910</v>
      </c>
      <c r="B394" t="s">
        <v>0</v>
      </c>
    </row>
    <row r="395" spans="1:2">
      <c r="A395">
        <v>211880</v>
      </c>
      <c r="B395" t="s">
        <v>2559</v>
      </c>
    </row>
    <row r="396" spans="1:2">
      <c r="A396">
        <v>211890</v>
      </c>
      <c r="B396" t="s">
        <v>2558</v>
      </c>
    </row>
    <row r="397" spans="1:2">
      <c r="A397">
        <v>211900</v>
      </c>
      <c r="B397" t="s">
        <v>73</v>
      </c>
    </row>
    <row r="398" spans="1:2">
      <c r="A398">
        <v>400450</v>
      </c>
      <c r="B398" t="s">
        <v>1365</v>
      </c>
    </row>
    <row r="399" spans="1:2">
      <c r="A399">
        <v>212150</v>
      </c>
      <c r="B399" t="s">
        <v>2497</v>
      </c>
    </row>
    <row r="400" spans="1:2">
      <c r="A400">
        <v>211920</v>
      </c>
      <c r="B400" t="s">
        <v>1445</v>
      </c>
    </row>
    <row r="401" spans="1:2">
      <c r="A401">
        <v>211940</v>
      </c>
      <c r="B401" t="s">
        <v>0</v>
      </c>
    </row>
    <row r="402" spans="1:2">
      <c r="A402">
        <v>211930</v>
      </c>
      <c r="B402" t="s">
        <v>12</v>
      </c>
    </row>
    <row r="403" spans="1:2">
      <c r="A403">
        <v>211970</v>
      </c>
      <c r="B403" t="s">
        <v>2497</v>
      </c>
    </row>
    <row r="404" spans="1:2">
      <c r="A404">
        <v>211950</v>
      </c>
      <c r="B404" t="s">
        <v>1445</v>
      </c>
    </row>
    <row r="405" spans="1:2">
      <c r="A405">
        <v>210760</v>
      </c>
      <c r="B405" t="s">
        <v>0</v>
      </c>
    </row>
    <row r="406" spans="1:2">
      <c r="A406">
        <v>210761</v>
      </c>
      <c r="B406" t="s">
        <v>12</v>
      </c>
    </row>
    <row r="407" spans="1:2">
      <c r="A407">
        <v>211360</v>
      </c>
      <c r="B407" t="s">
        <v>2497</v>
      </c>
    </row>
    <row r="408" spans="1:2">
      <c r="A408">
        <v>210764</v>
      </c>
      <c r="B408" t="s">
        <v>1445</v>
      </c>
    </row>
    <row r="409" spans="1:2">
      <c r="A409">
        <v>402180</v>
      </c>
      <c r="B409" t="s">
        <v>0</v>
      </c>
    </row>
    <row r="410" spans="1:2">
      <c r="A410">
        <v>402460</v>
      </c>
      <c r="B410" t="s">
        <v>1249</v>
      </c>
    </row>
    <row r="411" spans="1:2">
      <c r="A411">
        <v>402450</v>
      </c>
      <c r="B411" t="s">
        <v>1250</v>
      </c>
    </row>
    <row r="412" spans="1:2">
      <c r="A412">
        <v>402190</v>
      </c>
      <c r="B412" t="s">
        <v>2560</v>
      </c>
    </row>
    <row r="413" spans="1:2">
      <c r="A413">
        <v>205770</v>
      </c>
      <c r="B413" t="s">
        <v>2561</v>
      </c>
    </row>
    <row r="414" spans="1:2">
      <c r="A414">
        <v>206340</v>
      </c>
      <c r="B414" t="s">
        <v>42</v>
      </c>
    </row>
    <row r="415" spans="1:2">
      <c r="A415">
        <v>205530</v>
      </c>
      <c r="B415" t="s">
        <v>14</v>
      </c>
    </row>
    <row r="416" spans="1:2">
      <c r="A416">
        <v>402250</v>
      </c>
      <c r="B416" t="s">
        <v>1279</v>
      </c>
    </row>
    <row r="417" spans="1:2">
      <c r="A417">
        <v>402230</v>
      </c>
      <c r="B417" t="s">
        <v>1139</v>
      </c>
    </row>
    <row r="418" spans="1:2">
      <c r="A418">
        <v>402280</v>
      </c>
      <c r="B418" t="s">
        <v>1466</v>
      </c>
    </row>
    <row r="419" spans="1:2">
      <c r="A419">
        <v>205720</v>
      </c>
      <c r="B419" t="s">
        <v>1271</v>
      </c>
    </row>
    <row r="420" spans="1:2">
      <c r="A420">
        <v>205740</v>
      </c>
      <c r="B420" t="s">
        <v>44</v>
      </c>
    </row>
    <row r="421" spans="1:2">
      <c r="A421">
        <v>402290</v>
      </c>
      <c r="B421" t="s">
        <v>80</v>
      </c>
    </row>
    <row r="422" spans="1:2">
      <c r="A422">
        <v>402320</v>
      </c>
      <c r="B422" t="s">
        <v>1467</v>
      </c>
    </row>
    <row r="423" spans="1:2">
      <c r="A423">
        <v>402340</v>
      </c>
      <c r="B423" t="s">
        <v>45</v>
      </c>
    </row>
    <row r="424" spans="1:2">
      <c r="A424">
        <v>402210</v>
      </c>
      <c r="B424" t="s">
        <v>22</v>
      </c>
    </row>
    <row r="425" spans="1:2">
      <c r="A425">
        <v>402310</v>
      </c>
      <c r="B425" t="s">
        <v>1268</v>
      </c>
    </row>
    <row r="426" spans="1:2">
      <c r="A426">
        <v>400590</v>
      </c>
      <c r="B426" t="s">
        <v>1090</v>
      </c>
    </row>
    <row r="427" spans="1:2">
      <c r="A427">
        <v>402480</v>
      </c>
      <c r="B427" t="s">
        <v>2497</v>
      </c>
    </row>
    <row r="428" spans="1:2">
      <c r="A428">
        <v>402470</v>
      </c>
      <c r="B428" t="s">
        <v>1445</v>
      </c>
    </row>
    <row r="429" spans="1:2">
      <c r="A429">
        <v>206270</v>
      </c>
      <c r="B429" t="s">
        <v>0</v>
      </c>
    </row>
    <row r="430" spans="1:2">
      <c r="A430">
        <v>206390</v>
      </c>
      <c r="B430" t="s">
        <v>2562</v>
      </c>
    </row>
    <row r="431" spans="1:2">
      <c r="A431">
        <v>206330</v>
      </c>
      <c r="B431" t="s">
        <v>301</v>
      </c>
    </row>
    <row r="432" spans="1:2">
      <c r="A432">
        <v>206380</v>
      </c>
      <c r="B432" t="s">
        <v>14</v>
      </c>
    </row>
    <row r="433" spans="1:2">
      <c r="A433">
        <v>206420</v>
      </c>
      <c r="B433" t="s">
        <v>1230</v>
      </c>
    </row>
    <row r="434" spans="1:2">
      <c r="A434">
        <v>211020</v>
      </c>
      <c r="B434" t="s">
        <v>2497</v>
      </c>
    </row>
    <row r="435" spans="1:2">
      <c r="A435">
        <v>206430</v>
      </c>
      <c r="B435" t="s">
        <v>1445</v>
      </c>
    </row>
    <row r="436" spans="1:2">
      <c r="A436">
        <v>211980</v>
      </c>
      <c r="B436" t="s">
        <v>0</v>
      </c>
    </row>
    <row r="437" spans="1:2">
      <c r="A437">
        <v>402300</v>
      </c>
      <c r="B437" t="s">
        <v>1143</v>
      </c>
    </row>
    <row r="438" spans="1:2">
      <c r="A438">
        <v>402350</v>
      </c>
      <c r="B438" t="s">
        <v>1146</v>
      </c>
    </row>
    <row r="439" spans="1:2">
      <c r="A439">
        <v>212000</v>
      </c>
      <c r="B439" t="s">
        <v>2497</v>
      </c>
    </row>
    <row r="440" spans="1:2">
      <c r="A440">
        <v>211990</v>
      </c>
      <c r="B440" t="s">
        <v>1445</v>
      </c>
    </row>
    <row r="441" spans="1:2">
      <c r="A441">
        <v>210780</v>
      </c>
      <c r="B441" t="s">
        <v>0</v>
      </c>
    </row>
    <row r="442" spans="1:2">
      <c r="A442">
        <v>210781</v>
      </c>
      <c r="B442" t="s">
        <v>12</v>
      </c>
    </row>
    <row r="443" spans="1:2">
      <c r="A443">
        <v>210783</v>
      </c>
      <c r="B443" t="s">
        <v>975</v>
      </c>
    </row>
    <row r="444" spans="1:2">
      <c r="A444">
        <v>210782</v>
      </c>
      <c r="B444" t="s">
        <v>16</v>
      </c>
    </row>
    <row r="445" spans="1:2">
      <c r="A445">
        <v>211380</v>
      </c>
      <c r="B445" t="s">
        <v>2497</v>
      </c>
    </row>
    <row r="446" spans="1:2">
      <c r="A446">
        <v>210784</v>
      </c>
      <c r="B446" t="s">
        <v>1445</v>
      </c>
    </row>
    <row r="447" spans="1:2">
      <c r="A447">
        <v>407840</v>
      </c>
      <c r="B447" t="s">
        <v>0</v>
      </c>
    </row>
    <row r="448" spans="1:2">
      <c r="A448">
        <v>407910</v>
      </c>
      <c r="B448" t="s">
        <v>1249</v>
      </c>
    </row>
    <row r="449" spans="1:2">
      <c r="A449">
        <v>407900</v>
      </c>
      <c r="B449" t="s">
        <v>1250</v>
      </c>
    </row>
    <row r="450" spans="1:2">
      <c r="A450">
        <v>407880</v>
      </c>
      <c r="B450" t="s">
        <v>90</v>
      </c>
    </row>
    <row r="451" spans="1:2">
      <c r="A451">
        <v>407890</v>
      </c>
      <c r="B451" t="s">
        <v>91</v>
      </c>
    </row>
    <row r="452" spans="1:2">
      <c r="A452">
        <v>407860</v>
      </c>
      <c r="B452" t="s">
        <v>2563</v>
      </c>
    </row>
    <row r="453" spans="1:2">
      <c r="A453">
        <v>205830</v>
      </c>
      <c r="B453" t="s">
        <v>14</v>
      </c>
    </row>
    <row r="454" spans="1:2">
      <c r="A454">
        <v>407870</v>
      </c>
      <c r="B454" t="s">
        <v>12</v>
      </c>
    </row>
    <row r="455" spans="1:2">
      <c r="A455">
        <v>407920</v>
      </c>
      <c r="B455" t="s">
        <v>2497</v>
      </c>
    </row>
    <row r="456" spans="1:2">
      <c r="A456">
        <v>205850</v>
      </c>
      <c r="B456" t="s">
        <v>1445</v>
      </c>
    </row>
    <row r="457" spans="1:2">
      <c r="A457">
        <v>210050</v>
      </c>
      <c r="B457" t="s">
        <v>0</v>
      </c>
    </row>
    <row r="458" spans="1:2">
      <c r="A458">
        <v>210060</v>
      </c>
      <c r="B458" t="s">
        <v>1358</v>
      </c>
    </row>
    <row r="459" spans="1:2">
      <c r="A459">
        <v>210070</v>
      </c>
      <c r="B459" t="s">
        <v>1359</v>
      </c>
    </row>
    <row r="460" spans="1:2">
      <c r="A460">
        <v>210080</v>
      </c>
      <c r="B460" t="s">
        <v>975</v>
      </c>
    </row>
    <row r="461" spans="1:2">
      <c r="A461">
        <v>211050</v>
      </c>
      <c r="B461" t="s">
        <v>2497</v>
      </c>
    </row>
    <row r="462" spans="1:2">
      <c r="A462">
        <v>210090</v>
      </c>
      <c r="B462" t="s">
        <v>1445</v>
      </c>
    </row>
    <row r="463" spans="1:2">
      <c r="A463">
        <v>212050</v>
      </c>
      <c r="B463" t="s">
        <v>0</v>
      </c>
    </row>
    <row r="464" spans="1:2">
      <c r="A464">
        <v>212051</v>
      </c>
      <c r="B464" t="s">
        <v>12</v>
      </c>
    </row>
    <row r="465" spans="1:2">
      <c r="A465">
        <v>212052</v>
      </c>
      <c r="B465" t="s">
        <v>16</v>
      </c>
    </row>
    <row r="466" spans="1:2">
      <c r="A466">
        <v>212190</v>
      </c>
      <c r="B466" t="s">
        <v>2497</v>
      </c>
    </row>
    <row r="467" spans="1:2">
      <c r="A467">
        <v>212053</v>
      </c>
      <c r="B467" t="s">
        <v>1445</v>
      </c>
    </row>
    <row r="468" spans="1:2">
      <c r="A468">
        <v>210250</v>
      </c>
      <c r="B468" t="s">
        <v>0</v>
      </c>
    </row>
    <row r="469" spans="1:2">
      <c r="A469">
        <v>210260</v>
      </c>
      <c r="B469" t="s">
        <v>12</v>
      </c>
    </row>
    <row r="470" spans="1:2">
      <c r="A470">
        <v>210280</v>
      </c>
      <c r="B470" t="s">
        <v>975</v>
      </c>
    </row>
    <row r="471" spans="1:2">
      <c r="A471">
        <v>210270</v>
      </c>
      <c r="B471" t="s">
        <v>16</v>
      </c>
    </row>
    <row r="472" spans="1:2">
      <c r="A472">
        <v>211070</v>
      </c>
      <c r="B472" t="s">
        <v>2497</v>
      </c>
    </row>
    <row r="473" spans="1:2">
      <c r="A473">
        <v>210290</v>
      </c>
      <c r="B473" t="s">
        <v>1445</v>
      </c>
    </row>
    <row r="474" spans="1:2">
      <c r="A474">
        <v>210300</v>
      </c>
      <c r="B474" t="s">
        <v>0</v>
      </c>
    </row>
    <row r="475" spans="1:2">
      <c r="A475">
        <v>210310</v>
      </c>
      <c r="B475" t="s">
        <v>12</v>
      </c>
    </row>
    <row r="476" spans="1:2">
      <c r="A476">
        <v>210320</v>
      </c>
      <c r="B476" t="s">
        <v>975</v>
      </c>
    </row>
    <row r="477" spans="1:2">
      <c r="A477">
        <v>211080</v>
      </c>
      <c r="B477" t="s">
        <v>2497</v>
      </c>
    </row>
    <row r="478" spans="1:2">
      <c r="A478">
        <v>210330</v>
      </c>
      <c r="B478" t="s">
        <v>1445</v>
      </c>
    </row>
    <row r="479" spans="1:2">
      <c r="A479">
        <v>206850</v>
      </c>
      <c r="B479" t="s">
        <v>0</v>
      </c>
    </row>
    <row r="480" spans="1:2">
      <c r="A480">
        <v>206920</v>
      </c>
      <c r="B480" t="s">
        <v>2564</v>
      </c>
    </row>
    <row r="481" spans="1:2">
      <c r="A481">
        <v>206880</v>
      </c>
      <c r="B481" t="s">
        <v>216</v>
      </c>
    </row>
    <row r="482" spans="1:2">
      <c r="A482">
        <v>206960</v>
      </c>
      <c r="B482" t="s">
        <v>2546</v>
      </c>
    </row>
    <row r="483" spans="1:2">
      <c r="A483">
        <v>206910</v>
      </c>
      <c r="B483" t="s">
        <v>14</v>
      </c>
    </row>
    <row r="484" spans="1:2">
      <c r="A484">
        <v>206980</v>
      </c>
      <c r="B484" t="s">
        <v>73</v>
      </c>
    </row>
    <row r="485" spans="1:2">
      <c r="A485">
        <v>206940</v>
      </c>
      <c r="B485" t="s">
        <v>1275</v>
      </c>
    </row>
    <row r="486" spans="1:2">
      <c r="A486">
        <v>206950</v>
      </c>
      <c r="B486" t="s">
        <v>303</v>
      </c>
    </row>
    <row r="487" spans="1:2">
      <c r="A487">
        <v>206870</v>
      </c>
      <c r="B487" t="s">
        <v>12</v>
      </c>
    </row>
    <row r="488" spans="1:2">
      <c r="A488">
        <v>206900</v>
      </c>
      <c r="B488" t="s">
        <v>1276</v>
      </c>
    </row>
    <row r="489" spans="1:2">
      <c r="A489">
        <v>206860</v>
      </c>
      <c r="B489" t="s">
        <v>279</v>
      </c>
    </row>
    <row r="490" spans="1:2">
      <c r="A490">
        <v>206970</v>
      </c>
      <c r="B490" t="s">
        <v>1231</v>
      </c>
    </row>
    <row r="491" spans="1:2">
      <c r="A491">
        <v>206890</v>
      </c>
      <c r="B491" t="s">
        <v>1277</v>
      </c>
    </row>
    <row r="492" spans="1:2">
      <c r="A492">
        <v>211090</v>
      </c>
      <c r="B492" t="s">
        <v>2497</v>
      </c>
    </row>
    <row r="493" spans="1:2">
      <c r="A493">
        <v>206990</v>
      </c>
      <c r="B493" t="s">
        <v>1445</v>
      </c>
    </row>
    <row r="494" spans="1:2">
      <c r="A494">
        <v>205000</v>
      </c>
      <c r="B494" t="s">
        <v>0</v>
      </c>
    </row>
    <row r="495" spans="1:2">
      <c r="A495">
        <v>205041</v>
      </c>
      <c r="B495" t="s">
        <v>1249</v>
      </c>
    </row>
    <row r="496" spans="1:2">
      <c r="A496">
        <v>205040</v>
      </c>
      <c r="B496" t="s">
        <v>1250</v>
      </c>
    </row>
    <row r="497" spans="1:2">
      <c r="A497">
        <v>205090</v>
      </c>
      <c r="B497" t="s">
        <v>73</v>
      </c>
    </row>
    <row r="498" spans="1:2">
      <c r="A498">
        <v>205010</v>
      </c>
      <c r="B498" t="s">
        <v>215</v>
      </c>
    </row>
    <row r="499" spans="1:2">
      <c r="A499">
        <v>205060</v>
      </c>
      <c r="B499" t="s">
        <v>2499</v>
      </c>
    </row>
    <row r="500" spans="1:2">
      <c r="A500">
        <v>205020</v>
      </c>
      <c r="B500" t="s">
        <v>1451</v>
      </c>
    </row>
    <row r="501" spans="1:2">
      <c r="A501">
        <v>205030</v>
      </c>
      <c r="B501" t="s">
        <v>1452</v>
      </c>
    </row>
    <row r="502" spans="1:2">
      <c r="A502">
        <v>205080</v>
      </c>
      <c r="B502" t="s">
        <v>87</v>
      </c>
    </row>
    <row r="503" spans="1:2">
      <c r="A503">
        <v>205070</v>
      </c>
      <c r="B503" t="s">
        <v>1286</v>
      </c>
    </row>
    <row r="504" spans="1:2">
      <c r="A504">
        <v>205050</v>
      </c>
      <c r="B504" t="s">
        <v>1287</v>
      </c>
    </row>
    <row r="505" spans="1:2">
      <c r="A505">
        <v>211100</v>
      </c>
      <c r="B505" t="s">
        <v>2497</v>
      </c>
    </row>
    <row r="506" spans="1:2">
      <c r="A506">
        <v>205100</v>
      </c>
      <c r="B506" t="s">
        <v>1445</v>
      </c>
    </row>
    <row r="507" spans="1:2">
      <c r="A507">
        <v>210150</v>
      </c>
      <c r="B507" t="s">
        <v>0</v>
      </c>
    </row>
    <row r="508" spans="1:2">
      <c r="A508">
        <v>210160</v>
      </c>
      <c r="B508" t="s">
        <v>12</v>
      </c>
    </row>
    <row r="509" spans="1:2">
      <c r="A509">
        <v>210180</v>
      </c>
      <c r="B509" t="s">
        <v>975</v>
      </c>
    </row>
    <row r="510" spans="1:2">
      <c r="A510">
        <v>210170</v>
      </c>
      <c r="B510" t="s">
        <v>16</v>
      </c>
    </row>
    <row r="511" spans="1:2">
      <c r="A511">
        <v>211120</v>
      </c>
      <c r="B511" t="s">
        <v>2497</v>
      </c>
    </row>
    <row r="512" spans="1:2">
      <c r="A512">
        <v>210190</v>
      </c>
      <c r="B512" t="s">
        <v>1445</v>
      </c>
    </row>
    <row r="513" spans="1:2">
      <c r="A513">
        <v>206680</v>
      </c>
      <c r="B513" t="s">
        <v>0</v>
      </c>
    </row>
    <row r="514" spans="1:2">
      <c r="A514">
        <v>206710</v>
      </c>
      <c r="B514" t="s">
        <v>216</v>
      </c>
    </row>
    <row r="515" spans="1:2">
      <c r="A515">
        <v>206770</v>
      </c>
      <c r="B515" t="s">
        <v>2565</v>
      </c>
    </row>
    <row r="516" spans="1:2">
      <c r="A516">
        <v>206790</v>
      </c>
      <c r="B516" t="s">
        <v>300</v>
      </c>
    </row>
    <row r="517" spans="1:2">
      <c r="A517">
        <v>206780</v>
      </c>
      <c r="B517" t="s">
        <v>224</v>
      </c>
    </row>
    <row r="518" spans="1:2">
      <c r="A518">
        <v>206750</v>
      </c>
      <c r="B518" t="s">
        <v>1275</v>
      </c>
    </row>
    <row r="519" spans="1:2">
      <c r="A519">
        <v>206760</v>
      </c>
      <c r="B519" t="s">
        <v>302</v>
      </c>
    </row>
    <row r="520" spans="1:2">
      <c r="A520">
        <v>206700</v>
      </c>
      <c r="B520" t="s">
        <v>12</v>
      </c>
    </row>
    <row r="521" spans="1:2">
      <c r="A521">
        <v>206730</v>
      </c>
      <c r="B521" t="s">
        <v>1290</v>
      </c>
    </row>
    <row r="522" spans="1:2">
      <c r="A522">
        <v>206740</v>
      </c>
      <c r="B522" t="s">
        <v>1288</v>
      </c>
    </row>
    <row r="523" spans="1:2">
      <c r="A523">
        <v>206810</v>
      </c>
      <c r="B523" t="s">
        <v>320</v>
      </c>
    </row>
    <row r="524" spans="1:2">
      <c r="A524">
        <v>206690</v>
      </c>
      <c r="B524" t="s">
        <v>975</v>
      </c>
    </row>
    <row r="525" spans="1:2">
      <c r="A525">
        <v>206720</v>
      </c>
      <c r="B525" t="s">
        <v>273</v>
      </c>
    </row>
    <row r="526" spans="1:2">
      <c r="A526">
        <v>211130</v>
      </c>
      <c r="B526" t="s">
        <v>2497</v>
      </c>
    </row>
    <row r="527" spans="1:2">
      <c r="A527">
        <v>206840</v>
      </c>
      <c r="B527" t="s">
        <v>1445</v>
      </c>
    </row>
    <row r="528" spans="1:2">
      <c r="A528">
        <v>403860</v>
      </c>
      <c r="B528" t="s">
        <v>0</v>
      </c>
    </row>
    <row r="529" spans="1:2">
      <c r="A529">
        <v>207770</v>
      </c>
      <c r="B529" t="s">
        <v>74</v>
      </c>
    </row>
    <row r="530" spans="1:2">
      <c r="A530">
        <v>403890</v>
      </c>
      <c r="B530" t="s">
        <v>2566</v>
      </c>
    </row>
    <row r="531" spans="1:2">
      <c r="A531">
        <v>403950</v>
      </c>
      <c r="B531" t="s">
        <v>2550</v>
      </c>
    </row>
    <row r="532" spans="1:2">
      <c r="A532">
        <v>403910</v>
      </c>
      <c r="B532" t="s">
        <v>1280</v>
      </c>
    </row>
    <row r="533" spans="1:2">
      <c r="A533">
        <v>403870</v>
      </c>
      <c r="B533" t="s">
        <v>1173</v>
      </c>
    </row>
    <row r="534" spans="1:2">
      <c r="A534">
        <v>207780</v>
      </c>
      <c r="B534" t="s">
        <v>14</v>
      </c>
    </row>
    <row r="535" spans="1:2">
      <c r="A535">
        <v>403930</v>
      </c>
      <c r="B535" t="s">
        <v>1095</v>
      </c>
    </row>
    <row r="536" spans="1:2">
      <c r="A536">
        <v>403880</v>
      </c>
      <c r="B536" t="s">
        <v>12</v>
      </c>
    </row>
    <row r="537" spans="1:2">
      <c r="A537">
        <v>403920</v>
      </c>
      <c r="B537" t="s">
        <v>1344</v>
      </c>
    </row>
    <row r="538" spans="1:2">
      <c r="A538">
        <v>207810</v>
      </c>
      <c r="B538" t="s">
        <v>1288</v>
      </c>
    </row>
    <row r="539" spans="1:2">
      <c r="A539">
        <v>403940</v>
      </c>
      <c r="B539" t="s">
        <v>1175</v>
      </c>
    </row>
    <row r="540" spans="1:2">
      <c r="A540">
        <v>403900</v>
      </c>
      <c r="B540" t="s">
        <v>28</v>
      </c>
    </row>
    <row r="541" spans="1:2">
      <c r="A541">
        <v>207750</v>
      </c>
      <c r="B541" t="s">
        <v>975</v>
      </c>
    </row>
    <row r="542" spans="1:2">
      <c r="A542">
        <v>403970</v>
      </c>
      <c r="B542" t="s">
        <v>2497</v>
      </c>
    </row>
    <row r="543" spans="1:2">
      <c r="A543">
        <v>403960</v>
      </c>
      <c r="B543" t="s">
        <v>1445</v>
      </c>
    </row>
    <row r="544" spans="1:2">
      <c r="A544">
        <v>208020</v>
      </c>
      <c r="B544" t="s">
        <v>0</v>
      </c>
    </row>
    <row r="545" spans="1:2">
      <c r="A545">
        <v>208030</v>
      </c>
      <c r="B545" t="s">
        <v>74</v>
      </c>
    </row>
    <row r="546" spans="1:2">
      <c r="A546">
        <v>208040</v>
      </c>
      <c r="B546" t="s">
        <v>2546</v>
      </c>
    </row>
    <row r="547" spans="1:2">
      <c r="A547">
        <v>208060</v>
      </c>
      <c r="B547" t="s">
        <v>260</v>
      </c>
    </row>
    <row r="548" spans="1:2">
      <c r="A548">
        <v>208070</v>
      </c>
      <c r="B548" t="s">
        <v>298</v>
      </c>
    </row>
    <row r="549" spans="1:2">
      <c r="A549">
        <v>208100</v>
      </c>
      <c r="B549" t="s">
        <v>299</v>
      </c>
    </row>
    <row r="550" spans="1:2">
      <c r="A550">
        <v>208050</v>
      </c>
      <c r="B550" t="s">
        <v>81</v>
      </c>
    </row>
    <row r="551" spans="1:2">
      <c r="A551">
        <v>208090</v>
      </c>
      <c r="B551" t="s">
        <v>59</v>
      </c>
    </row>
    <row r="552" spans="1:2">
      <c r="A552">
        <v>211140</v>
      </c>
      <c r="B552" t="s">
        <v>2497</v>
      </c>
    </row>
    <row r="553" spans="1:2">
      <c r="A553">
        <v>208110</v>
      </c>
      <c r="B553" t="s">
        <v>1445</v>
      </c>
    </row>
    <row r="554" spans="1:2">
      <c r="A554">
        <v>211610</v>
      </c>
      <c r="B554" t="s">
        <v>0</v>
      </c>
    </row>
    <row r="555" spans="1:2">
      <c r="A555">
        <v>209540</v>
      </c>
      <c r="B555" t="s">
        <v>74</v>
      </c>
    </row>
    <row r="556" spans="1:2">
      <c r="A556">
        <v>209550</v>
      </c>
      <c r="B556" t="s">
        <v>2546</v>
      </c>
    </row>
    <row r="557" spans="1:2">
      <c r="A557">
        <v>211150</v>
      </c>
      <c r="B557" t="s">
        <v>2497</v>
      </c>
    </row>
    <row r="558" spans="1:2">
      <c r="A558">
        <v>211480</v>
      </c>
      <c r="B558" t="s">
        <v>1445</v>
      </c>
    </row>
    <row r="559" spans="1:2">
      <c r="A559">
        <v>210390</v>
      </c>
      <c r="B559" t="s">
        <v>0</v>
      </c>
    </row>
    <row r="560" spans="1:2">
      <c r="A560">
        <v>210400</v>
      </c>
      <c r="B560" t="s">
        <v>12</v>
      </c>
    </row>
    <row r="561" spans="1:2">
      <c r="A561">
        <v>210420</v>
      </c>
      <c r="B561" t="s">
        <v>975</v>
      </c>
    </row>
    <row r="562" spans="1:2">
      <c r="A562">
        <v>210410</v>
      </c>
      <c r="B562" t="s">
        <v>16</v>
      </c>
    </row>
    <row r="563" spans="1:2">
      <c r="A563">
        <v>211170</v>
      </c>
      <c r="B563" t="s">
        <v>2497</v>
      </c>
    </row>
    <row r="564" spans="1:2">
      <c r="A564">
        <v>210430</v>
      </c>
      <c r="B564" t="s">
        <v>1445</v>
      </c>
    </row>
    <row r="565" spans="1:2">
      <c r="A565">
        <v>401000</v>
      </c>
      <c r="B565" t="s">
        <v>0</v>
      </c>
    </row>
    <row r="566" spans="1:2">
      <c r="A566">
        <v>401010</v>
      </c>
      <c r="B566" t="s">
        <v>2567</v>
      </c>
    </row>
    <row r="567" spans="1:2">
      <c r="A567">
        <v>401040</v>
      </c>
      <c r="B567" t="s">
        <v>2568</v>
      </c>
    </row>
    <row r="568" spans="1:2">
      <c r="A568">
        <v>401030</v>
      </c>
      <c r="B568" t="s">
        <v>2569</v>
      </c>
    </row>
    <row r="569" spans="1:2">
      <c r="A569">
        <v>401050</v>
      </c>
      <c r="B569" t="s">
        <v>2570</v>
      </c>
    </row>
    <row r="570" spans="1:2">
      <c r="A570">
        <v>207960</v>
      </c>
      <c r="B570" t="s">
        <v>74</v>
      </c>
    </row>
    <row r="571" spans="1:2">
      <c r="A571">
        <v>401020</v>
      </c>
      <c r="B571" t="s">
        <v>2571</v>
      </c>
    </row>
    <row r="572" spans="1:2">
      <c r="A572">
        <v>401070</v>
      </c>
      <c r="B572" t="s">
        <v>7</v>
      </c>
    </row>
    <row r="573" spans="1:2">
      <c r="A573">
        <v>208000</v>
      </c>
      <c r="B573" t="s">
        <v>2572</v>
      </c>
    </row>
    <row r="574" spans="1:2">
      <c r="A574">
        <v>401080</v>
      </c>
      <c r="B574" t="s">
        <v>11</v>
      </c>
    </row>
    <row r="575" spans="1:2">
      <c r="A575">
        <v>401060</v>
      </c>
      <c r="B575" t="s">
        <v>12</v>
      </c>
    </row>
    <row r="576" spans="1:2">
      <c r="A576">
        <v>401100</v>
      </c>
      <c r="B576" t="s">
        <v>1343</v>
      </c>
    </row>
    <row r="577" spans="1:2">
      <c r="A577">
        <v>401090</v>
      </c>
      <c r="B577" t="s">
        <v>1281</v>
      </c>
    </row>
    <row r="578" spans="1:2">
      <c r="A578">
        <v>401110</v>
      </c>
      <c r="B578" t="s">
        <v>2497</v>
      </c>
    </row>
    <row r="579" spans="1:2">
      <c r="A579">
        <v>208010</v>
      </c>
      <c r="B579" t="s">
        <v>1445</v>
      </c>
    </row>
    <row r="580" spans="1:2">
      <c r="A580">
        <v>207860</v>
      </c>
      <c r="B580" t="s">
        <v>0</v>
      </c>
    </row>
    <row r="581" spans="1:2">
      <c r="A581">
        <v>207920</v>
      </c>
      <c r="B581" t="s">
        <v>14</v>
      </c>
    </row>
    <row r="582" spans="1:2">
      <c r="A582">
        <v>207870</v>
      </c>
      <c r="B582" t="s">
        <v>12</v>
      </c>
    </row>
    <row r="583" spans="1:2">
      <c r="A583">
        <v>207890</v>
      </c>
      <c r="B583" t="s">
        <v>237</v>
      </c>
    </row>
    <row r="584" spans="1:2">
      <c r="A584">
        <v>207880</v>
      </c>
      <c r="B584" t="s">
        <v>89</v>
      </c>
    </row>
    <row r="585" spans="1:2">
      <c r="A585">
        <v>207900</v>
      </c>
      <c r="B585" t="s">
        <v>17</v>
      </c>
    </row>
    <row r="586" spans="1:2">
      <c r="A586">
        <v>211180</v>
      </c>
      <c r="B586" t="s">
        <v>2497</v>
      </c>
    </row>
    <row r="587" spans="1:2">
      <c r="A587">
        <v>207930</v>
      </c>
      <c r="B587" t="s">
        <v>1445</v>
      </c>
    </row>
    <row r="588" spans="1:2">
      <c r="A588">
        <v>401120</v>
      </c>
      <c r="B588" t="s">
        <v>0</v>
      </c>
    </row>
    <row r="589" spans="1:2">
      <c r="A589">
        <v>401130</v>
      </c>
      <c r="B589" t="s">
        <v>73</v>
      </c>
    </row>
    <row r="590" spans="1:2">
      <c r="A590">
        <v>401140</v>
      </c>
      <c r="B590" t="s">
        <v>74</v>
      </c>
    </row>
    <row r="591" spans="1:2">
      <c r="A591">
        <v>401150</v>
      </c>
      <c r="B591" t="s">
        <v>2573</v>
      </c>
    </row>
    <row r="592" spans="1:2">
      <c r="A592">
        <v>205610</v>
      </c>
      <c r="B592" t="s">
        <v>2574</v>
      </c>
    </row>
    <row r="593" spans="1:2">
      <c r="A593">
        <v>402270</v>
      </c>
      <c r="B593" t="s">
        <v>2575</v>
      </c>
    </row>
    <row r="594" spans="1:2">
      <c r="A594">
        <v>401250</v>
      </c>
      <c r="B594" t="s">
        <v>1101</v>
      </c>
    </row>
    <row r="595" spans="1:2">
      <c r="A595">
        <v>401260</v>
      </c>
      <c r="B595" t="s">
        <v>14</v>
      </c>
    </row>
    <row r="596" spans="1:2">
      <c r="A596">
        <v>401200</v>
      </c>
      <c r="B596" t="s">
        <v>1095</v>
      </c>
    </row>
    <row r="597" spans="1:2">
      <c r="A597">
        <v>401270</v>
      </c>
      <c r="B597" t="s">
        <v>1075</v>
      </c>
    </row>
    <row r="598" spans="1:2">
      <c r="A598">
        <v>205600</v>
      </c>
      <c r="B598" t="s">
        <v>312</v>
      </c>
    </row>
    <row r="599" spans="1:2">
      <c r="A599">
        <v>401210</v>
      </c>
      <c r="B599" t="s">
        <v>1339</v>
      </c>
    </row>
    <row r="600" spans="1:2">
      <c r="A600">
        <v>401220</v>
      </c>
      <c r="B600" t="s">
        <v>1340</v>
      </c>
    </row>
    <row r="601" spans="1:2">
      <c r="A601">
        <v>401230</v>
      </c>
      <c r="B601" t="s">
        <v>1341</v>
      </c>
    </row>
    <row r="602" spans="1:2">
      <c r="A602">
        <v>401240</v>
      </c>
      <c r="B602" t="s">
        <v>1342</v>
      </c>
    </row>
    <row r="603" spans="1:2">
      <c r="A603">
        <v>401290</v>
      </c>
      <c r="B603" t="s">
        <v>1105</v>
      </c>
    </row>
    <row r="604" spans="1:2">
      <c r="A604">
        <v>401190</v>
      </c>
      <c r="B604" t="s">
        <v>22</v>
      </c>
    </row>
    <row r="605" spans="1:2">
      <c r="A605">
        <v>401300</v>
      </c>
      <c r="B605" t="s">
        <v>1108</v>
      </c>
    </row>
    <row r="606" spans="1:2">
      <c r="A606">
        <v>402380</v>
      </c>
      <c r="B606" t="s">
        <v>1282</v>
      </c>
    </row>
    <row r="607" spans="1:2">
      <c r="A607">
        <v>401160</v>
      </c>
      <c r="B607" t="s">
        <v>1026</v>
      </c>
    </row>
    <row r="608" spans="1:2">
      <c r="A608">
        <v>401320</v>
      </c>
      <c r="B608" t="s">
        <v>2497</v>
      </c>
    </row>
    <row r="609" spans="1:2">
      <c r="A609">
        <v>401310</v>
      </c>
      <c r="B609" t="s">
        <v>1445</v>
      </c>
    </row>
    <row r="610" spans="1:2">
      <c r="A610">
        <v>209380</v>
      </c>
      <c r="B610" t="s">
        <v>0</v>
      </c>
    </row>
    <row r="611" spans="1:2">
      <c r="A611">
        <v>209410</v>
      </c>
      <c r="B611" t="s">
        <v>74</v>
      </c>
    </row>
    <row r="612" spans="1:2">
      <c r="A612">
        <v>209390</v>
      </c>
      <c r="B612" t="s">
        <v>1456</v>
      </c>
    </row>
    <row r="613" spans="1:2">
      <c r="A613">
        <v>209400</v>
      </c>
      <c r="B613" t="s">
        <v>1459</v>
      </c>
    </row>
    <row r="614" spans="1:2">
      <c r="A614">
        <v>209420</v>
      </c>
      <c r="B614" t="s">
        <v>260</v>
      </c>
    </row>
    <row r="615" spans="1:2">
      <c r="A615">
        <v>211190</v>
      </c>
      <c r="B615" t="s">
        <v>2497</v>
      </c>
    </row>
    <row r="616" spans="1:2">
      <c r="A616">
        <v>209430</v>
      </c>
      <c r="B616" t="s">
        <v>1445</v>
      </c>
    </row>
    <row r="617" spans="1:2">
      <c r="A617">
        <v>210440</v>
      </c>
      <c r="B617" t="s">
        <v>0</v>
      </c>
    </row>
    <row r="618" spans="1:2">
      <c r="A618">
        <v>210450</v>
      </c>
      <c r="B618" t="s">
        <v>12</v>
      </c>
    </row>
    <row r="619" spans="1:2">
      <c r="A619">
        <v>210470</v>
      </c>
      <c r="B619" t="s">
        <v>975</v>
      </c>
    </row>
    <row r="620" spans="1:2">
      <c r="A620">
        <v>210460</v>
      </c>
      <c r="B620" t="s">
        <v>16</v>
      </c>
    </row>
    <row r="621" spans="1:2">
      <c r="A621">
        <v>211200</v>
      </c>
      <c r="B621" t="s">
        <v>2497</v>
      </c>
    </row>
    <row r="622" spans="1:2">
      <c r="A622">
        <v>210480</v>
      </c>
      <c r="B622" t="s">
        <v>1445</v>
      </c>
    </row>
    <row r="623" spans="1:2">
      <c r="A623">
        <v>212020</v>
      </c>
      <c r="B623" t="s">
        <v>0</v>
      </c>
    </row>
    <row r="624" spans="1:2">
      <c r="A624">
        <v>212021</v>
      </c>
      <c r="B624" t="s">
        <v>12</v>
      </c>
    </row>
    <row r="625" spans="1:2">
      <c r="A625">
        <v>212022</v>
      </c>
      <c r="B625" t="s">
        <v>16</v>
      </c>
    </row>
    <row r="626" spans="1:2">
      <c r="A626">
        <v>212160</v>
      </c>
      <c r="B626" t="s">
        <v>2497</v>
      </c>
    </row>
    <row r="627" spans="1:2">
      <c r="A627">
        <v>212023</v>
      </c>
      <c r="B627" t="s">
        <v>1445</v>
      </c>
    </row>
    <row r="628" spans="1:2">
      <c r="A628">
        <v>208580</v>
      </c>
      <c r="B628" t="s">
        <v>0</v>
      </c>
    </row>
    <row r="629" spans="1:2">
      <c r="A629">
        <v>208590</v>
      </c>
      <c r="B629" t="s">
        <v>74</v>
      </c>
    </row>
    <row r="630" spans="1:2">
      <c r="A630">
        <v>208600</v>
      </c>
      <c r="B630" t="s">
        <v>2546</v>
      </c>
    </row>
    <row r="631" spans="1:2">
      <c r="A631">
        <v>208630</v>
      </c>
      <c r="B631" t="s">
        <v>49</v>
      </c>
    </row>
    <row r="632" spans="1:2">
      <c r="A632">
        <v>208640</v>
      </c>
      <c r="B632" t="s">
        <v>14</v>
      </c>
    </row>
    <row r="633" spans="1:2">
      <c r="A633">
        <v>208610</v>
      </c>
      <c r="B633" t="s">
        <v>81</v>
      </c>
    </row>
    <row r="634" spans="1:2">
      <c r="A634">
        <v>208620</v>
      </c>
      <c r="B634" t="s">
        <v>59</v>
      </c>
    </row>
    <row r="635" spans="1:2">
      <c r="A635">
        <v>211210</v>
      </c>
      <c r="B635" t="s">
        <v>2497</v>
      </c>
    </row>
    <row r="636" spans="1:2">
      <c r="A636">
        <v>208650</v>
      </c>
      <c r="B636" t="s">
        <v>1445</v>
      </c>
    </row>
    <row r="637" spans="1:2">
      <c r="A637">
        <v>209440</v>
      </c>
      <c r="B637" t="s">
        <v>0</v>
      </c>
    </row>
    <row r="638" spans="1:2">
      <c r="A638">
        <v>209470</v>
      </c>
      <c r="B638" t="s">
        <v>2546</v>
      </c>
    </row>
    <row r="639" spans="1:2">
      <c r="A639">
        <v>209480</v>
      </c>
      <c r="B639" t="s">
        <v>14</v>
      </c>
    </row>
    <row r="640" spans="1:2">
      <c r="A640">
        <v>209460</v>
      </c>
      <c r="B640" t="s">
        <v>12</v>
      </c>
    </row>
    <row r="641" spans="1:2">
      <c r="A641">
        <v>209500</v>
      </c>
      <c r="B641" t="s">
        <v>1288</v>
      </c>
    </row>
    <row r="642" spans="1:2">
      <c r="A642">
        <v>209490</v>
      </c>
      <c r="B642" t="s">
        <v>28</v>
      </c>
    </row>
    <row r="643" spans="1:2">
      <c r="A643">
        <v>209450</v>
      </c>
      <c r="B643" t="s">
        <v>975</v>
      </c>
    </row>
    <row r="644" spans="1:2">
      <c r="A644">
        <v>211220</v>
      </c>
      <c r="B644" t="s">
        <v>2497</v>
      </c>
    </row>
    <row r="645" spans="1:2">
      <c r="A645">
        <v>209530</v>
      </c>
      <c r="B645" t="s">
        <v>1445</v>
      </c>
    </row>
    <row r="646" spans="1:2">
      <c r="A646">
        <v>212030</v>
      </c>
      <c r="B646" t="s">
        <v>0</v>
      </c>
    </row>
    <row r="647" spans="1:2">
      <c r="A647">
        <v>212031</v>
      </c>
      <c r="B647" t="s">
        <v>12</v>
      </c>
    </row>
    <row r="648" spans="1:2">
      <c r="A648">
        <v>212032</v>
      </c>
      <c r="B648" t="s">
        <v>16</v>
      </c>
    </row>
    <row r="649" spans="1:2">
      <c r="A649">
        <v>212170</v>
      </c>
      <c r="B649" t="s">
        <v>2497</v>
      </c>
    </row>
    <row r="650" spans="1:2">
      <c r="A650">
        <v>212033</v>
      </c>
      <c r="B650" t="s">
        <v>1445</v>
      </c>
    </row>
    <row r="651" spans="1:2">
      <c r="A651">
        <v>403980</v>
      </c>
      <c r="B651" t="s">
        <v>0</v>
      </c>
    </row>
    <row r="652" spans="1:2">
      <c r="A652">
        <v>404000</v>
      </c>
      <c r="B652" t="s">
        <v>74</v>
      </c>
    </row>
    <row r="653" spans="1:2">
      <c r="A653">
        <v>207630</v>
      </c>
      <c r="B653" t="s">
        <v>2546</v>
      </c>
    </row>
    <row r="654" spans="1:2">
      <c r="A654">
        <v>404030</v>
      </c>
      <c r="B654" t="s">
        <v>2543</v>
      </c>
    </row>
    <row r="655" spans="1:2">
      <c r="A655">
        <v>207570</v>
      </c>
      <c r="B655" t="s">
        <v>1458</v>
      </c>
    </row>
    <row r="656" spans="1:2">
      <c r="A656">
        <v>207580</v>
      </c>
      <c r="B656" t="s">
        <v>1461</v>
      </c>
    </row>
    <row r="657" spans="1:2">
      <c r="A657">
        <v>404110</v>
      </c>
      <c r="B657" t="s">
        <v>49</v>
      </c>
    </row>
    <row r="658" spans="1:2">
      <c r="A658">
        <v>207660</v>
      </c>
      <c r="B658" t="s">
        <v>1233</v>
      </c>
    </row>
    <row r="659" spans="1:2">
      <c r="A659">
        <v>404140</v>
      </c>
      <c r="B659" t="s">
        <v>14</v>
      </c>
    </row>
    <row r="660" spans="1:2">
      <c r="A660">
        <v>404100</v>
      </c>
      <c r="B660" t="s">
        <v>12</v>
      </c>
    </row>
    <row r="661" spans="1:2">
      <c r="A661">
        <v>404130</v>
      </c>
      <c r="B661" t="s">
        <v>1337</v>
      </c>
    </row>
    <row r="662" spans="1:2">
      <c r="A662">
        <v>404120</v>
      </c>
      <c r="B662" t="s">
        <v>1178</v>
      </c>
    </row>
    <row r="663" spans="1:2">
      <c r="A663">
        <v>404020</v>
      </c>
      <c r="B663" t="s">
        <v>28</v>
      </c>
    </row>
    <row r="664" spans="1:2">
      <c r="A664">
        <v>207640</v>
      </c>
      <c r="B664" t="s">
        <v>59</v>
      </c>
    </row>
    <row r="665" spans="1:2">
      <c r="A665">
        <v>211230</v>
      </c>
      <c r="B665" t="s">
        <v>2497</v>
      </c>
    </row>
    <row r="666" spans="1:2">
      <c r="A666">
        <v>207730</v>
      </c>
      <c r="B666" t="s">
        <v>1445</v>
      </c>
    </row>
    <row r="667" spans="1:2">
      <c r="A667">
        <v>211650</v>
      </c>
      <c r="B667" t="s">
        <v>0</v>
      </c>
    </row>
    <row r="668" spans="1:2">
      <c r="A668">
        <v>211640</v>
      </c>
      <c r="B668" t="s">
        <v>12</v>
      </c>
    </row>
    <row r="669" spans="1:2">
      <c r="A669">
        <v>211680</v>
      </c>
      <c r="B669" t="s">
        <v>975</v>
      </c>
    </row>
    <row r="670" spans="1:2">
      <c r="A670">
        <v>211690</v>
      </c>
      <c r="B670" t="s">
        <v>16</v>
      </c>
    </row>
    <row r="671" spans="1:2">
      <c r="A671">
        <v>211660</v>
      </c>
      <c r="B671" t="s">
        <v>2497</v>
      </c>
    </row>
    <row r="672" spans="1:2">
      <c r="A672">
        <v>211670</v>
      </c>
      <c r="B672" t="s">
        <v>1445</v>
      </c>
    </row>
    <row r="673" spans="1:2">
      <c r="A673">
        <v>211620</v>
      </c>
      <c r="B673" t="s">
        <v>0</v>
      </c>
    </row>
    <row r="674" spans="1:2">
      <c r="A674">
        <v>211621</v>
      </c>
      <c r="B674" t="s">
        <v>12</v>
      </c>
    </row>
    <row r="675" spans="1:2">
      <c r="A675">
        <v>211622</v>
      </c>
      <c r="B675" t="s">
        <v>16</v>
      </c>
    </row>
    <row r="676" spans="1:2">
      <c r="A676">
        <v>211240</v>
      </c>
      <c r="B676" t="s">
        <v>2497</v>
      </c>
    </row>
    <row r="677" spans="1:2">
      <c r="A677">
        <v>211510</v>
      </c>
      <c r="B677" t="s">
        <v>1445</v>
      </c>
    </row>
    <row r="678" spans="1:2">
      <c r="A678">
        <v>211740</v>
      </c>
      <c r="B678" t="s">
        <v>0</v>
      </c>
    </row>
    <row r="679" spans="1:2">
      <c r="A679">
        <v>211720</v>
      </c>
      <c r="B679" t="s">
        <v>1249</v>
      </c>
    </row>
    <row r="680" spans="1:2">
      <c r="A680">
        <v>211750</v>
      </c>
      <c r="B680" t="s">
        <v>1250</v>
      </c>
    </row>
    <row r="681" spans="1:2">
      <c r="A681">
        <v>211810</v>
      </c>
      <c r="B681" t="s">
        <v>2552</v>
      </c>
    </row>
    <row r="682" spans="1:2">
      <c r="A682">
        <v>211820</v>
      </c>
      <c r="B682" t="s">
        <v>2576</v>
      </c>
    </row>
    <row r="683" spans="1:2">
      <c r="A683">
        <v>211800</v>
      </c>
      <c r="B683" t="s">
        <v>12</v>
      </c>
    </row>
    <row r="684" spans="1:2">
      <c r="A684">
        <v>211730</v>
      </c>
      <c r="B684" t="s">
        <v>50</v>
      </c>
    </row>
    <row r="685" spans="1:2">
      <c r="A685">
        <v>212120</v>
      </c>
      <c r="B685" t="s">
        <v>2497</v>
      </c>
    </row>
    <row r="686" spans="1:2">
      <c r="A686">
        <v>211731</v>
      </c>
      <c r="B686" t="s">
        <v>1445</v>
      </c>
    </row>
    <row r="687" spans="1:2">
      <c r="A687">
        <v>211760</v>
      </c>
      <c r="B687" t="s">
        <v>0</v>
      </c>
    </row>
    <row r="688" spans="1:2">
      <c r="A688">
        <v>211770</v>
      </c>
      <c r="B688" t="s">
        <v>12</v>
      </c>
    </row>
    <row r="689" spans="1:2">
      <c r="A689">
        <v>211780</v>
      </c>
      <c r="B689" t="s">
        <v>16</v>
      </c>
    </row>
    <row r="690" spans="1:2">
      <c r="A690">
        <v>212130</v>
      </c>
      <c r="B690" t="s">
        <v>2497</v>
      </c>
    </row>
    <row r="691" spans="1:2">
      <c r="A691">
        <v>211790</v>
      </c>
      <c r="B691" t="s">
        <v>1445</v>
      </c>
    </row>
    <row r="692" spans="1:2">
      <c r="A692">
        <v>211630</v>
      </c>
      <c r="B692" t="s">
        <v>0</v>
      </c>
    </row>
    <row r="693" spans="1:2">
      <c r="A693">
        <v>407490</v>
      </c>
      <c r="B693" t="s">
        <v>2577</v>
      </c>
    </row>
    <row r="694" spans="1:2">
      <c r="A694">
        <v>407500</v>
      </c>
      <c r="B694" t="s">
        <v>2578</v>
      </c>
    </row>
    <row r="695" spans="1:2">
      <c r="A695">
        <v>407510</v>
      </c>
      <c r="B695" t="s">
        <v>49</v>
      </c>
    </row>
    <row r="696" spans="1:2">
      <c r="A696">
        <v>407520</v>
      </c>
      <c r="B696" t="s">
        <v>2497</v>
      </c>
    </row>
    <row r="697" spans="1:2">
      <c r="A697">
        <v>211520</v>
      </c>
      <c r="B697" t="s">
        <v>1445</v>
      </c>
    </row>
    <row r="698" spans="1:2">
      <c r="A698">
        <v>402490</v>
      </c>
      <c r="B698" t="s">
        <v>0</v>
      </c>
    </row>
    <row r="699" spans="1:2">
      <c r="A699">
        <v>402500</v>
      </c>
      <c r="B699" t="s">
        <v>73</v>
      </c>
    </row>
    <row r="700" spans="1:2">
      <c r="A700">
        <v>208490</v>
      </c>
      <c r="B700" t="s">
        <v>2579</v>
      </c>
    </row>
    <row r="701" spans="1:2">
      <c r="A701">
        <v>208380</v>
      </c>
      <c r="B701" t="s">
        <v>324</v>
      </c>
    </row>
    <row r="702" spans="1:2">
      <c r="A702">
        <v>402510</v>
      </c>
      <c r="B702" t="s">
        <v>1148</v>
      </c>
    </row>
    <row r="703" spans="1:2">
      <c r="A703">
        <v>402520</v>
      </c>
      <c r="B703" t="s">
        <v>1150</v>
      </c>
    </row>
    <row r="704" spans="1:2">
      <c r="A704">
        <v>402530</v>
      </c>
      <c r="B704" t="s">
        <v>1152</v>
      </c>
    </row>
    <row r="705" spans="1:2">
      <c r="A705">
        <v>402670</v>
      </c>
      <c r="B705" t="s">
        <v>61</v>
      </c>
    </row>
    <row r="706" spans="1:2">
      <c r="A706">
        <v>208390</v>
      </c>
      <c r="B706" t="s">
        <v>230</v>
      </c>
    </row>
    <row r="707" spans="1:2">
      <c r="A707">
        <v>208470</v>
      </c>
      <c r="B707" t="s">
        <v>1232</v>
      </c>
    </row>
    <row r="708" spans="1:2">
      <c r="A708">
        <v>208480</v>
      </c>
      <c r="B708" t="s">
        <v>1312</v>
      </c>
    </row>
    <row r="709" spans="1:2">
      <c r="A709">
        <v>402540</v>
      </c>
      <c r="B709" t="s">
        <v>1153</v>
      </c>
    </row>
    <row r="710" spans="1:2">
      <c r="A710">
        <v>402570</v>
      </c>
      <c r="B710" t="s">
        <v>1157</v>
      </c>
    </row>
    <row r="711" spans="1:2">
      <c r="A711">
        <v>402580</v>
      </c>
      <c r="B711" t="s">
        <v>1159</v>
      </c>
    </row>
    <row r="712" spans="1:2">
      <c r="A712">
        <v>208420</v>
      </c>
      <c r="B712" t="s">
        <v>307</v>
      </c>
    </row>
    <row r="713" spans="1:2">
      <c r="A713">
        <v>208410</v>
      </c>
      <c r="B713" t="s">
        <v>308</v>
      </c>
    </row>
    <row r="714" spans="1:2">
      <c r="A714">
        <v>208400</v>
      </c>
      <c r="B714" t="s">
        <v>309</v>
      </c>
    </row>
    <row r="715" spans="1:2">
      <c r="A715">
        <v>402590</v>
      </c>
      <c r="B715" t="s">
        <v>1160</v>
      </c>
    </row>
    <row r="716" spans="1:2">
      <c r="A716">
        <v>402600</v>
      </c>
      <c r="B716" t="s">
        <v>1161</v>
      </c>
    </row>
    <row r="717" spans="1:2">
      <c r="A717">
        <v>402610</v>
      </c>
      <c r="B717" t="s">
        <v>1163</v>
      </c>
    </row>
    <row r="718" spans="1:2">
      <c r="A718">
        <v>402620</v>
      </c>
      <c r="B718" t="s">
        <v>1165</v>
      </c>
    </row>
    <row r="719" spans="1:2">
      <c r="A719">
        <v>402630</v>
      </c>
      <c r="B719" t="s">
        <v>1166</v>
      </c>
    </row>
    <row r="720" spans="1:2">
      <c r="A720">
        <v>402640</v>
      </c>
      <c r="B720" t="s">
        <v>1283</v>
      </c>
    </row>
    <row r="721" spans="1:2">
      <c r="A721">
        <v>402680</v>
      </c>
      <c r="B721" t="s">
        <v>62</v>
      </c>
    </row>
    <row r="722" spans="1:2">
      <c r="A722">
        <v>208550</v>
      </c>
      <c r="B722" t="s">
        <v>312</v>
      </c>
    </row>
    <row r="723" spans="1:2">
      <c r="A723">
        <v>208540</v>
      </c>
      <c r="B723" t="s">
        <v>1291</v>
      </c>
    </row>
    <row r="724" spans="1:2">
      <c r="A724">
        <v>208440</v>
      </c>
      <c r="B724" t="s">
        <v>1336</v>
      </c>
    </row>
    <row r="725" spans="1:2">
      <c r="A725">
        <v>402650</v>
      </c>
      <c r="B725" t="s">
        <v>1284</v>
      </c>
    </row>
    <row r="726" spans="1:2">
      <c r="A726">
        <v>402690</v>
      </c>
      <c r="B726" t="s">
        <v>1169</v>
      </c>
    </row>
    <row r="727" spans="1:2">
      <c r="A727">
        <v>402560</v>
      </c>
      <c r="B727" t="s">
        <v>1156</v>
      </c>
    </row>
    <row r="728" spans="1:2">
      <c r="A728">
        <v>402550</v>
      </c>
      <c r="B728" t="s">
        <v>1155</v>
      </c>
    </row>
    <row r="729" spans="1:2">
      <c r="A729">
        <v>403090</v>
      </c>
      <c r="B729" t="s">
        <v>2497</v>
      </c>
    </row>
    <row r="730" spans="1:2">
      <c r="A730">
        <v>208570</v>
      </c>
      <c r="B730" t="s">
        <v>1445</v>
      </c>
    </row>
    <row r="731" spans="1:2">
      <c r="A731">
        <v>410880</v>
      </c>
      <c r="B731" t="s">
        <v>0</v>
      </c>
    </row>
    <row r="732" spans="1:2">
      <c r="A732">
        <v>410890</v>
      </c>
      <c r="B732" t="s">
        <v>2580</v>
      </c>
    </row>
    <row r="733" spans="1:2">
      <c r="A733">
        <v>209360</v>
      </c>
      <c r="B733" t="s">
        <v>226</v>
      </c>
    </row>
    <row r="734" spans="1:2">
      <c r="A734">
        <v>209330</v>
      </c>
      <c r="B734" t="s">
        <v>2581</v>
      </c>
    </row>
    <row r="735" spans="1:2">
      <c r="A735">
        <v>411560</v>
      </c>
      <c r="B735" t="s">
        <v>2582</v>
      </c>
    </row>
    <row r="736" spans="1:2">
      <c r="A736">
        <v>411580</v>
      </c>
      <c r="B736" t="s">
        <v>2583</v>
      </c>
    </row>
    <row r="737" spans="1:2">
      <c r="A737">
        <v>410970</v>
      </c>
      <c r="B737" t="s">
        <v>2584</v>
      </c>
    </row>
    <row r="738" spans="1:2">
      <c r="A738">
        <v>209340</v>
      </c>
      <c r="B738" t="s">
        <v>11</v>
      </c>
    </row>
    <row r="739" spans="1:2">
      <c r="A739">
        <v>410930</v>
      </c>
      <c r="B739" t="s">
        <v>12</v>
      </c>
    </row>
    <row r="740" spans="1:2">
      <c r="A740">
        <v>410980</v>
      </c>
      <c r="B740" t="s">
        <v>1075</v>
      </c>
    </row>
    <row r="741" spans="1:2">
      <c r="A741">
        <v>410940</v>
      </c>
      <c r="B741" t="s">
        <v>28</v>
      </c>
    </row>
    <row r="742" spans="1:2">
      <c r="A742">
        <v>209300</v>
      </c>
      <c r="B742" t="s">
        <v>252</v>
      </c>
    </row>
    <row r="743" spans="1:2">
      <c r="A743">
        <v>410960</v>
      </c>
      <c r="B743" t="s">
        <v>1199</v>
      </c>
    </row>
    <row r="744" spans="1:2">
      <c r="A744">
        <v>410990</v>
      </c>
      <c r="B744" t="s">
        <v>2497</v>
      </c>
    </row>
    <row r="745" spans="1:2">
      <c r="A745">
        <v>209370</v>
      </c>
      <c r="B745" t="s">
        <v>1445</v>
      </c>
    </row>
    <row r="746" spans="1:2">
      <c r="A746">
        <v>401330</v>
      </c>
      <c r="B746" t="s">
        <v>0</v>
      </c>
    </row>
    <row r="747" spans="1:2">
      <c r="A747">
        <v>401350</v>
      </c>
      <c r="B747" t="s">
        <v>2585</v>
      </c>
    </row>
    <row r="748" spans="1:2">
      <c r="A748">
        <v>401380</v>
      </c>
      <c r="B748" t="s">
        <v>2586</v>
      </c>
    </row>
    <row r="749" spans="1:2">
      <c r="A749">
        <v>401340</v>
      </c>
      <c r="B749" t="s">
        <v>1361</v>
      </c>
    </row>
    <row r="750" spans="1:2">
      <c r="A750">
        <v>401360</v>
      </c>
      <c r="B750" t="s">
        <v>2543</v>
      </c>
    </row>
    <row r="751" spans="1:2">
      <c r="A751">
        <v>401500</v>
      </c>
      <c r="B751" t="s">
        <v>1</v>
      </c>
    </row>
    <row r="752" spans="1:2">
      <c r="A752">
        <v>401510</v>
      </c>
      <c r="B752" t="s">
        <v>2</v>
      </c>
    </row>
    <row r="753" spans="1:2">
      <c r="A753">
        <v>401420</v>
      </c>
      <c r="B753" t="s">
        <v>2587</v>
      </c>
    </row>
    <row r="754" spans="1:2">
      <c r="A754">
        <v>401410</v>
      </c>
      <c r="B754" t="s">
        <v>2588</v>
      </c>
    </row>
    <row r="755" spans="1:2">
      <c r="A755">
        <v>401440</v>
      </c>
      <c r="B755" t="s">
        <v>2589</v>
      </c>
    </row>
    <row r="756" spans="1:2">
      <c r="A756">
        <v>401430</v>
      </c>
      <c r="B756" t="s">
        <v>2590</v>
      </c>
    </row>
    <row r="757" spans="1:2">
      <c r="A757">
        <v>401520</v>
      </c>
      <c r="B757" t="s">
        <v>1114</v>
      </c>
    </row>
    <row r="758" spans="1:2">
      <c r="A758">
        <v>401530</v>
      </c>
      <c r="B758" t="s">
        <v>24</v>
      </c>
    </row>
    <row r="759" spans="1:2">
      <c r="A759">
        <v>401450</v>
      </c>
      <c r="B759" t="s">
        <v>11</v>
      </c>
    </row>
    <row r="760" spans="1:2">
      <c r="A760">
        <v>401460</v>
      </c>
      <c r="B760" t="s">
        <v>1281</v>
      </c>
    </row>
    <row r="761" spans="1:2">
      <c r="A761">
        <v>401480</v>
      </c>
      <c r="B761" t="s">
        <v>2591</v>
      </c>
    </row>
    <row r="762" spans="1:2">
      <c r="A762">
        <v>401490</v>
      </c>
      <c r="B762" t="s">
        <v>1338</v>
      </c>
    </row>
    <row r="763" spans="1:2">
      <c r="A763">
        <v>401470</v>
      </c>
      <c r="B763" t="s">
        <v>2592</v>
      </c>
    </row>
    <row r="764" spans="1:2">
      <c r="A764">
        <v>401400</v>
      </c>
      <c r="B764" t="s">
        <v>22</v>
      </c>
    </row>
    <row r="765" spans="1:2">
      <c r="A765">
        <v>401540</v>
      </c>
      <c r="B765" t="s">
        <v>1311</v>
      </c>
    </row>
    <row r="766" spans="1:2">
      <c r="A766">
        <v>401550</v>
      </c>
      <c r="B766" t="s">
        <v>3</v>
      </c>
    </row>
    <row r="767" spans="1:2">
      <c r="A767">
        <v>401390</v>
      </c>
      <c r="B767" t="s">
        <v>28</v>
      </c>
    </row>
    <row r="768" spans="1:2">
      <c r="A768">
        <v>401570</v>
      </c>
      <c r="B768" t="s">
        <v>2497</v>
      </c>
    </row>
    <row r="769" spans="1:2">
      <c r="A769">
        <v>401560</v>
      </c>
      <c r="B769" t="s">
        <v>1445</v>
      </c>
    </row>
    <row r="770" spans="1:2">
      <c r="A770">
        <v>209160</v>
      </c>
      <c r="B770" t="s">
        <v>0</v>
      </c>
    </row>
    <row r="771" spans="1:2">
      <c r="A771">
        <v>209250</v>
      </c>
      <c r="B771" t="s">
        <v>2593</v>
      </c>
    </row>
    <row r="772" spans="1:2">
      <c r="A772">
        <v>209190</v>
      </c>
      <c r="B772" t="s">
        <v>1</v>
      </c>
    </row>
    <row r="773" spans="1:2">
      <c r="A773">
        <v>209200</v>
      </c>
      <c r="B773" t="s">
        <v>2</v>
      </c>
    </row>
    <row r="774" spans="1:2">
      <c r="A774">
        <v>209210</v>
      </c>
      <c r="B774" t="s">
        <v>24</v>
      </c>
    </row>
    <row r="775" spans="1:2">
      <c r="A775">
        <v>209170</v>
      </c>
      <c r="B775" t="s">
        <v>1328</v>
      </c>
    </row>
    <row r="776" spans="1:2">
      <c r="A776">
        <v>209180</v>
      </c>
      <c r="B776" t="s">
        <v>22</v>
      </c>
    </row>
    <row r="777" spans="1:2">
      <c r="A777">
        <v>209230</v>
      </c>
      <c r="B777" t="s">
        <v>1311</v>
      </c>
    </row>
    <row r="778" spans="1:2">
      <c r="A778">
        <v>209240</v>
      </c>
      <c r="B778" t="s">
        <v>248</v>
      </c>
    </row>
    <row r="779" spans="1:2">
      <c r="A779">
        <v>209220</v>
      </c>
      <c r="B779" t="s">
        <v>3</v>
      </c>
    </row>
    <row r="780" spans="1:2">
      <c r="A780">
        <v>211250</v>
      </c>
      <c r="B780" t="s">
        <v>2497</v>
      </c>
    </row>
    <row r="781" spans="1:2">
      <c r="A781">
        <v>209260</v>
      </c>
      <c r="B781" t="s">
        <v>1445</v>
      </c>
    </row>
    <row r="782" spans="1:2">
      <c r="A782">
        <v>208310</v>
      </c>
      <c r="B782" t="s">
        <v>0</v>
      </c>
    </row>
    <row r="783" spans="1:2">
      <c r="A783">
        <v>208320</v>
      </c>
      <c r="B783" t="s">
        <v>213</v>
      </c>
    </row>
    <row r="784" spans="1:2">
      <c r="A784">
        <v>208330</v>
      </c>
      <c r="B784" t="s">
        <v>2593</v>
      </c>
    </row>
    <row r="785" spans="1:2">
      <c r="A785">
        <v>208350</v>
      </c>
      <c r="B785" t="s">
        <v>238</v>
      </c>
    </row>
    <row r="786" spans="1:2">
      <c r="A786">
        <v>208340</v>
      </c>
      <c r="B786" t="s">
        <v>1328</v>
      </c>
    </row>
    <row r="787" spans="1:2">
      <c r="A787">
        <v>211260</v>
      </c>
      <c r="B787" t="s">
        <v>2497</v>
      </c>
    </row>
    <row r="788" spans="1:2">
      <c r="A788">
        <v>208360</v>
      </c>
      <c r="B788" t="s">
        <v>1445</v>
      </c>
    </row>
    <row r="789" spans="1:2">
      <c r="A789">
        <v>210820</v>
      </c>
      <c r="B789" t="s">
        <v>0</v>
      </c>
    </row>
    <row r="790" spans="1:2">
      <c r="A790">
        <v>210821</v>
      </c>
      <c r="B790" t="s">
        <v>12</v>
      </c>
    </row>
    <row r="791" spans="1:2">
      <c r="A791">
        <v>210823</v>
      </c>
      <c r="B791" t="s">
        <v>975</v>
      </c>
    </row>
    <row r="792" spans="1:2">
      <c r="A792">
        <v>210822</v>
      </c>
      <c r="B792" t="s">
        <v>16</v>
      </c>
    </row>
    <row r="793" spans="1:2">
      <c r="A793">
        <v>211420</v>
      </c>
      <c r="B793" t="s">
        <v>2497</v>
      </c>
    </row>
    <row r="794" spans="1:2">
      <c r="A794">
        <v>210824</v>
      </c>
      <c r="B794" t="s">
        <v>1445</v>
      </c>
    </row>
    <row r="795" spans="1:2">
      <c r="A795">
        <v>210540</v>
      </c>
      <c r="B795" t="s">
        <v>0</v>
      </c>
    </row>
    <row r="796" spans="1:2">
      <c r="A796">
        <v>210550</v>
      </c>
      <c r="B796" t="s">
        <v>12</v>
      </c>
    </row>
    <row r="797" spans="1:2">
      <c r="A797">
        <v>210560</v>
      </c>
      <c r="B797" t="s">
        <v>975</v>
      </c>
    </row>
    <row r="798" spans="1:2">
      <c r="A798">
        <v>211270</v>
      </c>
      <c r="B798" t="s">
        <v>2497</v>
      </c>
    </row>
    <row r="799" spans="1:2">
      <c r="A799">
        <v>210570</v>
      </c>
      <c r="B799" t="s">
        <v>1445</v>
      </c>
    </row>
    <row r="800" spans="1:2">
      <c r="A800">
        <v>212040</v>
      </c>
      <c r="B800" t="s">
        <v>0</v>
      </c>
    </row>
    <row r="801" spans="1:2">
      <c r="A801">
        <v>212041</v>
      </c>
      <c r="B801" t="s">
        <v>12</v>
      </c>
    </row>
    <row r="802" spans="1:2">
      <c r="A802">
        <v>212042</v>
      </c>
      <c r="B802" t="s">
        <v>16</v>
      </c>
    </row>
    <row r="803" spans="1:2">
      <c r="A803">
        <v>212180</v>
      </c>
      <c r="B803" t="s">
        <v>2497</v>
      </c>
    </row>
    <row r="804" spans="1:2">
      <c r="A804">
        <v>212043</v>
      </c>
      <c r="B804" t="s">
        <v>1445</v>
      </c>
    </row>
    <row r="805" spans="1:2">
      <c r="A805">
        <v>207001</v>
      </c>
      <c r="B805" t="s">
        <v>0</v>
      </c>
    </row>
    <row r="806" spans="1:2">
      <c r="A806">
        <v>207350</v>
      </c>
      <c r="B806" t="s">
        <v>1249</v>
      </c>
    </row>
    <row r="807" spans="1:2">
      <c r="A807">
        <v>207360</v>
      </c>
      <c r="B807" t="s">
        <v>1250</v>
      </c>
    </row>
    <row r="808" spans="1:2">
      <c r="A808">
        <v>207030</v>
      </c>
      <c r="B808" t="s">
        <v>2554</v>
      </c>
    </row>
    <row r="809" spans="1:2">
      <c r="A809">
        <v>207320</v>
      </c>
      <c r="B809" t="s">
        <v>2594</v>
      </c>
    </row>
    <row r="810" spans="1:2">
      <c r="A810">
        <v>207040</v>
      </c>
      <c r="B810" t="s">
        <v>2595</v>
      </c>
    </row>
    <row r="811" spans="1:2">
      <c r="A811">
        <v>207380</v>
      </c>
      <c r="B811" t="s">
        <v>2596</v>
      </c>
    </row>
    <row r="812" spans="1:2">
      <c r="A812">
        <v>207060</v>
      </c>
      <c r="B812" t="s">
        <v>2597</v>
      </c>
    </row>
    <row r="813" spans="1:2">
      <c r="A813">
        <v>207080</v>
      </c>
      <c r="B813" t="s">
        <v>2598</v>
      </c>
    </row>
    <row r="814" spans="1:2">
      <c r="A814">
        <v>207070</v>
      </c>
      <c r="B814" t="s">
        <v>2599</v>
      </c>
    </row>
    <row r="815" spans="1:2">
      <c r="A815">
        <v>207340</v>
      </c>
      <c r="B815" t="s">
        <v>301</v>
      </c>
    </row>
    <row r="816" spans="1:2">
      <c r="A816">
        <v>207090</v>
      </c>
      <c r="B816" t="s">
        <v>14</v>
      </c>
    </row>
    <row r="817" spans="1:2">
      <c r="A817">
        <v>207010</v>
      </c>
      <c r="B817" t="s">
        <v>1295</v>
      </c>
    </row>
    <row r="818" spans="1:2">
      <c r="A818">
        <v>207370</v>
      </c>
      <c r="B818" t="s">
        <v>271</v>
      </c>
    </row>
    <row r="819" spans="1:2">
      <c r="A819">
        <v>207020</v>
      </c>
      <c r="B819" t="s">
        <v>975</v>
      </c>
    </row>
    <row r="820" spans="1:2">
      <c r="A820">
        <v>207341</v>
      </c>
      <c r="B820" t="s">
        <v>1230</v>
      </c>
    </row>
    <row r="821" spans="1:2">
      <c r="A821">
        <v>207050</v>
      </c>
      <c r="B821" t="s">
        <v>1294</v>
      </c>
    </row>
    <row r="822" spans="1:2">
      <c r="A822">
        <v>211280</v>
      </c>
      <c r="B822" t="s">
        <v>2497</v>
      </c>
    </row>
    <row r="823" spans="1:2">
      <c r="A823">
        <v>207100</v>
      </c>
      <c r="B823" t="s">
        <v>1445</v>
      </c>
    </row>
    <row r="824" spans="1:2">
      <c r="A824">
        <v>210580</v>
      </c>
      <c r="B824" t="s">
        <v>0</v>
      </c>
    </row>
    <row r="825" spans="1:2">
      <c r="A825">
        <v>210590</v>
      </c>
      <c r="B825" t="s">
        <v>12</v>
      </c>
    </row>
    <row r="826" spans="1:2">
      <c r="A826">
        <v>210600</v>
      </c>
      <c r="B826" t="s">
        <v>975</v>
      </c>
    </row>
    <row r="827" spans="1:2">
      <c r="A827">
        <v>211290</v>
      </c>
      <c r="B827" t="s">
        <v>2497</v>
      </c>
    </row>
    <row r="828" spans="1:2">
      <c r="A828">
        <v>210610</v>
      </c>
      <c r="B828" t="s">
        <v>1445</v>
      </c>
    </row>
    <row r="829" spans="1:2">
      <c r="A829">
        <v>210620</v>
      </c>
      <c r="B829" t="s">
        <v>0</v>
      </c>
    </row>
    <row r="830" spans="1:2">
      <c r="A830">
        <v>210630</v>
      </c>
      <c r="B830" t="s">
        <v>12</v>
      </c>
    </row>
    <row r="831" spans="1:2">
      <c r="A831">
        <v>210640</v>
      </c>
      <c r="B831" t="s">
        <v>975</v>
      </c>
    </row>
    <row r="832" spans="1:2">
      <c r="A832">
        <v>211310</v>
      </c>
      <c r="B832" t="s">
        <v>2497</v>
      </c>
    </row>
    <row r="833" spans="1:2">
      <c r="A833">
        <v>210650</v>
      </c>
      <c r="B833" t="s">
        <v>1445</v>
      </c>
    </row>
    <row r="834" spans="1:2">
      <c r="A834">
        <v>405960</v>
      </c>
      <c r="B834" t="s">
        <v>0</v>
      </c>
    </row>
    <row r="835" spans="1:2">
      <c r="A835">
        <v>405970</v>
      </c>
      <c r="B835" t="s">
        <v>1182</v>
      </c>
    </row>
    <row r="836" spans="1:2">
      <c r="A836">
        <v>405980</v>
      </c>
      <c r="B836" t="s">
        <v>1184</v>
      </c>
    </row>
    <row r="837" spans="1:2">
      <c r="A837">
        <v>405990</v>
      </c>
      <c r="B837" t="s">
        <v>1186</v>
      </c>
    </row>
    <row r="838" spans="1:2">
      <c r="A838">
        <v>406000</v>
      </c>
      <c r="B838" t="s">
        <v>1188</v>
      </c>
    </row>
    <row r="839" spans="1:2">
      <c r="A839">
        <v>406010</v>
      </c>
      <c r="B839" t="s">
        <v>1190</v>
      </c>
    </row>
    <row r="840" spans="1:2">
      <c r="A840">
        <v>406030</v>
      </c>
      <c r="B840" t="s">
        <v>2497</v>
      </c>
    </row>
    <row r="841" spans="1:2">
      <c r="A841">
        <v>406020</v>
      </c>
      <c r="B841" t="s">
        <v>1445</v>
      </c>
    </row>
    <row r="842" spans="1:2">
      <c r="A842">
        <v>402060</v>
      </c>
      <c r="B842" t="s">
        <v>0</v>
      </c>
    </row>
    <row r="843" spans="1:2">
      <c r="A843">
        <v>402080</v>
      </c>
      <c r="B843" t="s">
        <v>73</v>
      </c>
    </row>
    <row r="844" spans="1:2">
      <c r="A844">
        <v>402070</v>
      </c>
      <c r="B844" t="s">
        <v>2600</v>
      </c>
    </row>
    <row r="845" spans="1:2">
      <c r="A845">
        <v>402100</v>
      </c>
      <c r="B845" t="s">
        <v>2601</v>
      </c>
    </row>
    <row r="846" spans="1:2">
      <c r="A846">
        <v>402110</v>
      </c>
      <c r="B846" t="s">
        <v>2497</v>
      </c>
    </row>
    <row r="847" spans="1:2">
      <c r="A847">
        <v>211450</v>
      </c>
      <c r="B847" t="s">
        <v>1445</v>
      </c>
    </row>
    <row r="848" spans="1:2">
      <c r="A848">
        <v>210800</v>
      </c>
      <c r="B848" t="s">
        <v>0</v>
      </c>
    </row>
    <row r="849" spans="1:2">
      <c r="A849">
        <v>210801</v>
      </c>
      <c r="B849" t="s">
        <v>12</v>
      </c>
    </row>
    <row r="850" spans="1:2">
      <c r="A850">
        <v>210803</v>
      </c>
      <c r="B850" t="s">
        <v>975</v>
      </c>
    </row>
    <row r="851" spans="1:2">
      <c r="A851">
        <v>210802</v>
      </c>
      <c r="B851" t="s">
        <v>16</v>
      </c>
    </row>
    <row r="852" spans="1:2">
      <c r="A852">
        <v>211400</v>
      </c>
      <c r="B852" t="s">
        <v>2497</v>
      </c>
    </row>
    <row r="853" spans="1:2">
      <c r="A853">
        <v>210804</v>
      </c>
      <c r="B853" t="s">
        <v>1445</v>
      </c>
    </row>
    <row r="854" spans="1:2">
      <c r="A854">
        <v>324030</v>
      </c>
      <c r="B854" t="s">
        <v>0</v>
      </c>
    </row>
    <row r="855" spans="1:2">
      <c r="A855">
        <v>324050</v>
      </c>
      <c r="B855" t="s">
        <v>2602</v>
      </c>
    </row>
    <row r="856" spans="1:2">
      <c r="A856">
        <v>324060</v>
      </c>
      <c r="B856" t="s">
        <v>1397</v>
      </c>
    </row>
    <row r="857" spans="1:2">
      <c r="A857">
        <v>324070</v>
      </c>
      <c r="B857" t="s">
        <v>1399</v>
      </c>
    </row>
    <row r="858" spans="1:2">
      <c r="A858">
        <v>324080</v>
      </c>
      <c r="B858" t="s">
        <v>2497</v>
      </c>
    </row>
    <row r="859" spans="1:2">
      <c r="A859">
        <v>324090</v>
      </c>
      <c r="B859" t="s">
        <v>1445</v>
      </c>
    </row>
    <row r="860" spans="1:2">
      <c r="A860">
        <v>324100</v>
      </c>
      <c r="B860" t="s">
        <v>0</v>
      </c>
    </row>
    <row r="861" spans="1:2">
      <c r="A861">
        <v>324110</v>
      </c>
      <c r="B861" t="s">
        <v>2600</v>
      </c>
    </row>
    <row r="862" spans="1:2">
      <c r="A862">
        <v>324120</v>
      </c>
      <c r="B862" t="s">
        <v>2603</v>
      </c>
    </row>
    <row r="863" spans="1:2">
      <c r="A863">
        <v>324140</v>
      </c>
      <c r="B863" t="s">
        <v>2497</v>
      </c>
    </row>
    <row r="864" spans="1:2">
      <c r="A864">
        <v>324130</v>
      </c>
      <c r="B864" t="s">
        <v>1445</v>
      </c>
    </row>
    <row r="865" spans="1:2">
      <c r="A865">
        <v>212090</v>
      </c>
      <c r="B865" t="s">
        <v>1285</v>
      </c>
    </row>
    <row r="866" spans="1:2">
      <c r="A866">
        <v>212091</v>
      </c>
      <c r="B866" t="s">
        <v>12</v>
      </c>
    </row>
    <row r="867" spans="1:2">
      <c r="A867">
        <v>212093</v>
      </c>
      <c r="B867" t="s">
        <v>1445</v>
      </c>
    </row>
    <row r="868" spans="1:2">
      <c r="A868">
        <v>212092</v>
      </c>
      <c r="B868" t="s">
        <v>16</v>
      </c>
    </row>
    <row r="869" spans="1:2">
      <c r="A869">
        <v>212094</v>
      </c>
      <c r="B869" t="s">
        <v>2497</v>
      </c>
    </row>
    <row r="870" spans="1:2">
      <c r="A870">
        <v>323570</v>
      </c>
      <c r="B870" t="s">
        <v>0</v>
      </c>
    </row>
    <row r="871" spans="1:2">
      <c r="A871">
        <v>323610</v>
      </c>
      <c r="B871" t="s">
        <v>2558</v>
      </c>
    </row>
    <row r="872" spans="1:2">
      <c r="A872">
        <v>323680</v>
      </c>
      <c r="B872" t="s">
        <v>73</v>
      </c>
    </row>
    <row r="873" spans="1:2">
      <c r="A873">
        <v>323660</v>
      </c>
      <c r="B873" t="s">
        <v>2604</v>
      </c>
    </row>
    <row r="874" spans="1:2">
      <c r="A874">
        <v>323700</v>
      </c>
      <c r="B874" t="s">
        <v>2605</v>
      </c>
    </row>
    <row r="875" spans="1:2">
      <c r="A875">
        <v>323600</v>
      </c>
      <c r="B875" t="s">
        <v>2606</v>
      </c>
    </row>
    <row r="876" spans="1:2">
      <c r="A876">
        <v>323590</v>
      </c>
      <c r="B876" t="s">
        <v>2602</v>
      </c>
    </row>
    <row r="877" spans="1:2">
      <c r="A877">
        <v>323580</v>
      </c>
      <c r="B877" t="s">
        <v>2607</v>
      </c>
    </row>
    <row r="878" spans="1:2">
      <c r="A878">
        <v>337860</v>
      </c>
      <c r="B878" t="s">
        <v>2608</v>
      </c>
    </row>
    <row r="879" spans="1:2">
      <c r="A879">
        <v>323910</v>
      </c>
      <c r="B879" t="s">
        <v>6135</v>
      </c>
    </row>
    <row r="880" spans="1:2">
      <c r="A880">
        <v>323800</v>
      </c>
      <c r="B880" t="s">
        <v>1</v>
      </c>
    </row>
    <row r="881" spans="1:2">
      <c r="A881">
        <v>323810</v>
      </c>
      <c r="B881" t="s">
        <v>2</v>
      </c>
    </row>
    <row r="882" spans="1:2">
      <c r="A882">
        <v>323820</v>
      </c>
      <c r="B882" t="s">
        <v>24</v>
      </c>
    </row>
    <row r="883" spans="1:2">
      <c r="A883">
        <v>323770</v>
      </c>
      <c r="B883" t="s">
        <v>1546</v>
      </c>
    </row>
    <row r="884" spans="1:2">
      <c r="A884">
        <v>323710</v>
      </c>
      <c r="B884" t="s">
        <v>1279</v>
      </c>
    </row>
    <row r="885" spans="1:2">
      <c r="A885">
        <v>323830</v>
      </c>
      <c r="B885" t="s">
        <v>1082</v>
      </c>
    </row>
    <row r="886" spans="1:2">
      <c r="A886">
        <v>323670</v>
      </c>
      <c r="B886" t="s">
        <v>1379</v>
      </c>
    </row>
    <row r="887" spans="1:2">
      <c r="A887">
        <v>323690</v>
      </c>
      <c r="B887" t="s">
        <v>1381</v>
      </c>
    </row>
    <row r="888" spans="1:2">
      <c r="A888">
        <v>323730</v>
      </c>
      <c r="B888" t="s">
        <v>1384</v>
      </c>
    </row>
    <row r="889" spans="1:2">
      <c r="A889">
        <v>323640</v>
      </c>
      <c r="B889" t="s">
        <v>1376</v>
      </c>
    </row>
    <row r="890" spans="1:2">
      <c r="A890">
        <v>323880</v>
      </c>
      <c r="B890" t="s">
        <v>1086</v>
      </c>
    </row>
    <row r="891" spans="1:2">
      <c r="A891">
        <v>323870</v>
      </c>
      <c r="B891" t="s">
        <v>1393</v>
      </c>
    </row>
    <row r="892" spans="1:2">
      <c r="A892">
        <v>323740</v>
      </c>
      <c r="B892" t="s">
        <v>44</v>
      </c>
    </row>
    <row r="893" spans="1:2">
      <c r="A893">
        <v>323650</v>
      </c>
      <c r="B893" t="s">
        <v>2609</v>
      </c>
    </row>
    <row r="894" spans="1:2">
      <c r="A894">
        <v>323760</v>
      </c>
      <c r="B894" t="s">
        <v>80</v>
      </c>
    </row>
    <row r="895" spans="1:2">
      <c r="A895">
        <v>323900</v>
      </c>
      <c r="B895" t="s">
        <v>53</v>
      </c>
    </row>
    <row r="896" spans="1:2">
      <c r="A896">
        <v>323780</v>
      </c>
      <c r="B896" t="s">
        <v>1386</v>
      </c>
    </row>
    <row r="897" spans="1:2">
      <c r="A897">
        <v>323630</v>
      </c>
      <c r="B897" t="s">
        <v>1374</v>
      </c>
    </row>
    <row r="898" spans="1:2">
      <c r="A898">
        <v>323750</v>
      </c>
      <c r="B898" t="s">
        <v>45</v>
      </c>
    </row>
    <row r="899" spans="1:2">
      <c r="A899">
        <v>323890</v>
      </c>
      <c r="B899" t="s">
        <v>1394</v>
      </c>
    </row>
    <row r="900" spans="1:2">
      <c r="A900">
        <v>323840</v>
      </c>
      <c r="B900" t="s">
        <v>1390</v>
      </c>
    </row>
    <row r="901" spans="1:2">
      <c r="A901">
        <v>323850</v>
      </c>
      <c r="B901" t="s">
        <v>3</v>
      </c>
    </row>
    <row r="902" spans="1:2">
      <c r="A902">
        <v>323860</v>
      </c>
      <c r="B902" t="s">
        <v>1391</v>
      </c>
    </row>
    <row r="903" spans="1:2">
      <c r="A903">
        <v>337870</v>
      </c>
      <c r="B903" t="s">
        <v>1406</v>
      </c>
    </row>
    <row r="904" spans="1:2">
      <c r="A904">
        <v>323790</v>
      </c>
      <c r="B904" t="s">
        <v>1388</v>
      </c>
    </row>
    <row r="905" spans="1:2">
      <c r="A905">
        <v>323620</v>
      </c>
      <c r="B905" t="s">
        <v>1372</v>
      </c>
    </row>
    <row r="906" spans="1:2">
      <c r="A906">
        <v>323720</v>
      </c>
      <c r="B906" t="s">
        <v>1138</v>
      </c>
    </row>
    <row r="907" spans="1:2">
      <c r="A907">
        <v>323920</v>
      </c>
      <c r="B907" t="s">
        <v>1396</v>
      </c>
    </row>
    <row r="908" spans="1:2">
      <c r="A908">
        <v>323930</v>
      </c>
      <c r="B908" t="s">
        <v>2497</v>
      </c>
    </row>
    <row r="909" spans="1:2">
      <c r="A909">
        <v>323940</v>
      </c>
      <c r="B909" t="s">
        <v>1445</v>
      </c>
    </row>
    <row r="910" spans="1:2">
      <c r="A910">
        <v>324150</v>
      </c>
      <c r="B910" t="s">
        <v>0</v>
      </c>
    </row>
    <row r="911" spans="1:2">
      <c r="A911">
        <v>324200</v>
      </c>
      <c r="B911" t="s">
        <v>2558</v>
      </c>
    </row>
    <row r="912" spans="1:2">
      <c r="A912">
        <v>324160</v>
      </c>
      <c r="B912" t="s">
        <v>73</v>
      </c>
    </row>
    <row r="913" spans="1:2">
      <c r="A913">
        <v>324190</v>
      </c>
      <c r="B913" t="s">
        <v>2606</v>
      </c>
    </row>
    <row r="914" spans="1:2">
      <c r="A914">
        <v>324170</v>
      </c>
      <c r="B914" t="s">
        <v>2602</v>
      </c>
    </row>
    <row r="915" spans="1:2">
      <c r="A915">
        <v>324180</v>
      </c>
      <c r="B915" t="s">
        <v>2601</v>
      </c>
    </row>
    <row r="916" spans="1:2">
      <c r="A916">
        <v>324220</v>
      </c>
      <c r="B916" t="s">
        <v>2497</v>
      </c>
    </row>
    <row r="917" spans="1:2">
      <c r="A917">
        <v>324210</v>
      </c>
      <c r="B917" t="s">
        <v>1445</v>
      </c>
    </row>
    <row r="918" spans="1:2">
      <c r="A918">
        <v>324230</v>
      </c>
      <c r="B918" t="s">
        <v>0</v>
      </c>
    </row>
    <row r="919" spans="1:2">
      <c r="A919">
        <v>324280</v>
      </c>
      <c r="B919" t="s">
        <v>2558</v>
      </c>
    </row>
    <row r="920" spans="1:2">
      <c r="A920">
        <v>324270</v>
      </c>
      <c r="B920" t="s">
        <v>2606</v>
      </c>
    </row>
    <row r="921" spans="1:2">
      <c r="A921">
        <v>324250</v>
      </c>
      <c r="B921" t="s">
        <v>2602</v>
      </c>
    </row>
    <row r="922" spans="1:2">
      <c r="A922">
        <v>324260</v>
      </c>
      <c r="B922" t="s">
        <v>2601</v>
      </c>
    </row>
    <row r="923" spans="1:2">
      <c r="A923">
        <v>324300</v>
      </c>
      <c r="B923" t="s">
        <v>2497</v>
      </c>
    </row>
    <row r="924" spans="1:2">
      <c r="A924">
        <v>324290</v>
      </c>
      <c r="B924" t="s">
        <v>1445</v>
      </c>
    </row>
    <row r="925" spans="1:2">
      <c r="A925">
        <v>212100</v>
      </c>
      <c r="B925" t="s">
        <v>1285</v>
      </c>
    </row>
    <row r="926" spans="1:2">
      <c r="A926">
        <v>212101</v>
      </c>
      <c r="B926" t="s">
        <v>12</v>
      </c>
    </row>
    <row r="927" spans="1:2">
      <c r="A927">
        <v>212103</v>
      </c>
      <c r="B927" t="s">
        <v>1445</v>
      </c>
    </row>
    <row r="928" spans="1:2">
      <c r="A928">
        <v>212102</v>
      </c>
      <c r="B928" t="s">
        <v>16</v>
      </c>
    </row>
    <row r="929" spans="1:2">
      <c r="A929">
        <v>212104</v>
      </c>
      <c r="B929" t="s">
        <v>2497</v>
      </c>
    </row>
    <row r="930" spans="1:2">
      <c r="A930">
        <v>210810</v>
      </c>
      <c r="B930" t="s">
        <v>0</v>
      </c>
    </row>
    <row r="931" spans="1:2">
      <c r="A931">
        <v>210811</v>
      </c>
      <c r="B931" t="s">
        <v>12</v>
      </c>
    </row>
    <row r="932" spans="1:2">
      <c r="A932">
        <v>210813</v>
      </c>
      <c r="B932" t="s">
        <v>975</v>
      </c>
    </row>
    <row r="933" spans="1:2">
      <c r="A933">
        <v>210812</v>
      </c>
      <c r="B933" t="s">
        <v>16</v>
      </c>
    </row>
    <row r="934" spans="1:2">
      <c r="A934">
        <v>211410</v>
      </c>
      <c r="B934" t="s">
        <v>2497</v>
      </c>
    </row>
    <row r="935" spans="1:2">
      <c r="A935">
        <v>210814</v>
      </c>
      <c r="B935" t="s">
        <v>1445</v>
      </c>
    </row>
    <row r="936" spans="1:2">
      <c r="A936">
        <v>324310</v>
      </c>
      <c r="B936" t="s">
        <v>0</v>
      </c>
    </row>
    <row r="937" spans="1:2">
      <c r="A937">
        <v>324350</v>
      </c>
      <c r="B937" t="s">
        <v>2606</v>
      </c>
    </row>
    <row r="938" spans="1:2">
      <c r="A938">
        <v>324370</v>
      </c>
      <c r="B938" t="s">
        <v>1404</v>
      </c>
    </row>
    <row r="939" spans="1:2">
      <c r="A939">
        <v>324360</v>
      </c>
      <c r="B939" t="s">
        <v>1403</v>
      </c>
    </row>
    <row r="940" spans="1:2">
      <c r="A940">
        <v>324340</v>
      </c>
      <c r="B940" t="s">
        <v>1376</v>
      </c>
    </row>
    <row r="941" spans="1:2">
      <c r="A941">
        <v>324320</v>
      </c>
      <c r="B941" t="s">
        <v>1402</v>
      </c>
    </row>
    <row r="942" spans="1:2">
      <c r="A942">
        <v>324330</v>
      </c>
      <c r="B942" t="s">
        <v>22</v>
      </c>
    </row>
    <row r="943" spans="1:2">
      <c r="A943">
        <v>324380</v>
      </c>
      <c r="B943" t="s">
        <v>2497</v>
      </c>
    </row>
    <row r="944" spans="1:2">
      <c r="A944">
        <v>324390</v>
      </c>
      <c r="B944" t="s">
        <v>1445</v>
      </c>
    </row>
    <row r="945" spans="1:2">
      <c r="A945">
        <v>411300</v>
      </c>
      <c r="B945" t="s">
        <v>1539</v>
      </c>
    </row>
    <row r="946" spans="1:2">
      <c r="A946">
        <v>411370</v>
      </c>
      <c r="B946" t="s">
        <v>1120</v>
      </c>
    </row>
    <row r="947" spans="1:2">
      <c r="A947">
        <v>411430</v>
      </c>
      <c r="B947" t="s">
        <v>1122</v>
      </c>
    </row>
    <row r="948" spans="1:2">
      <c r="A948">
        <v>411350</v>
      </c>
      <c r="B948" t="s">
        <v>1446</v>
      </c>
    </row>
    <row r="949" spans="1:2">
      <c r="A949">
        <v>212220</v>
      </c>
      <c r="B949" t="s">
        <v>2497</v>
      </c>
    </row>
    <row r="950" spans="1:2">
      <c r="A950">
        <v>411310</v>
      </c>
      <c r="B950" t="s">
        <v>2610</v>
      </c>
    </row>
    <row r="951" spans="1:2">
      <c r="A951">
        <v>411390</v>
      </c>
      <c r="B951" t="s">
        <v>6135</v>
      </c>
    </row>
    <row r="952" spans="1:2">
      <c r="A952">
        <v>411320</v>
      </c>
      <c r="B952" t="s">
        <v>1540</v>
      </c>
    </row>
    <row r="953" spans="1:2">
      <c r="A953">
        <v>411330</v>
      </c>
      <c r="B953" t="s">
        <v>1541</v>
      </c>
    </row>
    <row r="954" spans="1:2">
      <c r="A954">
        <v>411400</v>
      </c>
      <c r="B954" t="s">
        <v>1537</v>
      </c>
    </row>
    <row r="955" spans="1:2">
      <c r="A955">
        <v>411410</v>
      </c>
      <c r="B955" t="s">
        <v>1538</v>
      </c>
    </row>
    <row r="956" spans="1:2">
      <c r="A956">
        <v>401740</v>
      </c>
      <c r="B956" t="s">
        <v>1118</v>
      </c>
    </row>
    <row r="957" spans="1:2">
      <c r="A957">
        <v>411450</v>
      </c>
      <c r="B957" t="s">
        <v>1119</v>
      </c>
    </row>
    <row r="958" spans="1:2">
      <c r="A958">
        <v>401690</v>
      </c>
      <c r="B958" t="s">
        <v>0</v>
      </c>
    </row>
    <row r="959" spans="1:2">
      <c r="A959">
        <v>401700</v>
      </c>
      <c r="B959" t="s">
        <v>2611</v>
      </c>
    </row>
    <row r="960" spans="1:2">
      <c r="A960">
        <v>401710</v>
      </c>
      <c r="B960" t="s">
        <v>2612</v>
      </c>
    </row>
    <row r="961" spans="1:2">
      <c r="A961">
        <v>401720</v>
      </c>
      <c r="B961" t="s">
        <v>1252</v>
      </c>
    </row>
    <row r="962" spans="1:2">
      <c r="A962">
        <v>401750</v>
      </c>
      <c r="B962" t="s">
        <v>1542</v>
      </c>
    </row>
    <row r="963" spans="1:2">
      <c r="A963">
        <v>401730</v>
      </c>
      <c r="B963" t="s">
        <v>1541</v>
      </c>
    </row>
    <row r="964" spans="1:2">
      <c r="A964">
        <v>401830</v>
      </c>
      <c r="B964" t="s">
        <v>1126</v>
      </c>
    </row>
    <row r="965" spans="1:2">
      <c r="A965">
        <v>401810</v>
      </c>
      <c r="B965" t="s">
        <v>1124</v>
      </c>
    </row>
    <row r="966" spans="1:2">
      <c r="A966">
        <v>401820</v>
      </c>
      <c r="B966" t="s">
        <v>1125</v>
      </c>
    </row>
    <row r="967" spans="1:2">
      <c r="A967">
        <v>401800</v>
      </c>
      <c r="B967" t="s">
        <v>1123</v>
      </c>
    </row>
    <row r="968" spans="1:2">
      <c r="A968">
        <v>401770</v>
      </c>
      <c r="B968" t="s">
        <v>0</v>
      </c>
    </row>
    <row r="969" spans="1:2">
      <c r="A969">
        <v>401840</v>
      </c>
      <c r="B969" t="s">
        <v>1445</v>
      </c>
    </row>
    <row r="970" spans="1:2">
      <c r="A970">
        <v>401850</v>
      </c>
      <c r="B970" t="s">
        <v>2497</v>
      </c>
    </row>
    <row r="971" spans="1:2">
      <c r="A971">
        <v>401780</v>
      </c>
      <c r="B971" t="s">
        <v>2613</v>
      </c>
    </row>
    <row r="972" spans="1:2">
      <c r="A972">
        <v>401790</v>
      </c>
      <c r="B972" t="s">
        <v>2614</v>
      </c>
    </row>
    <row r="973" spans="1:2">
      <c r="A973">
        <v>401930</v>
      </c>
      <c r="B973" t="s">
        <v>0</v>
      </c>
    </row>
    <row r="974" spans="1:2">
      <c r="A974">
        <v>401940</v>
      </c>
      <c r="B974" t="s">
        <v>1129</v>
      </c>
    </row>
    <row r="975" spans="1:2">
      <c r="A975">
        <v>411460</v>
      </c>
      <c r="B975" t="s">
        <v>14</v>
      </c>
    </row>
    <row r="976" spans="1:2">
      <c r="A976">
        <v>401970</v>
      </c>
      <c r="B976" t="s">
        <v>1131</v>
      </c>
    </row>
    <row r="977" spans="1:2">
      <c r="A977">
        <v>206510</v>
      </c>
      <c r="B977" t="s">
        <v>239</v>
      </c>
    </row>
    <row r="978" spans="1:2">
      <c r="A978">
        <v>401990</v>
      </c>
      <c r="B978" t="s">
        <v>1302</v>
      </c>
    </row>
    <row r="979" spans="1:2">
      <c r="A979">
        <v>206560</v>
      </c>
      <c r="B979" t="s">
        <v>315</v>
      </c>
    </row>
    <row r="980" spans="1:2">
      <c r="A980">
        <v>206480</v>
      </c>
      <c r="B980" t="s">
        <v>1301</v>
      </c>
    </row>
    <row r="981" spans="1:2">
      <c r="A981">
        <v>401950</v>
      </c>
      <c r="B981" t="s">
        <v>22</v>
      </c>
    </row>
    <row r="982" spans="1:2">
      <c r="A982">
        <v>206460</v>
      </c>
      <c r="B982" t="s">
        <v>319</v>
      </c>
    </row>
    <row r="983" spans="1:2">
      <c r="A983">
        <v>411461</v>
      </c>
      <c r="B983" t="s">
        <v>1303</v>
      </c>
    </row>
    <row r="984" spans="1:2">
      <c r="A984">
        <v>206550</v>
      </c>
      <c r="B984" t="s">
        <v>2615</v>
      </c>
    </row>
    <row r="985" spans="1:2">
      <c r="A985">
        <v>402010</v>
      </c>
      <c r="B985" t="s">
        <v>2497</v>
      </c>
    </row>
    <row r="986" spans="1:2">
      <c r="A986">
        <v>402000</v>
      </c>
      <c r="B986" t="s">
        <v>1445</v>
      </c>
    </row>
    <row r="987" spans="1:2">
      <c r="A987">
        <v>206590</v>
      </c>
      <c r="B987" t="s">
        <v>0</v>
      </c>
    </row>
    <row r="988" spans="1:2">
      <c r="A988">
        <v>206610</v>
      </c>
      <c r="B988" t="s">
        <v>2616</v>
      </c>
    </row>
    <row r="989" spans="1:2">
      <c r="A989">
        <v>206600</v>
      </c>
      <c r="B989" t="s">
        <v>2617</v>
      </c>
    </row>
    <row r="990" spans="1:2">
      <c r="A990">
        <v>206630</v>
      </c>
      <c r="B990" t="s">
        <v>345</v>
      </c>
    </row>
    <row r="991" spans="1:2">
      <c r="A991">
        <v>206620</v>
      </c>
      <c r="B991" t="s">
        <v>975</v>
      </c>
    </row>
    <row r="992" spans="1:2">
      <c r="A992">
        <v>211330</v>
      </c>
      <c r="B992" t="s">
        <v>2497</v>
      </c>
    </row>
    <row r="993" spans="1:2">
      <c r="A993">
        <v>206670</v>
      </c>
      <c r="B993" t="s">
        <v>1445</v>
      </c>
    </row>
    <row r="994" spans="1:2">
      <c r="A994">
        <v>403200</v>
      </c>
      <c r="B994" t="s">
        <v>0</v>
      </c>
    </row>
    <row r="995" spans="1:2">
      <c r="A995">
        <v>403210</v>
      </c>
      <c r="B995" t="s">
        <v>2610</v>
      </c>
    </row>
    <row r="996" spans="1:2">
      <c r="A996">
        <v>403220</v>
      </c>
      <c r="B996" t="s">
        <v>2618</v>
      </c>
    </row>
    <row r="997" spans="1:2">
      <c r="A997">
        <v>403230</v>
      </c>
      <c r="B997" t="s">
        <v>1347</v>
      </c>
    </row>
    <row r="998" spans="1:2">
      <c r="A998">
        <v>403280</v>
      </c>
      <c r="B998" t="s">
        <v>335</v>
      </c>
    </row>
    <row r="999" spans="1:2">
      <c r="A999">
        <v>403270</v>
      </c>
      <c r="B999" t="s">
        <v>334</v>
      </c>
    </row>
    <row r="1000" spans="1:2">
      <c r="A1000">
        <v>403290</v>
      </c>
      <c r="B1000" t="s">
        <v>67</v>
      </c>
    </row>
    <row r="1001" spans="1:2">
      <c r="A1001">
        <v>212080</v>
      </c>
      <c r="B1001" t="s">
        <v>884</v>
      </c>
    </row>
    <row r="1002" spans="1:2">
      <c r="A1002">
        <v>403250</v>
      </c>
      <c r="B1002" t="s">
        <v>12</v>
      </c>
    </row>
    <row r="1003" spans="1:2">
      <c r="A1003">
        <v>403310</v>
      </c>
      <c r="B1003" t="s">
        <v>1302</v>
      </c>
    </row>
    <row r="1004" spans="1:2">
      <c r="A1004">
        <v>403300</v>
      </c>
      <c r="B1004" t="s">
        <v>105</v>
      </c>
    </row>
    <row r="1005" spans="1:2">
      <c r="A1005">
        <v>403260</v>
      </c>
      <c r="B1005" t="s">
        <v>106</v>
      </c>
    </row>
    <row r="1006" spans="1:2">
      <c r="A1006">
        <v>212081</v>
      </c>
      <c r="B1006" t="s">
        <v>469</v>
      </c>
    </row>
    <row r="1007" spans="1:2">
      <c r="A1007">
        <v>403240</v>
      </c>
      <c r="B1007" t="s">
        <v>22</v>
      </c>
    </row>
    <row r="1008" spans="1:2">
      <c r="A1008">
        <v>403320</v>
      </c>
      <c r="B1008" t="s">
        <v>337</v>
      </c>
    </row>
    <row r="1009" spans="1:2">
      <c r="A1009">
        <v>212210</v>
      </c>
      <c r="B1009" t="s">
        <v>2497</v>
      </c>
    </row>
    <row r="1010" spans="1:2">
      <c r="A1010">
        <v>403330</v>
      </c>
      <c r="B1010" t="s">
        <v>1445</v>
      </c>
    </row>
    <row r="1011" spans="1:2">
      <c r="A1011">
        <v>403350</v>
      </c>
      <c r="B1011" t="s">
        <v>0</v>
      </c>
    </row>
    <row r="1012" spans="1:2">
      <c r="A1012">
        <v>403370</v>
      </c>
      <c r="B1012" t="s">
        <v>2499</v>
      </c>
    </row>
    <row r="1013" spans="1:2">
      <c r="A1013">
        <v>403470</v>
      </c>
      <c r="B1013" t="s">
        <v>468</v>
      </c>
    </row>
    <row r="1014" spans="1:2">
      <c r="A1014">
        <v>411480</v>
      </c>
      <c r="B1014" t="s">
        <v>883</v>
      </c>
    </row>
    <row r="1015" spans="1:2">
      <c r="A1015">
        <v>212082</v>
      </c>
      <c r="B1015" t="s">
        <v>12</v>
      </c>
    </row>
    <row r="1016" spans="1:2">
      <c r="A1016">
        <v>403440</v>
      </c>
      <c r="B1016" t="s">
        <v>1302</v>
      </c>
    </row>
    <row r="1017" spans="1:2">
      <c r="A1017">
        <v>403450</v>
      </c>
      <c r="B1017" t="s">
        <v>1346</v>
      </c>
    </row>
    <row r="1018" spans="1:2">
      <c r="A1018">
        <v>403390</v>
      </c>
      <c r="B1018" t="s">
        <v>22</v>
      </c>
    </row>
    <row r="1019" spans="1:2">
      <c r="A1019">
        <v>403400</v>
      </c>
      <c r="B1019" t="s">
        <v>887</v>
      </c>
    </row>
    <row r="1020" spans="1:2">
      <c r="A1020">
        <v>403360</v>
      </c>
      <c r="B1020" t="s">
        <v>1170</v>
      </c>
    </row>
    <row r="1021" spans="1:2">
      <c r="A1021">
        <v>212083</v>
      </c>
      <c r="B1021" t="s">
        <v>463</v>
      </c>
    </row>
    <row r="1022" spans="1:2">
      <c r="A1022">
        <v>205140</v>
      </c>
      <c r="B1022" t="s">
        <v>333</v>
      </c>
    </row>
    <row r="1023" spans="1:2">
      <c r="A1023">
        <v>403420</v>
      </c>
      <c r="B1023" t="s">
        <v>2615</v>
      </c>
    </row>
    <row r="1024" spans="1:2">
      <c r="A1024">
        <v>403430</v>
      </c>
      <c r="B1024" t="s">
        <v>875</v>
      </c>
    </row>
    <row r="1025" spans="1:2">
      <c r="A1025">
        <v>403460</v>
      </c>
      <c r="B1025" t="s">
        <v>338</v>
      </c>
    </row>
    <row r="1026" spans="1:2">
      <c r="A1026">
        <v>403490</v>
      </c>
      <c r="B1026" t="s">
        <v>2497</v>
      </c>
    </row>
    <row r="1027" spans="1:2">
      <c r="A1027">
        <v>403480</v>
      </c>
      <c r="B1027" t="s">
        <v>1445</v>
      </c>
    </row>
    <row r="1028" spans="1:2">
      <c r="A1028">
        <v>210660</v>
      </c>
      <c r="B1028" t="s">
        <v>0</v>
      </c>
    </row>
    <row r="1029" spans="1:2">
      <c r="A1029">
        <v>210662</v>
      </c>
      <c r="B1029" t="s">
        <v>2619</v>
      </c>
    </row>
    <row r="1030" spans="1:2">
      <c r="A1030">
        <v>210661</v>
      </c>
      <c r="B1030" t="s">
        <v>2610</v>
      </c>
    </row>
    <row r="1031" spans="1:2">
      <c r="A1031">
        <v>210664</v>
      </c>
      <c r="B1031" t="s">
        <v>12</v>
      </c>
    </row>
    <row r="1032" spans="1:2">
      <c r="A1032">
        <v>210663</v>
      </c>
      <c r="B1032" t="s">
        <v>1436</v>
      </c>
    </row>
    <row r="1033" spans="1:2">
      <c r="A1033">
        <v>210672</v>
      </c>
      <c r="B1033" t="s">
        <v>879</v>
      </c>
    </row>
    <row r="1034" spans="1:2">
      <c r="A1034">
        <v>210970</v>
      </c>
      <c r="B1034" t="s">
        <v>2497</v>
      </c>
    </row>
    <row r="1035" spans="1:2">
      <c r="A1035">
        <v>210690</v>
      </c>
      <c r="B1035" t="s">
        <v>1445</v>
      </c>
    </row>
    <row r="1036" spans="1:2">
      <c r="A1036">
        <v>408320</v>
      </c>
      <c r="B1036" t="s">
        <v>0</v>
      </c>
    </row>
    <row r="1037" spans="1:2">
      <c r="A1037">
        <v>408330</v>
      </c>
      <c r="B1037" t="s">
        <v>12</v>
      </c>
    </row>
    <row r="1038" spans="1:2">
      <c r="A1038">
        <v>408340</v>
      </c>
      <c r="B1038" t="s">
        <v>22</v>
      </c>
    </row>
    <row r="1039" spans="1:2">
      <c r="A1039">
        <v>408360</v>
      </c>
      <c r="B1039" t="s">
        <v>2497</v>
      </c>
    </row>
    <row r="1040" spans="1:2">
      <c r="A1040">
        <v>408350</v>
      </c>
      <c r="B1040" t="s">
        <v>1445</v>
      </c>
    </row>
    <row r="1041" spans="1:2">
      <c r="A1041">
        <v>408370</v>
      </c>
      <c r="B1041" t="s">
        <v>0</v>
      </c>
    </row>
    <row r="1042" spans="1:2">
      <c r="A1042">
        <v>408380</v>
      </c>
      <c r="B1042" t="s">
        <v>2499</v>
      </c>
    </row>
    <row r="1043" spans="1:2">
      <c r="A1043">
        <v>408390</v>
      </c>
      <c r="B1043" t="s">
        <v>2620</v>
      </c>
    </row>
    <row r="1044" spans="1:2">
      <c r="A1044">
        <v>408410</v>
      </c>
      <c r="B1044" t="s">
        <v>2497</v>
      </c>
    </row>
    <row r="1045" spans="1:2">
      <c r="A1045">
        <v>408400</v>
      </c>
      <c r="B1045" t="s">
        <v>1445</v>
      </c>
    </row>
    <row r="1046" spans="1:2">
      <c r="A1046">
        <v>408420</v>
      </c>
      <c r="B1046" t="s">
        <v>0</v>
      </c>
    </row>
    <row r="1047" spans="1:2">
      <c r="A1047">
        <v>408430</v>
      </c>
      <c r="B1047" t="s">
        <v>73</v>
      </c>
    </row>
    <row r="1048" spans="1:2">
      <c r="A1048">
        <v>408440</v>
      </c>
      <c r="B1048" t="s">
        <v>2620</v>
      </c>
    </row>
    <row r="1049" spans="1:2">
      <c r="A1049">
        <v>408460</v>
      </c>
      <c r="B1049" t="s">
        <v>2497</v>
      </c>
    </row>
    <row r="1050" spans="1:2">
      <c r="A1050">
        <v>408450</v>
      </c>
      <c r="B1050" t="s">
        <v>1445</v>
      </c>
    </row>
    <row r="1051" spans="1:2">
      <c r="A1051">
        <v>411590</v>
      </c>
      <c r="B1051" t="s">
        <v>1285</v>
      </c>
    </row>
    <row r="1052" spans="1:2">
      <c r="A1052">
        <v>411600</v>
      </c>
      <c r="B1052" t="s">
        <v>1326</v>
      </c>
    </row>
    <row r="1053" spans="1:2">
      <c r="A1053">
        <v>402321</v>
      </c>
      <c r="B1053" t="s">
        <v>1468</v>
      </c>
    </row>
    <row r="1054" spans="1:2">
      <c r="A1054">
        <v>203020</v>
      </c>
      <c r="B1054" t="s">
        <v>0</v>
      </c>
    </row>
    <row r="1055" spans="1:2">
      <c r="A1055">
        <v>203040</v>
      </c>
      <c r="B1055" t="s">
        <v>212</v>
      </c>
    </row>
    <row r="1056" spans="1:2">
      <c r="A1056">
        <v>203030</v>
      </c>
      <c r="B1056" t="s">
        <v>74</v>
      </c>
    </row>
    <row r="1057" spans="1:2">
      <c r="A1057">
        <v>203060</v>
      </c>
      <c r="B1057" t="s">
        <v>260</v>
      </c>
    </row>
    <row r="1058" spans="1:2">
      <c r="A1058">
        <v>203070</v>
      </c>
      <c r="B1058" t="s">
        <v>298</v>
      </c>
    </row>
    <row r="1059" spans="1:2">
      <c r="A1059">
        <v>203100</v>
      </c>
      <c r="B1059" t="s">
        <v>299</v>
      </c>
    </row>
    <row r="1060" spans="1:2">
      <c r="A1060">
        <v>203080</v>
      </c>
      <c r="B1060" t="s">
        <v>231</v>
      </c>
    </row>
    <row r="1061" spans="1:2">
      <c r="A1061">
        <v>203050</v>
      </c>
      <c r="B1061" t="s">
        <v>81</v>
      </c>
    </row>
    <row r="1062" spans="1:2">
      <c r="A1062">
        <v>203090</v>
      </c>
      <c r="B1062" t="s">
        <v>59</v>
      </c>
    </row>
    <row r="1063" spans="1:2">
      <c r="A1063">
        <v>201070</v>
      </c>
      <c r="B1063" t="s">
        <v>288</v>
      </c>
    </row>
    <row r="1064" spans="1:2">
      <c r="A1064">
        <v>201180</v>
      </c>
      <c r="B1064" t="s">
        <v>295</v>
      </c>
    </row>
    <row r="1065" spans="1:2">
      <c r="A1065">
        <v>201190</v>
      </c>
      <c r="B1065" t="s">
        <v>5</v>
      </c>
    </row>
    <row r="1066" spans="1:2">
      <c r="A1066">
        <v>201170</v>
      </c>
      <c r="B1066" t="s">
        <v>292</v>
      </c>
    </row>
    <row r="1067" spans="1:2">
      <c r="A1067">
        <v>201000</v>
      </c>
      <c r="B1067" t="s">
        <v>0</v>
      </c>
    </row>
    <row r="1068" spans="1:2">
      <c r="A1068">
        <v>201230</v>
      </c>
      <c r="B1068" t="s">
        <v>213</v>
      </c>
    </row>
    <row r="1069" spans="1:2">
      <c r="A1069">
        <v>201050</v>
      </c>
      <c r="B1069" t="s">
        <v>70</v>
      </c>
    </row>
    <row r="1070" spans="1:2">
      <c r="A1070">
        <v>201140</v>
      </c>
      <c r="B1070" t="s">
        <v>221</v>
      </c>
    </row>
    <row r="1071" spans="1:2">
      <c r="A1071">
        <v>201030</v>
      </c>
      <c r="B1071" t="s">
        <v>220</v>
      </c>
    </row>
    <row r="1072" spans="1:2">
      <c r="A1072">
        <v>201100</v>
      </c>
      <c r="B1072" t="s">
        <v>25</v>
      </c>
    </row>
    <row r="1073" spans="1:2">
      <c r="A1073">
        <v>201110</v>
      </c>
      <c r="B1073" t="s">
        <v>68</v>
      </c>
    </row>
    <row r="1074" spans="1:2">
      <c r="A1074">
        <v>201060</v>
      </c>
      <c r="B1074" t="s">
        <v>64</v>
      </c>
    </row>
    <row r="1075" spans="1:2">
      <c r="A1075">
        <v>201240</v>
      </c>
      <c r="B1075" t="s">
        <v>284</v>
      </c>
    </row>
    <row r="1076" spans="1:2">
      <c r="A1076">
        <v>201010</v>
      </c>
      <c r="B1076" t="s">
        <v>282</v>
      </c>
    </row>
    <row r="1077" spans="1:2">
      <c r="A1077">
        <v>201120</v>
      </c>
      <c r="B1077" t="s">
        <v>11</v>
      </c>
    </row>
    <row r="1078" spans="1:2">
      <c r="A1078">
        <v>201150</v>
      </c>
      <c r="B1078" t="s">
        <v>266</v>
      </c>
    </row>
    <row r="1079" spans="1:2">
      <c r="A1079">
        <v>201040</v>
      </c>
      <c r="B1079" t="s">
        <v>321</v>
      </c>
    </row>
    <row r="1080" spans="1:2">
      <c r="A1080">
        <v>201200</v>
      </c>
      <c r="B1080" t="s">
        <v>17</v>
      </c>
    </row>
    <row r="1081" spans="1:2">
      <c r="A1081">
        <v>201210</v>
      </c>
      <c r="B1081" t="s">
        <v>251</v>
      </c>
    </row>
    <row r="1082" spans="1:2">
      <c r="A1082">
        <v>201080</v>
      </c>
      <c r="B1082" t="s">
        <v>323</v>
      </c>
    </row>
    <row r="1083" spans="1:2">
      <c r="A1083">
        <v>201220</v>
      </c>
      <c r="B1083" t="s">
        <v>52</v>
      </c>
    </row>
    <row r="1084" spans="1:2">
      <c r="A1084">
        <v>203790</v>
      </c>
      <c r="B1084" t="s">
        <v>0</v>
      </c>
    </row>
    <row r="1085" spans="1:2">
      <c r="A1085">
        <v>203810</v>
      </c>
      <c r="B1085" t="s">
        <v>213</v>
      </c>
    </row>
    <row r="1086" spans="1:2">
      <c r="A1086">
        <v>203820</v>
      </c>
      <c r="B1086" t="s">
        <v>70</v>
      </c>
    </row>
    <row r="1087" spans="1:2">
      <c r="A1087">
        <v>203800</v>
      </c>
      <c r="B1087" t="s">
        <v>73</v>
      </c>
    </row>
    <row r="1088" spans="1:2">
      <c r="A1088">
        <v>203840</v>
      </c>
      <c r="B1088" t="s">
        <v>261</v>
      </c>
    </row>
    <row r="1089" spans="1:2">
      <c r="A1089">
        <v>203830</v>
      </c>
      <c r="B1089" t="s">
        <v>265</v>
      </c>
    </row>
    <row r="1090" spans="1:2">
      <c r="A1090">
        <v>203960</v>
      </c>
      <c r="B1090" t="s">
        <v>287</v>
      </c>
    </row>
    <row r="1091" spans="1:2">
      <c r="A1091">
        <v>203990</v>
      </c>
      <c r="B1091" t="s">
        <v>289</v>
      </c>
    </row>
    <row r="1092" spans="1:2">
      <c r="A1092">
        <v>204000</v>
      </c>
      <c r="B1092" t="s">
        <v>296</v>
      </c>
    </row>
    <row r="1093" spans="1:2">
      <c r="A1093">
        <v>203880</v>
      </c>
      <c r="B1093" t="s">
        <v>5</v>
      </c>
    </row>
    <row r="1094" spans="1:2">
      <c r="A1094">
        <v>203860</v>
      </c>
      <c r="B1094" t="s">
        <v>0</v>
      </c>
    </row>
    <row r="1095" spans="1:2">
      <c r="A1095">
        <v>204010</v>
      </c>
      <c r="B1095" t="s">
        <v>213</v>
      </c>
    </row>
    <row r="1096" spans="1:2">
      <c r="A1096">
        <v>203870</v>
      </c>
      <c r="B1096" t="s">
        <v>73</v>
      </c>
    </row>
    <row r="1097" spans="1:2">
      <c r="A1097">
        <v>204030</v>
      </c>
      <c r="B1097" t="s">
        <v>212</v>
      </c>
    </row>
    <row r="1098" spans="1:2">
      <c r="A1098">
        <v>203920</v>
      </c>
      <c r="B1098" t="s">
        <v>25</v>
      </c>
    </row>
    <row r="1099" spans="1:2">
      <c r="A1099">
        <v>203940</v>
      </c>
      <c r="B1099" t="s">
        <v>283</v>
      </c>
    </row>
    <row r="1100" spans="1:2">
      <c r="A1100">
        <v>203890</v>
      </c>
      <c r="B1100" t="s">
        <v>282</v>
      </c>
    </row>
    <row r="1101" spans="1:2">
      <c r="A1101">
        <v>203980</v>
      </c>
      <c r="B1101" t="s">
        <v>305</v>
      </c>
    </row>
    <row r="1102" spans="1:2">
      <c r="A1102">
        <v>203900</v>
      </c>
      <c r="B1102" t="s">
        <v>17</v>
      </c>
    </row>
    <row r="1103" spans="1:2">
      <c r="A1103">
        <v>200950</v>
      </c>
      <c r="B1103" t="s">
        <v>290</v>
      </c>
    </row>
    <row r="1104" spans="1:2">
      <c r="A1104">
        <v>200920</v>
      </c>
      <c r="B1104" t="s">
        <v>292</v>
      </c>
    </row>
    <row r="1105" spans="1:2">
      <c r="A1105">
        <v>200900</v>
      </c>
      <c r="B1105" t="s">
        <v>277</v>
      </c>
    </row>
    <row r="1106" spans="1:2">
      <c r="A1106">
        <v>200860</v>
      </c>
      <c r="B1106" t="s">
        <v>0</v>
      </c>
    </row>
    <row r="1107" spans="1:2">
      <c r="A1107">
        <v>200890</v>
      </c>
      <c r="B1107" t="s">
        <v>70</v>
      </c>
    </row>
    <row r="1108" spans="1:2">
      <c r="A1108">
        <v>200960</v>
      </c>
      <c r="B1108" t="s">
        <v>74</v>
      </c>
    </row>
    <row r="1109" spans="1:2">
      <c r="A1109">
        <v>200870</v>
      </c>
      <c r="B1109" t="s">
        <v>1360</v>
      </c>
    </row>
    <row r="1110" spans="1:2">
      <c r="A1110">
        <v>200940</v>
      </c>
      <c r="B1110" t="s">
        <v>251</v>
      </c>
    </row>
    <row r="1111" spans="1:2">
      <c r="A1111">
        <v>200980</v>
      </c>
      <c r="B1111" t="s">
        <v>461</v>
      </c>
    </row>
    <row r="1112" spans="1:2">
      <c r="A1112">
        <v>203730</v>
      </c>
      <c r="B1112" t="s">
        <v>0</v>
      </c>
    </row>
    <row r="1113" spans="1:2">
      <c r="A1113">
        <v>203760</v>
      </c>
      <c r="B1113" t="s">
        <v>214</v>
      </c>
    </row>
    <row r="1114" spans="1:2">
      <c r="A1114">
        <v>203750</v>
      </c>
      <c r="B1114" t="s">
        <v>64</v>
      </c>
    </row>
    <row r="1115" spans="1:2">
      <c r="A1115">
        <v>203740</v>
      </c>
      <c r="B1115" t="s">
        <v>54</v>
      </c>
    </row>
    <row r="1116" spans="1:2">
      <c r="A1116">
        <v>203710</v>
      </c>
      <c r="B1116" t="s">
        <v>277</v>
      </c>
    </row>
    <row r="1117" spans="1:2">
      <c r="A1117">
        <v>203660</v>
      </c>
      <c r="B1117" t="s">
        <v>0</v>
      </c>
    </row>
    <row r="1118" spans="1:2">
      <c r="A1118">
        <v>203670</v>
      </c>
      <c r="B1118" t="s">
        <v>214</v>
      </c>
    </row>
    <row r="1119" spans="1:2">
      <c r="A1119">
        <v>203700</v>
      </c>
      <c r="B1119" t="s">
        <v>236</v>
      </c>
    </row>
    <row r="1120" spans="1:2">
      <c r="A1120">
        <v>203690</v>
      </c>
      <c r="B1120" t="s">
        <v>1360</v>
      </c>
    </row>
    <row r="1121" spans="1:2">
      <c r="A1121">
        <v>202200</v>
      </c>
      <c r="B1121" t="s">
        <v>0</v>
      </c>
    </row>
    <row r="1122" spans="1:2">
      <c r="A1122">
        <v>202210</v>
      </c>
      <c r="B1122" t="s">
        <v>36</v>
      </c>
    </row>
    <row r="1123" spans="1:2">
      <c r="A1123">
        <v>202240</v>
      </c>
      <c r="B1123" t="s">
        <v>25</v>
      </c>
    </row>
    <row r="1124" spans="1:2">
      <c r="A1124">
        <v>202230</v>
      </c>
      <c r="B1124" t="s">
        <v>64</v>
      </c>
    </row>
    <row r="1125" spans="1:2">
      <c r="A1125">
        <v>202220</v>
      </c>
      <c r="B1125" t="s">
        <v>54</v>
      </c>
    </row>
    <row r="1126" spans="1:2">
      <c r="A1126">
        <v>202250</v>
      </c>
      <c r="B1126" t="s">
        <v>37</v>
      </c>
    </row>
    <row r="1127" spans="1:2">
      <c r="A1127">
        <v>202940</v>
      </c>
      <c r="B1127" t="s">
        <v>0</v>
      </c>
    </row>
    <row r="1128" spans="1:2">
      <c r="A1128">
        <v>202950</v>
      </c>
      <c r="B1128" t="s">
        <v>10</v>
      </c>
    </row>
    <row r="1129" spans="1:2">
      <c r="A1129">
        <v>202960</v>
      </c>
      <c r="B1129" t="s">
        <v>74</v>
      </c>
    </row>
    <row r="1130" spans="1:2">
      <c r="A1130">
        <v>202970</v>
      </c>
      <c r="B1130" t="s">
        <v>7</v>
      </c>
    </row>
    <row r="1131" spans="1:2">
      <c r="A1131">
        <v>202990</v>
      </c>
      <c r="B1131" t="s">
        <v>9</v>
      </c>
    </row>
    <row r="1132" spans="1:2">
      <c r="A1132">
        <v>202980</v>
      </c>
      <c r="B1132" t="s">
        <v>11</v>
      </c>
    </row>
    <row r="1133" spans="1:2">
      <c r="A1133">
        <v>202860</v>
      </c>
      <c r="B1133" t="s">
        <v>0</v>
      </c>
    </row>
    <row r="1134" spans="1:2">
      <c r="A1134">
        <v>202900</v>
      </c>
      <c r="B1134" t="s">
        <v>17</v>
      </c>
    </row>
    <row r="1135" spans="1:2">
      <c r="A1135">
        <v>204380</v>
      </c>
      <c r="B1135" t="s">
        <v>0</v>
      </c>
    </row>
    <row r="1136" spans="1:2">
      <c r="A1136">
        <v>204410</v>
      </c>
      <c r="B1136" t="s">
        <v>74</v>
      </c>
    </row>
    <row r="1137" spans="1:2">
      <c r="A1137">
        <v>204400</v>
      </c>
      <c r="B1137" t="s">
        <v>64</v>
      </c>
    </row>
    <row r="1138" spans="1:2">
      <c r="A1138">
        <v>204420</v>
      </c>
      <c r="B1138" t="s">
        <v>260</v>
      </c>
    </row>
    <row r="1139" spans="1:2">
      <c r="A1139">
        <v>204390</v>
      </c>
      <c r="B1139" t="s">
        <v>54</v>
      </c>
    </row>
    <row r="1140" spans="1:2">
      <c r="A1140">
        <v>203180</v>
      </c>
      <c r="B1140" t="s">
        <v>5</v>
      </c>
    </row>
    <row r="1141" spans="1:2">
      <c r="A1141">
        <v>203120</v>
      </c>
      <c r="B1141" t="s">
        <v>0</v>
      </c>
    </row>
    <row r="1142" spans="1:2">
      <c r="A1142">
        <v>203130</v>
      </c>
      <c r="B1142" t="s">
        <v>73</v>
      </c>
    </row>
    <row r="1143" spans="1:2">
      <c r="A1143">
        <v>203140</v>
      </c>
      <c r="B1143" t="s">
        <v>74</v>
      </c>
    </row>
    <row r="1144" spans="1:2">
      <c r="A1144">
        <v>203200</v>
      </c>
      <c r="B1144" t="s">
        <v>222</v>
      </c>
    </row>
    <row r="1145" spans="1:2">
      <c r="A1145">
        <v>203170</v>
      </c>
      <c r="B1145" t="s">
        <v>64</v>
      </c>
    </row>
    <row r="1146" spans="1:2">
      <c r="A1146">
        <v>203160</v>
      </c>
      <c r="B1146" t="s">
        <v>54</v>
      </c>
    </row>
    <row r="1147" spans="1:2">
      <c r="A1147">
        <v>203210</v>
      </c>
      <c r="B1147" t="s">
        <v>20</v>
      </c>
    </row>
    <row r="1148" spans="1:2">
      <c r="A1148">
        <v>203230</v>
      </c>
      <c r="B1148" t="s">
        <v>21</v>
      </c>
    </row>
    <row r="1149" spans="1:2">
      <c r="A1149">
        <v>203220</v>
      </c>
      <c r="B1149" t="s">
        <v>247</v>
      </c>
    </row>
    <row r="1150" spans="1:2">
      <c r="A1150">
        <v>203190</v>
      </c>
      <c r="B1150" t="s">
        <v>23</v>
      </c>
    </row>
    <row r="1151" spans="1:2">
      <c r="A1151">
        <v>203580</v>
      </c>
      <c r="B1151" t="s">
        <v>0</v>
      </c>
    </row>
    <row r="1152" spans="1:2">
      <c r="A1152">
        <v>203600</v>
      </c>
      <c r="B1152" t="s">
        <v>212</v>
      </c>
    </row>
    <row r="1153" spans="1:2">
      <c r="A1153">
        <v>203590</v>
      </c>
      <c r="B1153" t="s">
        <v>74</v>
      </c>
    </row>
    <row r="1154" spans="1:2">
      <c r="A1154">
        <v>203630</v>
      </c>
      <c r="B1154" t="s">
        <v>49</v>
      </c>
    </row>
    <row r="1155" spans="1:2">
      <c r="A1155">
        <v>203610</v>
      </c>
      <c r="B1155" t="s">
        <v>81</v>
      </c>
    </row>
    <row r="1156" spans="1:2">
      <c r="A1156">
        <v>203620</v>
      </c>
      <c r="B1156" t="s">
        <v>59</v>
      </c>
    </row>
    <row r="1157" spans="1:2">
      <c r="A1157">
        <v>201590</v>
      </c>
      <c r="B1157" t="s">
        <v>0</v>
      </c>
    </row>
    <row r="1158" spans="1:2">
      <c r="A1158">
        <v>201610</v>
      </c>
      <c r="B1158" t="s">
        <v>344</v>
      </c>
    </row>
    <row r="1159" spans="1:2">
      <c r="A1159">
        <v>201600</v>
      </c>
      <c r="B1159" t="s">
        <v>343</v>
      </c>
    </row>
    <row r="1160" spans="1:2">
      <c r="A1160">
        <v>201640</v>
      </c>
      <c r="B1160" t="s">
        <v>347</v>
      </c>
    </row>
    <row r="1161" spans="1:2">
      <c r="A1161">
        <v>201620</v>
      </c>
      <c r="B1161" t="s">
        <v>1360</v>
      </c>
    </row>
    <row r="1162" spans="1:2">
      <c r="A1162">
        <v>201440</v>
      </c>
      <c r="B1162" t="s">
        <v>0</v>
      </c>
    </row>
    <row r="1163" spans="1:2">
      <c r="A1163">
        <v>201530</v>
      </c>
      <c r="B1163" t="s">
        <v>234</v>
      </c>
    </row>
    <row r="1164" spans="1:2">
      <c r="A1164">
        <v>201520</v>
      </c>
      <c r="B1164" t="s">
        <v>314</v>
      </c>
    </row>
    <row r="1165" spans="1:2">
      <c r="A1165">
        <v>201570</v>
      </c>
      <c r="B1165" t="s">
        <v>242</v>
      </c>
    </row>
    <row r="1166" spans="1:2">
      <c r="A1166">
        <v>201490</v>
      </c>
      <c r="B1166" t="s">
        <v>245</v>
      </c>
    </row>
    <row r="1167" spans="1:2">
      <c r="A1167">
        <v>200620</v>
      </c>
      <c r="B1167" t="s">
        <v>1362</v>
      </c>
    </row>
    <row r="1168" spans="1:2">
      <c r="A1168">
        <v>200630</v>
      </c>
      <c r="B1168" t="s">
        <v>1363</v>
      </c>
    </row>
    <row r="1169" spans="1:2">
      <c r="A1169">
        <v>200520</v>
      </c>
      <c r="B1169" t="s">
        <v>277</v>
      </c>
    </row>
    <row r="1170" spans="1:2">
      <c r="A1170">
        <v>200390</v>
      </c>
      <c r="B1170" t="s">
        <v>0</v>
      </c>
    </row>
    <row r="1171" spans="1:2">
      <c r="A1171">
        <v>200550</v>
      </c>
      <c r="B1171" t="s">
        <v>73</v>
      </c>
    </row>
    <row r="1172" spans="1:2">
      <c r="A1172">
        <v>200610</v>
      </c>
      <c r="B1172" t="s">
        <v>286</v>
      </c>
    </row>
    <row r="1173" spans="1:2">
      <c r="A1173">
        <v>200570</v>
      </c>
      <c r="B1173" t="s">
        <v>11</v>
      </c>
    </row>
    <row r="1174" spans="1:2">
      <c r="A1174">
        <v>200580</v>
      </c>
      <c r="B1174" t="s">
        <v>81</v>
      </c>
    </row>
    <row r="1175" spans="1:2">
      <c r="A1175">
        <v>200600</v>
      </c>
      <c r="B1175" t="s">
        <v>312</v>
      </c>
    </row>
    <row r="1176" spans="1:2">
      <c r="A1176">
        <v>200650</v>
      </c>
      <c r="B1176" t="s">
        <v>266</v>
      </c>
    </row>
    <row r="1177" spans="1:2">
      <c r="A1177">
        <v>200540</v>
      </c>
      <c r="B1177" t="s">
        <v>23</v>
      </c>
    </row>
    <row r="1178" spans="1:2">
      <c r="A1178">
        <v>203490</v>
      </c>
      <c r="B1178" t="s">
        <v>304</v>
      </c>
    </row>
    <row r="1179" spans="1:2">
      <c r="A1179">
        <v>203370</v>
      </c>
      <c r="B1179" t="s">
        <v>0</v>
      </c>
    </row>
    <row r="1180" spans="1:2">
      <c r="A1180">
        <v>203460</v>
      </c>
      <c r="B1180" t="s">
        <v>73</v>
      </c>
    </row>
    <row r="1181" spans="1:2">
      <c r="A1181">
        <v>203450</v>
      </c>
      <c r="B1181" t="s">
        <v>61</v>
      </c>
    </row>
    <row r="1182" spans="1:2">
      <c r="A1182">
        <v>203470</v>
      </c>
      <c r="B1182" t="s">
        <v>280</v>
      </c>
    </row>
    <row r="1183" spans="1:2">
      <c r="A1183">
        <v>203480</v>
      </c>
      <c r="B1183" t="s">
        <v>232</v>
      </c>
    </row>
    <row r="1184" spans="1:2">
      <c r="A1184">
        <v>203420</v>
      </c>
      <c r="B1184" t="s">
        <v>307</v>
      </c>
    </row>
    <row r="1185" spans="1:2">
      <c r="A1185">
        <v>203410</v>
      </c>
      <c r="B1185" t="s">
        <v>308</v>
      </c>
    </row>
    <row r="1186" spans="1:2">
      <c r="A1186">
        <v>203400</v>
      </c>
      <c r="B1186" t="s">
        <v>309</v>
      </c>
    </row>
    <row r="1187" spans="1:2">
      <c r="A1187">
        <v>203440</v>
      </c>
      <c r="B1187" t="s">
        <v>310</v>
      </c>
    </row>
    <row r="1188" spans="1:2">
      <c r="A1188">
        <v>203430</v>
      </c>
      <c r="B1188" t="s">
        <v>62</v>
      </c>
    </row>
    <row r="1189" spans="1:2">
      <c r="A1189">
        <v>203550</v>
      </c>
      <c r="B1189" t="s">
        <v>312</v>
      </c>
    </row>
    <row r="1190" spans="1:2">
      <c r="A1190">
        <v>203540</v>
      </c>
      <c r="B1190" t="s">
        <v>256</v>
      </c>
    </row>
    <row r="1191" spans="1:2">
      <c r="A1191">
        <v>203530</v>
      </c>
      <c r="B1191" t="s">
        <v>322</v>
      </c>
    </row>
    <row r="1192" spans="1:2">
      <c r="A1192">
        <v>204440</v>
      </c>
      <c r="B1192" t="s">
        <v>0</v>
      </c>
    </row>
    <row r="1193" spans="1:2">
      <c r="A1193">
        <v>204470</v>
      </c>
      <c r="B1193" t="s">
        <v>212</v>
      </c>
    </row>
    <row r="1194" spans="1:2">
      <c r="A1194">
        <v>204500</v>
      </c>
      <c r="B1194" t="s">
        <v>26</v>
      </c>
    </row>
    <row r="1195" spans="1:2">
      <c r="A1195">
        <v>204450</v>
      </c>
      <c r="B1195" t="s">
        <v>1360</v>
      </c>
    </row>
    <row r="1196" spans="1:2">
      <c r="A1196">
        <v>202530</v>
      </c>
      <c r="B1196" t="s">
        <v>277</v>
      </c>
    </row>
    <row r="1197" spans="1:2">
      <c r="A1197">
        <v>202490</v>
      </c>
      <c r="B1197" t="s">
        <v>0</v>
      </c>
    </row>
    <row r="1198" spans="1:2">
      <c r="A1198">
        <v>202510</v>
      </c>
      <c r="B1198" t="s">
        <v>64</v>
      </c>
    </row>
    <row r="1199" spans="1:2">
      <c r="A1199">
        <v>202500</v>
      </c>
      <c r="B1199" t="s">
        <v>54</v>
      </c>
    </row>
    <row r="1200" spans="1:2">
      <c r="A1200">
        <v>201390</v>
      </c>
      <c r="B1200" t="s">
        <v>291</v>
      </c>
    </row>
    <row r="1201" spans="1:2">
      <c r="A1201">
        <v>201310</v>
      </c>
      <c r="B1201" t="s">
        <v>277</v>
      </c>
    </row>
    <row r="1202" spans="1:2">
      <c r="A1202">
        <v>201400</v>
      </c>
      <c r="B1202" t="s">
        <v>297</v>
      </c>
    </row>
    <row r="1203" spans="1:2">
      <c r="A1203">
        <v>201410</v>
      </c>
      <c r="B1203" t="s">
        <v>212</v>
      </c>
    </row>
    <row r="1204" spans="1:2">
      <c r="A1204">
        <v>201270</v>
      </c>
      <c r="B1204" t="s">
        <v>0</v>
      </c>
    </row>
    <row r="1205" spans="1:2">
      <c r="A1205">
        <v>201340</v>
      </c>
      <c r="B1205" t="s">
        <v>42</v>
      </c>
    </row>
    <row r="1206" spans="1:2">
      <c r="A1206">
        <v>201370</v>
      </c>
      <c r="B1206" t="s">
        <v>262</v>
      </c>
    </row>
    <row r="1207" spans="1:2">
      <c r="A1207">
        <v>201320</v>
      </c>
      <c r="B1207" t="s">
        <v>43</v>
      </c>
    </row>
    <row r="1208" spans="1:2">
      <c r="A1208">
        <v>201350</v>
      </c>
      <c r="B1208" t="s">
        <v>46</v>
      </c>
    </row>
    <row r="1209" spans="1:2">
      <c r="A1209">
        <v>201360</v>
      </c>
      <c r="B1209" t="s">
        <v>249</v>
      </c>
    </row>
    <row r="1210" spans="1:2">
      <c r="A1210">
        <v>201330</v>
      </c>
      <c r="B1210" t="s">
        <v>17</v>
      </c>
    </row>
    <row r="1211" spans="1:2">
      <c r="A1211">
        <v>201420</v>
      </c>
      <c r="B1211" t="s">
        <v>281</v>
      </c>
    </row>
    <row r="1212" spans="1:2">
      <c r="A1212">
        <v>202110</v>
      </c>
      <c r="B1212" t="s">
        <v>0</v>
      </c>
    </row>
    <row r="1213" spans="1:2">
      <c r="A1213">
        <v>202160</v>
      </c>
      <c r="B1213" t="s">
        <v>1364</v>
      </c>
    </row>
    <row r="1214" spans="1:2">
      <c r="A1214">
        <v>202170</v>
      </c>
      <c r="B1214" t="s">
        <v>26</v>
      </c>
    </row>
    <row r="1215" spans="1:2">
      <c r="A1215">
        <v>202120</v>
      </c>
      <c r="B1215" t="s">
        <v>1360</v>
      </c>
    </row>
    <row r="1216" spans="1:2">
      <c r="A1216">
        <v>200000</v>
      </c>
      <c r="B1216" t="s">
        <v>0</v>
      </c>
    </row>
    <row r="1217" spans="1:2">
      <c r="A1217">
        <v>200060</v>
      </c>
      <c r="B1217" t="s">
        <v>36</v>
      </c>
    </row>
    <row r="1218" spans="1:2">
      <c r="A1218">
        <v>200090</v>
      </c>
      <c r="B1218" t="s">
        <v>73</v>
      </c>
    </row>
    <row r="1219" spans="1:2">
      <c r="A1219">
        <v>200010</v>
      </c>
      <c r="B1219" t="s">
        <v>215</v>
      </c>
    </row>
    <row r="1220" spans="1:2">
      <c r="A1220">
        <v>200030</v>
      </c>
      <c r="B1220" t="s">
        <v>64</v>
      </c>
    </row>
    <row r="1221" spans="1:2">
      <c r="A1221">
        <v>200070</v>
      </c>
      <c r="B1221" t="s">
        <v>132</v>
      </c>
    </row>
    <row r="1222" spans="1:2">
      <c r="A1222">
        <v>200050</v>
      </c>
      <c r="B1222" t="s">
        <v>229</v>
      </c>
    </row>
    <row r="1223" spans="1:2">
      <c r="A1223">
        <v>200020</v>
      </c>
      <c r="B1223" t="s">
        <v>54</v>
      </c>
    </row>
    <row r="1224" spans="1:2">
      <c r="A1224">
        <v>200040</v>
      </c>
      <c r="B1224" t="s">
        <v>51</v>
      </c>
    </row>
    <row r="1225" spans="1:2">
      <c r="A1225">
        <v>201930</v>
      </c>
      <c r="B1225" t="s">
        <v>293</v>
      </c>
    </row>
    <row r="1226" spans="1:2">
      <c r="A1226">
        <v>201920</v>
      </c>
      <c r="B1226" t="s">
        <v>5</v>
      </c>
    </row>
    <row r="1227" spans="1:2">
      <c r="A1227">
        <v>201850</v>
      </c>
      <c r="B1227" t="s">
        <v>0</v>
      </c>
    </row>
    <row r="1228" spans="1:2">
      <c r="A1228">
        <v>201960</v>
      </c>
      <c r="B1228" t="s">
        <v>212</v>
      </c>
    </row>
    <row r="1229" spans="1:2">
      <c r="A1229">
        <v>201880</v>
      </c>
      <c r="B1229" t="s">
        <v>216</v>
      </c>
    </row>
    <row r="1230" spans="1:2">
      <c r="A1230">
        <v>201980</v>
      </c>
      <c r="B1230" t="s">
        <v>73</v>
      </c>
    </row>
    <row r="1231" spans="1:2">
      <c r="A1231">
        <v>201950</v>
      </c>
      <c r="B1231" t="s">
        <v>303</v>
      </c>
    </row>
    <row r="1232" spans="1:2">
      <c r="A1232">
        <v>201940</v>
      </c>
      <c r="B1232" t="s">
        <v>233</v>
      </c>
    </row>
    <row r="1233" spans="1:2">
      <c r="A1233">
        <v>201970</v>
      </c>
      <c r="B1233" t="s">
        <v>276</v>
      </c>
    </row>
    <row r="1234" spans="1:2">
      <c r="A1234">
        <v>201800</v>
      </c>
      <c r="B1234" t="s">
        <v>252</v>
      </c>
    </row>
    <row r="1235" spans="1:2">
      <c r="A1235">
        <v>201680</v>
      </c>
      <c r="B1235" t="s">
        <v>0</v>
      </c>
    </row>
    <row r="1236" spans="1:2">
      <c r="A1236">
        <v>201710</v>
      </c>
      <c r="B1236" t="s">
        <v>216</v>
      </c>
    </row>
    <row r="1237" spans="1:2">
      <c r="A1237">
        <v>201770</v>
      </c>
      <c r="B1237" t="s">
        <v>223</v>
      </c>
    </row>
    <row r="1238" spans="1:2">
      <c r="A1238">
        <v>201790</v>
      </c>
      <c r="B1238" t="s">
        <v>300</v>
      </c>
    </row>
    <row r="1239" spans="1:2">
      <c r="A1239">
        <v>201780</v>
      </c>
      <c r="B1239" t="s">
        <v>224</v>
      </c>
    </row>
    <row r="1240" spans="1:2">
      <c r="A1240">
        <v>201740</v>
      </c>
      <c r="B1240" t="s">
        <v>26</v>
      </c>
    </row>
    <row r="1241" spans="1:2">
      <c r="A1241">
        <v>201760</v>
      </c>
      <c r="B1241" t="s">
        <v>302</v>
      </c>
    </row>
    <row r="1242" spans="1:2">
      <c r="A1242">
        <v>201750</v>
      </c>
      <c r="B1242" t="s">
        <v>233</v>
      </c>
    </row>
    <row r="1243" spans="1:2">
      <c r="A1243">
        <v>201730</v>
      </c>
      <c r="B1243" t="s">
        <v>306</v>
      </c>
    </row>
    <row r="1244" spans="1:2">
      <c r="A1244">
        <v>201810</v>
      </c>
      <c r="B1244" t="s">
        <v>320</v>
      </c>
    </row>
    <row r="1245" spans="1:2">
      <c r="A1245">
        <v>201690</v>
      </c>
      <c r="B1245" t="s">
        <v>1360</v>
      </c>
    </row>
    <row r="1246" spans="1:2">
      <c r="A1246">
        <v>202790</v>
      </c>
      <c r="B1246" t="s">
        <v>292</v>
      </c>
    </row>
    <row r="1247" spans="1:2">
      <c r="A1247">
        <v>202820</v>
      </c>
      <c r="B1247" t="s">
        <v>277</v>
      </c>
    </row>
    <row r="1248" spans="1:2">
      <c r="A1248">
        <v>202740</v>
      </c>
      <c r="B1248" t="s">
        <v>0</v>
      </c>
    </row>
    <row r="1249" spans="1:2">
      <c r="A1249">
        <v>202770</v>
      </c>
      <c r="B1249" t="s">
        <v>74</v>
      </c>
    </row>
    <row r="1250" spans="1:2">
      <c r="A1250">
        <v>202810</v>
      </c>
      <c r="B1250" t="s">
        <v>26</v>
      </c>
    </row>
    <row r="1251" spans="1:2">
      <c r="A1251">
        <v>202750</v>
      </c>
      <c r="B1251" t="s">
        <v>1360</v>
      </c>
    </row>
    <row r="1252" spans="1:2">
      <c r="A1252">
        <v>204550</v>
      </c>
      <c r="B1252" t="s">
        <v>212</v>
      </c>
    </row>
    <row r="1253" spans="1:2">
      <c r="A1253">
        <v>204540</v>
      </c>
      <c r="B1253" t="s">
        <v>74</v>
      </c>
    </row>
    <row r="1254" spans="1:2">
      <c r="A1254">
        <v>202590</v>
      </c>
      <c r="B1254" t="s">
        <v>5</v>
      </c>
    </row>
    <row r="1255" spans="1:2">
      <c r="A1255">
        <v>202550</v>
      </c>
      <c r="B1255" t="s">
        <v>0</v>
      </c>
    </row>
    <row r="1256" spans="1:2">
      <c r="A1256">
        <v>202630</v>
      </c>
      <c r="B1256" t="s">
        <v>212</v>
      </c>
    </row>
    <row r="1257" spans="1:2">
      <c r="A1257">
        <v>202560</v>
      </c>
      <c r="B1257" t="s">
        <v>74</v>
      </c>
    </row>
    <row r="1258" spans="1:2">
      <c r="A1258">
        <v>202690</v>
      </c>
      <c r="B1258" t="s">
        <v>1361</v>
      </c>
    </row>
    <row r="1259" spans="1:2">
      <c r="A1259">
        <v>202650</v>
      </c>
      <c r="B1259" t="s">
        <v>68</v>
      </c>
    </row>
    <row r="1260" spans="1:2">
      <c r="A1260">
        <v>202580</v>
      </c>
      <c r="B1260" t="s">
        <v>64</v>
      </c>
    </row>
    <row r="1261" spans="1:2">
      <c r="A1261">
        <v>202610</v>
      </c>
      <c r="B1261" t="s">
        <v>49</v>
      </c>
    </row>
    <row r="1262" spans="1:2">
      <c r="A1262">
        <v>202570</v>
      </c>
      <c r="B1262" t="s">
        <v>54</v>
      </c>
    </row>
    <row r="1263" spans="1:2">
      <c r="A1263">
        <v>202600</v>
      </c>
      <c r="B1263" t="s">
        <v>57</v>
      </c>
    </row>
    <row r="1264" spans="1:2">
      <c r="A1264">
        <v>202660</v>
      </c>
      <c r="B1264" t="s">
        <v>58</v>
      </c>
    </row>
    <row r="1265" spans="1:2">
      <c r="A1265">
        <v>202640</v>
      </c>
      <c r="B1265" t="s">
        <v>59</v>
      </c>
    </row>
    <row r="1266" spans="1:2">
      <c r="A1266">
        <v>202680</v>
      </c>
      <c r="B1266" t="s">
        <v>1360</v>
      </c>
    </row>
    <row r="1267" spans="1:2">
      <c r="A1267">
        <v>202710</v>
      </c>
      <c r="B1267" t="s">
        <v>40</v>
      </c>
    </row>
    <row r="1268" spans="1:2">
      <c r="A1268">
        <v>202060</v>
      </c>
      <c r="B1268" t="s">
        <v>294</v>
      </c>
    </row>
    <row r="1269" spans="1:2">
      <c r="A1269">
        <v>202070</v>
      </c>
      <c r="B1269" t="s">
        <v>277</v>
      </c>
    </row>
    <row r="1270" spans="1:2">
      <c r="A1270">
        <v>202000</v>
      </c>
      <c r="B1270" t="s">
        <v>0</v>
      </c>
    </row>
    <row r="1271" spans="1:2">
      <c r="A1271">
        <v>202080</v>
      </c>
      <c r="B1271" t="s">
        <v>217</v>
      </c>
    </row>
    <row r="1272" spans="1:2">
      <c r="A1272">
        <v>202020</v>
      </c>
      <c r="B1272" t="s">
        <v>1360</v>
      </c>
    </row>
    <row r="1273" spans="1:2">
      <c r="A1273">
        <v>200670</v>
      </c>
      <c r="B1273" t="s">
        <v>0</v>
      </c>
    </row>
    <row r="1274" spans="1:2">
      <c r="A1274">
        <v>200710</v>
      </c>
      <c r="B1274" t="s">
        <v>42</v>
      </c>
    </row>
    <row r="1275" spans="1:2">
      <c r="A1275">
        <v>200720</v>
      </c>
      <c r="B1275" t="s">
        <v>46</v>
      </c>
    </row>
    <row r="1276" spans="1:2">
      <c r="A1276">
        <v>202430</v>
      </c>
      <c r="B1276" t="s">
        <v>0</v>
      </c>
    </row>
    <row r="1277" spans="1:2">
      <c r="A1277">
        <v>202460</v>
      </c>
      <c r="B1277" t="s">
        <v>25</v>
      </c>
    </row>
    <row r="1278" spans="1:2">
      <c r="A1278">
        <v>202450</v>
      </c>
      <c r="B1278" t="s">
        <v>64</v>
      </c>
    </row>
    <row r="1279" spans="1:2">
      <c r="A1279">
        <v>202440</v>
      </c>
      <c r="B1279" t="s">
        <v>54</v>
      </c>
    </row>
    <row r="1280" spans="1:2">
      <c r="A1280">
        <v>202310</v>
      </c>
      <c r="B1280" t="s">
        <v>0</v>
      </c>
    </row>
    <row r="1281" spans="1:2">
      <c r="A1281">
        <v>202320</v>
      </c>
      <c r="B1281" t="s">
        <v>25</v>
      </c>
    </row>
    <row r="1282" spans="1:2">
      <c r="A1282">
        <v>202330</v>
      </c>
      <c r="B1282" t="s">
        <v>278</v>
      </c>
    </row>
    <row r="1283" spans="1:2">
      <c r="A1283">
        <v>202340</v>
      </c>
      <c r="B1283" t="s">
        <v>301</v>
      </c>
    </row>
    <row r="1284" spans="1:2">
      <c r="A1284">
        <v>202360</v>
      </c>
      <c r="B1284" t="s">
        <v>51</v>
      </c>
    </row>
    <row r="1285" spans="1:2">
      <c r="A1285">
        <v>202350</v>
      </c>
      <c r="B1285" t="s">
        <v>48</v>
      </c>
    </row>
    <row r="1286" spans="1:2">
      <c r="A1286">
        <v>202390</v>
      </c>
      <c r="B1286" t="s">
        <v>285</v>
      </c>
    </row>
    <row r="1287" spans="1:2">
      <c r="A1287">
        <v>202370</v>
      </c>
      <c r="B1287" t="s">
        <v>271</v>
      </c>
    </row>
    <row r="1288" spans="1:2">
      <c r="A1288">
        <v>202400</v>
      </c>
      <c r="B1288" t="s">
        <v>255</v>
      </c>
    </row>
    <row r="1289" spans="1:2">
      <c r="A1289">
        <v>203250</v>
      </c>
      <c r="B1289" t="s">
        <v>0</v>
      </c>
    </row>
    <row r="1290" spans="1:2">
      <c r="A1290">
        <v>203290</v>
      </c>
      <c r="B1290" t="s">
        <v>213</v>
      </c>
    </row>
    <row r="1291" spans="1:2">
      <c r="A1291">
        <v>203270</v>
      </c>
      <c r="B1291" t="s">
        <v>70</v>
      </c>
    </row>
    <row r="1292" spans="1:2">
      <c r="A1292">
        <v>203260</v>
      </c>
      <c r="B1292" t="s">
        <v>225</v>
      </c>
    </row>
    <row r="1293" spans="1:2">
      <c r="A1293">
        <v>203280</v>
      </c>
      <c r="B1293" t="s">
        <v>50</v>
      </c>
    </row>
    <row r="1294" spans="1:2">
      <c r="A1294">
        <v>204090</v>
      </c>
      <c r="B1294" t="s">
        <v>0</v>
      </c>
    </row>
    <row r="1295" spans="1:2">
      <c r="A1295">
        <v>204130</v>
      </c>
      <c r="B1295" t="s">
        <v>213</v>
      </c>
    </row>
    <row r="1296" spans="1:2">
      <c r="A1296">
        <v>204110</v>
      </c>
      <c r="B1296" t="s">
        <v>70</v>
      </c>
    </row>
    <row r="1297" spans="1:2">
      <c r="A1297">
        <v>204100</v>
      </c>
      <c r="B1297" t="s">
        <v>225</v>
      </c>
    </row>
    <row r="1298" spans="1:2">
      <c r="A1298">
        <v>204140</v>
      </c>
      <c r="B1298" t="s">
        <v>81</v>
      </c>
    </row>
    <row r="1299" spans="1:2">
      <c r="A1299">
        <v>204120</v>
      </c>
      <c r="B1299" t="s">
        <v>50</v>
      </c>
    </row>
    <row r="1300" spans="1:2">
      <c r="A1300">
        <v>204050</v>
      </c>
      <c r="B1300" t="s">
        <v>0</v>
      </c>
    </row>
    <row r="1301" spans="1:2">
      <c r="A1301">
        <v>204070</v>
      </c>
      <c r="B1301" t="s">
        <v>259</v>
      </c>
    </row>
    <row r="1302" spans="1:2">
      <c r="A1302">
        <v>204060</v>
      </c>
      <c r="B1302" t="s">
        <v>81</v>
      </c>
    </row>
    <row r="1303" spans="1:2">
      <c r="A1303">
        <v>200200</v>
      </c>
      <c r="B1303" t="s">
        <v>0</v>
      </c>
    </row>
    <row r="1304" spans="1:2">
      <c r="A1304">
        <v>200270</v>
      </c>
      <c r="B1304" t="s">
        <v>218</v>
      </c>
    </row>
    <row r="1305" spans="1:2">
      <c r="A1305">
        <v>200210</v>
      </c>
      <c r="B1305" t="s">
        <v>332</v>
      </c>
    </row>
    <row r="1306" spans="1:2">
      <c r="A1306">
        <v>200280</v>
      </c>
      <c r="B1306" t="s">
        <v>26</v>
      </c>
    </row>
    <row r="1307" spans="1:2">
      <c r="A1307">
        <v>200220</v>
      </c>
      <c r="B1307" t="s">
        <v>1360</v>
      </c>
    </row>
    <row r="1308" spans="1:2">
      <c r="A1308">
        <v>200230</v>
      </c>
      <c r="B1308" t="s">
        <v>16</v>
      </c>
    </row>
    <row r="1309" spans="1:2">
      <c r="A1309">
        <v>200310</v>
      </c>
      <c r="B1309" t="s">
        <v>277</v>
      </c>
    </row>
    <row r="1310" spans="1:2">
      <c r="A1310">
        <v>200300</v>
      </c>
      <c r="B1310" t="s">
        <v>0</v>
      </c>
    </row>
    <row r="1311" spans="1:2">
      <c r="A1311">
        <v>200350</v>
      </c>
      <c r="B1311" t="s">
        <v>63</v>
      </c>
    </row>
    <row r="1312" spans="1:2">
      <c r="A1312">
        <v>200820</v>
      </c>
      <c r="B1312" t="s">
        <v>277</v>
      </c>
    </row>
    <row r="1313" spans="1:2">
      <c r="A1313">
        <v>200790</v>
      </c>
      <c r="B1313" t="s">
        <v>0</v>
      </c>
    </row>
    <row r="1314" spans="1:2">
      <c r="A1314">
        <v>200800</v>
      </c>
      <c r="B1314" t="s">
        <v>90</v>
      </c>
    </row>
    <row r="1315" spans="1:2">
      <c r="A1315">
        <v>200810</v>
      </c>
      <c r="B1315" t="s">
        <v>91</v>
      </c>
    </row>
    <row r="1316" spans="1:2">
      <c r="A1316">
        <v>200840</v>
      </c>
      <c r="B1316" t="s">
        <v>219</v>
      </c>
    </row>
    <row r="1317" spans="1:2">
      <c r="A1317">
        <v>204330</v>
      </c>
      <c r="B1317" t="s">
        <v>5</v>
      </c>
    </row>
    <row r="1318" spans="1:2">
      <c r="A1318">
        <v>204270</v>
      </c>
      <c r="B1318" t="s">
        <v>0</v>
      </c>
    </row>
    <row r="1319" spans="1:2">
      <c r="A1319">
        <v>204280</v>
      </c>
      <c r="B1319" t="s">
        <v>66</v>
      </c>
    </row>
    <row r="1320" spans="1:2">
      <c r="A1320">
        <v>204360</v>
      </c>
      <c r="B1320" t="s">
        <v>226</v>
      </c>
    </row>
    <row r="1321" spans="1:2">
      <c r="A1321">
        <v>204340</v>
      </c>
      <c r="B1321" t="s">
        <v>11</v>
      </c>
    </row>
    <row r="1322" spans="1:2">
      <c r="A1322">
        <v>204320</v>
      </c>
      <c r="B1322" t="s">
        <v>81</v>
      </c>
    </row>
    <row r="1323" spans="1:2">
      <c r="A1323">
        <v>204290</v>
      </c>
      <c r="B1323" t="s">
        <v>27</v>
      </c>
    </row>
    <row r="1324" spans="1:2">
      <c r="A1324">
        <v>204300</v>
      </c>
      <c r="B1324" t="s">
        <v>23</v>
      </c>
    </row>
    <row r="1325" spans="1:2">
      <c r="A1325">
        <v>204160</v>
      </c>
      <c r="B1325" t="s">
        <v>68</v>
      </c>
    </row>
    <row r="1326" spans="1:2">
      <c r="A1326">
        <v>204250</v>
      </c>
      <c r="B1326" t="s">
        <v>47</v>
      </c>
    </row>
    <row r="1327" spans="1:2">
      <c r="A1327">
        <v>204240</v>
      </c>
      <c r="B1327" t="s">
        <v>248</v>
      </c>
    </row>
    <row r="1328" spans="1:2">
      <c r="A1328">
        <v>204170</v>
      </c>
      <c r="B1328" t="s">
        <v>40</v>
      </c>
    </row>
    <row r="1329" spans="1:2">
      <c r="A1329">
        <v>203310</v>
      </c>
      <c r="B1329" t="s">
        <v>0</v>
      </c>
    </row>
    <row r="1330" spans="1:2">
      <c r="A1330">
        <v>203320</v>
      </c>
      <c r="B1330" t="s">
        <v>213</v>
      </c>
    </row>
    <row r="1331" spans="1:2">
      <c r="A1331">
        <v>203330</v>
      </c>
      <c r="B1331" t="s">
        <v>47</v>
      </c>
    </row>
    <row r="1332" spans="1:2">
      <c r="A1332">
        <v>203340</v>
      </c>
      <c r="B1332" t="s">
        <v>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58EF9-6B6B-453F-A00D-BD7D7A8C5792}">
  <sheetPr codeName="Sheet12"/>
  <dimension ref="A1:C140"/>
  <sheetViews>
    <sheetView workbookViewId="0"/>
  </sheetViews>
  <sheetFormatPr defaultRowHeight="14.25"/>
  <sheetData>
    <row r="1" spans="1:3">
      <c r="A1" t="s">
        <v>0</v>
      </c>
      <c r="B1" t="s">
        <v>2403</v>
      </c>
      <c r="C1" t="s">
        <v>72</v>
      </c>
    </row>
    <row r="2" spans="1:3">
      <c r="A2">
        <v>200000</v>
      </c>
      <c r="B2" t="s">
        <v>464</v>
      </c>
      <c r="C2" t="s">
        <v>2500</v>
      </c>
    </row>
    <row r="3" spans="1:3">
      <c r="A3">
        <v>200010</v>
      </c>
      <c r="B3" t="s">
        <v>464</v>
      </c>
      <c r="C3" t="s">
        <v>2501</v>
      </c>
    </row>
    <row r="4" spans="1:3">
      <c r="A4">
        <v>200020</v>
      </c>
      <c r="B4" t="s">
        <v>464</v>
      </c>
      <c r="C4" t="s">
        <v>2502</v>
      </c>
    </row>
    <row r="5" spans="1:3">
      <c r="A5">
        <v>200030</v>
      </c>
      <c r="B5" t="s">
        <v>464</v>
      </c>
      <c r="C5" t="s">
        <v>2503</v>
      </c>
    </row>
    <row r="6" spans="1:3">
      <c r="A6">
        <v>200040</v>
      </c>
      <c r="B6" t="s">
        <v>464</v>
      </c>
      <c r="C6" t="s">
        <v>2504</v>
      </c>
    </row>
    <row r="7" spans="1:3">
      <c r="A7">
        <v>200050</v>
      </c>
      <c r="B7" t="s">
        <v>464</v>
      </c>
      <c r="C7" t="s">
        <v>2505</v>
      </c>
    </row>
    <row r="8" spans="1:3">
      <c r="A8">
        <v>200060</v>
      </c>
      <c r="B8" t="s">
        <v>464</v>
      </c>
      <c r="C8" t="s">
        <v>2506</v>
      </c>
    </row>
    <row r="9" spans="1:3">
      <c r="A9">
        <v>200070</v>
      </c>
      <c r="B9" t="s">
        <v>464</v>
      </c>
      <c r="C9" t="s">
        <v>2507</v>
      </c>
    </row>
    <row r="10" spans="1:3">
      <c r="A10">
        <v>200080</v>
      </c>
      <c r="B10" t="s">
        <v>464</v>
      </c>
      <c r="C10" t="s">
        <v>2508</v>
      </c>
    </row>
    <row r="11" spans="1:3">
      <c r="A11">
        <v>200090</v>
      </c>
      <c r="B11" t="s">
        <v>464</v>
      </c>
      <c r="C11" t="s">
        <v>2509</v>
      </c>
    </row>
    <row r="12" spans="1:3">
      <c r="A12">
        <v>200100</v>
      </c>
      <c r="B12" t="s">
        <v>464</v>
      </c>
      <c r="C12" t="s">
        <v>2510</v>
      </c>
    </row>
    <row r="13" spans="1:3">
      <c r="A13">
        <v>200110</v>
      </c>
      <c r="B13" t="s">
        <v>464</v>
      </c>
      <c r="C13" t="s">
        <v>2511</v>
      </c>
    </row>
    <row r="14" spans="1:3">
      <c r="A14">
        <v>200120</v>
      </c>
      <c r="B14" t="s">
        <v>464</v>
      </c>
      <c r="C14" t="s">
        <v>2512</v>
      </c>
    </row>
    <row r="15" spans="1:3">
      <c r="A15">
        <v>200130</v>
      </c>
      <c r="B15" t="s">
        <v>464</v>
      </c>
      <c r="C15" t="s">
        <v>2513</v>
      </c>
    </row>
    <row r="16" spans="1:3">
      <c r="A16">
        <v>200140</v>
      </c>
      <c r="B16" t="s">
        <v>464</v>
      </c>
      <c r="C16" t="s">
        <v>2514</v>
      </c>
    </row>
    <row r="17" spans="1:3">
      <c r="A17">
        <v>200150</v>
      </c>
      <c r="B17" t="s">
        <v>464</v>
      </c>
      <c r="C17" t="s">
        <v>2516</v>
      </c>
    </row>
    <row r="18" spans="1:3">
      <c r="A18">
        <v>200160</v>
      </c>
      <c r="B18" t="s">
        <v>464</v>
      </c>
      <c r="C18" t="s">
        <v>2517</v>
      </c>
    </row>
    <row r="19" spans="1:3">
      <c r="A19">
        <v>200170</v>
      </c>
      <c r="B19" t="s">
        <v>464</v>
      </c>
      <c r="C19" t="s">
        <v>2518</v>
      </c>
    </row>
    <row r="20" spans="1:3">
      <c r="A20">
        <v>200180</v>
      </c>
      <c r="B20" t="s">
        <v>464</v>
      </c>
      <c r="C20" t="s">
        <v>2519</v>
      </c>
    </row>
    <row r="21" spans="1:3">
      <c r="A21">
        <v>200210</v>
      </c>
      <c r="B21" t="s">
        <v>464</v>
      </c>
      <c r="C21" t="s">
        <v>2520</v>
      </c>
    </row>
    <row r="22" spans="1:3">
      <c r="A22">
        <v>200220</v>
      </c>
      <c r="B22" t="s">
        <v>464</v>
      </c>
      <c r="C22" t="s">
        <v>2521</v>
      </c>
    </row>
    <row r="23" spans="1:3">
      <c r="A23">
        <v>200230</v>
      </c>
      <c r="B23" t="s">
        <v>464</v>
      </c>
      <c r="C23" t="s">
        <v>2522</v>
      </c>
    </row>
    <row r="24" spans="1:3">
      <c r="A24">
        <v>200240</v>
      </c>
      <c r="B24" t="s">
        <v>464</v>
      </c>
      <c r="C24" t="s">
        <v>2523</v>
      </c>
    </row>
    <row r="25" spans="1:3">
      <c r="A25">
        <v>200250</v>
      </c>
      <c r="B25" t="s">
        <v>464</v>
      </c>
      <c r="C25" t="s">
        <v>2524</v>
      </c>
    </row>
    <row r="26" spans="1:3">
      <c r="A26">
        <v>200260</v>
      </c>
      <c r="B26" t="s">
        <v>464</v>
      </c>
      <c r="C26" t="s">
        <v>2525</v>
      </c>
    </row>
    <row r="27" spans="1:3">
      <c r="A27">
        <v>200270</v>
      </c>
      <c r="B27" t="s">
        <v>464</v>
      </c>
      <c r="C27" t="s">
        <v>2621</v>
      </c>
    </row>
    <row r="28" spans="1:3">
      <c r="A28">
        <v>200280</v>
      </c>
      <c r="B28" t="s">
        <v>464</v>
      </c>
      <c r="C28" t="s">
        <v>2526</v>
      </c>
    </row>
    <row r="29" spans="1:3">
      <c r="A29">
        <v>200290</v>
      </c>
      <c r="B29" t="s">
        <v>464</v>
      </c>
      <c r="C29" t="s">
        <v>2527</v>
      </c>
    </row>
    <row r="30" spans="1:3">
      <c r="A30">
        <v>200300</v>
      </c>
      <c r="B30" t="s">
        <v>464</v>
      </c>
      <c r="C30" t="s">
        <v>2528</v>
      </c>
    </row>
    <row r="31" spans="1:3">
      <c r="A31">
        <v>200310</v>
      </c>
      <c r="B31" t="s">
        <v>464</v>
      </c>
      <c r="C31" t="s">
        <v>2529</v>
      </c>
    </row>
    <row r="32" spans="1:3">
      <c r="A32">
        <v>200320</v>
      </c>
      <c r="B32" t="s">
        <v>464</v>
      </c>
      <c r="C32" t="s">
        <v>2530</v>
      </c>
    </row>
    <row r="33" spans="1:3">
      <c r="A33">
        <v>200330</v>
      </c>
      <c r="B33" t="s">
        <v>464</v>
      </c>
      <c r="C33" t="s">
        <v>2531</v>
      </c>
    </row>
    <row r="34" spans="1:3">
      <c r="A34">
        <v>200340</v>
      </c>
      <c r="B34" t="s">
        <v>464</v>
      </c>
      <c r="C34" t="s">
        <v>2532</v>
      </c>
    </row>
    <row r="35" spans="1:3">
      <c r="A35">
        <v>200350</v>
      </c>
      <c r="B35" t="s">
        <v>464</v>
      </c>
      <c r="C35" t="s">
        <v>2533</v>
      </c>
    </row>
    <row r="36" spans="1:3">
      <c r="A36">
        <v>200360</v>
      </c>
      <c r="B36" t="s">
        <v>464</v>
      </c>
      <c r="C36" t="s">
        <v>2534</v>
      </c>
    </row>
    <row r="37" spans="1:3">
      <c r="A37">
        <v>200370</v>
      </c>
      <c r="B37" t="s">
        <v>464</v>
      </c>
      <c r="C37" t="s">
        <v>2535</v>
      </c>
    </row>
    <row r="38" spans="1:3">
      <c r="A38">
        <v>200380</v>
      </c>
      <c r="B38" t="s">
        <v>464</v>
      </c>
      <c r="C38" t="s">
        <v>2536</v>
      </c>
    </row>
    <row r="39" spans="1:3">
      <c r="A39">
        <v>200390</v>
      </c>
      <c r="B39" t="s">
        <v>464</v>
      </c>
      <c r="C39" t="s">
        <v>2537</v>
      </c>
    </row>
    <row r="40" spans="1:3">
      <c r="A40">
        <v>200400</v>
      </c>
      <c r="B40" t="s">
        <v>464</v>
      </c>
      <c r="C40" t="s">
        <v>2538</v>
      </c>
    </row>
    <row r="41" spans="1:3">
      <c r="A41">
        <v>200410</v>
      </c>
      <c r="B41" t="s">
        <v>464</v>
      </c>
      <c r="C41" t="s">
        <v>2539</v>
      </c>
    </row>
    <row r="42" spans="1:3">
      <c r="A42">
        <v>400000</v>
      </c>
      <c r="B42" t="s">
        <v>2622</v>
      </c>
      <c r="C42" t="s">
        <v>2623</v>
      </c>
    </row>
    <row r="43" spans="1:3">
      <c r="A43">
        <v>400001</v>
      </c>
      <c r="B43" t="s">
        <v>2622</v>
      </c>
      <c r="C43" t="s">
        <v>2624</v>
      </c>
    </row>
    <row r="44" spans="1:3">
      <c r="A44">
        <v>200960</v>
      </c>
      <c r="B44" t="s">
        <v>2622</v>
      </c>
      <c r="C44" t="s">
        <v>2625</v>
      </c>
    </row>
    <row r="45" spans="1:3">
      <c r="A45">
        <v>200970</v>
      </c>
      <c r="B45" t="s">
        <v>2622</v>
      </c>
      <c r="C45" t="s">
        <v>2626</v>
      </c>
    </row>
    <row r="46" spans="1:3">
      <c r="A46">
        <v>200980</v>
      </c>
      <c r="B46" t="s">
        <v>2622</v>
      </c>
      <c r="C46" t="s">
        <v>2627</v>
      </c>
    </row>
    <row r="47" spans="1:3">
      <c r="A47">
        <v>200950</v>
      </c>
      <c r="B47" t="s">
        <v>2622</v>
      </c>
      <c r="C47" t="s">
        <v>2628</v>
      </c>
    </row>
    <row r="48" spans="1:3">
      <c r="A48">
        <v>200530</v>
      </c>
      <c r="B48" t="s">
        <v>2622</v>
      </c>
      <c r="C48" t="s">
        <v>2629</v>
      </c>
    </row>
    <row r="49" spans="1:3">
      <c r="A49">
        <v>200520</v>
      </c>
      <c r="B49" t="s">
        <v>2622</v>
      </c>
      <c r="C49" t="s">
        <v>2630</v>
      </c>
    </row>
    <row r="50" spans="1:3">
      <c r="A50">
        <v>200830</v>
      </c>
      <c r="B50" t="s">
        <v>2622</v>
      </c>
      <c r="C50" t="s">
        <v>2631</v>
      </c>
    </row>
    <row r="51" spans="1:3">
      <c r="A51">
        <v>200840</v>
      </c>
      <c r="B51" t="s">
        <v>2622</v>
      </c>
      <c r="C51" t="s">
        <v>2632</v>
      </c>
    </row>
    <row r="52" spans="1:3">
      <c r="A52">
        <v>200850</v>
      </c>
      <c r="B52" t="s">
        <v>2622</v>
      </c>
      <c r="C52" t="s">
        <v>2633</v>
      </c>
    </row>
    <row r="53" spans="1:3">
      <c r="A53">
        <v>200930</v>
      </c>
      <c r="B53" t="s">
        <v>2622</v>
      </c>
      <c r="C53" t="s">
        <v>2634</v>
      </c>
    </row>
    <row r="54" spans="1:3">
      <c r="A54">
        <v>200940</v>
      </c>
      <c r="B54" t="s">
        <v>2622</v>
      </c>
      <c r="C54" t="s">
        <v>2635</v>
      </c>
    </row>
    <row r="55" spans="1:3">
      <c r="A55">
        <v>400020</v>
      </c>
      <c r="B55" t="s">
        <v>2622</v>
      </c>
      <c r="C55" t="s">
        <v>2636</v>
      </c>
    </row>
    <row r="56" spans="1:3">
      <c r="A56">
        <v>200560</v>
      </c>
      <c r="B56" t="s">
        <v>2622</v>
      </c>
      <c r="C56" t="s">
        <v>2637</v>
      </c>
    </row>
    <row r="57" spans="1:3">
      <c r="A57">
        <v>200550</v>
      </c>
      <c r="B57" t="s">
        <v>2622</v>
      </c>
      <c r="C57" t="s">
        <v>2638</v>
      </c>
    </row>
    <row r="58" spans="1:3">
      <c r="A58">
        <v>201140</v>
      </c>
      <c r="B58" t="s">
        <v>2622</v>
      </c>
      <c r="C58" t="s">
        <v>2639</v>
      </c>
    </row>
    <row r="59" spans="1:3">
      <c r="A59">
        <v>400040</v>
      </c>
      <c r="B59" t="s">
        <v>2622</v>
      </c>
      <c r="C59" t="s">
        <v>2640</v>
      </c>
    </row>
    <row r="60" spans="1:3">
      <c r="A60">
        <v>201150</v>
      </c>
      <c r="B60" t="s">
        <v>2622</v>
      </c>
      <c r="C60" t="s">
        <v>2641</v>
      </c>
    </row>
    <row r="61" spans="1:3">
      <c r="A61">
        <v>200680</v>
      </c>
      <c r="B61" t="s">
        <v>2622</v>
      </c>
      <c r="C61" t="s">
        <v>2642</v>
      </c>
    </row>
    <row r="62" spans="1:3">
      <c r="A62">
        <v>201130</v>
      </c>
      <c r="B62" t="s">
        <v>2622</v>
      </c>
      <c r="C62" t="s">
        <v>2643</v>
      </c>
    </row>
    <row r="63" spans="1:3">
      <c r="A63">
        <v>200720</v>
      </c>
      <c r="B63" t="s">
        <v>2622</v>
      </c>
      <c r="C63" t="s">
        <v>2644</v>
      </c>
    </row>
    <row r="64" spans="1:3">
      <c r="A64">
        <v>200810</v>
      </c>
      <c r="B64" t="s">
        <v>2622</v>
      </c>
      <c r="C64" t="s">
        <v>2645</v>
      </c>
    </row>
    <row r="65" spans="1:3">
      <c r="A65">
        <v>400120</v>
      </c>
      <c r="B65" t="s">
        <v>2622</v>
      </c>
      <c r="C65" t="s">
        <v>2646</v>
      </c>
    </row>
    <row r="66" spans="1:3">
      <c r="A66">
        <v>400030</v>
      </c>
      <c r="B66" t="s">
        <v>2622</v>
      </c>
      <c r="C66" t="s">
        <v>2647</v>
      </c>
    </row>
    <row r="67" spans="1:3">
      <c r="A67">
        <v>201270</v>
      </c>
      <c r="B67" t="s">
        <v>2622</v>
      </c>
      <c r="C67" t="s">
        <v>2648</v>
      </c>
    </row>
    <row r="68" spans="1:3">
      <c r="A68">
        <v>201250</v>
      </c>
      <c r="B68" t="s">
        <v>2622</v>
      </c>
      <c r="C68" t="s">
        <v>2649</v>
      </c>
    </row>
    <row r="69" spans="1:3">
      <c r="A69">
        <v>201260</v>
      </c>
      <c r="B69" t="s">
        <v>2622</v>
      </c>
      <c r="C69" t="s">
        <v>2650</v>
      </c>
    </row>
    <row r="70" spans="1:3">
      <c r="A70">
        <v>201160</v>
      </c>
      <c r="B70" t="s">
        <v>2622</v>
      </c>
      <c r="C70" t="s">
        <v>2651</v>
      </c>
    </row>
    <row r="71" spans="1:3">
      <c r="A71">
        <v>400060</v>
      </c>
      <c r="B71" t="s">
        <v>2622</v>
      </c>
      <c r="C71" t="s">
        <v>2652</v>
      </c>
    </row>
    <row r="72" spans="1:3">
      <c r="A72">
        <v>400100</v>
      </c>
      <c r="B72" t="s">
        <v>2622</v>
      </c>
      <c r="C72" t="s">
        <v>2653</v>
      </c>
    </row>
    <row r="73" spans="1:3">
      <c r="A73">
        <v>201280</v>
      </c>
      <c r="B73" t="s">
        <v>2622</v>
      </c>
      <c r="C73" t="s">
        <v>2654</v>
      </c>
    </row>
    <row r="74" spans="1:3">
      <c r="A74">
        <v>201180</v>
      </c>
      <c r="B74" t="s">
        <v>2622</v>
      </c>
      <c r="C74" t="s">
        <v>2655</v>
      </c>
    </row>
    <row r="75" spans="1:3">
      <c r="A75">
        <v>400130</v>
      </c>
      <c r="B75" t="s">
        <v>2622</v>
      </c>
      <c r="C75" t="s">
        <v>2656</v>
      </c>
    </row>
    <row r="76" spans="1:3">
      <c r="A76">
        <v>200990</v>
      </c>
      <c r="B76" t="s">
        <v>2622</v>
      </c>
      <c r="C76" t="s">
        <v>2657</v>
      </c>
    </row>
    <row r="77" spans="1:3">
      <c r="A77">
        <v>201320</v>
      </c>
      <c r="B77" t="s">
        <v>2622</v>
      </c>
      <c r="C77" t="s">
        <v>2658</v>
      </c>
    </row>
    <row r="78" spans="1:3">
      <c r="A78">
        <v>201190</v>
      </c>
      <c r="B78" t="s">
        <v>2622</v>
      </c>
      <c r="C78" t="s">
        <v>2659</v>
      </c>
    </row>
    <row r="79" spans="1:3">
      <c r="A79">
        <v>201020</v>
      </c>
      <c r="B79" t="s">
        <v>2622</v>
      </c>
      <c r="C79" t="s">
        <v>2660</v>
      </c>
    </row>
    <row r="80" spans="1:3">
      <c r="A80">
        <v>201010</v>
      </c>
      <c r="B80" t="s">
        <v>2622</v>
      </c>
      <c r="C80" t="s">
        <v>2661</v>
      </c>
    </row>
    <row r="81" spans="1:3">
      <c r="A81">
        <v>201050</v>
      </c>
      <c r="B81" t="s">
        <v>2622</v>
      </c>
      <c r="C81" t="s">
        <v>2662</v>
      </c>
    </row>
    <row r="82" spans="1:3">
      <c r="A82">
        <v>200740</v>
      </c>
      <c r="B82" t="s">
        <v>2622</v>
      </c>
      <c r="C82" t="s">
        <v>2663</v>
      </c>
    </row>
    <row r="83" spans="1:3">
      <c r="A83">
        <v>200730</v>
      </c>
      <c r="B83" t="s">
        <v>2622</v>
      </c>
      <c r="C83" t="s">
        <v>2664</v>
      </c>
    </row>
    <row r="84" spans="1:3">
      <c r="A84">
        <v>201040</v>
      </c>
      <c r="B84" t="s">
        <v>2622</v>
      </c>
      <c r="C84" t="s">
        <v>2665</v>
      </c>
    </row>
    <row r="85" spans="1:3">
      <c r="A85">
        <v>200750</v>
      </c>
      <c r="B85" t="s">
        <v>2622</v>
      </c>
      <c r="C85" t="s">
        <v>2666</v>
      </c>
    </row>
    <row r="86" spans="1:3">
      <c r="A86">
        <v>400200</v>
      </c>
      <c r="B86" t="s">
        <v>2622</v>
      </c>
      <c r="C86" t="s">
        <v>2667</v>
      </c>
    </row>
    <row r="87" spans="1:3">
      <c r="A87">
        <v>200500</v>
      </c>
      <c r="B87" t="s">
        <v>2622</v>
      </c>
      <c r="C87" t="s">
        <v>2668</v>
      </c>
    </row>
    <row r="88" spans="1:3">
      <c r="A88">
        <v>200770</v>
      </c>
      <c r="B88" t="s">
        <v>2622</v>
      </c>
      <c r="C88" t="s">
        <v>2669</v>
      </c>
    </row>
    <row r="89" spans="1:3">
      <c r="A89">
        <v>201080</v>
      </c>
      <c r="B89" t="s">
        <v>2622</v>
      </c>
      <c r="C89" t="s">
        <v>2670</v>
      </c>
    </row>
    <row r="90" spans="1:3">
      <c r="A90">
        <v>400140</v>
      </c>
      <c r="B90" t="s">
        <v>2622</v>
      </c>
      <c r="C90" t="s">
        <v>2671</v>
      </c>
    </row>
    <row r="91" spans="1:3">
      <c r="A91">
        <v>200590</v>
      </c>
      <c r="B91" t="s">
        <v>2622</v>
      </c>
      <c r="C91" t="s">
        <v>2672</v>
      </c>
    </row>
    <row r="92" spans="1:3">
      <c r="A92">
        <v>400150</v>
      </c>
      <c r="B92" t="s">
        <v>2622</v>
      </c>
      <c r="C92" t="s">
        <v>2673</v>
      </c>
    </row>
    <row r="93" spans="1:3">
      <c r="A93">
        <v>200600</v>
      </c>
      <c r="B93" t="s">
        <v>2622</v>
      </c>
      <c r="C93" t="s">
        <v>2674</v>
      </c>
    </row>
    <row r="94" spans="1:3">
      <c r="A94">
        <v>201060</v>
      </c>
      <c r="B94" t="s">
        <v>2622</v>
      </c>
      <c r="C94" t="s">
        <v>2675</v>
      </c>
    </row>
    <row r="95" spans="1:3">
      <c r="A95">
        <v>201290</v>
      </c>
      <c r="B95" t="s">
        <v>2622</v>
      </c>
      <c r="C95" t="s">
        <v>2676</v>
      </c>
    </row>
    <row r="96" spans="1:3">
      <c r="A96">
        <v>200620</v>
      </c>
      <c r="B96" t="s">
        <v>2622</v>
      </c>
      <c r="C96" t="s">
        <v>2677</v>
      </c>
    </row>
    <row r="97" spans="1:3">
      <c r="A97">
        <v>200670</v>
      </c>
      <c r="B97" t="s">
        <v>2622</v>
      </c>
      <c r="C97" t="s">
        <v>2678</v>
      </c>
    </row>
    <row r="98" spans="1:3">
      <c r="A98">
        <v>201300</v>
      </c>
      <c r="B98" t="s">
        <v>2622</v>
      </c>
      <c r="C98" t="s">
        <v>2679</v>
      </c>
    </row>
    <row r="99" spans="1:3">
      <c r="A99">
        <v>400210</v>
      </c>
      <c r="B99" t="s">
        <v>2622</v>
      </c>
      <c r="C99" t="s">
        <v>2680</v>
      </c>
    </row>
    <row r="100" spans="1:3">
      <c r="A100">
        <v>201230</v>
      </c>
      <c r="B100" t="s">
        <v>2622</v>
      </c>
      <c r="C100" t="s">
        <v>2681</v>
      </c>
    </row>
    <row r="101" spans="1:3">
      <c r="A101">
        <v>201090</v>
      </c>
      <c r="B101" t="s">
        <v>2622</v>
      </c>
      <c r="C101" t="s">
        <v>2682</v>
      </c>
    </row>
    <row r="102" spans="1:3">
      <c r="A102">
        <v>201240</v>
      </c>
      <c r="B102" t="s">
        <v>2622</v>
      </c>
      <c r="C102" t="s">
        <v>2683</v>
      </c>
    </row>
    <row r="103" spans="1:3">
      <c r="A103">
        <v>201241</v>
      </c>
      <c r="B103" t="s">
        <v>2622</v>
      </c>
      <c r="C103" t="s">
        <v>2684</v>
      </c>
    </row>
    <row r="104" spans="1:3">
      <c r="A104">
        <v>400310</v>
      </c>
      <c r="B104" t="s">
        <v>2622</v>
      </c>
      <c r="C104" t="s">
        <v>2685</v>
      </c>
    </row>
    <row r="105" spans="1:3">
      <c r="A105">
        <v>400190</v>
      </c>
      <c r="B105" t="s">
        <v>2622</v>
      </c>
      <c r="C105" t="s">
        <v>2686</v>
      </c>
    </row>
    <row r="106" spans="1:3">
      <c r="A106">
        <v>400350</v>
      </c>
      <c r="B106" t="s">
        <v>2622</v>
      </c>
      <c r="C106" t="s">
        <v>2687</v>
      </c>
    </row>
    <row r="107" spans="1:3">
      <c r="A107">
        <v>400160</v>
      </c>
      <c r="B107" t="s">
        <v>2622</v>
      </c>
      <c r="C107" t="s">
        <v>2688</v>
      </c>
    </row>
    <row r="108" spans="1:3">
      <c r="A108">
        <v>200900</v>
      </c>
      <c r="B108" t="s">
        <v>2622</v>
      </c>
      <c r="C108" t="s">
        <v>2689</v>
      </c>
    </row>
    <row r="109" spans="1:3">
      <c r="A109">
        <v>200910</v>
      </c>
      <c r="B109" t="s">
        <v>2622</v>
      </c>
      <c r="C109" t="s">
        <v>2690</v>
      </c>
    </row>
    <row r="110" spans="1:3">
      <c r="A110">
        <v>201220</v>
      </c>
      <c r="B110" t="s">
        <v>2622</v>
      </c>
      <c r="C110" t="s">
        <v>2691</v>
      </c>
    </row>
    <row r="111" spans="1:3">
      <c r="A111">
        <v>201110</v>
      </c>
      <c r="B111" t="s">
        <v>2622</v>
      </c>
      <c r="C111" t="s">
        <v>2692</v>
      </c>
    </row>
    <row r="112" spans="1:3">
      <c r="A112">
        <v>201310</v>
      </c>
      <c r="B112" t="s">
        <v>2622</v>
      </c>
      <c r="C112" t="s">
        <v>2693</v>
      </c>
    </row>
    <row r="113" spans="1:3">
      <c r="A113">
        <v>200790</v>
      </c>
      <c r="B113" t="s">
        <v>2622</v>
      </c>
      <c r="C113" t="s">
        <v>2694</v>
      </c>
    </row>
    <row r="114" spans="1:3">
      <c r="A114">
        <v>201100</v>
      </c>
      <c r="B114" t="s">
        <v>2622</v>
      </c>
      <c r="C114" t="s">
        <v>2695</v>
      </c>
    </row>
    <row r="115" spans="1:3">
      <c r="A115">
        <v>200820</v>
      </c>
      <c r="B115" t="s">
        <v>2622</v>
      </c>
      <c r="C115" t="s">
        <v>2696</v>
      </c>
    </row>
    <row r="116" spans="1:3">
      <c r="A116">
        <v>201120</v>
      </c>
      <c r="B116" t="s">
        <v>2622</v>
      </c>
      <c r="C116" t="s">
        <v>2697</v>
      </c>
    </row>
    <row r="117" spans="1:3">
      <c r="A117">
        <v>400110</v>
      </c>
      <c r="B117" t="s">
        <v>2622</v>
      </c>
      <c r="C117" t="s">
        <v>2698</v>
      </c>
    </row>
    <row r="118" spans="1:3">
      <c r="A118">
        <v>400050</v>
      </c>
      <c r="B118" t="s">
        <v>2622</v>
      </c>
      <c r="C118" t="s">
        <v>2699</v>
      </c>
    </row>
    <row r="119" spans="1:3">
      <c r="A119">
        <v>201200</v>
      </c>
      <c r="B119" t="s">
        <v>2622</v>
      </c>
      <c r="C119" t="s">
        <v>2700</v>
      </c>
    </row>
    <row r="120" spans="1:3">
      <c r="A120">
        <v>302000</v>
      </c>
      <c r="B120" t="s">
        <v>2622</v>
      </c>
      <c r="C120" t="s">
        <v>2701</v>
      </c>
    </row>
    <row r="121" spans="1:3">
      <c r="A121">
        <v>302010</v>
      </c>
      <c r="B121" t="s">
        <v>2622</v>
      </c>
      <c r="C121" t="s">
        <v>2702</v>
      </c>
    </row>
    <row r="122" spans="1:3">
      <c r="A122">
        <v>201330</v>
      </c>
      <c r="B122" t="s">
        <v>2622</v>
      </c>
      <c r="C122" t="s">
        <v>2703</v>
      </c>
    </row>
    <row r="123" spans="1:3">
      <c r="A123">
        <v>301980</v>
      </c>
      <c r="B123" t="s">
        <v>2622</v>
      </c>
      <c r="C123" t="s">
        <v>2704</v>
      </c>
    </row>
    <row r="124" spans="1:3">
      <c r="A124">
        <v>302020</v>
      </c>
      <c r="B124" t="s">
        <v>2622</v>
      </c>
      <c r="C124" t="s">
        <v>2705</v>
      </c>
    </row>
    <row r="125" spans="1:3">
      <c r="A125">
        <v>302030</v>
      </c>
      <c r="B125" t="s">
        <v>2622</v>
      </c>
      <c r="C125" t="s">
        <v>2706</v>
      </c>
    </row>
    <row r="126" spans="1:3">
      <c r="A126">
        <v>201340</v>
      </c>
      <c r="B126" t="s">
        <v>2622</v>
      </c>
      <c r="C126" t="s">
        <v>2707</v>
      </c>
    </row>
    <row r="127" spans="1:3">
      <c r="A127">
        <v>201210</v>
      </c>
      <c r="B127" t="s">
        <v>2622</v>
      </c>
      <c r="C127" t="s">
        <v>2708</v>
      </c>
    </row>
    <row r="128" spans="1:3">
      <c r="A128">
        <v>302040</v>
      </c>
      <c r="B128" t="s">
        <v>2622</v>
      </c>
      <c r="C128" t="s">
        <v>2709</v>
      </c>
    </row>
    <row r="129" spans="1:3">
      <c r="A129">
        <v>400600</v>
      </c>
      <c r="B129" t="s">
        <v>2622</v>
      </c>
      <c r="C129" t="s">
        <v>2710</v>
      </c>
    </row>
    <row r="130" spans="1:3">
      <c r="A130">
        <v>400940</v>
      </c>
      <c r="B130" t="s">
        <v>2622</v>
      </c>
      <c r="C130" t="s">
        <v>2711</v>
      </c>
    </row>
    <row r="131" spans="1:3">
      <c r="A131">
        <v>400610</v>
      </c>
      <c r="B131" t="s">
        <v>2622</v>
      </c>
      <c r="C131" t="s">
        <v>2712</v>
      </c>
    </row>
    <row r="132" spans="1:3">
      <c r="A132">
        <v>400620</v>
      </c>
      <c r="B132" t="s">
        <v>2622</v>
      </c>
      <c r="C132" t="s">
        <v>2713</v>
      </c>
    </row>
    <row r="133" spans="1:3">
      <c r="A133">
        <v>400630</v>
      </c>
      <c r="B133" t="s">
        <v>2622</v>
      </c>
      <c r="C133" t="s">
        <v>2714</v>
      </c>
    </row>
    <row r="134" spans="1:3">
      <c r="A134">
        <v>200630</v>
      </c>
      <c r="B134" t="s">
        <v>2622</v>
      </c>
      <c r="C134" t="s">
        <v>2715</v>
      </c>
    </row>
    <row r="135" spans="1:3">
      <c r="A135">
        <v>400640</v>
      </c>
      <c r="B135" t="s">
        <v>2622</v>
      </c>
      <c r="C135" t="s">
        <v>2716</v>
      </c>
    </row>
    <row r="136" spans="1:3">
      <c r="A136">
        <v>400650</v>
      </c>
      <c r="B136" t="s">
        <v>2622</v>
      </c>
      <c r="C136" t="s">
        <v>2717</v>
      </c>
    </row>
    <row r="137" spans="1:3">
      <c r="A137">
        <v>400700</v>
      </c>
      <c r="B137" t="s">
        <v>2622</v>
      </c>
      <c r="C137" t="s">
        <v>2718</v>
      </c>
    </row>
    <row r="138" spans="1:3">
      <c r="A138">
        <v>400710</v>
      </c>
      <c r="B138" t="s">
        <v>2622</v>
      </c>
      <c r="C138" t="s">
        <v>2719</v>
      </c>
    </row>
    <row r="139" spans="1:3">
      <c r="A139">
        <v>400720</v>
      </c>
      <c r="B139" t="s">
        <v>2622</v>
      </c>
      <c r="C139" t="s">
        <v>2720</v>
      </c>
    </row>
    <row r="140" spans="1:3">
      <c r="A140">
        <v>400950</v>
      </c>
      <c r="B140" t="s">
        <v>2622</v>
      </c>
      <c r="C140" t="s">
        <v>6136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4632-5881-4DD7-BD72-7AF40DCAFB3A}">
  <sheetPr codeName="Sheet8"/>
  <dimension ref="A1:A7"/>
  <sheetViews>
    <sheetView workbookViewId="0">
      <selection activeCell="A8" sqref="A8"/>
    </sheetView>
  </sheetViews>
  <sheetFormatPr defaultRowHeight="14.25"/>
  <sheetData>
    <row r="1" spans="1:1">
      <c r="A1" t="s">
        <v>2090</v>
      </c>
    </row>
    <row r="2" spans="1:1">
      <c r="A2" t="s">
        <v>2091</v>
      </c>
    </row>
    <row r="3" spans="1:1">
      <c r="A3" t="s">
        <v>2092</v>
      </c>
    </row>
    <row r="4" spans="1:1">
      <c r="A4" t="s">
        <v>2093</v>
      </c>
    </row>
    <row r="5" spans="1:1">
      <c r="A5" t="s">
        <v>2094</v>
      </c>
    </row>
    <row r="6" spans="1:1">
      <c r="A6" t="s">
        <v>2095</v>
      </c>
    </row>
    <row r="7" spans="1:1">
      <c r="A7" t="s">
        <v>6112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568A-9522-43E8-BCB9-D3DC337856E4}">
  <sheetPr codeName="Sheet14"/>
  <dimension ref="A1:AR130"/>
  <sheetViews>
    <sheetView workbookViewId="0">
      <selection activeCell="C27" sqref="C27"/>
    </sheetView>
  </sheetViews>
  <sheetFormatPr defaultRowHeight="14.25"/>
  <cols>
    <col min="1" max="1" width="5.1328125" bestFit="1" customWidth="1"/>
    <col min="2" max="2" width="14.86328125" bestFit="1" customWidth="1"/>
    <col min="3" max="3" width="34.73046875" bestFit="1" customWidth="1"/>
    <col min="4" max="4" width="53.3984375" customWidth="1"/>
    <col min="5" max="5" width="34.73046875" bestFit="1" customWidth="1"/>
    <col min="6" max="7" width="30.73046875" bestFit="1" customWidth="1"/>
    <col min="8" max="8" width="12.3984375" bestFit="1" customWidth="1"/>
    <col min="9" max="9" width="13.1328125" bestFit="1" customWidth="1"/>
    <col min="10" max="10" width="14.73046875" bestFit="1" customWidth="1"/>
    <col min="11" max="11" width="20" bestFit="1" customWidth="1"/>
    <col min="12" max="12" width="83.59765625" bestFit="1" customWidth="1"/>
    <col min="13" max="13" width="21.265625" bestFit="1" customWidth="1"/>
    <col min="14" max="14" width="15.3984375" bestFit="1" customWidth="1"/>
    <col min="15" max="15" width="53.59765625" bestFit="1" customWidth="1"/>
    <col min="16" max="16" width="35.265625" bestFit="1" customWidth="1"/>
    <col min="17" max="17" width="23.3984375" bestFit="1" customWidth="1"/>
    <col min="18" max="18" width="21.73046875" bestFit="1" customWidth="1"/>
    <col min="19" max="19" width="18.86328125" bestFit="1" customWidth="1"/>
    <col min="20" max="20" width="16.73046875" bestFit="1" customWidth="1"/>
    <col min="21" max="21" width="45.1328125" bestFit="1" customWidth="1"/>
    <col min="22" max="22" width="12.3984375" bestFit="1" customWidth="1"/>
    <col min="23" max="23" width="22.265625" bestFit="1" customWidth="1"/>
    <col min="24" max="24" width="43.1328125" bestFit="1" customWidth="1"/>
    <col min="25" max="25" width="13.265625" bestFit="1" customWidth="1"/>
    <col min="26" max="26" width="21" bestFit="1" customWidth="1"/>
    <col min="27" max="27" width="5.1328125" bestFit="1" customWidth="1"/>
    <col min="28" max="28" width="9" bestFit="1" customWidth="1"/>
    <col min="29" max="29" width="10" bestFit="1" customWidth="1"/>
    <col min="30" max="30" width="12" bestFit="1" customWidth="1"/>
    <col min="31" max="31" width="19" bestFit="1" customWidth="1"/>
    <col min="35" max="35" width="170" bestFit="1" customWidth="1"/>
    <col min="36" max="36" width="138.73046875" bestFit="1" customWidth="1"/>
    <col min="37" max="37" width="134.265625" bestFit="1" customWidth="1"/>
    <col min="38" max="38" width="2.265625" bestFit="1" customWidth="1"/>
    <col min="39" max="39" width="45.73046875" bestFit="1" customWidth="1"/>
  </cols>
  <sheetData>
    <row r="1" spans="1:44">
      <c r="A1" s="1" t="s">
        <v>0</v>
      </c>
      <c r="B1" s="1" t="s">
        <v>2863</v>
      </c>
      <c r="C1" s="1" t="s">
        <v>72</v>
      </c>
      <c r="D1" s="1" t="s">
        <v>12</v>
      </c>
      <c r="E1" s="1" t="s">
        <v>887</v>
      </c>
      <c r="F1" s="1" t="s">
        <v>333</v>
      </c>
      <c r="G1" s="1" t="s">
        <v>463</v>
      </c>
      <c r="H1" s="1" t="s">
        <v>875</v>
      </c>
      <c r="I1" s="1" t="s">
        <v>896</v>
      </c>
      <c r="J1" s="1" t="s">
        <v>876</v>
      </c>
      <c r="K1" s="1" t="s">
        <v>877</v>
      </c>
      <c r="L1" s="1" t="s">
        <v>338</v>
      </c>
      <c r="M1" s="1" t="s">
        <v>878</v>
      </c>
      <c r="N1" s="1" t="s">
        <v>879</v>
      </c>
      <c r="O1" s="1" t="s">
        <v>880</v>
      </c>
      <c r="P1" s="1" t="s">
        <v>881</v>
      </c>
      <c r="Q1" s="1" t="s">
        <v>882</v>
      </c>
      <c r="R1" s="1" t="s">
        <v>883</v>
      </c>
      <c r="S1" s="2" t="s">
        <v>468</v>
      </c>
      <c r="T1" s="1" t="s">
        <v>2862</v>
      </c>
      <c r="U1" s="1" t="s">
        <v>83</v>
      </c>
      <c r="V1" s="1" t="s">
        <v>1476</v>
      </c>
      <c r="W1" s="1" t="s">
        <v>1535</v>
      </c>
      <c r="X1" s="1"/>
      <c r="Y1" s="1" t="s">
        <v>3051</v>
      </c>
      <c r="Z1" s="1" t="s">
        <v>2497</v>
      </c>
      <c r="AA1" s="1" t="s">
        <v>0</v>
      </c>
      <c r="AB1" s="1" t="s">
        <v>6071</v>
      </c>
      <c r="AC1" s="1" t="s">
        <v>897</v>
      </c>
      <c r="AD1" s="1" t="s">
        <v>898</v>
      </c>
      <c r="AE1" s="1" t="s">
        <v>899</v>
      </c>
      <c r="AF1" s="1"/>
      <c r="AG1" s="1"/>
      <c r="AH1" s="1"/>
      <c r="AI1" s="1" t="s">
        <v>6146</v>
      </c>
      <c r="AJ1" s="1" t="s">
        <v>900</v>
      </c>
      <c r="AK1" s="1" t="s">
        <v>901</v>
      </c>
      <c r="AL1" s="1"/>
      <c r="AM1" s="1"/>
      <c r="AN1" s="1"/>
      <c r="AO1" s="1"/>
      <c r="AP1" s="1"/>
      <c r="AQ1" s="1"/>
      <c r="AR1" s="1"/>
    </row>
    <row r="2" spans="1:44">
      <c r="A2">
        <v>10</v>
      </c>
      <c r="B2" t="s">
        <v>1475</v>
      </c>
      <c r="C2" s="7" t="s">
        <v>2826</v>
      </c>
      <c r="D2" s="7"/>
      <c r="E2" s="7" t="s">
        <v>1983</v>
      </c>
      <c r="F2" s="7"/>
      <c r="G2" s="7"/>
      <c r="H2" t="s">
        <v>94</v>
      </c>
      <c r="I2" s="7" t="s">
        <v>919</v>
      </c>
      <c r="J2" s="3">
        <v>0</v>
      </c>
      <c r="K2" s="7" t="s">
        <v>0</v>
      </c>
      <c r="L2" s="7"/>
      <c r="M2" s="4"/>
      <c r="N2" s="7"/>
      <c r="O2" s="7"/>
      <c r="P2" s="8" t="s">
        <v>2156</v>
      </c>
      <c r="Q2" s="3"/>
      <c r="S2" s="10"/>
      <c r="T2" s="7" t="s">
        <v>94</v>
      </c>
      <c r="U2" s="7"/>
      <c r="V2" s="7"/>
      <c r="W2" s="7"/>
      <c r="X2" s="7"/>
      <c r="Y2" t="s">
        <v>92</v>
      </c>
      <c r="Z2" s="7"/>
      <c r="AA2" s="7"/>
      <c r="AB2">
        <v>10</v>
      </c>
      <c r="AC2" s="7"/>
      <c r="AD2" s="7"/>
      <c r="AE2" s="7"/>
      <c r="AG2" s="3"/>
      <c r="AH2" s="7"/>
      <c r="AJ2" s="7"/>
      <c r="AK2" t="s">
        <v>6231</v>
      </c>
    </row>
    <row r="3" spans="1:44">
      <c r="A3">
        <v>11</v>
      </c>
      <c r="B3" t="s">
        <v>1475</v>
      </c>
      <c r="C3" s="7" t="s">
        <v>2827</v>
      </c>
      <c r="D3" s="7"/>
      <c r="E3" s="7" t="s">
        <v>2067</v>
      </c>
      <c r="F3" s="7"/>
      <c r="G3" s="7"/>
      <c r="H3" t="s">
        <v>94</v>
      </c>
      <c r="I3" s="7" t="s">
        <v>919</v>
      </c>
      <c r="J3" s="3">
        <v>0</v>
      </c>
      <c r="K3" s="7" t="s">
        <v>0</v>
      </c>
      <c r="L3" s="7"/>
      <c r="M3" s="4"/>
      <c r="N3" s="7"/>
      <c r="O3" s="7"/>
      <c r="P3" s="8" t="s">
        <v>2157</v>
      </c>
      <c r="Q3" s="3"/>
      <c r="S3" s="10"/>
      <c r="T3" s="7" t="s">
        <v>94</v>
      </c>
      <c r="U3" s="7"/>
      <c r="V3" s="7"/>
      <c r="W3" s="7"/>
      <c r="X3" s="7"/>
      <c r="Y3" t="s">
        <v>92</v>
      </c>
      <c r="Z3" s="7"/>
      <c r="AA3" s="7"/>
      <c r="AB3">
        <v>11</v>
      </c>
      <c r="AC3" s="7"/>
      <c r="AD3" s="7"/>
      <c r="AE3" s="7"/>
      <c r="AG3" s="3"/>
      <c r="AH3" s="7"/>
      <c r="AJ3" s="7"/>
      <c r="AK3" t="s">
        <v>6232</v>
      </c>
    </row>
    <row r="4" spans="1:44">
      <c r="A4">
        <v>12</v>
      </c>
      <c r="B4" t="s">
        <v>1475</v>
      </c>
      <c r="C4" s="7" t="s">
        <v>2828</v>
      </c>
      <c r="D4" s="7"/>
      <c r="E4" s="7" t="s">
        <v>1984</v>
      </c>
      <c r="F4" s="7"/>
      <c r="G4" s="7"/>
      <c r="H4" t="s">
        <v>94</v>
      </c>
      <c r="I4" s="7" t="s">
        <v>919</v>
      </c>
      <c r="J4" s="3">
        <v>0</v>
      </c>
      <c r="K4" s="7" t="s">
        <v>0</v>
      </c>
      <c r="L4" s="7"/>
      <c r="M4" s="4"/>
      <c r="N4" s="7"/>
      <c r="O4" s="7"/>
      <c r="P4" s="8" t="s">
        <v>2158</v>
      </c>
      <c r="Q4" s="3"/>
      <c r="S4" s="10"/>
      <c r="T4" s="7" t="s">
        <v>94</v>
      </c>
      <c r="U4" s="7"/>
      <c r="V4" s="7"/>
      <c r="W4" s="7"/>
      <c r="X4" s="7"/>
      <c r="Y4" t="s">
        <v>92</v>
      </c>
      <c r="Z4" s="7"/>
      <c r="AA4" s="7"/>
      <c r="AB4">
        <v>12</v>
      </c>
      <c r="AC4" s="7"/>
      <c r="AD4" s="7"/>
      <c r="AE4" s="7"/>
      <c r="AG4" s="3"/>
      <c r="AH4" s="7"/>
      <c r="AJ4" s="7"/>
      <c r="AK4" t="s">
        <v>6233</v>
      </c>
    </row>
    <row r="5" spans="1:44">
      <c r="A5">
        <v>13</v>
      </c>
      <c r="B5" t="s">
        <v>1475</v>
      </c>
      <c r="C5" s="3" t="s">
        <v>2805</v>
      </c>
      <c r="D5" t="s">
        <v>1060</v>
      </c>
      <c r="E5" s="3" t="s">
        <v>35</v>
      </c>
      <c r="F5" s="3" t="s">
        <v>35</v>
      </c>
      <c r="G5" t="s">
        <v>78</v>
      </c>
      <c r="H5" t="s">
        <v>94</v>
      </c>
      <c r="I5" s="3" t="s">
        <v>919</v>
      </c>
      <c r="J5" s="3">
        <v>0</v>
      </c>
      <c r="K5" s="3" t="s">
        <v>0</v>
      </c>
      <c r="L5" s="4" t="s">
        <v>22</v>
      </c>
      <c r="M5" s="4"/>
      <c r="N5" s="4"/>
      <c r="O5" s="4"/>
      <c r="P5" s="3" t="str">
        <f>T5&amp;"."&amp;F5</f>
        <v>System.Command</v>
      </c>
      <c r="Q5" s="3"/>
      <c r="R5" s="5"/>
      <c r="S5" s="10"/>
      <c r="T5" s="7" t="s">
        <v>94</v>
      </c>
      <c r="U5" s="3" t="s">
        <v>2454</v>
      </c>
      <c r="V5" s="3"/>
      <c r="W5" s="3"/>
      <c r="X5" s="4"/>
      <c r="Y5" t="str">
        <f t="shared" ref="Y5:AA6" si="0">IF(ISERROR(VLOOKUP($C5&amp;"."&amp;Y$1,DictionaryColumns,1,FALSE)),"N","Y")</f>
        <v>N</v>
      </c>
      <c r="Z5" t="str">
        <f t="shared" si="0"/>
        <v>Y</v>
      </c>
      <c r="AA5" t="str">
        <f t="shared" si="0"/>
        <v>Y</v>
      </c>
      <c r="AG5" s="3"/>
      <c r="AI5" t="str">
        <f>"WHEN p_sysDictionaryTableID = "&amp;A5&amp;" THEN (SELECT "&amp;L5&amp;" FROM "&amp;C5&amp;" x WHERE x.ID = p_RowID "&amp;IF(I5="Y", " and x.TemporalEndDate = '9999-12-31'","")&amp;")"</f>
        <v>WHEN p_sysDictionaryTableID = 13 THEN (SELECT Name FROM sysCommand x WHERE x.ID = p_RowID )</v>
      </c>
      <c r="AK5" t="str">
        <f>"SELECT setval('"&amp;C5&amp;"_id_seq', COALESCE((SELECT MAX(id)+1 FROM "&amp;C5&amp;"), 1), false);"</f>
        <v>SELECT setval('sysCommand_id_seq', COALESCE((SELECT MAX(id)+1 FROM sysCommand), 1), false);</v>
      </c>
    </row>
    <row r="6" spans="1:44">
      <c r="A6">
        <v>14</v>
      </c>
      <c r="B6" t="s">
        <v>1475</v>
      </c>
      <c r="C6" s="3" t="s">
        <v>2806</v>
      </c>
      <c r="D6" s="3" t="s">
        <v>950</v>
      </c>
      <c r="E6" s="3" t="s">
        <v>346</v>
      </c>
      <c r="F6" s="3" t="s">
        <v>346</v>
      </c>
      <c r="G6" s="3" t="s">
        <v>342</v>
      </c>
      <c r="H6" t="s">
        <v>94</v>
      </c>
      <c r="I6" s="3" t="s">
        <v>919</v>
      </c>
      <c r="J6" s="3">
        <v>0</v>
      </c>
      <c r="K6" s="3" t="s">
        <v>0</v>
      </c>
      <c r="L6" s="3"/>
      <c r="M6" s="4"/>
      <c r="N6" s="3"/>
      <c r="O6" s="3"/>
      <c r="P6" s="3" t="str">
        <f>T6&amp;"."&amp;F6</f>
        <v>System.CommandJoin</v>
      </c>
      <c r="Q6" s="3"/>
      <c r="R6" s="3"/>
      <c r="S6" s="10"/>
      <c r="T6" s="7" t="s">
        <v>94</v>
      </c>
      <c r="U6" s="3" t="s">
        <v>2435</v>
      </c>
      <c r="V6" s="3"/>
      <c r="W6" s="3"/>
      <c r="X6" s="3"/>
      <c r="Y6" t="str">
        <f t="shared" si="0"/>
        <v>N</v>
      </c>
      <c r="Z6" t="str">
        <f t="shared" si="0"/>
        <v>N</v>
      </c>
      <c r="AA6" t="str">
        <f t="shared" si="0"/>
        <v>N</v>
      </c>
      <c r="AB6" t="str">
        <f>IF(ISERROR(VLOOKUP($C6&amp;"."&amp;#REF!,DictionaryColumns,1,FALSE)),"N","Y")</f>
        <v>N</v>
      </c>
      <c r="AC6" s="3"/>
      <c r="AD6" t="str">
        <f>IF(ISERROR(VLOOKUP($C6&amp;"."&amp;#REF!,DictionaryColumns,1,FALSE)),"N","Y")</f>
        <v>N</v>
      </c>
      <c r="AE6" t="str">
        <f>IF(ISERROR(VLOOKUP($C6&amp;"."&amp;#REF!,DictionaryColumns,1,FALSE)),"N","Y")</f>
        <v>N</v>
      </c>
      <c r="AG6" s="3"/>
      <c r="AI6" s="3"/>
      <c r="AK6" t="str">
        <f>"SELECT setval('"&amp;C6&amp;"_id_seq', COALESCE((SELECT MAX(id)+1 FROM "&amp;C6&amp;"), 1), false);"</f>
        <v>SELECT setval('sysCommandJoin_id_seq', COALESCE((SELECT MAX(id)+1 FROM sysCommandJoin), 1), false);</v>
      </c>
    </row>
    <row r="7" spans="1:44">
      <c r="A7">
        <v>20</v>
      </c>
      <c r="B7" t="s">
        <v>1475</v>
      </c>
      <c r="C7" s="7" t="s">
        <v>2822</v>
      </c>
      <c r="D7" s="7"/>
      <c r="E7" s="7" t="s">
        <v>1937</v>
      </c>
      <c r="F7" s="7"/>
      <c r="G7" s="7"/>
      <c r="H7" t="s">
        <v>94</v>
      </c>
      <c r="I7" s="7" t="s">
        <v>919</v>
      </c>
      <c r="J7" s="3">
        <v>0</v>
      </c>
      <c r="K7" s="7" t="s">
        <v>0</v>
      </c>
      <c r="L7" s="7"/>
      <c r="M7" s="4"/>
      <c r="N7" s="7"/>
      <c r="O7" s="7"/>
      <c r="P7" s="8" t="s">
        <v>2152</v>
      </c>
      <c r="Q7" s="3"/>
      <c r="S7" s="10"/>
      <c r="T7" s="7" t="s">
        <v>94</v>
      </c>
      <c r="U7" s="7"/>
      <c r="V7" s="7"/>
      <c r="W7" s="7"/>
      <c r="X7" s="7"/>
      <c r="Y7" t="s">
        <v>92</v>
      </c>
      <c r="Z7" s="7"/>
      <c r="AA7" s="7"/>
      <c r="AB7">
        <v>20</v>
      </c>
      <c r="AC7" s="7"/>
      <c r="AD7" s="7"/>
      <c r="AE7" s="7"/>
      <c r="AG7" s="3"/>
      <c r="AH7" s="7"/>
      <c r="AJ7" s="7"/>
      <c r="AK7" t="s">
        <v>6234</v>
      </c>
    </row>
    <row r="8" spans="1:44">
      <c r="A8">
        <v>21</v>
      </c>
      <c r="B8" t="s">
        <v>1475</v>
      </c>
      <c r="C8" s="7" t="s">
        <v>2829</v>
      </c>
      <c r="D8" s="7"/>
      <c r="E8" s="7" t="s">
        <v>2068</v>
      </c>
      <c r="F8" s="7"/>
      <c r="G8" s="7"/>
      <c r="H8" t="s">
        <v>94</v>
      </c>
      <c r="I8" s="7" t="s">
        <v>919</v>
      </c>
      <c r="J8" s="3">
        <v>0</v>
      </c>
      <c r="K8" s="7" t="s">
        <v>0</v>
      </c>
      <c r="L8" s="7"/>
      <c r="M8" s="4"/>
      <c r="N8" s="7"/>
      <c r="O8" s="7"/>
      <c r="P8" s="8" t="s">
        <v>2159</v>
      </c>
      <c r="Q8" s="3"/>
      <c r="S8" s="10"/>
      <c r="T8" s="7" t="s">
        <v>94</v>
      </c>
      <c r="U8" s="7"/>
      <c r="V8" s="7"/>
      <c r="W8" s="7"/>
      <c r="X8" s="7"/>
      <c r="Y8" t="s">
        <v>92</v>
      </c>
      <c r="Z8" s="7"/>
      <c r="AA8" s="7"/>
      <c r="AB8">
        <v>21</v>
      </c>
      <c r="AC8" s="7"/>
      <c r="AD8" s="7"/>
      <c r="AE8" s="7"/>
      <c r="AG8" s="3"/>
      <c r="AH8" s="7"/>
      <c r="AI8" s="7"/>
      <c r="AJ8" s="7"/>
      <c r="AK8" t="s">
        <v>6235</v>
      </c>
    </row>
    <row r="9" spans="1:44">
      <c r="A9">
        <v>22</v>
      </c>
      <c r="B9" t="s">
        <v>1475</v>
      </c>
      <c r="C9" s="7" t="s">
        <v>2823</v>
      </c>
      <c r="D9" s="7"/>
      <c r="E9" s="7" t="s">
        <v>2066</v>
      </c>
      <c r="F9" s="7"/>
      <c r="G9" s="7"/>
      <c r="H9" t="s">
        <v>94</v>
      </c>
      <c r="I9" s="7" t="s">
        <v>919</v>
      </c>
      <c r="J9" s="3">
        <v>0</v>
      </c>
      <c r="K9" s="7" t="s">
        <v>0</v>
      </c>
      <c r="L9" s="7"/>
      <c r="M9" s="4"/>
      <c r="N9" s="7"/>
      <c r="O9" s="7"/>
      <c r="P9" s="8" t="s">
        <v>2153</v>
      </c>
      <c r="Q9" s="3"/>
      <c r="S9" s="10"/>
      <c r="T9" s="7" t="s">
        <v>94</v>
      </c>
      <c r="U9" s="7"/>
      <c r="V9" s="7"/>
      <c r="W9" s="7"/>
      <c r="X9" s="7"/>
      <c r="Y9" t="s">
        <v>92</v>
      </c>
      <c r="Z9" s="7"/>
      <c r="AA9" s="7"/>
      <c r="AB9">
        <v>22</v>
      </c>
      <c r="AC9" s="7"/>
      <c r="AD9" s="7"/>
      <c r="AE9" s="7"/>
      <c r="AG9" s="3"/>
      <c r="AH9" s="7"/>
      <c r="AJ9" s="7"/>
      <c r="AK9" t="s">
        <v>6236</v>
      </c>
    </row>
    <row r="10" spans="1:44">
      <c r="A10">
        <v>23</v>
      </c>
      <c r="B10" t="s">
        <v>1475</v>
      </c>
      <c r="C10" s="7" t="s">
        <v>2830</v>
      </c>
      <c r="D10" s="7"/>
      <c r="E10" s="8" t="s">
        <v>2069</v>
      </c>
      <c r="F10" s="7"/>
      <c r="G10" s="7"/>
      <c r="H10" t="s">
        <v>94</v>
      </c>
      <c r="I10" s="7" t="s">
        <v>919</v>
      </c>
      <c r="J10" s="3">
        <v>0</v>
      </c>
      <c r="K10" s="7" t="s">
        <v>0</v>
      </c>
      <c r="L10" s="7"/>
      <c r="M10" s="4"/>
      <c r="N10" s="7"/>
      <c r="O10" s="7"/>
      <c r="P10" s="8" t="s">
        <v>2160</v>
      </c>
      <c r="Q10" s="3"/>
      <c r="S10" s="10"/>
      <c r="T10" s="7" t="s">
        <v>94</v>
      </c>
      <c r="U10" s="7"/>
      <c r="V10" s="7"/>
      <c r="W10" s="7"/>
      <c r="X10" s="7"/>
      <c r="Y10" t="s">
        <v>92</v>
      </c>
      <c r="Z10" s="7"/>
      <c r="AA10" s="7"/>
      <c r="AB10">
        <v>23</v>
      </c>
      <c r="AC10" s="7"/>
      <c r="AD10" s="7"/>
      <c r="AE10" s="7"/>
      <c r="AG10" s="3"/>
      <c r="AH10" s="7"/>
      <c r="AI10" s="7"/>
      <c r="AJ10" s="7"/>
      <c r="AK10" t="s">
        <v>6237</v>
      </c>
    </row>
    <row r="11" spans="1:44">
      <c r="A11">
        <v>24</v>
      </c>
      <c r="B11" t="s">
        <v>1475</v>
      </c>
      <c r="C11" s="7" t="s">
        <v>2831</v>
      </c>
      <c r="D11" s="7"/>
      <c r="E11" s="7" t="s">
        <v>2070</v>
      </c>
      <c r="F11" s="7"/>
      <c r="G11" s="7"/>
      <c r="H11" t="s">
        <v>94</v>
      </c>
      <c r="I11" s="7" t="s">
        <v>919</v>
      </c>
      <c r="J11" s="3">
        <v>0</v>
      </c>
      <c r="K11" s="7" t="s">
        <v>0</v>
      </c>
      <c r="L11" s="7"/>
      <c r="M11" s="4"/>
      <c r="N11" s="7"/>
      <c r="O11" s="7"/>
      <c r="P11" s="8" t="s">
        <v>2161</v>
      </c>
      <c r="Q11" s="3"/>
      <c r="S11" s="10"/>
      <c r="T11" s="7" t="s">
        <v>94</v>
      </c>
      <c r="U11" s="7"/>
      <c r="V11" s="7"/>
      <c r="W11" s="7"/>
      <c r="X11" s="7"/>
      <c r="Y11" t="s">
        <v>92</v>
      </c>
      <c r="Z11" s="7"/>
      <c r="AA11" s="7"/>
      <c r="AB11">
        <v>24</v>
      </c>
      <c r="AC11" s="7"/>
      <c r="AD11" s="7"/>
      <c r="AE11" s="7"/>
      <c r="AG11" s="3"/>
      <c r="AH11" s="7"/>
      <c r="AI11" s="7"/>
      <c r="AJ11" s="7"/>
      <c r="AK11" t="s">
        <v>6238</v>
      </c>
    </row>
    <row r="12" spans="1:44">
      <c r="A12">
        <v>25</v>
      </c>
      <c r="B12" t="s">
        <v>1475</v>
      </c>
      <c r="C12" s="7" t="s">
        <v>2832</v>
      </c>
      <c r="D12" s="7"/>
      <c r="E12" s="7" t="s">
        <v>2071</v>
      </c>
      <c r="F12" s="7"/>
      <c r="G12" s="7"/>
      <c r="H12" t="s">
        <v>94</v>
      </c>
      <c r="I12" s="7" t="s">
        <v>919</v>
      </c>
      <c r="J12" s="3">
        <v>0</v>
      </c>
      <c r="K12" s="7" t="s">
        <v>0</v>
      </c>
      <c r="L12" s="7"/>
      <c r="M12" s="4"/>
      <c r="N12" s="7"/>
      <c r="O12" s="7"/>
      <c r="P12" s="8" t="s">
        <v>2162</v>
      </c>
      <c r="Q12" s="3"/>
      <c r="S12" s="10"/>
      <c r="T12" s="7" t="s">
        <v>94</v>
      </c>
      <c r="U12" s="7"/>
      <c r="V12" s="7"/>
      <c r="W12" s="7"/>
      <c r="X12" s="7"/>
      <c r="Y12" t="str">
        <f>IF(ISERROR(VLOOKUP($C12&amp;"."&amp;Y$1,DictionaryColumns,1,FALSE)),"N","Y")</f>
        <v>N</v>
      </c>
      <c r="Z12" s="7"/>
      <c r="AA12" s="7"/>
      <c r="AB12" s="7"/>
      <c r="AC12" s="7"/>
      <c r="AD12" s="7"/>
      <c r="AE12" s="7"/>
      <c r="AG12" s="3"/>
      <c r="AH12" s="7"/>
      <c r="AJ12" s="7"/>
      <c r="AK12" t="str">
        <f>"SELECT setval('"&amp;C12&amp;"_id_seq', COALESCE((SELECT MAX(id)+1 FROM "&amp;C12&amp;"), 1), false);"</f>
        <v>SELECT setval('sysDataSource_id_seq', COALESCE((SELECT MAX(id)+1 FROM sysDataSource), 1), false);</v>
      </c>
    </row>
    <row r="13" spans="1:44">
      <c r="A13">
        <v>27</v>
      </c>
      <c r="B13" t="s">
        <v>1475</v>
      </c>
      <c r="C13" s="7" t="s">
        <v>2835</v>
      </c>
      <c r="D13" s="7"/>
      <c r="E13" s="7" t="s">
        <v>2073</v>
      </c>
      <c r="F13" s="7"/>
      <c r="G13" s="7"/>
      <c r="H13" t="s">
        <v>94</v>
      </c>
      <c r="I13" s="7" t="s">
        <v>919</v>
      </c>
      <c r="J13" s="3">
        <v>0</v>
      </c>
      <c r="K13" s="7" t="s">
        <v>0</v>
      </c>
      <c r="L13" s="7"/>
      <c r="M13" s="4"/>
      <c r="N13" s="7"/>
      <c r="O13" s="7"/>
      <c r="P13" s="8" t="s">
        <v>2164</v>
      </c>
      <c r="Q13" s="3"/>
      <c r="S13" s="10"/>
      <c r="T13" s="7" t="s">
        <v>94</v>
      </c>
      <c r="U13" s="7"/>
      <c r="V13" s="7"/>
      <c r="W13" s="7"/>
      <c r="X13" s="7"/>
      <c r="Y13" t="s">
        <v>92</v>
      </c>
      <c r="Z13" s="7"/>
      <c r="AA13" s="7"/>
      <c r="AB13">
        <v>27</v>
      </c>
      <c r="AC13" s="7"/>
      <c r="AD13" s="7"/>
      <c r="AE13" s="7"/>
      <c r="AG13" s="3"/>
      <c r="AH13" s="7"/>
      <c r="AJ13" s="7"/>
      <c r="AK13" t="s">
        <v>6239</v>
      </c>
    </row>
    <row r="14" spans="1:44">
      <c r="A14">
        <v>30</v>
      </c>
      <c r="B14" t="s">
        <v>1475</v>
      </c>
      <c r="C14" s="7" t="s">
        <v>2824</v>
      </c>
      <c r="D14" s="7"/>
      <c r="E14" s="7" t="s">
        <v>1935</v>
      </c>
      <c r="F14" s="7"/>
      <c r="G14" s="7"/>
      <c r="H14" t="s">
        <v>94</v>
      </c>
      <c r="I14" s="7" t="s">
        <v>919</v>
      </c>
      <c r="J14" s="3">
        <v>0</v>
      </c>
      <c r="K14" s="7" t="s">
        <v>0</v>
      </c>
      <c r="L14" s="7"/>
      <c r="M14" s="4"/>
      <c r="N14" s="7"/>
      <c r="O14" s="7"/>
      <c r="P14" s="8" t="s">
        <v>2154</v>
      </c>
      <c r="Q14" s="3"/>
      <c r="S14" s="10"/>
      <c r="T14" s="7" t="s">
        <v>94</v>
      </c>
      <c r="U14" s="7"/>
      <c r="V14" s="7"/>
      <c r="W14" s="7"/>
      <c r="X14" s="7"/>
      <c r="Y14" t="s">
        <v>92</v>
      </c>
      <c r="Z14" s="7"/>
      <c r="AA14" s="7"/>
      <c r="AB14">
        <v>30</v>
      </c>
      <c r="AC14" s="7"/>
      <c r="AD14" s="7"/>
      <c r="AE14" s="7"/>
      <c r="AG14" s="3"/>
      <c r="AH14" s="7"/>
      <c r="AJ14" s="7"/>
      <c r="AK14" t="s">
        <v>6240</v>
      </c>
    </row>
    <row r="15" spans="1:44">
      <c r="A15">
        <v>31</v>
      </c>
      <c r="B15" t="s">
        <v>1475</v>
      </c>
      <c r="C15" s="7" t="s">
        <v>2817</v>
      </c>
      <c r="D15" s="7"/>
      <c r="E15" s="7" t="s">
        <v>1171</v>
      </c>
      <c r="F15" s="7"/>
      <c r="G15" s="7"/>
      <c r="H15" t="s">
        <v>94</v>
      </c>
      <c r="I15" s="7" t="s">
        <v>919</v>
      </c>
      <c r="J15" s="3">
        <v>0</v>
      </c>
      <c r="K15" s="7" t="s">
        <v>0</v>
      </c>
      <c r="L15" s="7"/>
      <c r="M15" s="4"/>
      <c r="N15" s="7"/>
      <c r="O15" s="7"/>
      <c r="P15" s="8" t="s">
        <v>2147</v>
      </c>
      <c r="Q15" s="3"/>
      <c r="S15" s="10"/>
      <c r="T15" s="7" t="s">
        <v>94</v>
      </c>
      <c r="U15" s="7"/>
      <c r="V15" s="7"/>
      <c r="W15" s="7"/>
      <c r="X15" s="7"/>
      <c r="Y15" t="s">
        <v>92</v>
      </c>
      <c r="Z15" s="7"/>
      <c r="AA15" s="7"/>
      <c r="AB15">
        <v>31</v>
      </c>
      <c r="AC15" s="7"/>
      <c r="AD15" s="7"/>
      <c r="AE15" s="7"/>
      <c r="AG15" s="3"/>
      <c r="AH15" s="7"/>
      <c r="AJ15" s="7"/>
      <c r="AK15" t="s">
        <v>6241</v>
      </c>
    </row>
    <row r="16" spans="1:44">
      <c r="A16">
        <v>32</v>
      </c>
      <c r="B16" t="s">
        <v>1475</v>
      </c>
      <c r="C16" s="7" t="s">
        <v>2819</v>
      </c>
      <c r="D16" s="7"/>
      <c r="E16" s="7" t="s">
        <v>2063</v>
      </c>
      <c r="F16" s="7"/>
      <c r="G16" s="7"/>
      <c r="H16" t="s">
        <v>94</v>
      </c>
      <c r="I16" s="7" t="s">
        <v>919</v>
      </c>
      <c r="J16" s="3">
        <v>0</v>
      </c>
      <c r="K16" s="7" t="s">
        <v>0</v>
      </c>
      <c r="L16" s="7"/>
      <c r="M16" s="4"/>
      <c r="N16" s="7"/>
      <c r="O16" s="7"/>
      <c r="P16" s="8" t="s">
        <v>2149</v>
      </c>
      <c r="Q16" s="3"/>
      <c r="S16" s="10"/>
      <c r="T16" s="7" t="s">
        <v>94</v>
      </c>
      <c r="U16" s="7"/>
      <c r="V16" s="7"/>
      <c r="W16" s="7"/>
      <c r="X16" s="7"/>
      <c r="Y16" t="s">
        <v>92</v>
      </c>
      <c r="Z16" s="7"/>
      <c r="AA16" s="7"/>
      <c r="AB16">
        <v>32</v>
      </c>
      <c r="AC16" s="7"/>
      <c r="AD16" s="7"/>
      <c r="AE16" s="7"/>
      <c r="AG16" s="3"/>
      <c r="AH16" s="7"/>
      <c r="AI16" s="7"/>
      <c r="AJ16" s="7"/>
      <c r="AK16" t="s">
        <v>6242</v>
      </c>
    </row>
    <row r="17" spans="1:37">
      <c r="A17">
        <v>33</v>
      </c>
      <c r="B17" t="s">
        <v>1475</v>
      </c>
      <c r="C17" s="7" t="s">
        <v>2821</v>
      </c>
      <c r="D17" s="7"/>
      <c r="E17" s="7" t="s">
        <v>2065</v>
      </c>
      <c r="F17" s="7"/>
      <c r="G17" s="7"/>
      <c r="H17" t="s">
        <v>94</v>
      </c>
      <c r="I17" s="7" t="s">
        <v>919</v>
      </c>
      <c r="J17" s="3">
        <v>0</v>
      </c>
      <c r="K17" s="7" t="s">
        <v>0</v>
      </c>
      <c r="L17" s="7"/>
      <c r="M17" s="4"/>
      <c r="N17" s="7"/>
      <c r="O17" s="7"/>
      <c r="P17" s="8" t="s">
        <v>2151</v>
      </c>
      <c r="Q17" s="3"/>
      <c r="S17" s="10"/>
      <c r="T17" s="7" t="s">
        <v>94</v>
      </c>
      <c r="U17" s="7"/>
      <c r="V17" s="7"/>
      <c r="W17" s="7"/>
      <c r="X17" s="7"/>
      <c r="Y17" t="s">
        <v>92</v>
      </c>
      <c r="Z17" s="7"/>
      <c r="AA17" s="7"/>
      <c r="AB17">
        <v>33</v>
      </c>
      <c r="AC17" s="7"/>
      <c r="AD17" s="7"/>
      <c r="AE17" s="7"/>
      <c r="AG17" s="3"/>
      <c r="AH17" s="7"/>
      <c r="AI17" s="7"/>
      <c r="AJ17" s="7"/>
      <c r="AK17" t="s">
        <v>6243</v>
      </c>
    </row>
    <row r="18" spans="1:37">
      <c r="A18">
        <v>34</v>
      </c>
      <c r="B18" t="s">
        <v>1475</v>
      </c>
      <c r="C18" s="7" t="s">
        <v>2820</v>
      </c>
      <c r="D18" s="7"/>
      <c r="E18" s="7" t="s">
        <v>2064</v>
      </c>
      <c r="F18" s="7"/>
      <c r="G18" s="7"/>
      <c r="H18" t="s">
        <v>94</v>
      </c>
      <c r="I18" s="7" t="s">
        <v>919</v>
      </c>
      <c r="J18" s="3">
        <v>0</v>
      </c>
      <c r="K18" s="7" t="s">
        <v>0</v>
      </c>
      <c r="L18" s="7"/>
      <c r="M18" s="4"/>
      <c r="N18" s="7"/>
      <c r="O18" s="7"/>
      <c r="P18" s="8" t="s">
        <v>2150</v>
      </c>
      <c r="Q18" s="3"/>
      <c r="S18" s="10"/>
      <c r="T18" s="7" t="s">
        <v>94</v>
      </c>
      <c r="U18" s="7"/>
      <c r="V18" s="7"/>
      <c r="W18" s="7"/>
      <c r="X18" s="7"/>
      <c r="Y18" t="s">
        <v>92</v>
      </c>
      <c r="Z18" s="7"/>
      <c r="AA18" s="7"/>
      <c r="AB18">
        <v>34</v>
      </c>
      <c r="AC18" s="7"/>
      <c r="AD18" s="7"/>
      <c r="AE18" s="7"/>
      <c r="AG18" s="3"/>
      <c r="AH18" s="7"/>
      <c r="AI18" s="7"/>
      <c r="AJ18" s="7"/>
      <c r="AK18" t="s">
        <v>6244</v>
      </c>
    </row>
    <row r="19" spans="1:37">
      <c r="A19">
        <v>35</v>
      </c>
      <c r="B19" t="s">
        <v>1475</v>
      </c>
      <c r="C19" s="7" t="s">
        <v>2836</v>
      </c>
      <c r="D19" s="7"/>
      <c r="E19" s="7" t="s">
        <v>2074</v>
      </c>
      <c r="F19" s="7"/>
      <c r="G19" s="7"/>
      <c r="H19" t="s">
        <v>94</v>
      </c>
      <c r="I19" s="7" t="s">
        <v>919</v>
      </c>
      <c r="J19" s="3">
        <v>0</v>
      </c>
      <c r="K19" s="7" t="s">
        <v>0</v>
      </c>
      <c r="L19" s="7"/>
      <c r="M19" s="4"/>
      <c r="N19" s="7"/>
      <c r="O19" s="7"/>
      <c r="P19" s="8" t="s">
        <v>2165</v>
      </c>
      <c r="Q19" s="3"/>
      <c r="S19" s="10"/>
      <c r="T19" s="7" t="s">
        <v>94</v>
      </c>
      <c r="U19" s="7"/>
      <c r="V19" s="7"/>
      <c r="W19" s="7"/>
      <c r="X19" s="7"/>
      <c r="Y19" t="s">
        <v>92</v>
      </c>
      <c r="Z19" s="7"/>
      <c r="AA19" s="7"/>
      <c r="AB19">
        <v>35</v>
      </c>
      <c r="AC19" s="7"/>
      <c r="AD19" s="7"/>
      <c r="AE19" s="7"/>
      <c r="AG19" s="3"/>
      <c r="AH19" s="7"/>
      <c r="AI19" s="7"/>
      <c r="AJ19" s="7"/>
      <c r="AK19" t="s">
        <v>6245</v>
      </c>
    </row>
    <row r="20" spans="1:37">
      <c r="A20">
        <v>36</v>
      </c>
      <c r="B20" t="s">
        <v>1475</v>
      </c>
      <c r="C20" s="7" t="s">
        <v>2837</v>
      </c>
      <c r="D20" s="7"/>
      <c r="E20" s="7" t="s">
        <v>2075</v>
      </c>
      <c r="F20" s="7"/>
      <c r="G20" s="7"/>
      <c r="H20" t="s">
        <v>94</v>
      </c>
      <c r="I20" s="7" t="s">
        <v>919</v>
      </c>
      <c r="J20" s="3">
        <v>0</v>
      </c>
      <c r="K20" s="7" t="s">
        <v>0</v>
      </c>
      <c r="L20" s="7"/>
      <c r="M20" s="4"/>
      <c r="N20" s="7"/>
      <c r="O20" s="7"/>
      <c r="P20" s="8" t="s">
        <v>2166</v>
      </c>
      <c r="Q20" s="3"/>
      <c r="S20" s="10"/>
      <c r="T20" s="7" t="s">
        <v>94</v>
      </c>
      <c r="U20" s="7"/>
      <c r="V20" s="7"/>
      <c r="W20" s="7"/>
      <c r="X20" s="7"/>
      <c r="Y20" t="s">
        <v>92</v>
      </c>
      <c r="Z20" s="7"/>
      <c r="AA20" s="7"/>
      <c r="AB20">
        <v>36</v>
      </c>
      <c r="AC20" s="7"/>
      <c r="AD20" s="7"/>
      <c r="AE20" s="7"/>
      <c r="AG20" s="3"/>
      <c r="AH20" s="7"/>
      <c r="AI20" s="7"/>
      <c r="AJ20" s="7"/>
      <c r="AK20" t="s">
        <v>6246</v>
      </c>
    </row>
    <row r="21" spans="1:37">
      <c r="A21">
        <v>37</v>
      </c>
      <c r="B21" t="s">
        <v>1475</v>
      </c>
      <c r="C21" s="7" t="s">
        <v>2818</v>
      </c>
      <c r="D21" s="7"/>
      <c r="E21" s="7" t="s">
        <v>2062</v>
      </c>
      <c r="F21" s="7"/>
      <c r="G21" s="7"/>
      <c r="H21" t="s">
        <v>94</v>
      </c>
      <c r="I21" s="7" t="s">
        <v>919</v>
      </c>
      <c r="J21" s="3">
        <v>0</v>
      </c>
      <c r="K21" s="7" t="s">
        <v>0</v>
      </c>
      <c r="L21" s="7"/>
      <c r="M21" s="4"/>
      <c r="N21" s="7"/>
      <c r="O21" s="7"/>
      <c r="P21" s="8" t="s">
        <v>2148</v>
      </c>
      <c r="Q21" s="3"/>
      <c r="S21" s="10"/>
      <c r="T21" s="7" t="s">
        <v>94</v>
      </c>
      <c r="U21" s="7"/>
      <c r="V21" s="7"/>
      <c r="W21" s="7"/>
      <c r="X21" s="7"/>
      <c r="Y21" t="s">
        <v>92</v>
      </c>
      <c r="Z21" s="7"/>
      <c r="AA21" s="7"/>
      <c r="AB21">
        <v>37</v>
      </c>
      <c r="AC21" s="7"/>
      <c r="AD21" s="7"/>
      <c r="AE21" s="7"/>
      <c r="AG21" s="3"/>
      <c r="AH21" s="7"/>
      <c r="AI21" s="7"/>
      <c r="AJ21" s="7"/>
      <c r="AK21" t="s">
        <v>6247</v>
      </c>
    </row>
    <row r="22" spans="1:37">
      <c r="A22">
        <v>38</v>
      </c>
      <c r="B22" t="s">
        <v>1475</v>
      </c>
      <c r="C22" s="7" t="s">
        <v>2838</v>
      </c>
      <c r="D22" s="7"/>
      <c r="E22" s="7" t="s">
        <v>2076</v>
      </c>
      <c r="F22" s="7"/>
      <c r="G22" s="7"/>
      <c r="H22" t="s">
        <v>94</v>
      </c>
      <c r="I22" s="7" t="s">
        <v>919</v>
      </c>
      <c r="J22" s="3">
        <v>0</v>
      </c>
      <c r="K22" s="7" t="s">
        <v>0</v>
      </c>
      <c r="L22" s="7"/>
      <c r="M22" s="4"/>
      <c r="N22" s="7"/>
      <c r="O22" s="7"/>
      <c r="P22" s="8" t="s">
        <v>2167</v>
      </c>
      <c r="Q22" s="3"/>
      <c r="S22" s="10"/>
      <c r="T22" s="7" t="s">
        <v>94</v>
      </c>
      <c r="U22" s="7"/>
      <c r="V22" s="7"/>
      <c r="W22" s="7"/>
      <c r="X22" s="7"/>
      <c r="Y22" t="s">
        <v>92</v>
      </c>
      <c r="Z22" s="7"/>
      <c r="AA22" s="7"/>
      <c r="AB22">
        <v>38</v>
      </c>
      <c r="AC22" s="7"/>
      <c r="AD22" s="7"/>
      <c r="AE22" s="7"/>
      <c r="AG22" s="3"/>
      <c r="AH22" s="7"/>
      <c r="AI22" s="7"/>
      <c r="AJ22" s="7"/>
      <c r="AK22" t="s">
        <v>6248</v>
      </c>
    </row>
    <row r="23" spans="1:37">
      <c r="A23">
        <v>39</v>
      </c>
      <c r="B23" t="s">
        <v>1475</v>
      </c>
      <c r="C23" s="7" t="s">
        <v>2839</v>
      </c>
      <c r="D23" s="7"/>
      <c r="E23" s="7" t="s">
        <v>2077</v>
      </c>
      <c r="F23" s="7"/>
      <c r="G23" s="7"/>
      <c r="H23" t="s">
        <v>94</v>
      </c>
      <c r="I23" s="7" t="s">
        <v>919</v>
      </c>
      <c r="J23" s="3">
        <v>0</v>
      </c>
      <c r="K23" s="7" t="s">
        <v>0</v>
      </c>
      <c r="L23" s="7"/>
      <c r="M23" s="4"/>
      <c r="N23" s="7"/>
      <c r="O23" s="7"/>
      <c r="P23" s="8" t="s">
        <v>2168</v>
      </c>
      <c r="Q23" s="3"/>
      <c r="S23" s="10"/>
      <c r="T23" s="7" t="s">
        <v>94</v>
      </c>
      <c r="U23" s="7"/>
      <c r="V23" s="7"/>
      <c r="W23" s="7"/>
      <c r="X23" s="7"/>
      <c r="Y23" t="s">
        <v>92</v>
      </c>
      <c r="Z23" s="7"/>
      <c r="AA23" s="7"/>
      <c r="AB23">
        <v>39</v>
      </c>
      <c r="AC23" s="7"/>
      <c r="AD23" s="7"/>
      <c r="AE23" s="7"/>
      <c r="AG23" s="3"/>
      <c r="AH23" s="7"/>
      <c r="AI23" s="7"/>
      <c r="AJ23" s="7"/>
      <c r="AK23" t="s">
        <v>6249</v>
      </c>
    </row>
    <row r="24" spans="1:37">
      <c r="A24">
        <v>40</v>
      </c>
      <c r="B24" t="s">
        <v>1475</v>
      </c>
      <c r="C24" s="7" t="s">
        <v>2840</v>
      </c>
      <c r="D24" s="7"/>
      <c r="E24" s="7" t="s">
        <v>2078</v>
      </c>
      <c r="F24" s="7"/>
      <c r="G24" s="7"/>
      <c r="H24" t="s">
        <v>94</v>
      </c>
      <c r="I24" s="7" t="s">
        <v>919</v>
      </c>
      <c r="J24" s="3">
        <v>0</v>
      </c>
      <c r="K24" s="7" t="s">
        <v>0</v>
      </c>
      <c r="L24" s="7"/>
      <c r="M24" s="4"/>
      <c r="N24" s="7"/>
      <c r="O24" s="7"/>
      <c r="P24" s="8" t="s">
        <v>2169</v>
      </c>
      <c r="Q24" s="3"/>
      <c r="S24" s="10"/>
      <c r="T24" s="7" t="s">
        <v>94</v>
      </c>
      <c r="U24" s="7"/>
      <c r="V24" s="7"/>
      <c r="W24" s="7"/>
      <c r="X24" s="7"/>
      <c r="Y24" t="s">
        <v>92</v>
      </c>
      <c r="Z24" s="7"/>
      <c r="AA24" s="7"/>
      <c r="AB24">
        <v>40</v>
      </c>
      <c r="AC24" s="7"/>
      <c r="AD24" s="7"/>
      <c r="AE24" s="7"/>
      <c r="AG24" s="3"/>
      <c r="AH24" s="7"/>
      <c r="AI24" s="7"/>
      <c r="AJ24" s="7"/>
      <c r="AK24" t="s">
        <v>6250</v>
      </c>
    </row>
    <row r="25" spans="1:37">
      <c r="A25">
        <v>44</v>
      </c>
      <c r="B25" t="s">
        <v>1475</v>
      </c>
      <c r="C25" s="7" t="s">
        <v>2841</v>
      </c>
      <c r="D25" s="7"/>
      <c r="E25" s="7" t="s">
        <v>2079</v>
      </c>
      <c r="F25" s="7"/>
      <c r="G25" s="7"/>
      <c r="H25" t="s">
        <v>94</v>
      </c>
      <c r="I25" s="7" t="s">
        <v>919</v>
      </c>
      <c r="J25" s="3">
        <v>0</v>
      </c>
      <c r="K25" s="7" t="s">
        <v>0</v>
      </c>
      <c r="L25" s="7"/>
      <c r="M25" s="4"/>
      <c r="N25" s="7"/>
      <c r="O25" s="7"/>
      <c r="P25" s="8" t="s">
        <v>2170</v>
      </c>
      <c r="Q25" s="3"/>
      <c r="S25" s="10"/>
      <c r="T25" s="7" t="s">
        <v>94</v>
      </c>
      <c r="U25" s="7"/>
      <c r="V25" s="7"/>
      <c r="W25" s="7"/>
      <c r="X25" s="7"/>
      <c r="Y25" t="s">
        <v>92</v>
      </c>
      <c r="Z25" s="7"/>
      <c r="AA25" s="7"/>
      <c r="AB25">
        <v>44</v>
      </c>
      <c r="AC25" s="7"/>
      <c r="AD25" s="7"/>
      <c r="AE25" s="7"/>
      <c r="AG25" s="3"/>
      <c r="AH25" s="7"/>
      <c r="AJ25" s="7"/>
      <c r="AK25" t="s">
        <v>6251</v>
      </c>
    </row>
    <row r="26" spans="1:37">
      <c r="A26">
        <v>50</v>
      </c>
      <c r="B26" t="s">
        <v>1475</v>
      </c>
      <c r="C26" s="7" t="s">
        <v>2816</v>
      </c>
      <c r="D26" s="7"/>
      <c r="E26" s="7" t="s">
        <v>1920</v>
      </c>
      <c r="F26" s="7"/>
      <c r="G26" s="7"/>
      <c r="H26" t="s">
        <v>94</v>
      </c>
      <c r="I26" s="7" t="s">
        <v>919</v>
      </c>
      <c r="J26" s="3">
        <v>0</v>
      </c>
      <c r="K26" s="7" t="s">
        <v>0</v>
      </c>
      <c r="L26" s="7"/>
      <c r="M26" s="4"/>
      <c r="N26" s="7"/>
      <c r="O26" s="7"/>
      <c r="P26" s="8" t="s">
        <v>2146</v>
      </c>
      <c r="Q26" s="3"/>
      <c r="S26" s="10"/>
      <c r="T26" s="7" t="s">
        <v>94</v>
      </c>
      <c r="U26" s="7"/>
      <c r="V26" s="7"/>
      <c r="W26" s="7"/>
      <c r="X26" s="7"/>
      <c r="Y26" t="s">
        <v>92</v>
      </c>
      <c r="Z26" s="7"/>
      <c r="AA26" s="7"/>
      <c r="AB26">
        <v>50</v>
      </c>
      <c r="AC26" s="7"/>
      <c r="AD26" s="7"/>
      <c r="AE26" s="7"/>
      <c r="AG26" s="3"/>
      <c r="AH26" s="7"/>
      <c r="AJ26" s="7"/>
      <c r="AK26" t="s">
        <v>6252</v>
      </c>
    </row>
    <row r="27" spans="1:37">
      <c r="A27" s="11">
        <v>52</v>
      </c>
      <c r="B27" s="11" t="s">
        <v>1475</v>
      </c>
      <c r="C27" s="18" t="s">
        <v>2852</v>
      </c>
      <c r="D27" s="18"/>
      <c r="E27" s="17" t="s">
        <v>2019</v>
      </c>
      <c r="F27" s="17" t="s">
        <v>2019</v>
      </c>
      <c r="G27" s="17" t="s">
        <v>7049</v>
      </c>
      <c r="H27" s="11" t="s">
        <v>94</v>
      </c>
      <c r="I27" s="17" t="s">
        <v>919</v>
      </c>
      <c r="J27" s="17">
        <v>18</v>
      </c>
      <c r="K27" s="3" t="s">
        <v>0</v>
      </c>
      <c r="L27" s="4"/>
      <c r="M27" s="4"/>
      <c r="N27" s="4"/>
      <c r="O27" s="4"/>
      <c r="P27" s="3" t="s">
        <v>2183</v>
      </c>
      <c r="Q27" s="3"/>
      <c r="R27" s="3"/>
      <c r="S27" s="10"/>
      <c r="T27" s="7" t="s">
        <v>94</v>
      </c>
      <c r="U27" s="3" t="s">
        <v>5980</v>
      </c>
      <c r="V27" s="3"/>
      <c r="W27" s="3"/>
      <c r="X27" s="3"/>
      <c r="Y27" t="s">
        <v>92</v>
      </c>
      <c r="AB27">
        <v>52</v>
      </c>
      <c r="AC27" s="3"/>
      <c r="AG27" s="3"/>
      <c r="AK27" t="s">
        <v>6253</v>
      </c>
    </row>
    <row r="28" spans="1:37">
      <c r="A28" s="11">
        <v>54</v>
      </c>
      <c r="B28" s="11" t="s">
        <v>1475</v>
      </c>
      <c r="C28" s="18" t="s">
        <v>2851</v>
      </c>
      <c r="D28" s="18"/>
      <c r="E28" s="17" t="s">
        <v>2016</v>
      </c>
      <c r="F28" s="17" t="s">
        <v>2016</v>
      </c>
      <c r="G28" s="17" t="s">
        <v>2087</v>
      </c>
      <c r="H28" s="11" t="s">
        <v>94</v>
      </c>
      <c r="I28" s="17" t="s">
        <v>919</v>
      </c>
      <c r="J28" s="17">
        <v>3</v>
      </c>
      <c r="K28" s="3" t="s">
        <v>0</v>
      </c>
      <c r="L28" s="4"/>
      <c r="M28" s="4"/>
      <c r="N28" s="4"/>
      <c r="O28" s="4"/>
      <c r="P28" s="3" t="s">
        <v>2182</v>
      </c>
      <c r="Q28" s="3"/>
      <c r="R28" s="3"/>
      <c r="S28" s="10"/>
      <c r="T28" s="7" t="s">
        <v>94</v>
      </c>
      <c r="U28" s="3" t="s">
        <v>5979</v>
      </c>
      <c r="V28" s="3"/>
      <c r="W28" s="3"/>
      <c r="X28" s="3"/>
      <c r="Y28" t="s">
        <v>92</v>
      </c>
      <c r="AB28">
        <v>54</v>
      </c>
      <c r="AC28" s="3"/>
      <c r="AG28" s="3"/>
      <c r="AK28" t="s">
        <v>6254</v>
      </c>
    </row>
    <row r="29" spans="1:37">
      <c r="A29">
        <v>56</v>
      </c>
      <c r="B29" t="s">
        <v>1475</v>
      </c>
      <c r="C29" s="7" t="s">
        <v>2844</v>
      </c>
      <c r="D29" s="7"/>
      <c r="E29" s="7" t="s">
        <v>2055</v>
      </c>
      <c r="F29" s="7"/>
      <c r="G29" s="7"/>
      <c r="H29" t="s">
        <v>94</v>
      </c>
      <c r="I29" s="7" t="s">
        <v>919</v>
      </c>
      <c r="J29" s="3">
        <v>0</v>
      </c>
      <c r="K29" s="7" t="s">
        <v>0</v>
      </c>
      <c r="L29" s="7"/>
      <c r="M29" s="4"/>
      <c r="N29" s="7"/>
      <c r="O29" s="7"/>
      <c r="P29" s="8" t="s">
        <v>2171</v>
      </c>
      <c r="Q29" s="3"/>
      <c r="S29" s="10"/>
      <c r="T29" s="7" t="s">
        <v>94</v>
      </c>
      <c r="U29" s="7"/>
      <c r="V29" s="7"/>
      <c r="W29" s="7"/>
      <c r="X29" s="7"/>
      <c r="Y29" t="s">
        <v>92</v>
      </c>
      <c r="Z29" s="7"/>
      <c r="AA29" s="7"/>
      <c r="AB29">
        <v>56</v>
      </c>
      <c r="AC29" s="7"/>
      <c r="AD29" s="7"/>
      <c r="AE29" s="7"/>
      <c r="AG29" s="3"/>
      <c r="AH29" s="7"/>
      <c r="AJ29" s="7"/>
      <c r="AK29" t="s">
        <v>6255</v>
      </c>
    </row>
    <row r="30" spans="1:37">
      <c r="A30">
        <v>58</v>
      </c>
      <c r="B30" t="s">
        <v>1475</v>
      </c>
      <c r="C30" s="7" t="s">
        <v>2845</v>
      </c>
      <c r="D30" s="7"/>
      <c r="E30" s="7" t="s">
        <v>2082</v>
      </c>
      <c r="F30" s="7"/>
      <c r="G30" s="7"/>
      <c r="H30" t="s">
        <v>94</v>
      </c>
      <c r="I30" s="7" t="s">
        <v>919</v>
      </c>
      <c r="J30" s="3">
        <v>0</v>
      </c>
      <c r="K30" s="7" t="s">
        <v>0</v>
      </c>
      <c r="L30" s="7"/>
      <c r="M30" s="4"/>
      <c r="N30" s="7"/>
      <c r="O30" s="7"/>
      <c r="P30" s="8" t="s">
        <v>2172</v>
      </c>
      <c r="Q30" s="3"/>
      <c r="S30" s="10"/>
      <c r="T30" s="7" t="s">
        <v>94</v>
      </c>
      <c r="U30" s="7"/>
      <c r="V30" s="7"/>
      <c r="W30" s="7"/>
      <c r="X30" s="7"/>
      <c r="Y30" t="s">
        <v>92</v>
      </c>
      <c r="Z30" s="7"/>
      <c r="AA30" s="7"/>
      <c r="AB30">
        <v>58</v>
      </c>
      <c r="AC30" s="7"/>
      <c r="AD30" s="7"/>
      <c r="AE30" s="7"/>
      <c r="AG30" s="3"/>
      <c r="AH30" s="7"/>
      <c r="AI30" s="7"/>
      <c r="AJ30" s="7"/>
      <c r="AK30" t="s">
        <v>6256</v>
      </c>
    </row>
    <row r="31" spans="1:37">
      <c r="A31">
        <v>60</v>
      </c>
      <c r="B31" t="s">
        <v>1475</v>
      </c>
      <c r="C31" s="7" t="s">
        <v>2846</v>
      </c>
      <c r="D31" s="7"/>
      <c r="E31" s="7" t="s">
        <v>2083</v>
      </c>
      <c r="F31" s="7"/>
      <c r="G31" s="7"/>
      <c r="H31" t="s">
        <v>94</v>
      </c>
      <c r="I31" s="7" t="s">
        <v>919</v>
      </c>
      <c r="J31" s="3">
        <v>0</v>
      </c>
      <c r="K31" s="7" t="s">
        <v>0</v>
      </c>
      <c r="L31" s="7"/>
      <c r="M31" s="4"/>
      <c r="N31" s="7"/>
      <c r="O31" s="7"/>
      <c r="P31" s="8" t="s">
        <v>2173</v>
      </c>
      <c r="Q31" s="3"/>
      <c r="S31" s="10"/>
      <c r="T31" s="7" t="s">
        <v>94</v>
      </c>
      <c r="U31" s="7"/>
      <c r="V31" s="7"/>
      <c r="W31" s="7"/>
      <c r="X31" s="7"/>
      <c r="Y31" t="s">
        <v>92</v>
      </c>
      <c r="Z31" s="7"/>
      <c r="AA31" s="7"/>
      <c r="AB31">
        <v>60</v>
      </c>
      <c r="AC31" s="7"/>
      <c r="AD31" s="7"/>
      <c r="AE31" s="7"/>
      <c r="AG31" s="3"/>
      <c r="AH31" s="7"/>
      <c r="AJ31" s="7"/>
      <c r="AK31" t="s">
        <v>6257</v>
      </c>
    </row>
    <row r="32" spans="1:37">
      <c r="A32">
        <v>62</v>
      </c>
      <c r="B32" t="s">
        <v>1475</v>
      </c>
      <c r="C32" s="7" t="s">
        <v>2847</v>
      </c>
      <c r="D32" s="7"/>
      <c r="E32" s="7" t="s">
        <v>2000</v>
      </c>
      <c r="F32" s="7"/>
      <c r="G32" s="7"/>
      <c r="H32" t="s">
        <v>94</v>
      </c>
      <c r="I32" s="7" t="s">
        <v>919</v>
      </c>
      <c r="J32" s="3">
        <v>0</v>
      </c>
      <c r="K32" s="7" t="s">
        <v>0</v>
      </c>
      <c r="L32" s="7"/>
      <c r="M32" s="4"/>
      <c r="N32" s="7"/>
      <c r="O32" s="7"/>
      <c r="P32" s="8" t="s">
        <v>2174</v>
      </c>
      <c r="Q32" s="3"/>
      <c r="S32" s="10"/>
      <c r="T32" s="7" t="s">
        <v>94</v>
      </c>
      <c r="U32" s="7"/>
      <c r="V32" s="7"/>
      <c r="W32" s="7"/>
      <c r="X32" s="7"/>
      <c r="Y32" t="s">
        <v>92</v>
      </c>
      <c r="Z32" s="7"/>
      <c r="AA32" s="7"/>
      <c r="AB32">
        <v>62</v>
      </c>
      <c r="AC32" s="7"/>
      <c r="AD32" s="7"/>
      <c r="AE32" s="7"/>
      <c r="AG32" s="3"/>
      <c r="AH32" s="7"/>
      <c r="AJ32" s="7"/>
      <c r="AK32" t="s">
        <v>6258</v>
      </c>
    </row>
    <row r="33" spans="1:44">
      <c r="A33">
        <v>66</v>
      </c>
      <c r="B33" t="s">
        <v>1475</v>
      </c>
      <c r="C33" s="7" t="s">
        <v>2825</v>
      </c>
      <c r="D33" s="7"/>
      <c r="E33" s="7" t="s">
        <v>2405</v>
      </c>
      <c r="F33" s="7"/>
      <c r="G33" s="7"/>
      <c r="H33" t="s">
        <v>94</v>
      </c>
      <c r="I33" s="7" t="s">
        <v>919</v>
      </c>
      <c r="J33" s="3">
        <v>0</v>
      </c>
      <c r="K33" s="7" t="s">
        <v>0</v>
      </c>
      <c r="L33" s="7"/>
      <c r="M33" s="4"/>
      <c r="N33" s="7"/>
      <c r="O33" s="7"/>
      <c r="P33" s="8" t="s">
        <v>2155</v>
      </c>
      <c r="Q33" s="3"/>
      <c r="S33" s="10"/>
      <c r="T33" s="7" t="s">
        <v>94</v>
      </c>
      <c r="U33" s="7"/>
      <c r="V33" s="7"/>
      <c r="W33" s="7"/>
      <c r="X33" s="7"/>
      <c r="Y33" t="s">
        <v>92</v>
      </c>
      <c r="Z33" s="7"/>
      <c r="AA33" s="7"/>
      <c r="AB33">
        <v>66</v>
      </c>
      <c r="AC33" s="7"/>
      <c r="AD33" s="7"/>
      <c r="AE33" s="7"/>
      <c r="AG33" s="3"/>
      <c r="AH33" s="7"/>
      <c r="AJ33" s="7"/>
      <c r="AK33" t="s">
        <v>6259</v>
      </c>
    </row>
    <row r="34" spans="1:44">
      <c r="A34">
        <v>68</v>
      </c>
      <c r="B34" t="s">
        <v>1475</v>
      </c>
      <c r="C34" s="7" t="s">
        <v>2848</v>
      </c>
      <c r="D34" s="7"/>
      <c r="E34" s="7" t="s">
        <v>2084</v>
      </c>
      <c r="F34" s="7"/>
      <c r="G34" s="7"/>
      <c r="H34" t="s">
        <v>94</v>
      </c>
      <c r="I34" s="7" t="s">
        <v>919</v>
      </c>
      <c r="J34" s="3">
        <v>0</v>
      </c>
      <c r="K34" s="7" t="s">
        <v>0</v>
      </c>
      <c r="L34" s="7"/>
      <c r="M34" s="4"/>
      <c r="N34" s="7"/>
      <c r="O34" s="7"/>
      <c r="P34" s="8" t="s">
        <v>2175</v>
      </c>
      <c r="Q34" s="3"/>
      <c r="S34" s="10"/>
      <c r="T34" s="7" t="s">
        <v>94</v>
      </c>
      <c r="U34" s="7"/>
      <c r="V34" s="7"/>
      <c r="W34" s="7"/>
      <c r="X34" s="7"/>
      <c r="Y34" t="s">
        <v>92</v>
      </c>
      <c r="Z34" s="7"/>
      <c r="AA34" s="7"/>
      <c r="AB34">
        <v>68</v>
      </c>
      <c r="AC34" s="7"/>
      <c r="AD34" s="7"/>
      <c r="AE34" s="7"/>
      <c r="AG34" s="3"/>
      <c r="AH34" s="7"/>
      <c r="AJ34" s="7"/>
      <c r="AK34" t="s">
        <v>6260</v>
      </c>
    </row>
    <row r="35" spans="1:44">
      <c r="A35">
        <v>70</v>
      </c>
      <c r="B35" t="s">
        <v>1475</v>
      </c>
      <c r="C35" s="7" t="s">
        <v>2849</v>
      </c>
      <c r="D35" s="7"/>
      <c r="E35" s="7" t="s">
        <v>2085</v>
      </c>
      <c r="F35" s="7"/>
      <c r="G35" s="7"/>
      <c r="H35" t="s">
        <v>94</v>
      </c>
      <c r="I35" s="7" t="s">
        <v>919</v>
      </c>
      <c r="J35" s="3">
        <v>0</v>
      </c>
      <c r="K35" s="7" t="s">
        <v>0</v>
      </c>
      <c r="L35" s="7"/>
      <c r="M35" s="4"/>
      <c r="N35" s="7"/>
      <c r="O35" s="7"/>
      <c r="P35" s="8" t="s">
        <v>2176</v>
      </c>
      <c r="Q35" s="3"/>
      <c r="S35" s="10"/>
      <c r="T35" s="7" t="s">
        <v>94</v>
      </c>
      <c r="U35" s="7"/>
      <c r="V35" s="7"/>
      <c r="W35" s="7"/>
      <c r="X35" s="7"/>
      <c r="Y35" t="s">
        <v>919</v>
      </c>
      <c r="Z35" s="7"/>
      <c r="AA35" s="7"/>
      <c r="AB35">
        <v>70</v>
      </c>
      <c r="AC35" s="7"/>
      <c r="AD35" s="7"/>
      <c r="AE35" s="7"/>
      <c r="AG35" s="3"/>
      <c r="AH35" s="7"/>
      <c r="AJ35" s="7"/>
      <c r="AK35" t="s">
        <v>6261</v>
      </c>
    </row>
    <row r="36" spans="1:44">
      <c r="A36">
        <v>72</v>
      </c>
      <c r="B36" t="s">
        <v>1475</v>
      </c>
      <c r="C36" s="3" t="s">
        <v>2809</v>
      </c>
      <c r="D36" t="s">
        <v>1062</v>
      </c>
      <c r="E36" s="3" t="s">
        <v>1061</v>
      </c>
      <c r="F36" s="3" t="s">
        <v>1061</v>
      </c>
      <c r="G36" t="s">
        <v>1063</v>
      </c>
      <c r="H36" t="s">
        <v>94</v>
      </c>
      <c r="I36" s="3" t="s">
        <v>919</v>
      </c>
      <c r="J36" s="3">
        <v>0</v>
      </c>
      <c r="K36" s="3" t="s">
        <v>0</v>
      </c>
      <c r="L36" s="4" t="s">
        <v>12</v>
      </c>
      <c r="M36" s="4"/>
      <c r="N36" s="4"/>
      <c r="O36" s="4"/>
      <c r="P36" s="3" t="str">
        <f>T36&amp;"."&amp;F36</f>
        <v>system.SecurityGroup</v>
      </c>
      <c r="Q36" s="3"/>
      <c r="R36" s="5"/>
      <c r="S36" s="10"/>
      <c r="T36" s="3" t="s">
        <v>1895</v>
      </c>
      <c r="X36" s="4"/>
      <c r="Y36" t="str">
        <f t="shared" ref="Y36:AA38" si="1">IF(ISERROR(VLOOKUP($C36&amp;"."&amp;Y$1,DictionaryColumns,1,FALSE)),"N","Y")</f>
        <v>N</v>
      </c>
      <c r="Z36" t="str">
        <f t="shared" si="1"/>
        <v>N</v>
      </c>
      <c r="AA36" t="str">
        <f t="shared" si="1"/>
        <v>N</v>
      </c>
      <c r="AG36" s="3"/>
      <c r="AI36" t="str">
        <f>"WHEN p_sysDictionaryTableID = "&amp;A36&amp;" THEN (SELECT "&amp;L36&amp;" FROM "&amp;C36&amp;" x WHERE x.ID = p_RowID "&amp;IF(I36="Y", " and x.TemporalEndDate = '9999-12-31'","")&amp;")"</f>
        <v>WHEN p_sysDictionaryTableID = 72 THEN (SELECT Description FROM sysSecurityGroup x WHERE x.ID = p_RowID )</v>
      </c>
      <c r="AK36" t="str">
        <f>"SELECT setval('"&amp;C36&amp;"_id_seq', COALESCE((SELECT MAX(id)+1 FROM "&amp;C36&amp;"), 1), false);"</f>
        <v>SELECT setval('sysSecurityGroup_id_seq', COALESCE((SELECT MAX(id)+1 FROM sysSecurityGroup), 1), false);</v>
      </c>
    </row>
    <row r="37" spans="1:44">
      <c r="A37">
        <v>74</v>
      </c>
      <c r="B37" t="s">
        <v>1475</v>
      </c>
      <c r="C37" s="3" t="s">
        <v>2810</v>
      </c>
      <c r="D37" t="s">
        <v>1065</v>
      </c>
      <c r="E37" s="3" t="s">
        <v>1066</v>
      </c>
      <c r="F37" s="3" t="s">
        <v>1066</v>
      </c>
      <c r="G37" t="s">
        <v>1064</v>
      </c>
      <c r="H37" t="s">
        <v>94</v>
      </c>
      <c r="I37" s="3" t="s">
        <v>919</v>
      </c>
      <c r="J37" s="3">
        <v>0</v>
      </c>
      <c r="K37" s="3" t="s">
        <v>0</v>
      </c>
      <c r="L37" s="4" t="s">
        <v>1036</v>
      </c>
      <c r="M37" s="4"/>
      <c r="N37" s="4"/>
      <c r="O37" s="4"/>
      <c r="P37" s="3" t="str">
        <f>T37&amp;"."&amp;F37</f>
        <v>system.SecurityGroupCommand</v>
      </c>
      <c r="Q37" s="3"/>
      <c r="R37" s="5"/>
      <c r="S37" s="10"/>
      <c r="T37" s="3" t="s">
        <v>1895</v>
      </c>
      <c r="X37" s="4"/>
      <c r="Y37" t="str">
        <f t="shared" si="1"/>
        <v>N</v>
      </c>
      <c r="Z37" t="str">
        <f t="shared" si="1"/>
        <v>N</v>
      </c>
      <c r="AA37" t="str">
        <f t="shared" si="1"/>
        <v>N</v>
      </c>
      <c r="AG37" s="3"/>
      <c r="AK37" t="str">
        <f>"SELECT setval('"&amp;C37&amp;"_id_seq', COALESCE((SELECT MAX(id)+1 FROM "&amp;C37&amp;"), 1), false);"</f>
        <v>SELECT setval('sysSecurityGroupCommand_id_seq', COALESCE((SELECT MAX(id)+1 FROM sysSecurityGroupCommand), 1), false);</v>
      </c>
    </row>
    <row r="38" spans="1:44">
      <c r="A38">
        <v>76</v>
      </c>
      <c r="B38" t="s">
        <v>1475</v>
      </c>
      <c r="C38" s="3" t="s">
        <v>2811</v>
      </c>
      <c r="D38" t="s">
        <v>1068</v>
      </c>
      <c r="E38" s="3" t="s">
        <v>1069</v>
      </c>
      <c r="F38" s="3" t="s">
        <v>1069</v>
      </c>
      <c r="G38" t="s">
        <v>1067</v>
      </c>
      <c r="H38" t="s">
        <v>94</v>
      </c>
      <c r="I38" s="3" t="s">
        <v>919</v>
      </c>
      <c r="J38" s="3">
        <v>0</v>
      </c>
      <c r="K38" s="3" t="s">
        <v>0</v>
      </c>
      <c r="L38" s="4" t="s">
        <v>1036</v>
      </c>
      <c r="M38" s="4"/>
      <c r="N38" s="4"/>
      <c r="O38" s="4"/>
      <c r="P38" s="3" t="str">
        <f>T38&amp;"."&amp;F38</f>
        <v>system.SecurityGroupContact</v>
      </c>
      <c r="Q38" s="3"/>
      <c r="R38" s="5"/>
      <c r="S38" s="10"/>
      <c r="T38" s="3" t="s">
        <v>1895</v>
      </c>
      <c r="X38" s="4"/>
      <c r="Y38" t="str">
        <f t="shared" si="1"/>
        <v>N</v>
      </c>
      <c r="Z38" t="str">
        <f t="shared" si="1"/>
        <v>N</v>
      </c>
      <c r="AA38" t="str">
        <f t="shared" si="1"/>
        <v>N</v>
      </c>
      <c r="AG38" s="3"/>
      <c r="AK38" t="str">
        <f>"SELECT setval('"&amp;C38&amp;"_id_seq', COALESCE((SELECT MAX(id)+1 FROM "&amp;C38&amp;"), 1), false);"</f>
        <v>SELECT setval('sysSecurityGroupContact_id_seq', COALESCE((SELECT MAX(id)+1 FROM sysSecurityGroupContact), 1), false);</v>
      </c>
    </row>
    <row r="39" spans="1:44">
      <c r="A39">
        <v>78</v>
      </c>
      <c r="B39" t="s">
        <v>1475</v>
      </c>
      <c r="C39" s="7" t="s">
        <v>2850</v>
      </c>
      <c r="D39" s="7"/>
      <c r="E39" s="7" t="s">
        <v>2086</v>
      </c>
      <c r="F39" s="7"/>
      <c r="G39" s="7"/>
      <c r="H39" t="s">
        <v>94</v>
      </c>
      <c r="I39" s="7" t="s">
        <v>919</v>
      </c>
      <c r="J39" s="3">
        <v>0</v>
      </c>
      <c r="K39" s="7" t="s">
        <v>0</v>
      </c>
      <c r="L39" s="7" t="s">
        <v>1038</v>
      </c>
      <c r="M39" s="4"/>
      <c r="N39" s="7"/>
      <c r="O39" s="7"/>
      <c r="P39" s="8" t="s">
        <v>2177</v>
      </c>
      <c r="Q39" s="3"/>
      <c r="S39" s="10"/>
      <c r="T39" s="7" t="s">
        <v>94</v>
      </c>
      <c r="U39" s="7"/>
      <c r="V39" s="7"/>
      <c r="W39" s="7"/>
      <c r="X39" s="7"/>
      <c r="Y39" t="s">
        <v>92</v>
      </c>
      <c r="Z39" s="7"/>
      <c r="AA39" s="7"/>
      <c r="AB39">
        <v>78</v>
      </c>
      <c r="AC39" s="7"/>
      <c r="AD39" s="7"/>
      <c r="AE39" s="7"/>
      <c r="AG39" s="3"/>
      <c r="AH39" s="7"/>
      <c r="AI39" t="s">
        <v>6262</v>
      </c>
      <c r="AJ39" s="7"/>
      <c r="AK39" t="s">
        <v>6263</v>
      </c>
    </row>
    <row r="40" spans="1:44">
      <c r="A40">
        <v>80</v>
      </c>
      <c r="B40" t="s">
        <v>1475</v>
      </c>
      <c r="C40" s="7" t="s">
        <v>2815</v>
      </c>
      <c r="D40" s="7"/>
      <c r="E40" t="s">
        <v>2088</v>
      </c>
      <c r="F40" s="7"/>
      <c r="G40" s="7"/>
      <c r="H40" t="s">
        <v>94</v>
      </c>
      <c r="I40" s="7" t="s">
        <v>919</v>
      </c>
      <c r="J40" s="3">
        <v>0</v>
      </c>
      <c r="K40" s="7" t="s">
        <v>0</v>
      </c>
      <c r="L40" s="7"/>
      <c r="M40" s="4"/>
      <c r="N40" s="7"/>
      <c r="O40" s="7"/>
      <c r="P40" s="8" t="s">
        <v>2145</v>
      </c>
      <c r="Q40" s="3"/>
      <c r="S40" s="10"/>
      <c r="T40" s="7" t="s">
        <v>94</v>
      </c>
      <c r="U40" s="7"/>
      <c r="V40" s="7"/>
      <c r="W40" s="7"/>
      <c r="X40" s="7"/>
      <c r="Y40" t="s">
        <v>92</v>
      </c>
      <c r="Z40" s="7"/>
      <c r="AA40" s="7"/>
      <c r="AB40">
        <v>80</v>
      </c>
      <c r="AC40" s="7"/>
      <c r="AD40" s="7"/>
      <c r="AE40" s="7"/>
      <c r="AG40" s="3"/>
      <c r="AH40" s="7"/>
      <c r="AI40" s="7"/>
      <c r="AJ40" s="7"/>
      <c r="AK40" t="s">
        <v>6264</v>
      </c>
    </row>
    <row r="41" spans="1:44">
      <c r="A41">
        <v>700</v>
      </c>
      <c r="B41" t="s">
        <v>1475</v>
      </c>
      <c r="C41" s="3" t="s">
        <v>2789</v>
      </c>
      <c r="D41" t="s">
        <v>1040</v>
      </c>
      <c r="E41" s="3" t="s">
        <v>1520</v>
      </c>
      <c r="F41" s="3" t="s">
        <v>1427</v>
      </c>
      <c r="G41" t="s">
        <v>1428</v>
      </c>
      <c r="H41" t="s">
        <v>94</v>
      </c>
      <c r="I41" s="3" t="s">
        <v>919</v>
      </c>
      <c r="J41" s="3">
        <v>0</v>
      </c>
      <c r="K41" s="3" t="s">
        <v>0</v>
      </c>
      <c r="L41" s="4" t="s">
        <v>1036</v>
      </c>
      <c r="M41" s="4"/>
      <c r="N41" s="4"/>
      <c r="O41" s="4"/>
      <c r="P41" s="3" t="str">
        <f t="shared" ref="P41:P52" si="2">T41&amp;"."&amp;F41</f>
        <v>mail.Config</v>
      </c>
      <c r="Q41" s="3"/>
      <c r="R41" s="5"/>
      <c r="S41" s="10"/>
      <c r="T41" s="3" t="s">
        <v>1408</v>
      </c>
      <c r="U41" s="3" t="s">
        <v>1366</v>
      </c>
      <c r="V41" s="3"/>
      <c r="W41" s="3"/>
      <c r="X41" s="4"/>
      <c r="Y41" t="str">
        <f t="shared" ref="Y41:AA52" si="3">IF(ISERROR(VLOOKUP($C41&amp;"."&amp;Y$1,DictionaryColumns,1,FALSE)),"N","Y")</f>
        <v>N</v>
      </c>
      <c r="Z41" t="str">
        <f t="shared" si="3"/>
        <v>N</v>
      </c>
      <c r="AA41" t="str">
        <f t="shared" si="3"/>
        <v>N</v>
      </c>
      <c r="AG41" s="3"/>
      <c r="AK41" t="str">
        <f t="shared" ref="AK41:AK52" si="4">"SELECT setval('"&amp;C41&amp;"_id_seq', COALESCE((SELECT MAX(id)+1 FROM "&amp;C41&amp;"), 1), false);"</f>
        <v>SELECT setval('mailConfig_id_seq', COALESCE((SELECT MAX(id)+1 FROM mailConfig), 1), false);</v>
      </c>
    </row>
    <row r="42" spans="1:44">
      <c r="A42">
        <v>701</v>
      </c>
      <c r="B42" t="s">
        <v>1475</v>
      </c>
      <c r="C42" s="3" t="s">
        <v>2790</v>
      </c>
      <c r="D42" t="s">
        <v>1034</v>
      </c>
      <c r="E42" s="3" t="s">
        <v>1521</v>
      </c>
      <c r="F42" s="3" t="s">
        <v>1035</v>
      </c>
      <c r="G42" t="s">
        <v>1033</v>
      </c>
      <c r="H42" t="s">
        <v>94</v>
      </c>
      <c r="I42" s="3" t="s">
        <v>919</v>
      </c>
      <c r="J42" s="3">
        <v>0</v>
      </c>
      <c r="K42" s="3" t="s">
        <v>0</v>
      </c>
      <c r="L42" s="4" t="s">
        <v>1036</v>
      </c>
      <c r="M42" s="4"/>
      <c r="N42" s="4"/>
      <c r="O42" s="4"/>
      <c r="P42" s="3" t="str">
        <f t="shared" si="2"/>
        <v>mail.ContactMailOption</v>
      </c>
      <c r="Q42" s="3"/>
      <c r="R42" t="s">
        <v>2059</v>
      </c>
      <c r="S42" s="10"/>
      <c r="T42" s="3" t="s">
        <v>1408</v>
      </c>
      <c r="U42" s="3" t="s">
        <v>1366</v>
      </c>
      <c r="V42" s="3"/>
      <c r="W42" s="3"/>
      <c r="X42" s="4"/>
      <c r="Y42" t="str">
        <f t="shared" si="3"/>
        <v>N</v>
      </c>
      <c r="Z42" t="str">
        <f t="shared" si="3"/>
        <v>N</v>
      </c>
      <c r="AA42" t="str">
        <f t="shared" si="3"/>
        <v>N</v>
      </c>
      <c r="AG42" s="3"/>
      <c r="AK42" t="str">
        <f t="shared" si="4"/>
        <v>SELECT setval('mailContactMailOption_id_seq', COALESCE((SELECT MAX(id)+1 FROM mailContactMailOption), 1), false);</v>
      </c>
    </row>
    <row r="43" spans="1:44">
      <c r="A43">
        <v>702</v>
      </c>
      <c r="B43" t="s">
        <v>1475</v>
      </c>
      <c r="C43" s="3" t="s">
        <v>2791</v>
      </c>
      <c r="D43" s="3"/>
      <c r="E43" s="3" t="s">
        <v>1522</v>
      </c>
      <c r="F43" s="3" t="s">
        <v>1420</v>
      </c>
      <c r="G43" t="s">
        <v>1261</v>
      </c>
      <c r="H43" t="s">
        <v>94</v>
      </c>
      <c r="I43" s="3" t="s">
        <v>919</v>
      </c>
      <c r="J43" s="3">
        <v>0</v>
      </c>
      <c r="K43" s="3" t="s">
        <v>0</v>
      </c>
      <c r="L43" s="4" t="s">
        <v>12</v>
      </c>
      <c r="M43" s="4"/>
      <c r="N43" s="3"/>
      <c r="O43" s="3"/>
      <c r="P43" s="3" t="str">
        <f t="shared" si="2"/>
        <v>mail.DeliveryMethod</v>
      </c>
      <c r="Q43" s="3"/>
      <c r="R43" s="5" t="s">
        <v>2059</v>
      </c>
      <c r="S43" s="10"/>
      <c r="T43" s="3" t="s">
        <v>1408</v>
      </c>
      <c r="U43" t="s">
        <v>5970</v>
      </c>
      <c r="X43" s="4" t="str" cm="1">
        <f t="array" ref="X43">"("&amp;A43&amp;",'"&amp;[1]!AddSpaces(E43)&amp;"'),"</f>
        <v>(702,'Mail Delivery Method'),</v>
      </c>
      <c r="Y43" t="str">
        <f t="shared" si="3"/>
        <v>N</v>
      </c>
      <c r="Z43" t="str">
        <f t="shared" si="3"/>
        <v>N</v>
      </c>
      <c r="AA43" t="str">
        <f t="shared" si="3"/>
        <v>N</v>
      </c>
      <c r="AC43" s="3"/>
      <c r="AG43" s="3"/>
      <c r="AI43" t="str">
        <f>"WHEN p_sysDictionaryTableID = "&amp;A43&amp;" THEN (SELECT "&amp;L43&amp;" FROM "&amp;C43&amp;" x WHERE x.ID = p_RowID "&amp;IF(I43="Y", " and x.TemporalEndDate = '9999-12-31'","")&amp;")"</f>
        <v>WHEN p_sysDictionaryTableID = 702 THEN (SELECT Description FROM mailDeliveryMethod x WHERE x.ID = p_RowID )</v>
      </c>
      <c r="AK43" t="str">
        <f t="shared" si="4"/>
        <v>SELECT setval('mailDeliveryMethod_id_seq', COALESCE((SELECT MAX(id)+1 FROM mailDeliveryMethod), 1), false);</v>
      </c>
    </row>
    <row r="44" spans="1:44">
      <c r="A44">
        <v>703</v>
      </c>
      <c r="B44" t="s">
        <v>1475</v>
      </c>
      <c r="C44" s="3" t="s">
        <v>2792</v>
      </c>
      <c r="D44" s="3"/>
      <c r="E44" s="3" t="s">
        <v>1523</v>
      </c>
      <c r="F44" t="s">
        <v>1409</v>
      </c>
      <c r="G44" s="3" t="s">
        <v>1410</v>
      </c>
      <c r="H44" s="3" t="s">
        <v>94</v>
      </c>
      <c r="I44" s="3" t="s">
        <v>919</v>
      </c>
      <c r="J44" s="3">
        <v>0</v>
      </c>
      <c r="K44" s="3" t="s">
        <v>0</v>
      </c>
      <c r="L44" s="3"/>
      <c r="M44" s="4"/>
      <c r="N44" s="3"/>
      <c r="O44" s="3"/>
      <c r="P44" s="3" t="str">
        <f t="shared" si="2"/>
        <v>mail.DistributionRule</v>
      </c>
      <c r="Q44" s="3"/>
      <c r="R44" s="3"/>
      <c r="S44" s="10"/>
      <c r="T44" s="3" t="s">
        <v>1408</v>
      </c>
      <c r="U44" s="3"/>
      <c r="V44" s="3"/>
      <c r="W44" s="3"/>
      <c r="X44" s="3"/>
      <c r="Y44" t="str">
        <f t="shared" si="3"/>
        <v>N</v>
      </c>
      <c r="Z44" t="str">
        <f t="shared" si="3"/>
        <v>N</v>
      </c>
      <c r="AA44" t="str">
        <f t="shared" si="3"/>
        <v>N</v>
      </c>
      <c r="AB44" s="3"/>
      <c r="AC44" s="3"/>
      <c r="AD44" s="3"/>
      <c r="AE44" s="3"/>
      <c r="AG44" s="3"/>
      <c r="AI44" s="3"/>
      <c r="AK44" t="str">
        <f t="shared" si="4"/>
        <v>SELECT setval('mailDistributionRule_id_seq', COALESCE((SELECT MAX(id)+1 FROM mailDistributionRule), 1), false);</v>
      </c>
    </row>
    <row r="45" spans="1:44">
      <c r="A45">
        <v>704</v>
      </c>
      <c r="B45" t="s">
        <v>1475</v>
      </c>
      <c r="C45" s="3" t="s">
        <v>2793</v>
      </c>
      <c r="D45" s="3"/>
      <c r="E45" s="3" t="s">
        <v>1524</v>
      </c>
      <c r="F45" t="s">
        <v>1412</v>
      </c>
      <c r="G45" s="3" t="s">
        <v>1421</v>
      </c>
      <c r="H45" t="s">
        <v>94</v>
      </c>
      <c r="I45" s="3" t="s">
        <v>919</v>
      </c>
      <c r="J45" s="3">
        <v>0</v>
      </c>
      <c r="K45" s="3" t="s">
        <v>0</v>
      </c>
      <c r="L45" s="3"/>
      <c r="M45" s="4"/>
      <c r="N45" s="3"/>
      <c r="O45" s="3"/>
      <c r="P45" s="3" t="str">
        <f t="shared" si="2"/>
        <v>mail.DistributionRuleDeliveryMethod</v>
      </c>
      <c r="Q45" s="3"/>
      <c r="R45" s="5" t="s">
        <v>2059</v>
      </c>
      <c r="S45" s="10"/>
      <c r="T45" s="3" t="s">
        <v>1408</v>
      </c>
      <c r="X45" s="4" t="str" cm="1">
        <f t="array" ref="X45">"("&amp;A45&amp;",'"&amp;[1]!AddSpaces(E45)&amp;"'),"</f>
        <v>(704,'Mail Distribution Rule Delivery Method'),</v>
      </c>
      <c r="Y45" t="str">
        <f t="shared" si="3"/>
        <v>N</v>
      </c>
      <c r="Z45" t="str">
        <f t="shared" si="3"/>
        <v>N</v>
      </c>
      <c r="AA45" t="str">
        <f t="shared" si="3"/>
        <v>N</v>
      </c>
      <c r="AB45" s="3"/>
      <c r="AC45" s="3"/>
      <c r="AD45" s="3"/>
      <c r="AE45" s="3"/>
      <c r="AG45" s="3"/>
      <c r="AI45" s="3"/>
      <c r="AK45" t="str">
        <f t="shared" si="4"/>
        <v>SELECT setval('mailDistributionRuleDeliveryMethod_id_seq', COALESCE((SELECT MAX(id)+1 FROM mailDistributionRuleDeliveryMethod), 1), false);</v>
      </c>
    </row>
    <row r="46" spans="1:44">
      <c r="A46">
        <v>705</v>
      </c>
      <c r="B46" t="s">
        <v>1475</v>
      </c>
      <c r="C46" s="3" t="s">
        <v>2794</v>
      </c>
      <c r="E46" s="3" t="s">
        <v>1525</v>
      </c>
      <c r="F46" s="3" t="s">
        <v>1422</v>
      </c>
      <c r="G46" s="3" t="s">
        <v>1424</v>
      </c>
      <c r="H46" t="s">
        <v>94</v>
      </c>
      <c r="I46" s="3" t="s">
        <v>919</v>
      </c>
      <c r="J46" s="3">
        <v>0</v>
      </c>
      <c r="K46" s="3" t="s">
        <v>0</v>
      </c>
      <c r="L46" s="3" t="s">
        <v>12</v>
      </c>
      <c r="M46" s="4"/>
      <c r="N46" s="3"/>
      <c r="P46" s="3" t="str">
        <f t="shared" si="2"/>
        <v>mail.DistributionType</v>
      </c>
      <c r="Q46" s="3"/>
      <c r="R46" s="5" t="s">
        <v>2059</v>
      </c>
      <c r="S46" s="10"/>
      <c r="T46" s="3" t="s">
        <v>1408</v>
      </c>
      <c r="U46" t="s">
        <v>5975</v>
      </c>
      <c r="X46" s="4" t="str" cm="1">
        <f t="array" ref="X46">"("&amp;A46&amp;",'"&amp;[1]!AddSpaces(E46)&amp;"'),"</f>
        <v>(705,'Mail Distribution Type'),</v>
      </c>
      <c r="Y46" t="str">
        <f t="shared" si="3"/>
        <v>N</v>
      </c>
      <c r="Z46" t="str">
        <f t="shared" si="3"/>
        <v>N</v>
      </c>
      <c r="AA46" t="str">
        <f t="shared" si="3"/>
        <v>N</v>
      </c>
      <c r="AB46" s="3"/>
      <c r="AC46" s="3"/>
      <c r="AD46" s="3"/>
      <c r="AE46" s="3"/>
      <c r="AG46" s="3"/>
      <c r="AI46" t="str">
        <f>"WHEN p_sysDictionaryTableID = "&amp;A46&amp;" THEN (SELECT "&amp;L46&amp;" FROM "&amp;C46&amp;" x WHERE x.ID = p_RowID "&amp;IF(I46="Y", " and x.TemporalEndDate = '9999-12-31'","")&amp;")"</f>
        <v>WHEN p_sysDictionaryTableID = 705 THEN (SELECT Description FROM mailDistributionType x WHERE x.ID = p_RowID )</v>
      </c>
      <c r="AK46" t="str">
        <f t="shared" si="4"/>
        <v>SELECT setval('mailDistributionType_id_seq', COALESCE((SELECT MAX(id)+1 FROM mailDistributionType), 1), false);</v>
      </c>
    </row>
    <row r="47" spans="1:44">
      <c r="A47">
        <v>706</v>
      </c>
      <c r="B47" t="s">
        <v>1475</v>
      </c>
      <c r="C47" s="3" t="s">
        <v>2795</v>
      </c>
      <c r="D47" s="3"/>
      <c r="E47" s="3" t="s">
        <v>1526</v>
      </c>
      <c r="F47" s="3" t="s">
        <v>1418</v>
      </c>
      <c r="G47" s="3" t="s">
        <v>1419</v>
      </c>
      <c r="H47" t="s">
        <v>94</v>
      </c>
      <c r="I47" s="3" t="s">
        <v>919</v>
      </c>
      <c r="J47" s="3">
        <v>0</v>
      </c>
      <c r="K47" s="3" t="s">
        <v>0</v>
      </c>
      <c r="L47" s="3"/>
      <c r="M47" s="4"/>
      <c r="N47" s="3"/>
      <c r="O47" s="3"/>
      <c r="P47" s="3" t="str">
        <f t="shared" si="2"/>
        <v>mail.Merge</v>
      </c>
      <c r="Q47" s="3"/>
      <c r="S47" s="10"/>
      <c r="T47" s="3" t="s">
        <v>1408</v>
      </c>
      <c r="U47" s="3"/>
      <c r="V47" s="3"/>
      <c r="W47" s="3"/>
      <c r="X47" s="3"/>
      <c r="Y47" t="str">
        <f t="shared" si="3"/>
        <v>N</v>
      </c>
      <c r="Z47" t="str">
        <f t="shared" si="3"/>
        <v>N</v>
      </c>
      <c r="AA47" t="str">
        <f t="shared" si="3"/>
        <v>N</v>
      </c>
      <c r="AB47" s="3"/>
      <c r="AC47" s="3"/>
      <c r="AD47" s="3"/>
      <c r="AE47" s="3"/>
      <c r="AG47" s="3"/>
      <c r="AI47" s="3"/>
      <c r="AK47" t="str">
        <f t="shared" si="4"/>
        <v>SELECT setval('mailMerge_id_seq', COALESCE((SELECT MAX(id)+1 FROM mailMerge), 1), false);</v>
      </c>
      <c r="AQ47" s="7"/>
      <c r="AR47" s="7"/>
    </row>
    <row r="48" spans="1:44">
      <c r="A48">
        <v>707</v>
      </c>
      <c r="B48" t="s">
        <v>1475</v>
      </c>
      <c r="C48" s="3" t="s">
        <v>2796</v>
      </c>
      <c r="D48" s="3"/>
      <c r="E48" s="3" t="s">
        <v>1527</v>
      </c>
      <c r="F48" t="s">
        <v>1413</v>
      </c>
      <c r="G48" s="3" t="s">
        <v>1414</v>
      </c>
      <c r="H48" t="s">
        <v>94</v>
      </c>
      <c r="I48" s="3" t="s">
        <v>919</v>
      </c>
      <c r="J48" s="3">
        <v>0</v>
      </c>
      <c r="K48" s="3" t="s">
        <v>0</v>
      </c>
      <c r="L48" s="3"/>
      <c r="M48" s="4"/>
      <c r="N48" s="3"/>
      <c r="O48" s="3"/>
      <c r="P48" s="3" t="str">
        <f t="shared" si="2"/>
        <v>mail.Option</v>
      </c>
      <c r="Q48" s="3"/>
      <c r="R48" t="s">
        <v>2059</v>
      </c>
      <c r="S48" s="10"/>
      <c r="T48" s="3" t="s">
        <v>1408</v>
      </c>
      <c r="U48" s="3"/>
      <c r="V48" s="3"/>
      <c r="W48" s="3"/>
      <c r="X48" s="3"/>
      <c r="Y48" t="str">
        <f t="shared" si="3"/>
        <v>N</v>
      </c>
      <c r="Z48" t="str">
        <f t="shared" si="3"/>
        <v>N</v>
      </c>
      <c r="AA48" t="str">
        <f t="shared" si="3"/>
        <v>N</v>
      </c>
      <c r="AB48" s="3"/>
      <c r="AC48" s="3"/>
      <c r="AD48" s="3"/>
      <c r="AE48" s="3"/>
      <c r="AG48" s="3"/>
      <c r="AI48" s="3"/>
      <c r="AK48" t="str">
        <f t="shared" si="4"/>
        <v>SELECT setval('mailOption_id_seq', COALESCE((SELECT MAX(id)+1 FROM mailOption), 1), false);</v>
      </c>
      <c r="AQ48" s="7"/>
      <c r="AR48" s="7"/>
    </row>
    <row r="49" spans="1:44">
      <c r="A49">
        <v>708</v>
      </c>
      <c r="B49" t="s">
        <v>1475</v>
      </c>
      <c r="C49" s="3" t="s">
        <v>2797</v>
      </c>
      <c r="D49" s="3"/>
      <c r="E49" s="3" t="s">
        <v>1528</v>
      </c>
      <c r="F49" t="s">
        <v>1415</v>
      </c>
      <c r="G49" s="3" t="s">
        <v>1416</v>
      </c>
      <c r="H49" s="3" t="s">
        <v>94</v>
      </c>
      <c r="I49" s="3" t="s">
        <v>919</v>
      </c>
      <c r="J49" s="3">
        <v>0</v>
      </c>
      <c r="K49" s="3" t="s">
        <v>0</v>
      </c>
      <c r="L49" s="3"/>
      <c r="M49" s="4"/>
      <c r="N49" s="3"/>
      <c r="O49" s="3"/>
      <c r="P49" s="3" t="str">
        <f t="shared" si="2"/>
        <v>mail.OptionDefault</v>
      </c>
      <c r="Q49" s="3"/>
      <c r="R49" s="3"/>
      <c r="S49" s="10"/>
      <c r="T49" s="3" t="s">
        <v>1408</v>
      </c>
      <c r="U49" s="3"/>
      <c r="V49" s="3"/>
      <c r="W49" s="3"/>
      <c r="X49" s="3"/>
      <c r="Y49" t="str">
        <f t="shared" si="3"/>
        <v>N</v>
      </c>
      <c r="Z49" t="str">
        <f t="shared" si="3"/>
        <v>N</v>
      </c>
      <c r="AA49" t="str">
        <f t="shared" si="3"/>
        <v>N</v>
      </c>
      <c r="AB49" s="3"/>
      <c r="AC49" s="3"/>
      <c r="AD49" s="3"/>
      <c r="AE49" s="3"/>
      <c r="AG49" s="3"/>
      <c r="AI49" s="3"/>
      <c r="AK49" t="str">
        <f t="shared" si="4"/>
        <v>SELECT setval('mailOptionDefault_id_seq', COALESCE((SELECT MAX(id)+1 FROM mailOptionDefault), 1), false);</v>
      </c>
      <c r="AQ49" s="7"/>
      <c r="AR49" s="7"/>
    </row>
    <row r="50" spans="1:44">
      <c r="A50">
        <v>709</v>
      </c>
      <c r="B50" t="s">
        <v>1475</v>
      </c>
      <c r="C50" s="3" t="s">
        <v>2798</v>
      </c>
      <c r="E50" s="3" t="s">
        <v>1529</v>
      </c>
      <c r="F50" s="3" t="s">
        <v>55</v>
      </c>
      <c r="G50" s="3" t="s">
        <v>1411</v>
      </c>
      <c r="H50" t="s">
        <v>94</v>
      </c>
      <c r="I50" s="3" t="s">
        <v>919</v>
      </c>
      <c r="J50" s="3">
        <v>0</v>
      </c>
      <c r="K50" s="3" t="s">
        <v>0</v>
      </c>
      <c r="L50" s="3" t="s">
        <v>12</v>
      </c>
      <c r="M50" s="4"/>
      <c r="N50" s="3"/>
      <c r="P50" s="3" t="str">
        <f t="shared" si="2"/>
        <v>mail.Status</v>
      </c>
      <c r="Q50" s="3"/>
      <c r="R50" s="5" t="s">
        <v>2059</v>
      </c>
      <c r="S50" s="10"/>
      <c r="T50" s="3" t="s">
        <v>1408</v>
      </c>
      <c r="U50" t="s">
        <v>5976</v>
      </c>
      <c r="X50" s="4" t="str" cm="1">
        <f t="array" ref="X50">"("&amp;A50&amp;",'"&amp;[1]!AddSpaces(E50)&amp;"'),"</f>
        <v>(709,'Mail Status'),</v>
      </c>
      <c r="Y50" t="str">
        <f t="shared" si="3"/>
        <v>N</v>
      </c>
      <c r="Z50" t="str">
        <f t="shared" si="3"/>
        <v>N</v>
      </c>
      <c r="AA50" t="str">
        <f t="shared" si="3"/>
        <v>N</v>
      </c>
      <c r="AB50" s="3"/>
      <c r="AC50" s="3"/>
      <c r="AD50" s="3"/>
      <c r="AE50" s="3"/>
      <c r="AG50" s="3"/>
      <c r="AI50" t="str">
        <f>"WHEN p_sysDictionaryTableID = "&amp;A50&amp;" THEN (SELECT "&amp;L50&amp;" FROM "&amp;C50&amp;" x WHERE x.ID = p_RowID "&amp;IF(I50="Y", " and x.TemporalEndDate = '9999-12-31'","")&amp;")"</f>
        <v>WHEN p_sysDictionaryTableID = 709 THEN (SELECT Description FROM mailStatus x WHERE x.ID = p_RowID )</v>
      </c>
      <c r="AK50" t="str">
        <f t="shared" si="4"/>
        <v>SELECT setval('mailStatus_id_seq', COALESCE((SELECT MAX(id)+1 FROM mailStatus), 1), false);</v>
      </c>
      <c r="AL50" s="7"/>
      <c r="AM50" s="7"/>
      <c r="AN50" s="8"/>
      <c r="AO50" s="7"/>
      <c r="AP50" s="7"/>
      <c r="AQ50" s="7"/>
      <c r="AR50" s="7"/>
    </row>
    <row r="51" spans="1:44">
      <c r="A51">
        <v>710</v>
      </c>
      <c r="B51" t="s">
        <v>1475</v>
      </c>
      <c r="C51" s="3" t="s">
        <v>2799</v>
      </c>
      <c r="D51" s="3"/>
      <c r="E51" s="3" t="s">
        <v>1530</v>
      </c>
      <c r="F51" s="3" t="s">
        <v>1423</v>
      </c>
      <c r="G51" t="s">
        <v>1245</v>
      </c>
      <c r="H51" t="s">
        <v>94</v>
      </c>
      <c r="I51" s="3" t="s">
        <v>919</v>
      </c>
      <c r="J51" s="3">
        <v>0</v>
      </c>
      <c r="K51" s="3" t="s">
        <v>0</v>
      </c>
      <c r="L51" s="4" t="s">
        <v>12</v>
      </c>
      <c r="M51" s="4"/>
      <c r="N51" s="3"/>
      <c r="O51" s="3"/>
      <c r="P51" s="3" t="str">
        <f t="shared" si="2"/>
        <v>mail.SupressReason</v>
      </c>
      <c r="Q51" s="3"/>
      <c r="R51" s="5" t="s">
        <v>2059</v>
      </c>
      <c r="S51" s="10"/>
      <c r="T51" s="3" t="s">
        <v>1408</v>
      </c>
      <c r="U51" t="s">
        <v>5971</v>
      </c>
      <c r="X51" s="4" t="str" cm="1">
        <f t="array" ref="X51">"("&amp;A51&amp;",'"&amp;[1]!AddSpaces(E51)&amp;"'),"</f>
        <v>(710,'Mail Supress Reason'),</v>
      </c>
      <c r="Y51" t="str">
        <f t="shared" si="3"/>
        <v>N</v>
      </c>
      <c r="Z51" t="str">
        <f t="shared" si="3"/>
        <v>N</v>
      </c>
      <c r="AA51" t="str">
        <f t="shared" si="3"/>
        <v>N</v>
      </c>
      <c r="AC51" s="3"/>
      <c r="AG51" s="3"/>
      <c r="AI51" t="str">
        <f>"WHEN p_sysDictionaryTableID = "&amp;A51&amp;" THEN (SELECT "&amp;L51&amp;" FROM "&amp;C51&amp;" x WHERE x.ID = p_RowID "&amp;IF(I51="Y", " and x.TemporalEndDate = '9999-12-31'","")&amp;")"</f>
        <v>WHEN p_sysDictionaryTableID = 710 THEN (SELECT Description FROM mailSupressReason x WHERE x.ID = p_RowID )</v>
      </c>
      <c r="AK51" t="str">
        <f t="shared" si="4"/>
        <v>SELECT setval('mailSupressReason_id_seq', COALESCE((SELECT MAX(id)+1 FROM mailSupressReason), 1), false);</v>
      </c>
      <c r="AL51" s="7"/>
      <c r="AM51" s="7"/>
      <c r="AN51" s="8"/>
      <c r="AO51" s="7"/>
      <c r="AP51" s="7"/>
      <c r="AQ51" s="7"/>
      <c r="AR51" s="7"/>
    </row>
    <row r="52" spans="1:44">
      <c r="A52">
        <v>711</v>
      </c>
      <c r="B52" t="s">
        <v>1475</v>
      </c>
      <c r="C52" s="3" t="s">
        <v>2800</v>
      </c>
      <c r="D52" s="3"/>
      <c r="E52" s="3" t="s">
        <v>1531</v>
      </c>
      <c r="F52" t="s">
        <v>273</v>
      </c>
      <c r="G52" s="3" t="s">
        <v>1417</v>
      </c>
      <c r="H52" s="3" t="s">
        <v>94</v>
      </c>
      <c r="I52" s="3" t="s">
        <v>919</v>
      </c>
      <c r="J52" s="3">
        <v>0</v>
      </c>
      <c r="K52" s="3" t="s">
        <v>0</v>
      </c>
      <c r="L52" s="4" t="s">
        <v>22</v>
      </c>
      <c r="M52" s="4"/>
      <c r="N52" s="3"/>
      <c r="O52" s="3"/>
      <c r="P52" s="3" t="str">
        <f t="shared" si="2"/>
        <v>mail.Template</v>
      </c>
      <c r="Q52" s="3"/>
      <c r="R52" s="3"/>
      <c r="S52" s="10"/>
      <c r="T52" s="3" t="s">
        <v>1408</v>
      </c>
      <c r="U52" s="3"/>
      <c r="V52" s="3"/>
      <c r="W52" s="3"/>
      <c r="X52" s="3"/>
      <c r="Y52" t="str">
        <f t="shared" si="3"/>
        <v>N</v>
      </c>
      <c r="Z52" t="str">
        <f t="shared" si="3"/>
        <v>N</v>
      </c>
      <c r="AA52" t="str">
        <f t="shared" si="3"/>
        <v>N</v>
      </c>
      <c r="AB52" s="3"/>
      <c r="AC52" s="3"/>
      <c r="AD52" s="3"/>
      <c r="AE52" s="3"/>
      <c r="AG52" s="3"/>
      <c r="AI52" t="str">
        <f>"WHEN p_sysDictionaryTableID = "&amp;A52&amp;" THEN (SELECT "&amp;L52&amp;" FROM "&amp;C52&amp;" x WHERE x.ID = p_RowID "&amp;IF(I52="Y", " and x.TemporalEndDate = '9999-12-31'","")&amp;")"</f>
        <v>WHEN p_sysDictionaryTableID = 711 THEN (SELECT Name FROM mailTemplate x WHERE x.ID = p_RowID )</v>
      </c>
      <c r="AK52" t="str">
        <f t="shared" si="4"/>
        <v>SELECT setval('mailTemplate_id_seq', COALESCE((SELECT MAX(id)+1 FROM mailTemplate), 1), false);</v>
      </c>
      <c r="AL52" s="7"/>
      <c r="AM52" s="7"/>
      <c r="AN52" s="8"/>
      <c r="AO52" s="7"/>
      <c r="AP52" s="7"/>
      <c r="AQ52" s="7"/>
      <c r="AR52" s="7"/>
    </row>
    <row r="54" spans="1:44">
      <c r="C54" s="3"/>
      <c r="E54" s="3"/>
      <c r="F54" s="3"/>
      <c r="I54" s="3"/>
      <c r="J54" s="3"/>
      <c r="K54" s="3"/>
      <c r="L54" s="4"/>
      <c r="M54" s="4"/>
      <c r="N54" s="4"/>
      <c r="O54" s="4"/>
      <c r="P54" s="3"/>
      <c r="Q54" s="3"/>
      <c r="R54" s="5"/>
      <c r="S54" s="10"/>
      <c r="T54" s="3"/>
      <c r="U54" s="3"/>
      <c r="V54" s="3"/>
      <c r="W54" s="3"/>
      <c r="X54" s="4"/>
      <c r="AG54" s="3"/>
    </row>
    <row r="55" spans="1:44">
      <c r="C55" s="3"/>
      <c r="E55" s="3"/>
      <c r="F55" s="3"/>
      <c r="I55" s="3"/>
      <c r="J55" s="3"/>
      <c r="K55" s="3"/>
      <c r="L55" s="4"/>
      <c r="M55" s="4"/>
      <c r="N55" s="4"/>
      <c r="O55" s="4"/>
      <c r="P55" s="3"/>
      <c r="Q55" s="3"/>
      <c r="R55" s="5"/>
      <c r="S55" s="10"/>
      <c r="T55" s="3"/>
      <c r="U55" s="3"/>
      <c r="V55" s="3"/>
      <c r="W55" s="3"/>
      <c r="X55" s="4"/>
      <c r="AG55" s="3"/>
    </row>
    <row r="56" spans="1:44">
      <c r="C56" s="3"/>
      <c r="E56" s="3"/>
      <c r="F56" s="3"/>
      <c r="G56" s="3"/>
      <c r="H56" s="3"/>
      <c r="I56" s="3"/>
      <c r="J56" s="3"/>
      <c r="K56" s="3"/>
      <c r="L56" s="3"/>
      <c r="M56" s="4"/>
      <c r="N56" s="3"/>
      <c r="P56" s="3"/>
      <c r="Q56" s="3"/>
      <c r="R56" s="5"/>
      <c r="S56" s="10"/>
      <c r="T56" s="3"/>
      <c r="X56" s="4"/>
      <c r="AB56" s="3"/>
      <c r="AC56" s="3"/>
      <c r="AD56" s="3"/>
      <c r="AE56" s="3"/>
      <c r="AG56" s="3"/>
    </row>
    <row r="57" spans="1:44">
      <c r="C57" s="3"/>
      <c r="E57" s="3"/>
      <c r="F57" s="3"/>
      <c r="G57" s="3"/>
      <c r="H57" s="3"/>
      <c r="I57" s="3"/>
      <c r="J57" s="3"/>
      <c r="K57" s="3"/>
      <c r="L57" s="3"/>
      <c r="M57" s="4"/>
      <c r="N57" s="3"/>
      <c r="P57" s="3"/>
      <c r="Q57" s="3"/>
      <c r="R57" s="5"/>
      <c r="S57" s="10"/>
      <c r="T57" s="3"/>
      <c r="X57" s="4"/>
      <c r="AB57" s="3"/>
      <c r="AC57" s="3"/>
      <c r="AD57" s="3"/>
      <c r="AE57" s="3"/>
      <c r="AG57" s="3"/>
    </row>
    <row r="58" spans="1:44">
      <c r="C58" s="3"/>
      <c r="E58" s="3"/>
      <c r="F58" s="3"/>
      <c r="G58" s="3"/>
      <c r="H58" s="3"/>
      <c r="I58" s="3"/>
      <c r="J58" s="3"/>
      <c r="K58" s="3"/>
      <c r="L58" s="3"/>
      <c r="M58" s="4"/>
      <c r="N58" s="3"/>
      <c r="P58" s="3"/>
      <c r="Q58" s="3"/>
      <c r="R58" s="5"/>
      <c r="S58" s="10"/>
      <c r="T58" s="3"/>
      <c r="X58" s="4"/>
      <c r="AB58" s="3"/>
      <c r="AC58" s="3"/>
      <c r="AD58" s="3"/>
      <c r="AE58" s="3"/>
      <c r="AG58" s="3"/>
    </row>
    <row r="59" spans="1:44">
      <c r="C59" s="3"/>
      <c r="E59" s="3"/>
      <c r="F59" s="3"/>
      <c r="G59" s="3"/>
      <c r="H59" s="3"/>
      <c r="I59" s="3"/>
      <c r="J59" s="3"/>
      <c r="K59" s="3"/>
      <c r="L59" s="3"/>
      <c r="M59" s="4"/>
      <c r="N59" s="3"/>
      <c r="P59" s="3"/>
      <c r="Q59" s="3"/>
      <c r="R59" s="5"/>
      <c r="S59" s="10"/>
      <c r="T59" s="3"/>
      <c r="X59" s="4"/>
      <c r="AB59" s="3"/>
      <c r="AC59" s="3"/>
      <c r="AD59" s="3"/>
      <c r="AE59" s="3"/>
      <c r="AG59" s="3"/>
    </row>
    <row r="60" spans="1:44">
      <c r="C60" s="3"/>
      <c r="D60" s="3"/>
      <c r="E60" s="3"/>
      <c r="F60" s="3"/>
      <c r="G60" s="3"/>
      <c r="H60" s="3"/>
      <c r="I60" s="3"/>
      <c r="J60" s="3"/>
      <c r="K60" s="3"/>
      <c r="L60" s="3"/>
      <c r="M60" s="4"/>
      <c r="N60" s="3"/>
      <c r="O60" s="3"/>
      <c r="P60" s="3"/>
      <c r="Q60" s="3"/>
      <c r="S60" s="10"/>
      <c r="T60" s="3"/>
      <c r="U60" s="3"/>
      <c r="V60" s="3"/>
      <c r="W60" s="3"/>
      <c r="X60" s="3"/>
      <c r="AC60" s="3"/>
      <c r="AG60" s="3"/>
    </row>
    <row r="61" spans="1:44">
      <c r="C61" s="3"/>
      <c r="D61" s="3"/>
      <c r="E61" s="3"/>
      <c r="F61" s="3"/>
      <c r="G61" s="3"/>
      <c r="H61" s="3"/>
      <c r="I61" s="3"/>
      <c r="J61" s="3"/>
      <c r="K61" s="3"/>
      <c r="L61" s="3"/>
      <c r="M61" s="4"/>
      <c r="N61" s="3"/>
      <c r="O61" s="3"/>
      <c r="P61" s="3"/>
      <c r="Q61" s="3"/>
      <c r="S61" s="10"/>
      <c r="T61" s="3"/>
      <c r="U61" s="3"/>
      <c r="V61" s="3"/>
      <c r="W61" s="3"/>
      <c r="X61" s="3"/>
      <c r="AC61" s="3"/>
      <c r="AG61" s="3"/>
      <c r="AI61" s="3"/>
    </row>
    <row r="62" spans="1:44">
      <c r="C62" s="3"/>
      <c r="D62" s="3"/>
      <c r="E62" s="3"/>
      <c r="F62" s="3"/>
      <c r="G62" s="3"/>
      <c r="H62" s="3"/>
      <c r="I62" s="3"/>
      <c r="J62" s="3"/>
      <c r="K62" s="3"/>
      <c r="L62" s="3"/>
      <c r="M62" s="4"/>
      <c r="N62" s="3"/>
      <c r="O62" s="3"/>
      <c r="P62" s="3"/>
      <c r="Q62" s="3"/>
      <c r="S62" s="10"/>
      <c r="T62" s="3"/>
      <c r="U62" s="3"/>
      <c r="V62" s="3"/>
      <c r="W62" s="3"/>
      <c r="X62" s="3"/>
      <c r="AC62" s="3"/>
      <c r="AG62" s="3"/>
      <c r="AI62" s="3"/>
    </row>
    <row r="63" spans="1:44">
      <c r="C63" s="3"/>
      <c r="D63" s="3"/>
      <c r="E63" s="3"/>
      <c r="F63" s="3"/>
      <c r="G63" s="3"/>
      <c r="H63" s="3"/>
      <c r="I63" s="3"/>
      <c r="J63" s="3"/>
      <c r="K63" s="3"/>
      <c r="L63" s="3"/>
      <c r="M63" s="4"/>
      <c r="N63" s="3"/>
      <c r="O63" s="3"/>
      <c r="P63" s="3"/>
      <c r="Q63" s="3"/>
      <c r="S63" s="10"/>
      <c r="T63" s="3"/>
      <c r="U63" s="3"/>
      <c r="V63" s="3"/>
      <c r="W63" s="3"/>
      <c r="X63" s="3"/>
      <c r="AC63" s="3"/>
      <c r="AG63" s="3"/>
      <c r="AI63" s="3"/>
    </row>
    <row r="64" spans="1:44">
      <c r="C64" s="3"/>
      <c r="D64" s="3"/>
      <c r="E64" s="3"/>
      <c r="F64" s="3"/>
      <c r="G64" s="3"/>
      <c r="H64" s="3"/>
      <c r="I64" s="3"/>
      <c r="J64" s="3"/>
      <c r="K64" s="3"/>
      <c r="L64" s="3"/>
      <c r="M64" s="4"/>
      <c r="N64" s="3"/>
      <c r="O64" s="3"/>
      <c r="P64" s="3"/>
      <c r="Q64" s="3"/>
      <c r="S64" s="10"/>
      <c r="T64" s="3"/>
      <c r="U64" s="3"/>
      <c r="V64" s="3"/>
      <c r="W64" s="3"/>
      <c r="X64" s="3"/>
      <c r="AC64" s="3"/>
      <c r="AG64" s="3"/>
      <c r="AI64" s="3"/>
    </row>
    <row r="65" spans="3:35">
      <c r="C65" s="3"/>
      <c r="E65" s="3"/>
      <c r="F65" s="3"/>
      <c r="G65" s="3"/>
      <c r="H65" s="3"/>
      <c r="I65" s="3"/>
      <c r="J65" s="3"/>
      <c r="K65" s="3"/>
      <c r="L65" s="3"/>
      <c r="M65" s="4"/>
      <c r="N65" s="3"/>
      <c r="P65" s="3"/>
      <c r="Q65" s="3"/>
      <c r="R65" s="5"/>
      <c r="S65" s="10"/>
      <c r="T65" s="3"/>
      <c r="X65" s="4"/>
      <c r="AB65" s="3"/>
      <c r="AC65" s="3"/>
      <c r="AD65" s="3"/>
      <c r="AE65" s="3"/>
      <c r="AG65" s="3"/>
    </row>
    <row r="66" spans="3:35">
      <c r="C66" s="3"/>
      <c r="E66" s="3"/>
      <c r="F66" s="3"/>
      <c r="G66" s="3"/>
      <c r="H66" s="3"/>
      <c r="I66" s="3"/>
      <c r="J66" s="3"/>
      <c r="K66" s="3"/>
      <c r="L66" s="3"/>
      <c r="M66" s="4"/>
      <c r="N66" s="3"/>
      <c r="P66" s="3"/>
      <c r="Q66" s="3"/>
      <c r="R66" s="5"/>
      <c r="S66" s="10"/>
      <c r="T66" s="3"/>
      <c r="X66" s="4"/>
      <c r="AB66" s="3"/>
      <c r="AC66" s="3"/>
      <c r="AD66" s="3"/>
      <c r="AE66" s="3"/>
      <c r="AG66" s="3"/>
    </row>
    <row r="67" spans="3:35">
      <c r="C67" s="3"/>
      <c r="E67" s="3"/>
      <c r="F67" s="3"/>
      <c r="I67" s="3"/>
      <c r="J67" s="3"/>
      <c r="K67" s="3"/>
      <c r="L67" s="3"/>
      <c r="M67" s="4"/>
      <c r="N67" s="4"/>
      <c r="O67" s="4"/>
      <c r="P67" s="3"/>
      <c r="Q67" s="3"/>
      <c r="R67" s="5"/>
      <c r="S67" s="10"/>
      <c r="T67" s="3"/>
      <c r="U67" s="3"/>
      <c r="V67" s="3"/>
      <c r="W67" s="3"/>
      <c r="X67" s="4"/>
      <c r="AG67" s="3"/>
    </row>
    <row r="68" spans="3:35">
      <c r="C68" s="3"/>
      <c r="D68" s="3"/>
      <c r="E68" s="3"/>
      <c r="F68" s="3"/>
      <c r="G68" s="3"/>
      <c r="H68" s="3"/>
      <c r="I68" s="3"/>
      <c r="J68" s="3"/>
      <c r="K68" s="3"/>
      <c r="L68" s="3"/>
      <c r="M68" s="4"/>
      <c r="N68" s="3"/>
      <c r="O68" s="3"/>
      <c r="P68" s="3"/>
      <c r="Q68" s="3"/>
      <c r="S68" s="10"/>
      <c r="T68" s="3"/>
      <c r="U68" s="3"/>
      <c r="V68" s="3"/>
      <c r="W68" s="3"/>
      <c r="X68" s="4"/>
      <c r="AC68" s="3"/>
      <c r="AG68" s="3"/>
    </row>
    <row r="69" spans="3:35">
      <c r="C69" s="3"/>
      <c r="D69" s="3"/>
      <c r="E69" s="3"/>
      <c r="F69" s="3"/>
      <c r="G69" s="3"/>
      <c r="H69" s="3"/>
      <c r="I69" s="3"/>
      <c r="J69" s="3"/>
      <c r="K69" s="3"/>
      <c r="L69" s="3"/>
      <c r="M69" s="4"/>
      <c r="N69" s="3"/>
      <c r="O69" s="3"/>
      <c r="P69" s="3"/>
      <c r="Q69" s="3"/>
      <c r="S69" s="10"/>
      <c r="T69" s="3"/>
      <c r="U69" s="3"/>
      <c r="V69" s="3"/>
      <c r="W69" s="3"/>
      <c r="X69" s="3"/>
      <c r="AC69" s="3"/>
      <c r="AG69" s="3"/>
    </row>
    <row r="70" spans="3:35">
      <c r="C70" s="3"/>
      <c r="E70" s="3"/>
      <c r="F70" s="3"/>
      <c r="I70" s="3"/>
      <c r="J70" s="3"/>
      <c r="K70" s="3"/>
      <c r="L70" s="4"/>
      <c r="M70" s="4"/>
      <c r="N70" s="4"/>
      <c r="O70" s="4"/>
      <c r="P70" s="3"/>
      <c r="Q70" s="3"/>
      <c r="S70" s="10"/>
      <c r="T70" s="3"/>
      <c r="U70" s="3"/>
      <c r="V70" s="3"/>
      <c r="W70" s="3"/>
      <c r="X70" s="4"/>
      <c r="AG70" s="3"/>
    </row>
    <row r="71" spans="3:35">
      <c r="C71" s="3"/>
      <c r="E71" s="3"/>
      <c r="F71" s="3"/>
      <c r="G71" s="3"/>
      <c r="H71" s="3"/>
      <c r="I71" s="3"/>
      <c r="J71" s="3"/>
      <c r="K71" s="3"/>
      <c r="L71" s="3"/>
      <c r="M71" s="4"/>
      <c r="N71" s="3"/>
      <c r="P71" s="3"/>
      <c r="Q71" s="3"/>
      <c r="R71" s="5"/>
      <c r="S71" s="10"/>
      <c r="T71" s="3"/>
      <c r="X71" s="4"/>
      <c r="AB71" s="3"/>
      <c r="AC71" s="3"/>
      <c r="AD71" s="3"/>
      <c r="AE71" s="3"/>
      <c r="AG71" s="3"/>
    </row>
    <row r="72" spans="3:35">
      <c r="C72" s="3"/>
      <c r="D72" s="3"/>
      <c r="E72" s="3"/>
      <c r="F72" s="3"/>
      <c r="G72" s="3"/>
      <c r="H72" s="3"/>
      <c r="I72" s="3"/>
      <c r="J72" s="3"/>
      <c r="K72" s="3"/>
      <c r="L72" s="3"/>
      <c r="M72" s="4"/>
      <c r="N72" s="3"/>
      <c r="O72" s="3"/>
      <c r="P72" s="3"/>
      <c r="Q72" s="3"/>
      <c r="S72" s="10"/>
      <c r="T72" s="3"/>
      <c r="U72" s="3"/>
      <c r="V72" s="3"/>
      <c r="W72" s="3"/>
      <c r="X72" s="3"/>
      <c r="AC72" s="3"/>
      <c r="AG72" s="3"/>
    </row>
    <row r="73" spans="3:35">
      <c r="C73" s="3"/>
      <c r="E73" s="3"/>
      <c r="F73" s="3"/>
      <c r="G73" s="3"/>
      <c r="H73" s="3"/>
      <c r="I73" s="3"/>
      <c r="J73" s="3"/>
      <c r="K73" s="3"/>
      <c r="L73" s="3"/>
      <c r="M73" s="4"/>
      <c r="N73" s="3"/>
      <c r="P73" s="3"/>
      <c r="Q73" s="3"/>
      <c r="R73" s="5"/>
      <c r="S73" s="10"/>
      <c r="T73" s="3"/>
      <c r="X73" s="4"/>
      <c r="AB73" s="3"/>
      <c r="AC73" s="3"/>
      <c r="AD73" s="3"/>
      <c r="AE73" s="3"/>
      <c r="AG73" s="3"/>
    </row>
    <row r="74" spans="3:35">
      <c r="C74" s="3"/>
      <c r="D74" s="3"/>
      <c r="E74" s="3"/>
      <c r="F74" s="3"/>
      <c r="G74" s="3"/>
      <c r="H74" s="3"/>
      <c r="I74" s="3"/>
      <c r="J74" s="3"/>
      <c r="K74" s="3"/>
      <c r="L74" s="3"/>
      <c r="M74" s="4"/>
      <c r="N74" s="3"/>
      <c r="O74" s="3"/>
      <c r="P74" s="3"/>
      <c r="Q74" s="3"/>
      <c r="R74" s="5"/>
      <c r="S74" s="10"/>
      <c r="T74" s="3"/>
      <c r="U74" s="3"/>
      <c r="V74" s="3"/>
      <c r="W74" s="3"/>
      <c r="X74" s="4"/>
      <c r="AC74" s="3"/>
      <c r="AG74" s="3"/>
    </row>
    <row r="75" spans="3:35">
      <c r="C75" s="3"/>
      <c r="D75" s="3"/>
      <c r="E75" s="3"/>
      <c r="F75" s="3"/>
      <c r="G75" s="3"/>
      <c r="H75" s="3"/>
      <c r="I75" s="3"/>
      <c r="J75" s="3"/>
      <c r="K75" s="3"/>
      <c r="L75" s="3"/>
      <c r="M75" s="4"/>
      <c r="N75" s="3"/>
      <c r="O75" s="3"/>
      <c r="P75" s="3"/>
      <c r="Q75" s="3"/>
      <c r="S75" s="10"/>
      <c r="T75" s="3"/>
      <c r="U75" s="3"/>
      <c r="V75" s="3"/>
      <c r="W75" s="3"/>
      <c r="X75" s="3"/>
      <c r="AC75" s="3"/>
      <c r="AG75" s="3"/>
      <c r="AI75" s="3"/>
    </row>
    <row r="76" spans="3:35">
      <c r="C76" s="3"/>
      <c r="E76" s="3"/>
      <c r="F76" s="3"/>
      <c r="I76" s="3"/>
      <c r="J76" s="3"/>
      <c r="K76" s="3"/>
      <c r="L76" s="4"/>
      <c r="M76" s="4"/>
      <c r="N76" s="4"/>
      <c r="O76" s="4"/>
      <c r="P76" s="3"/>
      <c r="Q76" s="3"/>
      <c r="S76" s="10"/>
      <c r="T76" s="3"/>
      <c r="X76" s="4"/>
      <c r="AG76" s="3"/>
    </row>
    <row r="77" spans="3:35">
      <c r="C77" s="3"/>
      <c r="E77" s="3"/>
      <c r="F77" s="3"/>
      <c r="I77" s="3"/>
      <c r="J77" s="3"/>
      <c r="K77" s="3"/>
      <c r="L77" s="4"/>
      <c r="M77" s="4"/>
      <c r="N77" s="4"/>
      <c r="O77" s="4"/>
      <c r="P77" s="3"/>
      <c r="Q77" s="3"/>
      <c r="S77" s="10"/>
      <c r="T77" s="3"/>
      <c r="X77" s="4"/>
      <c r="AG77" s="3"/>
    </row>
    <row r="78" spans="3:35">
      <c r="C78" s="3"/>
      <c r="E78" s="3"/>
      <c r="F78" s="3"/>
      <c r="I78" s="3"/>
      <c r="J78" s="3"/>
      <c r="K78" s="3"/>
      <c r="L78" s="4"/>
      <c r="M78" s="4"/>
      <c r="N78" s="4"/>
      <c r="O78" s="4"/>
      <c r="P78" s="3"/>
      <c r="Q78" s="3"/>
      <c r="S78" s="10"/>
      <c r="T78" s="3"/>
      <c r="X78" s="4"/>
      <c r="AG78" s="3"/>
    </row>
    <row r="79" spans="3:35">
      <c r="C79" s="3"/>
      <c r="E79" s="3"/>
      <c r="F79" s="3"/>
      <c r="I79" s="3"/>
      <c r="J79" s="3"/>
      <c r="K79" s="3"/>
      <c r="L79" s="4"/>
      <c r="M79" s="4"/>
      <c r="N79" s="4"/>
      <c r="O79" s="4"/>
      <c r="P79" s="3"/>
      <c r="Q79" s="3"/>
      <c r="S79" s="10"/>
      <c r="T79" s="3"/>
      <c r="X79" s="4"/>
      <c r="AG79" s="3"/>
    </row>
    <row r="80" spans="3:35">
      <c r="C80" s="3"/>
      <c r="E80" s="3"/>
      <c r="F80" s="3"/>
      <c r="I80" s="3"/>
      <c r="J80" s="3"/>
      <c r="K80" s="3"/>
      <c r="L80" s="3"/>
      <c r="M80" s="4"/>
      <c r="N80" s="4"/>
      <c r="O80" s="4"/>
      <c r="P80" s="3"/>
      <c r="Q80" s="3"/>
      <c r="R80" s="5"/>
      <c r="S80" s="10"/>
      <c r="T80" s="3"/>
      <c r="X80" s="4"/>
      <c r="AG80" s="3"/>
    </row>
    <row r="81" spans="1:35">
      <c r="C81" s="3"/>
      <c r="E81" s="3"/>
      <c r="F81" s="3"/>
      <c r="H81" s="3"/>
      <c r="I81" s="3"/>
      <c r="J81" s="3"/>
      <c r="K81" s="3"/>
      <c r="L81" s="4"/>
      <c r="M81" s="4"/>
      <c r="N81" s="4"/>
      <c r="O81" s="4"/>
      <c r="P81" s="3"/>
      <c r="Q81" s="3"/>
      <c r="R81" s="5"/>
      <c r="S81" s="10"/>
      <c r="T81" s="3"/>
      <c r="X81" s="4"/>
      <c r="AG81" s="3"/>
    </row>
    <row r="82" spans="1:35">
      <c r="C82" s="3"/>
      <c r="E82" s="3"/>
      <c r="F82" s="3"/>
      <c r="I82" s="3"/>
      <c r="J82" s="3"/>
      <c r="K82" s="3"/>
      <c r="L82" s="4"/>
      <c r="M82" s="4"/>
      <c r="N82" s="4"/>
      <c r="O82" s="4"/>
      <c r="P82" s="3"/>
      <c r="Q82" s="3"/>
      <c r="S82" s="10"/>
      <c r="T82" s="3"/>
      <c r="U82" s="3"/>
      <c r="V82" s="3"/>
      <c r="W82" s="3"/>
      <c r="X82" s="4"/>
      <c r="AC82" s="3"/>
      <c r="AG82" s="3"/>
    </row>
    <row r="83" spans="1:35">
      <c r="C83" s="3"/>
      <c r="E83" s="3"/>
      <c r="F83" s="3"/>
      <c r="I83" s="3"/>
      <c r="J83" s="3"/>
      <c r="K83" s="3"/>
      <c r="L83" s="4"/>
      <c r="M83" s="4"/>
      <c r="N83" s="4"/>
      <c r="O83" s="4"/>
      <c r="P83" s="3"/>
      <c r="Q83" s="3"/>
      <c r="S83" s="10"/>
      <c r="T83" s="3"/>
      <c r="U83" s="3"/>
      <c r="V83" s="3"/>
      <c r="W83" s="3"/>
      <c r="X83" s="4"/>
      <c r="AG83" s="3"/>
    </row>
    <row r="84" spans="1:35">
      <c r="C84" s="3"/>
      <c r="E84" s="3"/>
      <c r="F84" s="3"/>
      <c r="I84" s="3"/>
      <c r="J84" s="3"/>
      <c r="K84" s="3"/>
      <c r="L84" s="4"/>
      <c r="M84" s="4"/>
      <c r="N84" s="4"/>
      <c r="O84" s="4"/>
      <c r="P84" s="3"/>
      <c r="Q84" s="3"/>
      <c r="S84" s="10"/>
      <c r="T84" s="3"/>
      <c r="X84" s="4"/>
      <c r="AG84" s="3"/>
    </row>
    <row r="85" spans="1:35">
      <c r="A85" s="7"/>
      <c r="C85" s="3"/>
      <c r="D85" s="3"/>
      <c r="E85" s="3"/>
      <c r="F85" s="3"/>
      <c r="H85" s="3"/>
      <c r="I85" s="3"/>
      <c r="J85" s="3"/>
      <c r="K85" s="3"/>
      <c r="L85" s="4"/>
      <c r="M85" s="4"/>
      <c r="N85" s="3"/>
      <c r="O85" s="3"/>
      <c r="P85" s="3"/>
      <c r="Q85" s="3"/>
      <c r="R85" s="5"/>
      <c r="S85" s="10"/>
      <c r="T85" s="3"/>
      <c r="U85" s="3"/>
      <c r="V85" s="3"/>
      <c r="W85" s="3"/>
      <c r="X85" s="4"/>
      <c r="AC85" s="3"/>
      <c r="AG85" s="3"/>
    </row>
    <row r="86" spans="1:35">
      <c r="C86" s="3"/>
      <c r="D86" s="3"/>
      <c r="E86" s="3"/>
      <c r="F86" s="3"/>
      <c r="H86" s="3"/>
      <c r="I86" s="3"/>
      <c r="J86" s="3"/>
      <c r="K86" s="3"/>
      <c r="L86" s="4"/>
      <c r="M86" s="4"/>
      <c r="N86" s="3"/>
      <c r="O86" s="3"/>
      <c r="P86" s="3"/>
      <c r="Q86" s="3"/>
      <c r="R86" s="5"/>
      <c r="S86" s="10"/>
      <c r="T86" s="3"/>
      <c r="U86" s="3"/>
      <c r="V86" s="3"/>
      <c r="W86" s="3"/>
      <c r="X86" s="4"/>
      <c r="AC86" s="3"/>
      <c r="AG86" s="3"/>
    </row>
    <row r="87" spans="1:35">
      <c r="C87" s="3"/>
      <c r="E87" s="3"/>
      <c r="F87" s="3"/>
      <c r="I87" s="3"/>
      <c r="J87" s="3"/>
      <c r="K87" s="3"/>
      <c r="L87" s="4"/>
      <c r="M87" s="4"/>
      <c r="N87" s="4"/>
      <c r="O87" s="4"/>
      <c r="P87" s="3"/>
      <c r="Q87" s="3"/>
      <c r="S87" s="10"/>
      <c r="T87" s="3"/>
      <c r="U87" s="3"/>
      <c r="V87" s="3"/>
      <c r="W87" s="3"/>
      <c r="X87" s="4"/>
      <c r="AG87" s="3"/>
    </row>
    <row r="88" spans="1:35">
      <c r="C88" s="3"/>
      <c r="E88" s="3"/>
      <c r="F88" s="3"/>
      <c r="G88" s="3"/>
      <c r="H88" s="3"/>
      <c r="I88" s="3"/>
      <c r="J88" s="3"/>
      <c r="K88" s="3"/>
      <c r="L88" s="3"/>
      <c r="M88" s="4"/>
      <c r="N88" s="3"/>
      <c r="P88" s="3"/>
      <c r="Q88" s="3"/>
      <c r="R88" s="5"/>
      <c r="S88" s="10"/>
      <c r="T88" s="3"/>
      <c r="X88" s="4"/>
      <c r="AB88" s="3"/>
      <c r="AC88" s="3"/>
      <c r="AD88" s="3"/>
      <c r="AE88" s="3"/>
      <c r="AG88" s="3"/>
    </row>
    <row r="89" spans="1:35">
      <c r="C89" s="3"/>
      <c r="E89" s="3"/>
      <c r="F89" s="3"/>
      <c r="G89" s="3"/>
      <c r="I89" s="3"/>
      <c r="J89" s="3"/>
      <c r="K89" s="3"/>
      <c r="L89" s="4"/>
      <c r="M89" s="4"/>
      <c r="N89" s="4"/>
      <c r="O89" s="4"/>
      <c r="P89" s="3"/>
      <c r="Q89" s="3"/>
      <c r="R89" s="5"/>
      <c r="S89" s="10"/>
      <c r="T89" s="3"/>
      <c r="U89" s="3"/>
      <c r="V89" s="3"/>
      <c r="W89" s="3"/>
      <c r="X89" s="4"/>
      <c r="AC89" s="3"/>
      <c r="AG89" s="3"/>
    </row>
    <row r="90" spans="1:35">
      <c r="C90" s="3"/>
      <c r="E90" s="3"/>
      <c r="F90" s="3"/>
      <c r="G90" s="3"/>
      <c r="H90" s="3"/>
      <c r="I90" s="3"/>
      <c r="J90" s="3"/>
      <c r="K90" s="3"/>
      <c r="L90" s="3"/>
      <c r="M90" s="4"/>
      <c r="N90" s="3"/>
      <c r="P90" s="3"/>
      <c r="Q90" s="3"/>
      <c r="R90" s="5"/>
      <c r="S90" s="10"/>
      <c r="T90" s="3"/>
      <c r="X90" s="4"/>
      <c r="AB90" s="3"/>
      <c r="AC90" s="3"/>
      <c r="AD90" s="3"/>
      <c r="AE90" s="3"/>
      <c r="AG90" s="3"/>
    </row>
    <row r="91" spans="1:35">
      <c r="C91" s="3"/>
      <c r="E91" s="3"/>
      <c r="F91" s="3"/>
      <c r="G91" s="3"/>
      <c r="H91" s="3"/>
      <c r="I91" s="3"/>
      <c r="J91" s="3"/>
      <c r="K91" s="3"/>
      <c r="L91" s="3"/>
      <c r="M91" s="4"/>
      <c r="N91" s="3"/>
      <c r="P91" s="3"/>
      <c r="Q91" s="3"/>
      <c r="R91" s="5"/>
      <c r="S91" s="10"/>
      <c r="T91" s="3"/>
      <c r="X91" s="4"/>
      <c r="AB91" s="3"/>
      <c r="AC91" s="3"/>
      <c r="AD91" s="3"/>
      <c r="AE91" s="3"/>
      <c r="AG91" s="3"/>
    </row>
    <row r="92" spans="1:35">
      <c r="C92" s="3"/>
      <c r="D92" s="3"/>
      <c r="E92" s="3"/>
      <c r="F92" s="3"/>
      <c r="G92" s="3"/>
      <c r="H92" s="3"/>
      <c r="I92" s="3"/>
      <c r="J92" s="3"/>
      <c r="K92" s="3"/>
      <c r="L92" s="3"/>
      <c r="M92" s="4"/>
      <c r="N92" s="3"/>
      <c r="O92" s="3"/>
      <c r="P92" s="3"/>
      <c r="Q92" s="3"/>
      <c r="S92" s="10"/>
      <c r="T92" s="3"/>
      <c r="U92" s="3"/>
      <c r="V92" s="3"/>
      <c r="W92" s="3"/>
      <c r="X92" s="3"/>
      <c r="AC92" s="3"/>
      <c r="AG92" s="3"/>
    </row>
    <row r="93" spans="1:35">
      <c r="C93" s="3"/>
      <c r="D93" s="3"/>
      <c r="E93" s="3"/>
      <c r="F93" s="3"/>
      <c r="G93" s="3"/>
      <c r="H93" s="3"/>
      <c r="I93" s="3"/>
      <c r="J93" s="3"/>
      <c r="K93" s="3"/>
      <c r="L93" s="3"/>
      <c r="M93" s="4"/>
      <c r="N93" s="3"/>
      <c r="O93" s="3"/>
      <c r="P93" s="3"/>
      <c r="Q93" s="3"/>
      <c r="S93" s="10"/>
      <c r="T93" s="3"/>
      <c r="U93" s="3"/>
      <c r="V93" s="3"/>
      <c r="W93" s="3"/>
      <c r="X93" s="3"/>
      <c r="AC93" s="3"/>
      <c r="AG93" s="3"/>
      <c r="AI93" s="3"/>
    </row>
    <row r="94" spans="1:35">
      <c r="C94" s="3"/>
      <c r="E94" s="3"/>
      <c r="F94" s="3"/>
      <c r="G94" s="3"/>
      <c r="H94" s="3"/>
      <c r="I94" s="3"/>
      <c r="J94" s="3"/>
      <c r="K94" s="3"/>
      <c r="L94" s="3"/>
      <c r="M94" s="4"/>
      <c r="N94" s="3"/>
      <c r="P94" s="3"/>
      <c r="Q94" s="3"/>
      <c r="R94" s="5"/>
      <c r="S94" s="10"/>
      <c r="T94" s="3"/>
      <c r="X94" s="4"/>
      <c r="AB94" s="3"/>
      <c r="AC94" s="3"/>
      <c r="AD94" s="3"/>
      <c r="AE94" s="3"/>
      <c r="AG94" s="3"/>
    </row>
    <row r="95" spans="1:35">
      <c r="C95" s="3"/>
      <c r="D95" s="3"/>
      <c r="E95" s="3"/>
      <c r="F95" s="3"/>
      <c r="G95" s="3"/>
      <c r="H95" s="3"/>
      <c r="I95" s="3"/>
      <c r="J95" s="3"/>
      <c r="K95" s="3"/>
      <c r="L95" s="3"/>
      <c r="M95" s="4"/>
      <c r="N95" s="3"/>
      <c r="O95" s="3"/>
      <c r="P95" s="3"/>
      <c r="Q95" s="3"/>
      <c r="R95" s="5"/>
      <c r="S95" s="10"/>
      <c r="T95" s="3"/>
      <c r="U95" s="3"/>
      <c r="V95" s="3"/>
      <c r="W95" s="3"/>
      <c r="X95" s="4"/>
      <c r="AC95" s="3"/>
      <c r="AG95" s="3"/>
    </row>
    <row r="96" spans="1:35">
      <c r="C96" s="3"/>
      <c r="E96" s="3"/>
      <c r="F96" s="3"/>
      <c r="I96" s="3"/>
      <c r="J96" s="3"/>
      <c r="K96" s="3"/>
      <c r="L96" s="4"/>
      <c r="M96" s="4"/>
      <c r="N96" s="4"/>
      <c r="O96" s="4"/>
      <c r="P96" s="3"/>
      <c r="Q96" s="3"/>
      <c r="R96" s="5"/>
      <c r="S96" s="10"/>
      <c r="T96" s="3"/>
      <c r="U96" s="3"/>
      <c r="V96" s="3"/>
      <c r="W96" s="3"/>
      <c r="X96" s="4"/>
      <c r="AG96" s="3"/>
    </row>
    <row r="97" spans="1:36">
      <c r="C97" s="3"/>
      <c r="D97" s="3"/>
      <c r="E97" s="3"/>
      <c r="F97" s="3"/>
      <c r="G97" s="3"/>
      <c r="H97" s="3"/>
      <c r="I97" s="3"/>
      <c r="J97" s="3"/>
      <c r="K97" s="3"/>
      <c r="L97" s="3"/>
      <c r="M97" s="4"/>
      <c r="N97" s="3"/>
      <c r="O97" s="3"/>
      <c r="P97" s="3"/>
      <c r="Q97" s="3"/>
      <c r="R97" s="3"/>
      <c r="S97" s="10"/>
      <c r="T97" s="3"/>
      <c r="U97" s="3"/>
      <c r="V97" s="3"/>
      <c r="W97" s="3"/>
      <c r="X97" s="3"/>
      <c r="AC97" s="3"/>
      <c r="AG97" s="3"/>
      <c r="AI97" s="3"/>
    </row>
    <row r="98" spans="1:36">
      <c r="C98" s="3"/>
      <c r="D98" s="3"/>
      <c r="E98" s="3"/>
      <c r="F98" s="3"/>
      <c r="G98" s="3"/>
      <c r="H98" s="3"/>
      <c r="I98" s="3"/>
      <c r="J98" s="3"/>
      <c r="K98" s="3"/>
      <c r="L98" s="3"/>
      <c r="M98" s="4"/>
      <c r="N98" s="3"/>
      <c r="O98" s="3"/>
      <c r="P98" s="3"/>
      <c r="Q98" s="3"/>
      <c r="S98" s="10"/>
      <c r="T98" s="3"/>
      <c r="U98" s="3"/>
      <c r="V98" s="3"/>
      <c r="W98" s="3"/>
      <c r="X98" s="3"/>
      <c r="AC98" s="3"/>
      <c r="AG98" s="3"/>
      <c r="AI98" s="3"/>
    </row>
    <row r="99" spans="1:36">
      <c r="C99" s="3"/>
      <c r="E99" s="3"/>
      <c r="F99" s="3"/>
      <c r="G99" s="3"/>
      <c r="H99" s="3"/>
      <c r="I99" s="3"/>
      <c r="J99" s="3"/>
      <c r="K99" s="3"/>
      <c r="L99" s="3"/>
      <c r="M99" s="4"/>
      <c r="N99" s="3"/>
      <c r="P99" s="3"/>
      <c r="Q99" s="3"/>
      <c r="R99" s="5"/>
      <c r="S99" s="10"/>
      <c r="T99" s="3"/>
      <c r="X99" s="4"/>
      <c r="AB99" s="3"/>
      <c r="AC99" s="3"/>
      <c r="AD99" s="3"/>
      <c r="AE99" s="3"/>
      <c r="AG99" s="3"/>
    </row>
    <row r="100" spans="1:36">
      <c r="C100" s="3"/>
      <c r="E100" s="3"/>
      <c r="F100" s="3"/>
      <c r="I100" s="3"/>
      <c r="J100" s="3"/>
      <c r="K100" s="3"/>
      <c r="L100" s="4"/>
      <c r="M100" s="4"/>
      <c r="N100" s="4"/>
      <c r="O100" s="4"/>
      <c r="P100" s="3"/>
      <c r="Q100" s="3"/>
      <c r="R100" s="5"/>
      <c r="S100" s="10"/>
      <c r="T100" s="3"/>
      <c r="U100" s="3"/>
      <c r="V100" s="3"/>
      <c r="W100" s="3"/>
      <c r="X100" s="4"/>
      <c r="AG100" s="3"/>
    </row>
    <row r="101" spans="1:36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4"/>
      <c r="N101" s="3"/>
      <c r="O101" s="3"/>
      <c r="P101" s="8"/>
      <c r="Q101" s="3"/>
      <c r="R101" s="5"/>
      <c r="S101" s="10"/>
      <c r="T101" s="7"/>
      <c r="U101" s="3"/>
      <c r="V101" s="3"/>
      <c r="W101" s="3"/>
      <c r="X101" s="4"/>
      <c r="Z101" s="3"/>
      <c r="AA101" s="3"/>
      <c r="AB101" s="3"/>
      <c r="AC101" s="3"/>
      <c r="AD101" s="3"/>
      <c r="AE101" s="3"/>
      <c r="AG101" s="3"/>
      <c r="AI101" s="3"/>
    </row>
    <row r="102" spans="1:36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4"/>
      <c r="N102" s="3"/>
      <c r="O102" s="3"/>
      <c r="P102" s="3"/>
      <c r="Q102" s="3"/>
      <c r="R102" s="5"/>
      <c r="S102" s="10"/>
      <c r="T102" s="3"/>
      <c r="U102" s="3"/>
      <c r="V102" s="3"/>
      <c r="W102" s="3"/>
      <c r="X102" s="4"/>
      <c r="AC102" s="3"/>
      <c r="AG102" s="3"/>
    </row>
    <row r="103" spans="1:36">
      <c r="C103" s="3"/>
      <c r="E103" s="3"/>
      <c r="F103" s="3"/>
      <c r="I103" s="3"/>
      <c r="J103" s="3"/>
      <c r="K103" s="3"/>
      <c r="L103" s="4"/>
      <c r="M103" s="4"/>
      <c r="N103" s="4"/>
      <c r="O103" s="4"/>
      <c r="P103" s="3"/>
      <c r="Q103" s="3"/>
      <c r="S103" s="10"/>
      <c r="T103" s="3"/>
      <c r="U103" s="3"/>
      <c r="V103" s="3"/>
      <c r="W103" s="3"/>
      <c r="X103" s="4"/>
      <c r="AG103" s="3"/>
    </row>
    <row r="104" spans="1:36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4"/>
      <c r="N104" s="3"/>
      <c r="O104" s="3"/>
      <c r="P104" s="3"/>
      <c r="Q104" s="3"/>
      <c r="R104" s="3"/>
      <c r="S104" s="10"/>
      <c r="T104" s="3"/>
      <c r="U104" s="3"/>
      <c r="V104" s="3"/>
      <c r="W104" s="3"/>
      <c r="X104" s="3"/>
      <c r="AC104" s="3"/>
      <c r="AG104" s="3"/>
      <c r="AI104" s="3"/>
    </row>
    <row r="105" spans="1:36">
      <c r="C105" s="3"/>
      <c r="E105" s="3"/>
      <c r="F105" s="3"/>
      <c r="G105" s="3"/>
      <c r="H105" s="3"/>
      <c r="I105" s="3"/>
      <c r="J105" s="3"/>
      <c r="K105" s="3"/>
      <c r="L105" s="3"/>
      <c r="M105" s="4"/>
      <c r="N105" s="3"/>
      <c r="P105" s="3"/>
      <c r="Q105" s="3"/>
      <c r="R105" s="5"/>
      <c r="S105" s="10"/>
      <c r="T105" s="3"/>
      <c r="X105" s="4"/>
      <c r="AB105" s="3"/>
      <c r="AC105" s="3"/>
      <c r="AD105" s="3"/>
      <c r="AE105" s="3"/>
      <c r="AG105" s="3"/>
    </row>
    <row r="106" spans="1:36">
      <c r="C106" s="3"/>
      <c r="E106" s="3"/>
      <c r="F106" s="3"/>
      <c r="G106" s="3"/>
      <c r="I106" s="3"/>
      <c r="J106" s="3"/>
      <c r="K106" s="3"/>
      <c r="L106" s="3"/>
      <c r="M106" s="4"/>
      <c r="N106" s="4"/>
      <c r="O106" s="4"/>
      <c r="P106" s="3"/>
      <c r="Q106" s="3"/>
      <c r="R106" s="5"/>
      <c r="S106" s="10"/>
      <c r="T106" s="3"/>
      <c r="U106" s="3"/>
      <c r="V106" s="3"/>
      <c r="W106" s="3"/>
      <c r="X106" s="4"/>
      <c r="AC106" s="3"/>
      <c r="AG106" s="3"/>
    </row>
    <row r="107" spans="1:36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4"/>
      <c r="N107" s="3"/>
      <c r="O107" s="3"/>
      <c r="P107" s="3"/>
      <c r="Q107" s="3"/>
      <c r="S107" s="10"/>
      <c r="T107" s="3"/>
      <c r="U107" s="3"/>
      <c r="V107" s="3"/>
      <c r="W107" s="3"/>
      <c r="X107" s="3"/>
      <c r="AC107" s="3"/>
      <c r="AG107" s="3"/>
      <c r="AI107" s="3"/>
    </row>
    <row r="108" spans="1:36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4"/>
      <c r="N108" s="3"/>
      <c r="O108" s="3"/>
      <c r="P108" s="3"/>
      <c r="Q108" s="3"/>
      <c r="R108" s="5"/>
      <c r="S108" s="10"/>
      <c r="T108" s="3"/>
      <c r="U108" s="3"/>
      <c r="V108" s="3"/>
      <c r="W108" s="3"/>
      <c r="X108" s="4"/>
      <c r="AC108" s="3"/>
      <c r="AG108" s="3"/>
    </row>
    <row r="109" spans="1:36">
      <c r="A109" s="7"/>
      <c r="C109" s="3"/>
      <c r="D109" s="7"/>
      <c r="E109" s="7"/>
      <c r="F109" s="7"/>
      <c r="G109" s="7"/>
      <c r="H109" s="7"/>
      <c r="I109" s="7"/>
      <c r="J109" s="3"/>
      <c r="K109" s="7"/>
      <c r="L109" s="7"/>
      <c r="M109" s="4"/>
      <c r="N109" s="7"/>
      <c r="O109" s="7"/>
      <c r="P109" s="8"/>
      <c r="Q109" s="3"/>
      <c r="S109" s="10"/>
      <c r="T109" s="7"/>
      <c r="U109" s="7"/>
      <c r="V109" s="7"/>
      <c r="W109" s="7"/>
      <c r="X109" s="7"/>
      <c r="Z109" s="7"/>
      <c r="AA109" s="7"/>
      <c r="AB109" s="7"/>
      <c r="AC109" s="7"/>
      <c r="AD109" s="7"/>
      <c r="AE109" s="7"/>
      <c r="AG109" s="3"/>
      <c r="AH109" s="7"/>
      <c r="AJ109" s="7"/>
    </row>
    <row r="110" spans="1:36">
      <c r="C110" s="3"/>
      <c r="D110" s="3"/>
      <c r="E110" s="3"/>
      <c r="F110" s="3"/>
      <c r="G110" s="3"/>
      <c r="H110" s="3"/>
      <c r="I110" s="3"/>
      <c r="J110" s="3"/>
      <c r="K110" s="7"/>
      <c r="L110" s="3"/>
      <c r="M110" s="4"/>
      <c r="N110" s="3"/>
      <c r="O110" s="3"/>
      <c r="P110" s="8"/>
      <c r="Q110" s="3"/>
      <c r="R110" s="5"/>
      <c r="S110" s="10"/>
      <c r="T110" s="7"/>
      <c r="U110" s="3"/>
      <c r="V110" s="3"/>
      <c r="W110" s="3"/>
      <c r="X110" s="4"/>
      <c r="Z110" s="3"/>
      <c r="AA110" s="3"/>
      <c r="AB110" s="3"/>
      <c r="AC110" s="3"/>
      <c r="AD110" s="3"/>
      <c r="AE110" s="3"/>
      <c r="AG110" s="3"/>
      <c r="AI110" s="3"/>
    </row>
    <row r="111" spans="1:36">
      <c r="C111" s="3"/>
      <c r="E111" s="3"/>
      <c r="F111" s="3"/>
      <c r="I111" s="3"/>
      <c r="J111" s="3"/>
      <c r="K111" s="3"/>
      <c r="L111" s="3"/>
      <c r="M111" s="4"/>
      <c r="N111" s="4"/>
      <c r="O111" s="4"/>
      <c r="P111" s="3"/>
      <c r="Q111" s="3"/>
      <c r="R111" s="5"/>
      <c r="S111" s="10"/>
      <c r="T111" s="3"/>
      <c r="U111" s="3"/>
      <c r="V111" s="3"/>
      <c r="W111" s="3"/>
      <c r="X111" s="4"/>
      <c r="AC111" s="3"/>
      <c r="AG111" s="3"/>
    </row>
    <row r="112" spans="1:36">
      <c r="C112" s="3"/>
      <c r="E112" s="3"/>
      <c r="F112" s="3"/>
      <c r="I112" s="3"/>
      <c r="J112" s="3"/>
      <c r="K112" s="3"/>
      <c r="L112" s="4"/>
      <c r="M112" s="4"/>
      <c r="N112" s="4"/>
      <c r="O112" s="4"/>
      <c r="P112" s="3"/>
      <c r="Q112" s="3"/>
      <c r="R112" s="5"/>
      <c r="S112" s="10"/>
      <c r="T112" s="3"/>
      <c r="U112" s="3"/>
      <c r="V112" s="3"/>
      <c r="W112" s="3"/>
      <c r="X112" s="4"/>
      <c r="AG112" s="3"/>
    </row>
    <row r="113" spans="1:36"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4"/>
      <c r="N113" s="3"/>
      <c r="O113" s="3"/>
      <c r="P113" s="3"/>
      <c r="Q113" s="3"/>
      <c r="R113" s="5"/>
      <c r="S113" s="10"/>
      <c r="T113" s="3"/>
      <c r="U113" s="3"/>
      <c r="V113" s="3"/>
      <c r="W113" s="3"/>
      <c r="X113" s="4"/>
      <c r="AC113" s="3"/>
      <c r="AG113" s="3"/>
    </row>
    <row r="114" spans="1:36">
      <c r="A114" s="7"/>
      <c r="C114" s="3"/>
      <c r="D114" s="7"/>
      <c r="E114" s="8"/>
      <c r="F114" s="7"/>
      <c r="G114" s="7"/>
      <c r="H114" s="7"/>
      <c r="I114" s="7"/>
      <c r="J114" s="7"/>
      <c r="K114" s="7"/>
      <c r="L114" s="7"/>
      <c r="M114" s="4"/>
      <c r="N114" s="7"/>
      <c r="O114" s="7"/>
      <c r="P114" s="8"/>
      <c r="Q114" s="3"/>
      <c r="S114" s="10"/>
      <c r="T114" s="7"/>
      <c r="U114" s="7"/>
      <c r="V114" s="7"/>
      <c r="W114" s="7"/>
      <c r="X114" s="7"/>
      <c r="Z114" s="7"/>
      <c r="AA114" s="7"/>
      <c r="AB114" s="7"/>
      <c r="AC114" s="7"/>
      <c r="AD114" s="7"/>
      <c r="AE114" s="7"/>
      <c r="AG114" s="3"/>
      <c r="AH114" s="7"/>
      <c r="AI114" s="7"/>
      <c r="AJ114" s="7"/>
    </row>
    <row r="115" spans="1:36">
      <c r="A115" s="7"/>
      <c r="C115" s="3"/>
      <c r="D115" s="7"/>
      <c r="E115" s="8"/>
      <c r="F115" s="7"/>
      <c r="G115" s="7"/>
      <c r="H115" s="7"/>
      <c r="I115" s="7"/>
      <c r="J115" s="7"/>
      <c r="K115" s="7"/>
      <c r="L115" s="7"/>
      <c r="M115" s="4"/>
      <c r="N115" s="7"/>
      <c r="O115" s="7"/>
      <c r="P115" s="8"/>
      <c r="Q115" s="3"/>
      <c r="S115" s="10"/>
      <c r="T115" s="7"/>
      <c r="U115" s="7"/>
      <c r="V115" s="7"/>
      <c r="W115" s="7"/>
      <c r="X115" s="7"/>
      <c r="Z115" s="7"/>
      <c r="AA115" s="7"/>
      <c r="AB115" s="7"/>
      <c r="AC115" s="7"/>
      <c r="AD115" s="7"/>
      <c r="AE115" s="7"/>
      <c r="AG115" s="3"/>
      <c r="AH115" s="7"/>
      <c r="AI115" s="7"/>
      <c r="AJ115" s="7"/>
    </row>
    <row r="116" spans="1:36">
      <c r="A116" s="7"/>
      <c r="C116" s="3"/>
      <c r="D116" s="7"/>
      <c r="E116" s="8"/>
      <c r="F116" s="7"/>
      <c r="G116" s="7"/>
      <c r="H116" s="7"/>
      <c r="I116" s="7"/>
      <c r="J116" s="7"/>
      <c r="K116" s="7"/>
      <c r="L116" s="7"/>
      <c r="M116" s="4"/>
      <c r="N116" s="7"/>
      <c r="O116" s="7"/>
      <c r="P116" s="8"/>
      <c r="Q116" s="3"/>
      <c r="S116" s="10"/>
      <c r="T116" s="7"/>
      <c r="U116" s="7"/>
      <c r="V116" s="7"/>
      <c r="W116" s="7"/>
      <c r="X116" s="7"/>
      <c r="Z116" s="7"/>
      <c r="AA116" s="7"/>
      <c r="AB116" s="7"/>
      <c r="AC116" s="7"/>
      <c r="AD116" s="7"/>
      <c r="AE116" s="7"/>
      <c r="AG116" s="3"/>
      <c r="AH116" s="7"/>
      <c r="AI116" s="7"/>
      <c r="AJ116" s="7"/>
    </row>
    <row r="117" spans="1:36">
      <c r="C117" s="3"/>
      <c r="D117" s="3"/>
      <c r="E117" s="3"/>
      <c r="F117" s="3"/>
      <c r="G117" s="3"/>
      <c r="H117" s="3"/>
      <c r="I117" s="3"/>
      <c r="J117" s="3"/>
      <c r="K117" s="7"/>
      <c r="L117" s="3"/>
      <c r="M117" s="4"/>
      <c r="N117" s="3"/>
      <c r="O117" s="3"/>
      <c r="P117" s="8"/>
      <c r="Q117" s="3"/>
      <c r="R117" s="5"/>
      <c r="S117" s="10"/>
      <c r="T117" s="7"/>
      <c r="V117" s="3"/>
      <c r="W117" s="3"/>
      <c r="X117" s="4"/>
      <c r="Z117" s="3"/>
      <c r="AA117" s="3"/>
      <c r="AB117" s="3"/>
      <c r="AC117" s="3"/>
      <c r="AD117" s="3"/>
      <c r="AE117" s="3"/>
      <c r="AG117" s="3"/>
      <c r="AI117" s="3"/>
    </row>
    <row r="118" spans="1:36">
      <c r="C118" s="3"/>
      <c r="E118" s="3"/>
      <c r="F118" s="3"/>
      <c r="G118" s="3"/>
      <c r="H118" s="3"/>
      <c r="I118" s="3"/>
      <c r="J118" s="3"/>
      <c r="K118" s="3"/>
      <c r="L118" s="3"/>
      <c r="M118" s="4"/>
      <c r="N118" s="3"/>
      <c r="P118" s="3"/>
      <c r="Q118" s="3"/>
      <c r="R118" s="5"/>
      <c r="S118" s="10"/>
      <c r="T118" s="3"/>
      <c r="X118" s="4"/>
      <c r="AB118" s="3"/>
      <c r="AC118" s="3"/>
      <c r="AD118" s="3"/>
      <c r="AE118" s="3"/>
      <c r="AG118" s="3"/>
    </row>
    <row r="119" spans="1:36">
      <c r="C119" s="3"/>
      <c r="E119" s="3"/>
      <c r="F119" s="3"/>
      <c r="I119" s="3"/>
      <c r="J119" s="3"/>
      <c r="K119" s="3"/>
      <c r="L119" s="4"/>
      <c r="M119" s="4"/>
      <c r="N119" s="4"/>
      <c r="O119" s="4"/>
      <c r="P119" s="3"/>
      <c r="Q119" s="13"/>
      <c r="R119" s="4"/>
      <c r="S119" s="10"/>
      <c r="T119" s="3"/>
      <c r="U119" s="3"/>
      <c r="X119" s="4"/>
      <c r="AC119" s="3"/>
      <c r="AG119" s="3"/>
    </row>
    <row r="120" spans="1:36">
      <c r="C120" s="3"/>
      <c r="E120" s="3"/>
      <c r="F120" s="3"/>
      <c r="I120" s="3"/>
      <c r="J120" s="3"/>
      <c r="K120" s="3"/>
      <c r="L120" s="4"/>
      <c r="M120" s="4"/>
      <c r="N120" s="4"/>
      <c r="O120" s="4"/>
      <c r="P120" s="3"/>
      <c r="Q120" s="3"/>
      <c r="R120" s="5"/>
      <c r="S120" s="10"/>
      <c r="T120" s="3"/>
      <c r="X120" s="4"/>
      <c r="AG120" s="3"/>
    </row>
    <row r="121" spans="1:36">
      <c r="C121" s="3"/>
      <c r="E121" s="3"/>
      <c r="F121" s="3"/>
      <c r="I121" s="3"/>
      <c r="J121" s="3"/>
      <c r="K121" s="3"/>
      <c r="L121" s="4"/>
      <c r="M121" s="4"/>
      <c r="N121" s="4"/>
      <c r="O121" s="4"/>
      <c r="P121" s="3"/>
      <c r="Q121" s="3"/>
      <c r="R121" s="5"/>
      <c r="S121" s="10"/>
      <c r="T121" s="3"/>
      <c r="U121" s="3"/>
      <c r="V121" s="3"/>
      <c r="W121" s="3"/>
      <c r="X121" s="4"/>
      <c r="AG121" s="3"/>
    </row>
    <row r="122" spans="1:36">
      <c r="C122" s="3"/>
      <c r="E122" s="3"/>
      <c r="F122" s="3"/>
      <c r="I122" s="3"/>
      <c r="J122" s="3"/>
      <c r="K122" s="3"/>
      <c r="L122" s="4"/>
      <c r="M122" s="4"/>
      <c r="N122" s="4"/>
      <c r="O122" s="4"/>
      <c r="P122" s="3"/>
      <c r="Q122" s="3"/>
      <c r="R122" s="5"/>
      <c r="S122" s="10"/>
      <c r="T122" s="3"/>
      <c r="X122" s="4"/>
      <c r="AG122" s="3"/>
    </row>
    <row r="123" spans="1:36">
      <c r="C123" s="3"/>
      <c r="D123" s="3"/>
      <c r="E123" s="3"/>
      <c r="F123" s="3"/>
      <c r="G123" s="3"/>
      <c r="I123" s="3"/>
      <c r="J123" s="3"/>
      <c r="K123" s="3"/>
      <c r="L123" s="3"/>
      <c r="M123" s="4"/>
      <c r="N123" s="3"/>
      <c r="O123" s="3"/>
      <c r="P123" s="3"/>
      <c r="Q123" s="3"/>
      <c r="R123" s="3"/>
      <c r="S123" s="10"/>
      <c r="T123" s="3"/>
      <c r="U123" s="3"/>
      <c r="V123" s="3"/>
      <c r="W123" s="3"/>
      <c r="X123" s="3"/>
      <c r="AC123" s="3"/>
      <c r="AG123" s="3"/>
      <c r="AI123" s="3"/>
    </row>
    <row r="124" spans="1:36">
      <c r="C124" s="3"/>
      <c r="D124" s="3"/>
      <c r="E124" s="3"/>
      <c r="F124" s="3"/>
      <c r="G124" s="3"/>
      <c r="I124" s="3"/>
      <c r="J124" s="3"/>
      <c r="K124" s="3"/>
      <c r="L124" s="3"/>
      <c r="M124" s="4"/>
      <c r="N124" s="3"/>
      <c r="O124" s="3"/>
      <c r="P124" s="3"/>
      <c r="Q124" s="3"/>
      <c r="R124" s="3"/>
      <c r="S124" s="10"/>
      <c r="T124" s="3"/>
      <c r="U124" s="3"/>
      <c r="V124" s="3"/>
      <c r="W124" s="3"/>
      <c r="X124" s="3"/>
      <c r="AC124" s="3"/>
      <c r="AG124" s="3"/>
      <c r="AI124" s="3"/>
    </row>
    <row r="125" spans="1:36">
      <c r="C125" s="3"/>
      <c r="D125" s="3"/>
      <c r="E125" s="3"/>
      <c r="F125" s="3"/>
      <c r="H125" s="3"/>
      <c r="I125" s="3"/>
      <c r="J125" s="3"/>
      <c r="K125" s="3"/>
      <c r="L125" s="4"/>
      <c r="M125" s="4"/>
      <c r="N125" s="3"/>
      <c r="O125" s="3"/>
      <c r="P125" s="3"/>
      <c r="Q125" s="3"/>
      <c r="R125" s="5"/>
      <c r="S125" s="10"/>
      <c r="T125" s="3"/>
      <c r="U125" s="3"/>
      <c r="V125" s="3"/>
      <c r="W125" s="3"/>
      <c r="X125" s="4"/>
      <c r="AC125" s="3"/>
      <c r="AG125" s="3"/>
    </row>
    <row r="126" spans="1:36">
      <c r="C126" s="3"/>
      <c r="E126" s="3"/>
      <c r="F126" s="3"/>
      <c r="G126" s="3"/>
      <c r="H126" s="3"/>
      <c r="I126" s="3"/>
      <c r="J126" s="3"/>
      <c r="K126" s="3"/>
      <c r="L126" s="3"/>
      <c r="M126" s="4"/>
      <c r="N126" s="3"/>
      <c r="P126" s="3"/>
      <c r="Q126" s="3"/>
      <c r="R126" s="5"/>
      <c r="S126" s="10"/>
      <c r="T126" s="3"/>
      <c r="X126" s="4"/>
      <c r="AB126" s="3"/>
      <c r="AC126" s="3"/>
      <c r="AD126" s="3"/>
      <c r="AE126" s="3"/>
      <c r="AG126" s="3"/>
    </row>
    <row r="127" spans="1:36">
      <c r="C127" s="3"/>
      <c r="E127" s="3"/>
      <c r="F127" s="3"/>
      <c r="G127" s="3"/>
      <c r="I127" s="3"/>
      <c r="J127" s="3"/>
      <c r="K127" s="3"/>
      <c r="L127" s="4"/>
      <c r="M127" s="4"/>
      <c r="N127" s="4"/>
      <c r="O127" s="4"/>
      <c r="P127" s="3"/>
      <c r="Q127" s="3"/>
      <c r="R127" s="5"/>
      <c r="S127" s="10"/>
      <c r="T127" s="3"/>
      <c r="U127" s="3"/>
      <c r="V127" s="3"/>
      <c r="W127" s="3"/>
      <c r="X127" s="4"/>
      <c r="AC127" s="3"/>
      <c r="AG127" s="3"/>
    </row>
    <row r="128" spans="1:36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4"/>
      <c r="N128" s="3"/>
      <c r="O128" s="3"/>
      <c r="P128" s="3"/>
      <c r="Q128" s="3"/>
      <c r="S128" s="10"/>
      <c r="T128" s="3"/>
      <c r="U128" s="3"/>
      <c r="V128" s="3"/>
      <c r="W128" s="3"/>
      <c r="X128" s="3"/>
      <c r="AC128" s="3"/>
      <c r="AG128" s="3"/>
    </row>
    <row r="129" spans="3:33">
      <c r="C129" s="3"/>
      <c r="E129" s="3"/>
      <c r="F129" s="3"/>
      <c r="G129" s="3"/>
      <c r="H129" s="3"/>
      <c r="I129" s="3"/>
      <c r="J129" s="3"/>
      <c r="K129" s="3"/>
      <c r="L129" s="3"/>
      <c r="M129" s="4"/>
      <c r="N129" s="3"/>
      <c r="P129" s="3"/>
      <c r="Q129" s="3"/>
      <c r="R129" s="5"/>
      <c r="S129" s="10"/>
      <c r="T129" s="3"/>
      <c r="X129" s="4"/>
      <c r="AB129" s="3"/>
      <c r="AC129" s="3"/>
      <c r="AD129" s="3"/>
      <c r="AE129" s="3"/>
      <c r="AG129" s="3"/>
    </row>
    <row r="130" spans="3:33">
      <c r="C130" s="3"/>
      <c r="E130" s="3"/>
      <c r="F130" s="3"/>
      <c r="G130" s="3"/>
      <c r="H130" s="3"/>
      <c r="I130" s="3"/>
      <c r="J130" s="3"/>
      <c r="K130" s="3"/>
      <c r="L130" s="3"/>
      <c r="M130" s="4"/>
      <c r="N130" s="3"/>
      <c r="P130" s="3"/>
      <c r="Q130" s="3"/>
      <c r="R130" s="5"/>
      <c r="S130" s="10"/>
      <c r="T130" s="3"/>
      <c r="X130" s="4"/>
      <c r="AB130" s="3"/>
      <c r="AC130" s="3"/>
      <c r="AD130" s="3"/>
      <c r="AE130" s="3"/>
      <c r="AG130" s="3"/>
    </row>
  </sheetData>
  <autoFilter ref="A1:AR130" xr:uid="{2693568A-9522-43E8-BCB9-D3DC337856E4}">
    <sortState xmlns:xlrd2="http://schemas.microsoft.com/office/spreadsheetml/2017/richdata2" ref="A2:AR130">
      <sortCondition ref="A1:A130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06648-8B32-4CA3-B18D-AA59768F0718}">
  <sheetPr codeName="Sheet15"/>
  <dimension ref="A1:AT460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6" bestFit="1" customWidth="1"/>
    <col min="2" max="2" width="12.73046875" bestFit="1" customWidth="1"/>
    <col min="3" max="3" width="15.59765625" bestFit="1" customWidth="1"/>
    <col min="4" max="4" width="19.73046875" bestFit="1" customWidth="1"/>
    <col min="5" max="5" width="17.86328125" bestFit="1" customWidth="1"/>
    <col min="6" max="6" width="26.3984375" bestFit="1" customWidth="1"/>
    <col min="7" max="7" width="92.86328125" bestFit="1" customWidth="1"/>
    <col min="8" max="8" width="22.265625" bestFit="1" customWidth="1"/>
    <col min="9" max="9" width="16.73046875" bestFit="1" customWidth="1"/>
    <col min="10" max="10" width="20.59765625" bestFit="1" customWidth="1"/>
    <col min="11" max="11" width="27.73046875" bestFit="1" customWidth="1"/>
    <col min="12" max="12" width="7" bestFit="1" customWidth="1"/>
    <col min="13" max="13" width="9.59765625" bestFit="1" customWidth="1"/>
    <col min="14" max="14" width="11" bestFit="1" customWidth="1"/>
    <col min="15" max="15" width="9" bestFit="1" customWidth="1"/>
    <col min="16" max="16" width="10.86328125" bestFit="1" customWidth="1"/>
    <col min="17" max="17" width="10" bestFit="1" customWidth="1"/>
    <col min="18" max="18" width="14.265625" bestFit="1" customWidth="1"/>
    <col min="19" max="19" width="12.73046875" bestFit="1" customWidth="1"/>
    <col min="20" max="20" width="16.73046875" bestFit="1" customWidth="1"/>
    <col min="21" max="21" width="11.3984375" bestFit="1" customWidth="1"/>
    <col min="22" max="22" width="14.59765625" bestFit="1" customWidth="1"/>
    <col min="23" max="23" width="20" bestFit="1" customWidth="1"/>
    <col min="24" max="24" width="16.265625" bestFit="1" customWidth="1"/>
    <col min="25" max="25" width="28.1328125" bestFit="1" customWidth="1"/>
    <col min="26" max="26" width="27.265625" bestFit="1" customWidth="1"/>
    <col min="27" max="27" width="7" bestFit="1" customWidth="1"/>
    <col min="28" max="28" width="20.1328125" bestFit="1" customWidth="1"/>
    <col min="29" max="29" width="9.73046875" bestFit="1" customWidth="1"/>
    <col min="30" max="30" width="23.265625" bestFit="1" customWidth="1"/>
    <col min="31" max="31" width="21.3984375" bestFit="1" customWidth="1"/>
    <col min="32" max="32" width="20.86328125" bestFit="1" customWidth="1"/>
    <col min="33" max="33" width="11.265625" bestFit="1" customWidth="1"/>
    <col min="34" max="34" width="15.86328125" bestFit="1" customWidth="1"/>
    <col min="36" max="36" width="8.265625" bestFit="1" customWidth="1"/>
    <col min="37" max="37" width="15.73046875" bestFit="1" customWidth="1"/>
    <col min="38" max="38" width="12.1328125" bestFit="1" customWidth="1"/>
    <col min="39" max="39" width="9.59765625" bestFit="1" customWidth="1"/>
    <col min="40" max="40" width="21" bestFit="1" customWidth="1"/>
    <col min="41" max="41" width="17.86328125" bestFit="1" customWidth="1"/>
    <col min="42" max="42" width="6.73046875" bestFit="1" customWidth="1"/>
    <col min="43" max="43" width="6.86328125" bestFit="1" customWidth="1"/>
    <col min="44" max="44" width="6.59765625" bestFit="1" customWidth="1"/>
    <col min="45" max="46" width="5.59765625" bestFit="1" customWidth="1"/>
  </cols>
  <sheetData>
    <row r="1" spans="1:44" s="1" customFormat="1">
      <c r="A1" s="1" t="s">
        <v>0</v>
      </c>
      <c r="B1" s="1" t="s">
        <v>2403</v>
      </c>
      <c r="C1" s="1" t="s">
        <v>465</v>
      </c>
      <c r="D1" s="1" t="s">
        <v>3046</v>
      </c>
      <c r="E1" s="1" t="s">
        <v>72</v>
      </c>
      <c r="F1" s="1" t="s">
        <v>125</v>
      </c>
      <c r="G1" s="1" t="s">
        <v>12</v>
      </c>
      <c r="H1" s="1" t="s">
        <v>886</v>
      </c>
      <c r="I1" s="1" t="s">
        <v>887</v>
      </c>
      <c r="J1" s="1" t="s">
        <v>469</v>
      </c>
      <c r="K1" s="1" t="s">
        <v>106</v>
      </c>
      <c r="L1" s="1" t="s">
        <v>83</v>
      </c>
      <c r="M1" s="1" t="s">
        <v>334</v>
      </c>
      <c r="N1" s="1" t="s">
        <v>335</v>
      </c>
      <c r="O1" s="1" t="s">
        <v>67</v>
      </c>
      <c r="P1" s="1" t="s">
        <v>470</v>
      </c>
      <c r="Q1" s="1" t="s">
        <v>105</v>
      </c>
      <c r="R1" s="1" t="s">
        <v>126</v>
      </c>
      <c r="S1" s="2" t="s">
        <v>884</v>
      </c>
      <c r="T1" s="12" t="s">
        <v>1347</v>
      </c>
      <c r="U1" s="1" t="s">
        <v>337</v>
      </c>
      <c r="V1" s="1" t="s">
        <v>336</v>
      </c>
      <c r="W1" s="1" t="s">
        <v>466</v>
      </c>
      <c r="X1" s="1" t="s">
        <v>1353</v>
      </c>
      <c r="Y1" s="1" t="s">
        <v>6367</v>
      </c>
      <c r="Z1" s="1" t="s">
        <v>127</v>
      </c>
      <c r="AA1" s="1" t="s">
        <v>471</v>
      </c>
      <c r="AB1" s="1" t="s">
        <v>1302</v>
      </c>
      <c r="AC1" s="1" t="s">
        <v>467</v>
      </c>
      <c r="AD1" s="2" t="s">
        <v>885</v>
      </c>
      <c r="AE1" s="1" t="s">
        <v>888</v>
      </c>
      <c r="AF1" s="1" t="s">
        <v>874</v>
      </c>
      <c r="AG1" s="1" t="s">
        <v>6353</v>
      </c>
      <c r="AH1" s="1" t="s">
        <v>6265</v>
      </c>
      <c r="AJ1" s="1" t="s">
        <v>889</v>
      </c>
      <c r="AK1" s="1" t="s">
        <v>890</v>
      </c>
      <c r="AL1" s="1" t="s">
        <v>6361</v>
      </c>
      <c r="AM1" s="1" t="s">
        <v>891</v>
      </c>
      <c r="AN1" s="1" t="s">
        <v>1212</v>
      </c>
      <c r="AO1" s="1" t="s">
        <v>892</v>
      </c>
      <c r="AP1" s="1" t="s">
        <v>893</v>
      </c>
      <c r="AQ1" s="1" t="s">
        <v>894</v>
      </c>
      <c r="AR1" s="1" t="s">
        <v>895</v>
      </c>
    </row>
    <row r="2" spans="1:44">
      <c r="A2">
        <v>16980</v>
      </c>
      <c r="B2" t="s">
        <v>1475</v>
      </c>
      <c r="C2" s="3" t="str">
        <f t="shared" ref="C2:C65" si="0">CONCATENATE(E2,".",F2)</f>
        <v>mailConfig.CSVFileLocation</v>
      </c>
      <c r="D2">
        <v>700</v>
      </c>
      <c r="E2" s="3" t="str">
        <f t="shared" ref="E2:E65" si="1">VLOOKUP(D2,SystemTableId,3,FALSE)</f>
        <v>mailConfig</v>
      </c>
      <c r="F2" t="s">
        <v>1182</v>
      </c>
      <c r="G2" s="3" t="s">
        <v>6672</v>
      </c>
      <c r="H2" s="3" t="str">
        <f t="shared" ref="H2:H65" si="2">VLOOKUP(E2,SystemTables,14,FALSE)</f>
        <v>mail.Config</v>
      </c>
      <c r="J2" s="3"/>
      <c r="K2" t="s">
        <v>1183</v>
      </c>
      <c r="M2" t="s">
        <v>196</v>
      </c>
      <c r="Q2" t="s">
        <v>92</v>
      </c>
      <c r="T2" s="3"/>
      <c r="U2" t="s">
        <v>93</v>
      </c>
      <c r="AB2" t="s">
        <v>92</v>
      </c>
      <c r="AJ2" t="str">
        <f>"SELECT (SELECT '"&amp;C2&amp;"' ColumnName from "&amp;E2&amp;" where "&amp;F2&amp;" is null and exists (select from "&amp;E2&amp;") limit 1) ColumnName union all"</f>
        <v>SELECT (SELECT 'mailConfig.CSVFileLocation' ColumnName from mailConfig where CSVFileLocation is null and exists (select from mailConfig) limit 1) ColumnName union all</v>
      </c>
      <c r="AL2" t="str">
        <f>"ALTER TABLE "&amp;E2&amp;" ALTER COLUMN "&amp;F2&amp;" DROP NOT NULL"</f>
        <v>ALTER TABLE mailConfig ALTER COLUMN CSVFileLocation DROP NOT NULL</v>
      </c>
      <c r="AP2" t="e">
        <f t="shared" ref="AP2:AP65" si="3">VLOOKUP(E2,temp6,1,FALSE)</f>
        <v>#NAME?</v>
      </c>
    </row>
    <row r="3" spans="1:44">
      <c r="A3">
        <v>16990</v>
      </c>
      <c r="B3" t="s">
        <v>1475</v>
      </c>
      <c r="C3" s="3" t="str">
        <f t="shared" si="0"/>
        <v>mailConfig.FaxServer</v>
      </c>
      <c r="D3">
        <v>700</v>
      </c>
      <c r="E3" s="3" t="str">
        <f t="shared" si="1"/>
        <v>mailConfig</v>
      </c>
      <c r="F3" t="s">
        <v>1184</v>
      </c>
      <c r="G3" s="3" t="s">
        <v>6673</v>
      </c>
      <c r="H3" s="3" t="str">
        <f t="shared" si="2"/>
        <v>mail.Config</v>
      </c>
      <c r="J3" s="3"/>
      <c r="K3" t="s">
        <v>1185</v>
      </c>
      <c r="M3" t="s">
        <v>196</v>
      </c>
      <c r="Q3" t="s">
        <v>92</v>
      </c>
      <c r="T3" s="3"/>
      <c r="U3" t="s">
        <v>93</v>
      </c>
      <c r="AB3" t="s">
        <v>92</v>
      </c>
      <c r="AK3" t="str">
        <f>"SELECT (SELECT '"&amp;C3&amp;"' ColumnName from "&amp;E3&amp;" where "&amp;F3&amp;" is null and exists (select from "&amp;E3&amp;") limit 1) a union all"</f>
        <v>SELECT (SELECT 'mailConfig.FaxServer' ColumnName from mailConfig where FaxServer is null and exists (select from mailConfig) limit 1) a union all</v>
      </c>
      <c r="AP3" t="e">
        <f t="shared" si="3"/>
        <v>#NAME?</v>
      </c>
    </row>
    <row r="4" spans="1:44" ht="15" customHeight="1">
      <c r="A4">
        <v>16970</v>
      </c>
      <c r="B4" t="s">
        <v>1475</v>
      </c>
      <c r="C4" s="3" t="str">
        <f t="shared" si="0"/>
        <v>mailConfig.ID</v>
      </c>
      <c r="D4">
        <v>700</v>
      </c>
      <c r="E4" s="3" t="str">
        <f t="shared" si="1"/>
        <v>mailConfig</v>
      </c>
      <c r="F4" t="s">
        <v>0</v>
      </c>
      <c r="G4" s="3" t="s">
        <v>6671</v>
      </c>
      <c r="H4" s="3" t="str">
        <f t="shared" si="2"/>
        <v>mail.Config</v>
      </c>
      <c r="J4" s="3"/>
      <c r="K4" t="s">
        <v>1181</v>
      </c>
      <c r="M4" t="s">
        <v>6007</v>
      </c>
      <c r="Q4" s="3" t="s">
        <v>919</v>
      </c>
      <c r="T4" s="3"/>
      <c r="U4" s="3" t="s">
        <v>95</v>
      </c>
      <c r="AC4" t="s">
        <v>92</v>
      </c>
      <c r="AF4" s="12"/>
      <c r="AG4" s="12"/>
      <c r="AK4" t="str">
        <f>"SELECT (SELECT '"&amp;C4&amp;"' ColumnName from "&amp;E4&amp;" where "&amp;F4&amp;" is null and exists (select from "&amp;E4&amp;") limit 1) a union all"</f>
        <v>SELECT (SELECT 'mailConfig.ID' ColumnName from mailConfig where ID is null and exists (select from mailConfig) limit 1) a union all</v>
      </c>
      <c r="AP4" t="e">
        <f t="shared" si="3"/>
        <v>#NAME?</v>
      </c>
    </row>
    <row r="5" spans="1:44">
      <c r="A5">
        <v>17000</v>
      </c>
      <c r="B5" t="s">
        <v>1475</v>
      </c>
      <c r="C5" s="3" t="str">
        <f t="shared" si="0"/>
        <v>mailConfig.MailPrinterName</v>
      </c>
      <c r="D5">
        <v>700</v>
      </c>
      <c r="E5" s="3" t="str">
        <f t="shared" si="1"/>
        <v>mailConfig</v>
      </c>
      <c r="F5" t="s">
        <v>1186</v>
      </c>
      <c r="G5" s="3" t="s">
        <v>6939</v>
      </c>
      <c r="H5" s="3" t="str">
        <f t="shared" si="2"/>
        <v>mail.Config</v>
      </c>
      <c r="J5" s="3"/>
      <c r="K5" t="s">
        <v>1187</v>
      </c>
      <c r="M5" t="s">
        <v>196</v>
      </c>
      <c r="Q5" t="s">
        <v>92</v>
      </c>
      <c r="T5" s="3"/>
      <c r="U5" t="s">
        <v>93</v>
      </c>
      <c r="AB5" t="s">
        <v>92</v>
      </c>
      <c r="AK5" t="str">
        <f>"SELECT (SELECT '"&amp;C5&amp;"' ColumnName from "&amp;E5&amp;" where "&amp;F5&amp;" is null and exists (select from "&amp;E5&amp;") limit 1) a union all"</f>
        <v>SELECT (SELECT 'mailConfig.MailPrinterName' ColumnName from mailConfig where MailPrinterName is null and exists (select from mailConfig) limit 1) a union all</v>
      </c>
      <c r="AP5" t="e">
        <f t="shared" si="3"/>
        <v>#NAME?</v>
      </c>
    </row>
    <row r="6" spans="1:44">
      <c r="A6">
        <v>17010</v>
      </c>
      <c r="B6" t="s">
        <v>1475</v>
      </c>
      <c r="C6" s="3" t="str">
        <f t="shared" si="0"/>
        <v>mailConfig.MergeFileLocation</v>
      </c>
      <c r="D6">
        <v>700</v>
      </c>
      <c r="E6" s="3" t="str">
        <f t="shared" si="1"/>
        <v>mailConfig</v>
      </c>
      <c r="F6" t="s">
        <v>1188</v>
      </c>
      <c r="G6" s="3" t="s">
        <v>6674</v>
      </c>
      <c r="H6" s="3" t="str">
        <f t="shared" si="2"/>
        <v>mail.Config</v>
      </c>
      <c r="J6" s="3"/>
      <c r="K6" t="s">
        <v>1189</v>
      </c>
      <c r="M6" t="s">
        <v>196</v>
      </c>
      <c r="Q6" t="s">
        <v>92</v>
      </c>
      <c r="T6" s="3"/>
      <c r="U6" t="s">
        <v>93</v>
      </c>
      <c r="AB6" t="s">
        <v>92</v>
      </c>
      <c r="AK6" t="str">
        <f>"SELECT (SELECT '"&amp;C6&amp;"' ColumnName from "&amp;E6&amp;" where "&amp;F6&amp;" is null and exists (select from "&amp;E6&amp;") limit 1) a union all"</f>
        <v>SELECT (SELECT 'mailConfig.MergeFileLocation' ColumnName from mailConfig where MergeFileLocation is null and exists (select from mailConfig) limit 1) a union all</v>
      </c>
      <c r="AP6" t="e">
        <f t="shared" si="3"/>
        <v>#NAME?</v>
      </c>
    </row>
    <row r="7" spans="1:44">
      <c r="A7">
        <v>17020</v>
      </c>
      <c r="B7" t="s">
        <v>1475</v>
      </c>
      <c r="C7" s="3" t="str">
        <f t="shared" si="0"/>
        <v>mailConfig.MergeFileTemplateLocation</v>
      </c>
      <c r="D7">
        <v>700</v>
      </c>
      <c r="E7" s="3" t="str">
        <f t="shared" si="1"/>
        <v>mailConfig</v>
      </c>
      <c r="F7" t="s">
        <v>1190</v>
      </c>
      <c r="G7" s="3" t="s">
        <v>6675</v>
      </c>
      <c r="H7" s="3" t="str">
        <f t="shared" si="2"/>
        <v>mail.Config</v>
      </c>
      <c r="J7" s="3"/>
      <c r="K7" t="s">
        <v>1191</v>
      </c>
      <c r="M7" t="s">
        <v>196</v>
      </c>
      <c r="Q7" t="s">
        <v>92</v>
      </c>
      <c r="T7" s="3"/>
      <c r="U7" t="s">
        <v>93</v>
      </c>
      <c r="AB7" t="s">
        <v>92</v>
      </c>
      <c r="AK7" t="str">
        <f>"SELECT (SELECT '"&amp;C7&amp;"' ColumnName from "&amp;E7&amp;" where "&amp;F7&amp;" is null and exists (select from "&amp;E7&amp;") limit 1) a union all"</f>
        <v>SELECT (SELECT 'mailConfig.MergeFileTemplateLocation' ColumnName from mailConfig where MergeFileTemplateLocation is null and exists (select from mailConfig) limit 1) a union all</v>
      </c>
      <c r="AP7" t="e">
        <f t="shared" si="3"/>
        <v>#NAME?</v>
      </c>
    </row>
    <row r="8" spans="1:44" ht="15" customHeight="1">
      <c r="A8">
        <v>17030</v>
      </c>
      <c r="B8" t="s">
        <v>1475</v>
      </c>
      <c r="C8" s="3" t="str">
        <f t="shared" si="0"/>
        <v>mailConfig.RowStatus</v>
      </c>
      <c r="D8">
        <v>700</v>
      </c>
      <c r="E8" s="3" t="str">
        <f t="shared" si="1"/>
        <v>mailConfig</v>
      </c>
      <c r="F8" t="s">
        <v>1445</v>
      </c>
      <c r="G8" s="3" t="s">
        <v>6411</v>
      </c>
      <c r="H8" s="3" t="str">
        <f t="shared" si="2"/>
        <v>mail.Config</v>
      </c>
      <c r="J8" s="3"/>
      <c r="K8" s="3" t="s">
        <v>2471</v>
      </c>
      <c r="M8" t="s">
        <v>976</v>
      </c>
      <c r="N8">
        <v>1</v>
      </c>
      <c r="Q8" t="s">
        <v>919</v>
      </c>
      <c r="S8" s="14"/>
      <c r="T8" s="3"/>
      <c r="U8" t="s">
        <v>94</v>
      </c>
      <c r="AJ8" t="str">
        <f>"SELECT (SELECT '"&amp;C8&amp;"' ColumnName from "&amp;E8&amp;" where "&amp;F8&amp;" is null and exists (select from "&amp;E8&amp;") limit 1) ColumnName union all"</f>
        <v>SELECT (SELECT 'mailConfig.RowStatus' ColumnName from mailConfig where RowStatus is null and exists (select from mailConfig) limit 1) ColumnName union all</v>
      </c>
      <c r="AL8" t="str">
        <f>"ALTER TABLE "&amp;E8&amp;" ALTER COLUMN "&amp;F8&amp;" DROP NOT NULL"</f>
        <v>ALTER TABLE mailConfig ALTER COLUMN RowStatus DROP NOT NULL</v>
      </c>
      <c r="AP8" t="e">
        <f t="shared" si="3"/>
        <v>#NAME?</v>
      </c>
    </row>
    <row r="9" spans="1:44" ht="15" customHeight="1">
      <c r="A9">
        <v>17040</v>
      </c>
      <c r="B9" t="s">
        <v>1475</v>
      </c>
      <c r="C9" s="3" t="str">
        <f t="shared" si="0"/>
        <v>mailConfig.sysChangeHistoryID</v>
      </c>
      <c r="D9">
        <v>700</v>
      </c>
      <c r="E9" s="3" t="str">
        <f t="shared" si="1"/>
        <v>mailConfig</v>
      </c>
      <c r="F9" t="s">
        <v>2497</v>
      </c>
      <c r="G9" s="3" t="s">
        <v>6403</v>
      </c>
      <c r="H9" s="3" t="str">
        <f t="shared" si="2"/>
        <v>mail.Config</v>
      </c>
      <c r="J9" s="3"/>
      <c r="K9" t="s">
        <v>1210</v>
      </c>
      <c r="M9" t="s">
        <v>6007</v>
      </c>
      <c r="Q9" t="s">
        <v>92</v>
      </c>
      <c r="T9" s="3"/>
      <c r="U9" t="s">
        <v>1429</v>
      </c>
      <c r="W9" s="3"/>
      <c r="X9" s="3"/>
      <c r="AK9" t="str">
        <f>"SELECT (SELECT '"&amp;C9&amp;"' ColumnName from "&amp;E9&amp;" where "&amp;F9&amp;" is null and exists (select from "&amp;E9&amp;") limit 1) a union all"</f>
        <v>SELECT (SELECT 'mailConfig.sysChangeHistoryID' ColumnName from mailConfig where sysChangeHistoryID is null and exists (select from mailConfig) limit 1) a union all</v>
      </c>
      <c r="AP9" t="e">
        <f t="shared" si="3"/>
        <v>#NAME?</v>
      </c>
    </row>
    <row r="10" spans="1:44" ht="15" customHeight="1">
      <c r="A10">
        <v>17060</v>
      </c>
      <c r="B10" t="s">
        <v>1475</v>
      </c>
      <c r="C10" s="3" t="str">
        <f t="shared" si="0"/>
        <v>mailContactMailOption.crmContactID</v>
      </c>
      <c r="D10">
        <v>701</v>
      </c>
      <c r="E10" s="3" t="str">
        <f t="shared" si="1"/>
        <v>mailContactMailOption</v>
      </c>
      <c r="F10" t="str">
        <f>VLOOKUP(V10,DictionaryTableID,3,FALSE)&amp;"ID"&amp;X10</f>
        <v>crmContactID</v>
      </c>
      <c r="G10" s="3" t="s">
        <v>6677</v>
      </c>
      <c r="H10" s="3" t="str">
        <f t="shared" si="2"/>
        <v>mail.ContactMailOption</v>
      </c>
      <c r="J10" s="3"/>
      <c r="K10" t="s">
        <v>1135</v>
      </c>
      <c r="M10" t="s">
        <v>6007</v>
      </c>
      <c r="Q10" t="s">
        <v>92</v>
      </c>
      <c r="T10" s="3"/>
      <c r="U10" t="s">
        <v>96</v>
      </c>
      <c r="V10">
        <v>100</v>
      </c>
      <c r="W10" s="3" t="str">
        <f>VLOOKUP(V10,DictionaryTableID,3,FALSE)</f>
        <v>crmContact</v>
      </c>
      <c r="X10" s="3"/>
      <c r="AB10" t="s">
        <v>92</v>
      </c>
      <c r="AJ10" t="str">
        <f>"SELECT (SELECT '"&amp;C10&amp;"' ColumnName from "&amp;E10&amp;" where "&amp;F10&amp;" is null and exists (select from "&amp;E10&amp;") limit 1) ColumnName union all"</f>
        <v>SELECT (SELECT 'mailContactMailOption.crmContactID' ColumnName from mailContactMailOption where crmContactID is null and exists (select from mailContactMailOption) limit 1) ColumnName union all</v>
      </c>
      <c r="AL10" t="str">
        <f>"ALTER TABLE "&amp;E10&amp;" ALTER COLUMN "&amp;F10&amp;" DROP NOT NULL"</f>
        <v>ALTER TABLE mailContactMailOption ALTER COLUMN crmContactID DROP NOT NULL</v>
      </c>
      <c r="AP10" t="e">
        <f t="shared" si="3"/>
        <v>#NAME?</v>
      </c>
    </row>
    <row r="11" spans="1:44" ht="15" customHeight="1">
      <c r="A11">
        <v>17050</v>
      </c>
      <c r="B11" t="s">
        <v>1475</v>
      </c>
      <c r="C11" s="3" t="str">
        <f t="shared" si="0"/>
        <v>mailContactMailOption.ID</v>
      </c>
      <c r="D11">
        <v>701</v>
      </c>
      <c r="E11" s="3" t="str">
        <f t="shared" si="1"/>
        <v>mailContactMailOption</v>
      </c>
      <c r="F11" t="s">
        <v>0</v>
      </c>
      <c r="G11" s="3" t="s">
        <v>6676</v>
      </c>
      <c r="H11" s="3" t="str">
        <f t="shared" si="2"/>
        <v>mail.ContactMailOption</v>
      </c>
      <c r="J11" s="3"/>
      <c r="K11" t="s">
        <v>1134</v>
      </c>
      <c r="M11" t="s">
        <v>6007</v>
      </c>
      <c r="Q11" s="3" t="s">
        <v>919</v>
      </c>
      <c r="T11" s="3"/>
      <c r="U11" s="3" t="s">
        <v>95</v>
      </c>
      <c r="AC11" t="s">
        <v>92</v>
      </c>
      <c r="AK11" t="str">
        <f>"SELECT (SELECT '"&amp;C11&amp;"' ColumnName from "&amp;E11&amp;" where "&amp;F11&amp;" is null and exists (select from "&amp;E11&amp;") limit 1) a union all"</f>
        <v>SELECT (SELECT 'mailContactMailOption.ID' ColumnName from mailContactMailOption where ID is null and exists (select from mailContactMailOption) limit 1) a union all</v>
      </c>
      <c r="AO11" t="e">
        <f>SUBSTITUTE(VLOOKUP(V11,DictionaryTableID,16,FALSE)&amp;"ID",".","")</f>
        <v>#N/A</v>
      </c>
      <c r="AP11" t="e">
        <f t="shared" si="3"/>
        <v>#NAME?</v>
      </c>
    </row>
    <row r="12" spans="1:44" ht="15" customHeight="1">
      <c r="A12">
        <v>17070</v>
      </c>
      <c r="B12" t="s">
        <v>1475</v>
      </c>
      <c r="C12" s="3" t="str">
        <f t="shared" si="0"/>
        <v>mailContactMailOption.mailDeliveryMethodID</v>
      </c>
      <c r="D12">
        <v>701</v>
      </c>
      <c r="E12" s="3" t="str">
        <f t="shared" si="1"/>
        <v>mailContactMailOption</v>
      </c>
      <c r="F12" t="str">
        <f>VLOOKUP(V12,SystemTableId,3,FALSE)&amp;"ID"&amp;X12</f>
        <v>mailDeliveryMethodID</v>
      </c>
      <c r="G12" s="3" t="s">
        <v>6678</v>
      </c>
      <c r="H12" s="3" t="str">
        <f t="shared" si="2"/>
        <v>mail.ContactMailOption</v>
      </c>
      <c r="J12" s="3"/>
      <c r="K12" t="s">
        <v>1262</v>
      </c>
      <c r="M12" t="s">
        <v>6007</v>
      </c>
      <c r="Q12" t="s">
        <v>92</v>
      </c>
      <c r="T12" s="3"/>
      <c r="U12" t="s">
        <v>96</v>
      </c>
      <c r="V12">
        <v>702</v>
      </c>
      <c r="W12" s="3" t="str">
        <f>VLOOKUP(V12,SystemTableId,3,FALSE)</f>
        <v>mailDeliveryMethod</v>
      </c>
      <c r="X12" s="3" t="s">
        <v>1036</v>
      </c>
      <c r="AB12" t="s">
        <v>92</v>
      </c>
      <c r="AK12" t="str">
        <f>"SELECT (SELECT '"&amp;C12&amp;"' ColumnName from "&amp;E12&amp;" where "&amp;F12&amp;" is null and exists (select from "&amp;E12&amp;") limit 1) a union all"</f>
        <v>SELECT (SELECT 'mailContactMailOption.mailDeliveryMethodID' ColumnName from mailContactMailOption where mailDeliveryMethodID is null and exists (select from mailContactMailOption) limit 1) a union all</v>
      </c>
      <c r="AO12" t="e">
        <f>SUBSTITUTE(VLOOKUP(V12,DictionaryTableID,16,FALSE)&amp;"ID",".","")</f>
        <v>#N/A</v>
      </c>
      <c r="AP12" t="e">
        <f t="shared" si="3"/>
        <v>#NAME?</v>
      </c>
    </row>
    <row r="13" spans="1:44" ht="15" customHeight="1">
      <c r="A13">
        <v>17080</v>
      </c>
      <c r="B13" t="s">
        <v>1475</v>
      </c>
      <c r="C13" s="3" t="str">
        <f t="shared" si="0"/>
        <v>mailContactMailOption.mailSupressReasonID</v>
      </c>
      <c r="D13">
        <v>701</v>
      </c>
      <c r="E13" s="3" t="str">
        <f t="shared" si="1"/>
        <v>mailContactMailOption</v>
      </c>
      <c r="F13" t="str">
        <f>VLOOKUP(V13,SystemTableId,3,FALSE)&amp;"ID"&amp;X13</f>
        <v>mailSupressReasonID</v>
      </c>
      <c r="G13" s="3" t="s">
        <v>6679</v>
      </c>
      <c r="H13" s="3" t="str">
        <f t="shared" si="2"/>
        <v>mail.ContactMailOption</v>
      </c>
      <c r="J13" s="3"/>
      <c r="K13" t="s">
        <v>1136</v>
      </c>
      <c r="M13" t="s">
        <v>6007</v>
      </c>
      <c r="Q13" t="s">
        <v>92</v>
      </c>
      <c r="T13" s="3"/>
      <c r="U13" t="s">
        <v>96</v>
      </c>
      <c r="V13">
        <v>710</v>
      </c>
      <c r="W13" s="3" t="str">
        <f>VLOOKUP(V13,SystemTableId,3,FALSE)</f>
        <v>mailSupressReason</v>
      </c>
      <c r="X13" s="3" t="s">
        <v>1036</v>
      </c>
      <c r="AB13" t="s">
        <v>92</v>
      </c>
      <c r="AK13" t="str">
        <f>"SELECT (SELECT '"&amp;C13&amp;"' ColumnName from "&amp;E13&amp;" where "&amp;F13&amp;" is null and exists (select from "&amp;E13&amp;") limit 1) a union all"</f>
        <v>SELECT (SELECT 'mailContactMailOption.mailSupressReasonID' ColumnName from mailContactMailOption where mailSupressReasonID is null and exists (select from mailContactMailOption) limit 1) a union all</v>
      </c>
      <c r="AO13" t="e">
        <f>SUBSTITUTE(VLOOKUP(V13,DictionaryTableID,16,FALSE)&amp;"ID",".","")</f>
        <v>#N/A</v>
      </c>
      <c r="AP13" t="e">
        <f t="shared" si="3"/>
        <v>#NAME?</v>
      </c>
    </row>
    <row r="14" spans="1:44" ht="15" customHeight="1">
      <c r="A14">
        <v>17090</v>
      </c>
      <c r="B14" t="s">
        <v>1475</v>
      </c>
      <c r="C14" s="3" t="str">
        <f t="shared" si="0"/>
        <v>mailContactMailOption.RowStatus</v>
      </c>
      <c r="D14">
        <v>701</v>
      </c>
      <c r="E14" s="3" t="str">
        <f t="shared" si="1"/>
        <v>mailContactMailOption</v>
      </c>
      <c r="F14" t="s">
        <v>1445</v>
      </c>
      <c r="G14" s="3" t="s">
        <v>6411</v>
      </c>
      <c r="H14" s="3" t="str">
        <f t="shared" si="2"/>
        <v>mail.ContactMailOption</v>
      </c>
      <c r="J14" s="3"/>
      <c r="K14" s="3" t="s">
        <v>2471</v>
      </c>
      <c r="M14" t="s">
        <v>976</v>
      </c>
      <c r="N14">
        <v>1</v>
      </c>
      <c r="Q14" t="s">
        <v>919</v>
      </c>
      <c r="S14" s="14"/>
      <c r="T14" s="3"/>
      <c r="U14" t="s">
        <v>94</v>
      </c>
      <c r="AJ14" t="str">
        <f>"SELECT (SELECT '"&amp;C14&amp;"' ColumnName from "&amp;E14&amp;" where "&amp;F14&amp;" is null and exists (select from "&amp;E14&amp;") limit 1) ColumnName union all"</f>
        <v>SELECT (SELECT 'mailContactMailOption.RowStatus' ColumnName from mailContactMailOption where RowStatus is null and exists (select from mailContactMailOption) limit 1) ColumnName union all</v>
      </c>
      <c r="AL14" t="str">
        <f>"ALTER TABLE "&amp;E14&amp;" ALTER COLUMN "&amp;F14&amp;" DROP NOT NULL"</f>
        <v>ALTER TABLE mailContactMailOption ALTER COLUMN RowStatus DROP NOT NULL</v>
      </c>
      <c r="AP14" t="e">
        <f t="shared" si="3"/>
        <v>#NAME?</v>
      </c>
    </row>
    <row r="15" spans="1:44" ht="15" customHeight="1">
      <c r="A15">
        <v>17100</v>
      </c>
      <c r="B15" t="s">
        <v>1475</v>
      </c>
      <c r="C15" s="3" t="str">
        <f t="shared" si="0"/>
        <v>mailContactMailOption.sysChangeHistoryID</v>
      </c>
      <c r="D15">
        <v>701</v>
      </c>
      <c r="E15" s="3" t="str">
        <f t="shared" si="1"/>
        <v>mailContactMailOption</v>
      </c>
      <c r="F15" t="s">
        <v>2497</v>
      </c>
      <c r="G15" s="3" t="s">
        <v>6403</v>
      </c>
      <c r="H15" s="3" t="str">
        <f t="shared" si="2"/>
        <v>mail.ContactMailOption</v>
      </c>
      <c r="J15" s="3"/>
      <c r="K15" t="s">
        <v>1210</v>
      </c>
      <c r="M15" t="s">
        <v>6007</v>
      </c>
      <c r="Q15" t="s">
        <v>92</v>
      </c>
      <c r="T15" s="3"/>
      <c r="U15" t="s">
        <v>1429</v>
      </c>
      <c r="W15" s="3"/>
      <c r="X15" s="3"/>
      <c r="AK15" t="str">
        <f>"SELECT (SELECT '"&amp;C15&amp;"' ColumnName from "&amp;E15&amp;" where "&amp;F15&amp;" is null and exists (select from "&amp;E15&amp;") limit 1) a union all"</f>
        <v>SELECT (SELECT 'mailContactMailOption.sysChangeHistoryID' ColumnName from mailContactMailOption where sysChangeHistoryID is null and exists (select from mailContactMailOption) limit 1) a union all</v>
      </c>
      <c r="AP15" t="e">
        <f t="shared" si="3"/>
        <v>#NAME?</v>
      </c>
    </row>
    <row r="16" spans="1:44" ht="15" customHeight="1">
      <c r="A16">
        <v>17120</v>
      </c>
      <c r="B16" s="3" t="s">
        <v>1475</v>
      </c>
      <c r="C16" s="3" t="str">
        <f t="shared" si="0"/>
        <v>mailDeliveryMethod.Description</v>
      </c>
      <c r="D16">
        <v>702</v>
      </c>
      <c r="E16" s="3" t="str">
        <f t="shared" si="1"/>
        <v>mailDeliveryMethod</v>
      </c>
      <c r="F16" t="s">
        <v>12</v>
      </c>
      <c r="G16" s="3" t="s">
        <v>6940</v>
      </c>
      <c r="H16" s="3" t="str">
        <f t="shared" si="2"/>
        <v>mail.DeliveryMethod</v>
      </c>
      <c r="J16" s="3"/>
      <c r="K16" s="3" t="s">
        <v>12</v>
      </c>
      <c r="L16" s="3"/>
      <c r="M16" t="s">
        <v>196</v>
      </c>
      <c r="P16" s="3"/>
      <c r="Q16" s="3" t="s">
        <v>919</v>
      </c>
      <c r="R16" s="3"/>
      <c r="S16" s="3"/>
      <c r="T16" s="3"/>
      <c r="U16" t="s">
        <v>93</v>
      </c>
      <c r="Y16" t="s">
        <v>92</v>
      </c>
      <c r="AB16" t="s">
        <v>92</v>
      </c>
      <c r="AH16" t="s">
        <v>92</v>
      </c>
      <c r="AJ16" t="str">
        <f>"SELECT (SELECT '"&amp;C16&amp;"' ColumnName from "&amp;E16&amp;" where "&amp;F16&amp;" is null and exists (select from "&amp;E16&amp;") limit 1) ColumnName union all"</f>
        <v>SELECT (SELECT 'mailDeliveryMethod.Description' ColumnName from mailDeliveryMethod where Description is null and exists (select from mailDeliveryMethod) limit 1) ColumnName union all</v>
      </c>
      <c r="AL16" t="str">
        <f>"ALTER TABLE "&amp;E16&amp;" ALTER COLUMN "&amp;F16&amp;" DROP NOT NULL"</f>
        <v>ALTER TABLE mailDeliveryMethod ALTER COLUMN Description DROP NOT NULL</v>
      </c>
      <c r="AP16" t="e">
        <f t="shared" si="3"/>
        <v>#NAME?</v>
      </c>
    </row>
    <row r="17" spans="1:42" ht="15" customHeight="1">
      <c r="A17">
        <v>17130</v>
      </c>
      <c r="B17" s="3" t="s">
        <v>1475</v>
      </c>
      <c r="C17" s="3" t="str">
        <f t="shared" si="0"/>
        <v>mailDeliveryMethod.DisplaySequence</v>
      </c>
      <c r="D17">
        <v>702</v>
      </c>
      <c r="E17" s="3" t="str">
        <f t="shared" si="1"/>
        <v>mailDeliveryMethod</v>
      </c>
      <c r="F17" t="s">
        <v>6055</v>
      </c>
      <c r="G17" s="3" t="s">
        <v>6432</v>
      </c>
      <c r="H17" s="3" t="str">
        <f t="shared" si="2"/>
        <v>mail.DeliveryMethod</v>
      </c>
      <c r="J17" s="3"/>
      <c r="K17" s="3" t="s">
        <v>6297</v>
      </c>
      <c r="L17" s="3"/>
      <c r="M17" t="s">
        <v>195</v>
      </c>
      <c r="P17" s="3"/>
      <c r="Q17" s="3" t="s">
        <v>919</v>
      </c>
      <c r="R17" s="3"/>
      <c r="S17" s="3"/>
      <c r="T17" s="3"/>
      <c r="U17" t="s">
        <v>93</v>
      </c>
      <c r="AJ17" t="str">
        <f>"SELECT (SELECT '"&amp;C17&amp;"' ColumnName from "&amp;E17&amp;" where "&amp;F17&amp;" is null and exists (select from "&amp;E17&amp;") limit 1) ColumnName union all"</f>
        <v>SELECT (SELECT 'mailDeliveryMethod.DisplaySequence' ColumnName from mailDeliveryMethod where DisplaySequence is null and exists (select from mailDeliveryMethod) limit 1) ColumnName union all</v>
      </c>
      <c r="AL17" t="str">
        <f>"ALTER TABLE "&amp;E17&amp;" ALTER COLUMN "&amp;F17&amp;" DROP NOT NULL"</f>
        <v>ALTER TABLE mailDeliveryMethod ALTER COLUMN DisplaySequence DROP NOT NULL</v>
      </c>
      <c r="AP17" t="e">
        <f t="shared" si="3"/>
        <v>#NAME?</v>
      </c>
    </row>
    <row r="18" spans="1:42" ht="15" customHeight="1">
      <c r="A18">
        <v>17110</v>
      </c>
      <c r="B18" s="3" t="s">
        <v>1475</v>
      </c>
      <c r="C18" s="3" t="str">
        <f t="shared" si="0"/>
        <v>mailDeliveryMethod.ID</v>
      </c>
      <c r="D18">
        <v>702</v>
      </c>
      <c r="E18" s="3" t="str">
        <f t="shared" si="1"/>
        <v>mailDeliveryMethod</v>
      </c>
      <c r="F18" t="s">
        <v>0</v>
      </c>
      <c r="G18" s="3" t="s">
        <v>6680</v>
      </c>
      <c r="H18" s="3" t="str">
        <f t="shared" si="2"/>
        <v>mail.DeliveryMethod</v>
      </c>
      <c r="J18" s="3"/>
      <c r="K18" s="3" t="s">
        <v>0</v>
      </c>
      <c r="L18" s="3"/>
      <c r="M18" t="s">
        <v>6007</v>
      </c>
      <c r="P18" s="3"/>
      <c r="Q18" s="3" t="s">
        <v>919</v>
      </c>
      <c r="R18" s="3"/>
      <c r="S18" s="3"/>
      <c r="T18" s="3"/>
      <c r="U18" s="3" t="s">
        <v>95</v>
      </c>
      <c r="AJ18" t="str">
        <f>"SELECT (SELECT '"&amp;C18&amp;"' ColumnName from "&amp;E18&amp;" where "&amp;F18&amp;" is null and exists (select from "&amp;E18&amp;") limit 1) ColumnName union all"</f>
        <v>SELECT (SELECT 'mailDeliveryMethod.ID' ColumnName from mailDeliveryMethod where ID is null and exists (select from mailDeliveryMethod) limit 1) ColumnName union all</v>
      </c>
      <c r="AL18" t="str">
        <f>"ALTER TABLE "&amp;E18&amp;" ALTER COLUMN "&amp;F18&amp;" DROP NOT NULL"</f>
        <v>ALTER TABLE mailDeliveryMethod ALTER COLUMN ID DROP NOT NULL</v>
      </c>
      <c r="AP18" t="e">
        <f t="shared" si="3"/>
        <v>#NAME?</v>
      </c>
    </row>
    <row r="19" spans="1:42">
      <c r="A19">
        <v>17150</v>
      </c>
      <c r="B19" s="3" t="s">
        <v>1475</v>
      </c>
      <c r="C19" s="3" t="str">
        <f t="shared" si="0"/>
        <v>mailDeliveryMethod.RowStatus</v>
      </c>
      <c r="D19">
        <v>702</v>
      </c>
      <c r="E19" s="3" t="str">
        <f t="shared" si="1"/>
        <v>mailDeliveryMethod</v>
      </c>
      <c r="F19" t="s">
        <v>1445</v>
      </c>
      <c r="G19" s="3" t="s">
        <v>6411</v>
      </c>
      <c r="H19" s="3" t="str">
        <f t="shared" si="2"/>
        <v>mail.DeliveryMethod</v>
      </c>
      <c r="J19" s="3"/>
      <c r="K19" s="3" t="s">
        <v>2471</v>
      </c>
      <c r="L19" s="3"/>
      <c r="M19" t="s">
        <v>976</v>
      </c>
      <c r="N19">
        <v>1</v>
      </c>
      <c r="P19" s="3"/>
      <c r="Q19" s="3" t="s">
        <v>919</v>
      </c>
      <c r="R19" s="3"/>
      <c r="S19" s="3"/>
      <c r="T19" s="3"/>
      <c r="U19" t="s">
        <v>94</v>
      </c>
      <c r="AJ19" t="str">
        <f>"SELECT (SELECT '"&amp;C19&amp;"' ColumnName from "&amp;E19&amp;" where "&amp;F19&amp;" is null and exists (select from "&amp;E19&amp;") limit 1) ColumnName union all"</f>
        <v>SELECT (SELECT 'mailDeliveryMethod.RowStatus' ColumnName from mailDeliveryMethod where RowStatus is null and exists (select from mailDeliveryMethod) limit 1) ColumnName union all</v>
      </c>
      <c r="AL19" t="str">
        <f>"ALTER TABLE "&amp;E19&amp;" ALTER COLUMN "&amp;F19&amp;" DROP NOT NULL"</f>
        <v>ALTER TABLE mailDeliveryMethod ALTER COLUMN RowStatus DROP NOT NULL</v>
      </c>
      <c r="AP19" t="e">
        <f t="shared" si="3"/>
        <v>#NAME?</v>
      </c>
    </row>
    <row r="20" spans="1:42" ht="15" customHeight="1">
      <c r="A20">
        <v>17140</v>
      </c>
      <c r="B20" s="3" t="s">
        <v>1475</v>
      </c>
      <c r="C20" s="3" t="str">
        <f t="shared" si="0"/>
        <v>mailDeliveryMethod.ShortCode</v>
      </c>
      <c r="D20">
        <v>702</v>
      </c>
      <c r="E20" s="3" t="str">
        <f t="shared" si="1"/>
        <v>mailDeliveryMethod</v>
      </c>
      <c r="F20" t="s">
        <v>16</v>
      </c>
      <c r="G20" s="3" t="s">
        <v>6434</v>
      </c>
      <c r="H20" s="3" t="str">
        <f t="shared" si="2"/>
        <v>mail.DeliveryMethod</v>
      </c>
      <c r="J20" s="3"/>
      <c r="K20" s="3" t="s">
        <v>117</v>
      </c>
      <c r="L20" s="3"/>
      <c r="M20" t="s">
        <v>196</v>
      </c>
      <c r="P20" s="3"/>
      <c r="Q20" s="3" t="s">
        <v>92</v>
      </c>
      <c r="R20" s="3"/>
      <c r="S20" s="3"/>
      <c r="T20" s="3"/>
      <c r="U20" t="s">
        <v>93</v>
      </c>
      <c r="AB20" t="s">
        <v>92</v>
      </c>
      <c r="AH20" t="s">
        <v>92</v>
      </c>
      <c r="AJ20" t="str">
        <f>"SELECT (SELECT '"&amp;C20&amp;"' ColumnName from "&amp;E20&amp;" where "&amp;F20&amp;" is null and exists (select from "&amp;E20&amp;") limit 1) ColumnName union all"</f>
        <v>SELECT (SELECT 'mailDeliveryMethod.ShortCode' ColumnName from mailDeliveryMethod where ShortCode is null and exists (select from mailDeliveryMethod) limit 1) ColumnName union all</v>
      </c>
      <c r="AL20" t="str">
        <f>"ALTER TABLE "&amp;E20&amp;" ALTER COLUMN "&amp;F20&amp;" DROP NOT NULL"</f>
        <v>ALTER TABLE mailDeliveryMethod ALTER COLUMN ShortCode DROP NOT NULL</v>
      </c>
      <c r="AP20" t="e">
        <f t="shared" si="3"/>
        <v>#NAME?</v>
      </c>
    </row>
    <row r="21" spans="1:42" ht="15" customHeight="1">
      <c r="A21">
        <v>17160</v>
      </c>
      <c r="B21" t="s">
        <v>1475</v>
      </c>
      <c r="C21" s="3" t="str">
        <f t="shared" si="0"/>
        <v>mailDeliveryMethod.sysChangeHistoryID</v>
      </c>
      <c r="D21">
        <v>702</v>
      </c>
      <c r="E21" s="3" t="str">
        <f t="shared" si="1"/>
        <v>mailDeliveryMethod</v>
      </c>
      <c r="F21" t="s">
        <v>2497</v>
      </c>
      <c r="G21" s="3" t="s">
        <v>6403</v>
      </c>
      <c r="H21" s="3" t="str">
        <f t="shared" si="2"/>
        <v>mail.DeliveryMethod</v>
      </c>
      <c r="J21" s="3"/>
      <c r="K21" t="s">
        <v>1210</v>
      </c>
      <c r="M21" t="s">
        <v>6007</v>
      </c>
      <c r="Q21" t="s">
        <v>92</v>
      </c>
      <c r="T21" s="3"/>
      <c r="U21" t="s">
        <v>1429</v>
      </c>
      <c r="W21" s="3"/>
      <c r="X21" s="3"/>
      <c r="AK21" t="str">
        <f>"SELECT (SELECT '"&amp;C21&amp;"' ColumnName from "&amp;E21&amp;" where "&amp;F21&amp;" is null and exists (select from "&amp;E21&amp;") limit 1) a union all"</f>
        <v>SELECT (SELECT 'mailDeliveryMethod.sysChangeHistoryID' ColumnName from mailDeliveryMethod where sysChangeHistoryID is null and exists (select from mailDeliveryMethod) limit 1) a union all</v>
      </c>
      <c r="AP21" t="e">
        <f t="shared" si="3"/>
        <v>#NAME?</v>
      </c>
    </row>
    <row r="22" spans="1:42">
      <c r="A22">
        <v>17170</v>
      </c>
      <c r="B22" t="s">
        <v>1475</v>
      </c>
      <c r="C22" s="3" t="str">
        <f t="shared" si="0"/>
        <v>mailDistributionRule.ID</v>
      </c>
      <c r="D22">
        <v>703</v>
      </c>
      <c r="E22" s="3" t="str">
        <f t="shared" si="1"/>
        <v>mailDistributionRule</v>
      </c>
      <c r="F22" t="s">
        <v>0</v>
      </c>
      <c r="G22" s="3" t="s">
        <v>6681</v>
      </c>
      <c r="H22" s="3" t="str">
        <f t="shared" si="2"/>
        <v>mail.DistributionRule</v>
      </c>
      <c r="J22" s="3"/>
      <c r="K22" t="s">
        <v>0</v>
      </c>
      <c r="M22" t="s">
        <v>6007</v>
      </c>
      <c r="Q22" t="s">
        <v>919</v>
      </c>
      <c r="T22" s="3"/>
      <c r="U22" t="s">
        <v>95</v>
      </c>
      <c r="AJ22" t="str">
        <f>"SELECT (SELECT '"&amp;C22&amp;"' ColumnName from "&amp;E22&amp;" where "&amp;F22&amp;" is null and exists (select from "&amp;E22&amp;") limit 1) ColumnName union all"</f>
        <v>SELECT (SELECT 'mailDistributionRule.ID' ColumnName from mailDistributionRule where ID is null and exists (select from mailDistributionRule) limit 1) ColumnName union all</v>
      </c>
      <c r="AL22" t="str">
        <f>"ALTER TABLE "&amp;E22&amp;" ALTER COLUMN "&amp;F22&amp;" DROP NOT NULL"</f>
        <v>ALTER TABLE mailDistributionRule ALTER COLUMN ID DROP NOT NULL</v>
      </c>
      <c r="AP22" t="e">
        <f t="shared" si="3"/>
        <v>#NAME?</v>
      </c>
    </row>
    <row r="23" spans="1:42">
      <c r="A23">
        <v>17190</v>
      </c>
      <c r="B23" t="s">
        <v>1475</v>
      </c>
      <c r="C23" s="3" t="str">
        <f t="shared" si="0"/>
        <v>mailDistributionRule.isRequired</v>
      </c>
      <c r="D23">
        <v>703</v>
      </c>
      <c r="E23" s="3" t="str">
        <f t="shared" si="1"/>
        <v>mailDistributionRule</v>
      </c>
      <c r="F23" t="s">
        <v>1397</v>
      </c>
      <c r="G23" s="3" t="s">
        <v>6683</v>
      </c>
      <c r="H23" s="3" t="str">
        <f t="shared" si="2"/>
        <v>mail.DistributionRule</v>
      </c>
      <c r="J23" s="3"/>
      <c r="K23" t="s">
        <v>1398</v>
      </c>
      <c r="M23" s="3" t="s">
        <v>2402</v>
      </c>
      <c r="Q23" t="s">
        <v>92</v>
      </c>
      <c r="T23" s="3"/>
      <c r="U23" t="s">
        <v>93</v>
      </c>
      <c r="AB23" t="s">
        <v>92</v>
      </c>
      <c r="AK23" t="str">
        <f>"SELECT (SELECT '"&amp;C23&amp;"' ColumnName from "&amp;E23&amp;" where "&amp;F23&amp;" is null and exists (select from "&amp;E23&amp;") limit 1) a union all"</f>
        <v>SELECT (SELECT 'mailDistributionRule.isRequired' ColumnName from mailDistributionRule where isRequired is null and exists (select from mailDistributionRule) limit 1) a union all</v>
      </c>
      <c r="AO23" t="e">
        <f>SUBSTITUTE(VLOOKUP(V23,DictionaryTableID,16,FALSE)&amp;"ID",".","")</f>
        <v>#N/A</v>
      </c>
      <c r="AP23" t="e">
        <f t="shared" si="3"/>
        <v>#NAME?</v>
      </c>
    </row>
    <row r="24" spans="1:42">
      <c r="A24">
        <v>17200</v>
      </c>
      <c r="B24" t="s">
        <v>1475</v>
      </c>
      <c r="C24" s="3" t="str">
        <f t="shared" si="0"/>
        <v>mailDistributionRule.IsSuppressable</v>
      </c>
      <c r="D24">
        <v>703</v>
      </c>
      <c r="E24" s="3" t="str">
        <f t="shared" si="1"/>
        <v>mailDistributionRule</v>
      </c>
      <c r="F24" t="s">
        <v>2391</v>
      </c>
      <c r="G24" s="3" t="s">
        <v>6684</v>
      </c>
      <c r="H24" s="3" t="str">
        <f t="shared" si="2"/>
        <v>mail.DistributionRule</v>
      </c>
      <c r="J24" s="3"/>
      <c r="K24" t="s">
        <v>1399</v>
      </c>
      <c r="M24" s="3" t="s">
        <v>2402</v>
      </c>
      <c r="Q24" t="s">
        <v>92</v>
      </c>
      <c r="T24" s="3"/>
      <c r="U24" t="s">
        <v>93</v>
      </c>
      <c r="AB24" t="s">
        <v>92</v>
      </c>
      <c r="AK24" t="str">
        <f>"SELECT (SELECT '"&amp;C24&amp;"' ColumnName from "&amp;E24&amp;" where "&amp;F24&amp;" is null and exists (select from "&amp;E24&amp;") limit 1) a union all"</f>
        <v>SELECT (SELECT 'mailDistributionRule.IsSuppressable' ColumnName from mailDistributionRule where IsSuppressable is null and exists (select from mailDistributionRule) limit 1) a union all</v>
      </c>
      <c r="AP24" t="e">
        <f t="shared" si="3"/>
        <v>#NAME?</v>
      </c>
    </row>
    <row r="25" spans="1:42">
      <c r="A25">
        <v>17180</v>
      </c>
      <c r="B25" t="s">
        <v>1475</v>
      </c>
      <c r="C25" s="3" t="str">
        <f t="shared" si="0"/>
        <v>mailDistributionRule.mailDistributionTypeID</v>
      </c>
      <c r="D25">
        <v>703</v>
      </c>
      <c r="E25" s="3" t="str">
        <f t="shared" si="1"/>
        <v>mailDistributionRule</v>
      </c>
      <c r="F25" t="str">
        <f>VLOOKUP(V25,SystemTableId,3,FALSE)&amp;"ID"&amp;X25</f>
        <v>mailDistributionTypeID</v>
      </c>
      <c r="G25" s="3" t="s">
        <v>6682</v>
      </c>
      <c r="H25" s="3" t="str">
        <f t="shared" si="2"/>
        <v>mail.DistributionRule</v>
      </c>
      <c r="J25" s="3"/>
      <c r="K25" t="s">
        <v>1368</v>
      </c>
      <c r="M25" t="s">
        <v>6007</v>
      </c>
      <c r="Q25" t="s">
        <v>92</v>
      </c>
      <c r="T25" s="3"/>
      <c r="U25" t="s">
        <v>96</v>
      </c>
      <c r="V25">
        <v>705</v>
      </c>
      <c r="W25" s="3" t="str">
        <f>VLOOKUP(V25,SystemTableId,3,FALSE)</f>
        <v>mailDistributionType</v>
      </c>
      <c r="Z25" t="s">
        <v>1369</v>
      </c>
      <c r="AB25" t="s">
        <v>92</v>
      </c>
      <c r="AK25" t="str">
        <f>"SELECT (SELECT '"&amp;C25&amp;"' ColumnName from "&amp;E25&amp;" where "&amp;F25&amp;" is null and exists (select from "&amp;E25&amp;") limit 1) a union all"</f>
        <v>SELECT (SELECT 'mailDistributionRule.mailDistributionTypeID' ColumnName from mailDistributionRule where mailDistributionTypeID is null and exists (select from mailDistributionRule) limit 1) a union all</v>
      </c>
      <c r="AP25" t="e">
        <f t="shared" si="3"/>
        <v>#NAME?</v>
      </c>
    </row>
    <row r="26" spans="1:42">
      <c r="A26">
        <v>17210</v>
      </c>
      <c r="B26" t="s">
        <v>1475</v>
      </c>
      <c r="C26" s="3" t="str">
        <f t="shared" si="0"/>
        <v>mailDistributionRule.RowStatus</v>
      </c>
      <c r="D26">
        <v>703</v>
      </c>
      <c r="E26" s="3" t="str">
        <f t="shared" si="1"/>
        <v>mailDistributionRule</v>
      </c>
      <c r="F26" t="s">
        <v>1445</v>
      </c>
      <c r="G26" s="3" t="s">
        <v>6411</v>
      </c>
      <c r="H26" s="3" t="str">
        <f t="shared" si="2"/>
        <v>mail.DistributionRule</v>
      </c>
      <c r="J26" s="3"/>
      <c r="K26" s="3" t="s">
        <v>2471</v>
      </c>
      <c r="M26" t="s">
        <v>976</v>
      </c>
      <c r="N26">
        <v>1</v>
      </c>
      <c r="Q26" t="s">
        <v>92</v>
      </c>
      <c r="T26" s="3"/>
      <c r="U26" t="s">
        <v>94</v>
      </c>
      <c r="AK26" t="str">
        <f>"SELECT (SELECT '"&amp;C26&amp;"' ColumnName from "&amp;E26&amp;" where "&amp;F26&amp;" is null and exists (select from "&amp;E26&amp;") limit 1) a union all"</f>
        <v>SELECT (SELECT 'mailDistributionRule.RowStatus' ColumnName from mailDistributionRule where RowStatus is null and exists (select from mailDistributionRule) limit 1) a union all</v>
      </c>
      <c r="AP26" t="e">
        <f t="shared" si="3"/>
        <v>#NAME?</v>
      </c>
    </row>
    <row r="27" spans="1:42">
      <c r="A27">
        <v>17220</v>
      </c>
      <c r="B27" t="s">
        <v>1475</v>
      </c>
      <c r="C27" s="3" t="str">
        <f t="shared" si="0"/>
        <v>mailDistributionRule.sysChangeHistoryID</v>
      </c>
      <c r="D27">
        <v>703</v>
      </c>
      <c r="E27" s="3" t="str">
        <f t="shared" si="1"/>
        <v>mailDistributionRule</v>
      </c>
      <c r="F27" t="s">
        <v>2497</v>
      </c>
      <c r="G27" s="3" t="s">
        <v>6403</v>
      </c>
      <c r="H27" s="3" t="str">
        <f t="shared" si="2"/>
        <v>mail.DistributionRule</v>
      </c>
      <c r="J27" s="3"/>
      <c r="K27" t="s">
        <v>1210</v>
      </c>
      <c r="M27" t="s">
        <v>6007</v>
      </c>
      <c r="Q27" t="s">
        <v>92</v>
      </c>
      <c r="T27" s="3"/>
      <c r="U27" t="s">
        <v>1429</v>
      </c>
      <c r="W27" s="3"/>
      <c r="AK27" t="str">
        <f>"SELECT (SELECT '"&amp;C27&amp;"' ColumnName from "&amp;E27&amp;" where "&amp;F27&amp;" is null and exists (select from "&amp;E27&amp;") limit 1) a union all"</f>
        <v>SELECT (SELECT 'mailDistributionRule.sysChangeHistoryID' ColumnName from mailDistributionRule where sysChangeHistoryID is null and exists (select from mailDistributionRule) limit 1) a union all</v>
      </c>
      <c r="AP27" t="e">
        <f t="shared" si="3"/>
        <v>#NAME?</v>
      </c>
    </row>
    <row r="28" spans="1:42">
      <c r="A28">
        <v>17230</v>
      </c>
      <c r="B28" t="s">
        <v>1475</v>
      </c>
      <c r="C28" s="3" t="str">
        <f t="shared" si="0"/>
        <v>mailDistributionRuleDeliveryMethod.ID</v>
      </c>
      <c r="D28">
        <v>704</v>
      </c>
      <c r="E28" s="3" t="str">
        <f t="shared" si="1"/>
        <v>mailDistributionRuleDeliveryMethod</v>
      </c>
      <c r="F28" t="s">
        <v>0</v>
      </c>
      <c r="G28" s="3" t="s">
        <v>6685</v>
      </c>
      <c r="H28" s="3" t="str">
        <f t="shared" si="2"/>
        <v>mail.DistributionRuleDeliveryMethod</v>
      </c>
      <c r="J28" s="3"/>
      <c r="K28" t="s">
        <v>0</v>
      </c>
      <c r="M28" t="s">
        <v>6007</v>
      </c>
      <c r="Q28" t="s">
        <v>919</v>
      </c>
      <c r="T28" s="3"/>
      <c r="U28" t="s">
        <v>95</v>
      </c>
      <c r="AJ28" t="str">
        <f>"SELECT (SELECT '"&amp;C28&amp;"' ColumnName from "&amp;E28&amp;" where "&amp;F28&amp;" is null and exists (select from "&amp;E28&amp;") limit 1) ColumnName union all"</f>
        <v>SELECT (SELECT 'mailDistributionRuleDeliveryMethod.ID' ColumnName from mailDistributionRuleDeliveryMethod where ID is null and exists (select from mailDistributionRuleDeliveryMethod) limit 1) ColumnName union all</v>
      </c>
      <c r="AL28" t="str">
        <f>"ALTER TABLE "&amp;E28&amp;" ALTER COLUMN "&amp;F28&amp;" DROP NOT NULL"</f>
        <v>ALTER TABLE mailDistributionRuleDeliveryMethod ALTER COLUMN ID DROP NOT NULL</v>
      </c>
      <c r="AP28" t="e">
        <f t="shared" si="3"/>
        <v>#NAME?</v>
      </c>
    </row>
    <row r="29" spans="1:42">
      <c r="A29">
        <v>17240</v>
      </c>
      <c r="B29" t="s">
        <v>1475</v>
      </c>
      <c r="C29" s="3" t="str">
        <f t="shared" si="0"/>
        <v>mailDistributionRuleDeliveryMethod.mailDeliveryMethodID</v>
      </c>
      <c r="D29">
        <v>704</v>
      </c>
      <c r="E29" s="3" t="str">
        <f t="shared" si="1"/>
        <v>mailDistributionRuleDeliveryMethod</v>
      </c>
      <c r="F29" t="str">
        <f>VLOOKUP(V29,SystemTableId,3,FALSE)&amp;"ID"&amp;X29</f>
        <v>mailDeliveryMethodID</v>
      </c>
      <c r="G29" s="3" t="s">
        <v>6686</v>
      </c>
      <c r="H29" s="3" t="str">
        <f t="shared" si="2"/>
        <v>mail.DistributionRuleDeliveryMethod</v>
      </c>
      <c r="J29" s="3"/>
      <c r="K29" t="s">
        <v>5988</v>
      </c>
      <c r="M29" t="s">
        <v>6007</v>
      </c>
      <c r="Q29" t="s">
        <v>92</v>
      </c>
      <c r="T29" s="3"/>
      <c r="U29" t="s">
        <v>96</v>
      </c>
      <c r="V29">
        <v>702</v>
      </c>
      <c r="W29" s="3" t="str">
        <f>VLOOKUP(V29,SystemTableId,3,FALSE)</f>
        <v>mailDeliveryMethod</v>
      </c>
      <c r="AB29" t="s">
        <v>92</v>
      </c>
      <c r="AK29" t="str">
        <f>"SELECT (SELECT '"&amp;C29&amp;"' ColumnName from "&amp;E29&amp;" where "&amp;F29&amp;" is null and exists (select from "&amp;E29&amp;") limit 1) a union all"</f>
        <v>SELECT (SELECT 'mailDistributionRuleDeliveryMethod.mailDeliveryMethodID' ColumnName from mailDistributionRuleDeliveryMethod where mailDeliveryMethodID is null and exists (select from mailDistributionRuleDeliveryMethod) limit 1) a union all</v>
      </c>
      <c r="AO29" t="e">
        <f>SUBSTITUTE(VLOOKUP(V29,DictionaryTableID,16,FALSE)&amp;"ID",".","")</f>
        <v>#N/A</v>
      </c>
      <c r="AP29" t="e">
        <f t="shared" si="3"/>
        <v>#NAME?</v>
      </c>
    </row>
    <row r="30" spans="1:42">
      <c r="A30">
        <v>17250</v>
      </c>
      <c r="B30" t="s">
        <v>1475</v>
      </c>
      <c r="C30" s="3" t="str">
        <f t="shared" si="0"/>
        <v>mailDistributionRuleDeliveryMethod.mailDistributionRuleID</v>
      </c>
      <c r="D30">
        <v>704</v>
      </c>
      <c r="E30" s="3" t="str">
        <f t="shared" si="1"/>
        <v>mailDistributionRuleDeliveryMethod</v>
      </c>
      <c r="F30" t="str">
        <f>VLOOKUP(V30,SystemTableId,3,FALSE)&amp;"ID"&amp;X30</f>
        <v>mailDistributionRuleID</v>
      </c>
      <c r="G30" s="3" t="s">
        <v>6687</v>
      </c>
      <c r="H30" s="3" t="str">
        <f t="shared" si="2"/>
        <v>mail.DistributionRuleDeliveryMethod</v>
      </c>
      <c r="J30" s="3"/>
      <c r="K30" t="s">
        <v>1370</v>
      </c>
      <c r="M30" t="s">
        <v>6007</v>
      </c>
      <c r="Q30" t="s">
        <v>92</v>
      </c>
      <c r="T30" s="3"/>
      <c r="U30" t="s">
        <v>96</v>
      </c>
      <c r="V30">
        <v>703</v>
      </c>
      <c r="W30" s="3" t="str">
        <f>VLOOKUP(V30,SystemTableId,3,FALSE)</f>
        <v>mailDistributionRule</v>
      </c>
      <c r="Z30" t="s">
        <v>1371</v>
      </c>
      <c r="AB30" t="s">
        <v>92</v>
      </c>
      <c r="AK30" t="str">
        <f>"SELECT (SELECT '"&amp;C30&amp;"' ColumnName from "&amp;E30&amp;" where "&amp;F30&amp;" is null and exists (select from "&amp;E30&amp;") limit 1) a union all"</f>
        <v>SELECT (SELECT 'mailDistributionRuleDeliveryMethod.mailDistributionRuleID' ColumnName from mailDistributionRuleDeliveryMethod where mailDistributionRuleID is null and exists (select from mailDistributionRuleDeliveryMethod) limit 1) a union all</v>
      </c>
      <c r="AO30" t="e">
        <f>SUBSTITUTE(VLOOKUP(V30,DictionaryTableID,16,FALSE)&amp;"ID",".","")</f>
        <v>#N/A</v>
      </c>
      <c r="AP30" t="e">
        <f t="shared" si="3"/>
        <v>#NAME?</v>
      </c>
    </row>
    <row r="31" spans="1:42">
      <c r="A31">
        <v>17260</v>
      </c>
      <c r="B31" t="s">
        <v>1475</v>
      </c>
      <c r="C31" s="3" t="str">
        <f t="shared" si="0"/>
        <v>mailDistributionRuleDeliveryMethod.RowStatus</v>
      </c>
      <c r="D31">
        <v>704</v>
      </c>
      <c r="E31" s="3" t="str">
        <f t="shared" si="1"/>
        <v>mailDistributionRuleDeliveryMethod</v>
      </c>
      <c r="F31" t="s">
        <v>1445</v>
      </c>
      <c r="G31" s="3" t="s">
        <v>6411</v>
      </c>
      <c r="H31" s="3" t="str">
        <f t="shared" si="2"/>
        <v>mail.DistributionRuleDeliveryMethod</v>
      </c>
      <c r="J31" s="3"/>
      <c r="K31" s="3" t="s">
        <v>2471</v>
      </c>
      <c r="M31" t="s">
        <v>976</v>
      </c>
      <c r="N31">
        <v>1</v>
      </c>
      <c r="Q31" t="s">
        <v>92</v>
      </c>
      <c r="T31" s="3"/>
      <c r="U31" t="s">
        <v>94</v>
      </c>
      <c r="AK31" t="str">
        <f>"SELECT (SELECT '"&amp;C31&amp;"' ColumnName from "&amp;E31&amp;" where "&amp;F31&amp;" is null and exists (select from "&amp;E31&amp;") limit 1) a union all"</f>
        <v>SELECT (SELECT 'mailDistributionRuleDeliveryMethod.RowStatus' ColumnName from mailDistributionRuleDeliveryMethod where RowStatus is null and exists (select from mailDistributionRuleDeliveryMethod) limit 1) a union all</v>
      </c>
      <c r="AP31" t="e">
        <f t="shared" si="3"/>
        <v>#NAME?</v>
      </c>
    </row>
    <row r="32" spans="1:42">
      <c r="A32">
        <v>17270</v>
      </c>
      <c r="B32" t="s">
        <v>1475</v>
      </c>
      <c r="C32" s="3" t="str">
        <f t="shared" si="0"/>
        <v>mailDistributionRuleDeliveryMethod.sysChangeHistoryID</v>
      </c>
      <c r="D32">
        <v>704</v>
      </c>
      <c r="E32" s="3" t="str">
        <f t="shared" si="1"/>
        <v>mailDistributionRuleDeliveryMethod</v>
      </c>
      <c r="F32" t="s">
        <v>2497</v>
      </c>
      <c r="G32" s="3" t="s">
        <v>6403</v>
      </c>
      <c r="H32" s="3" t="str">
        <f t="shared" si="2"/>
        <v>mail.DistributionRuleDeliveryMethod</v>
      </c>
      <c r="J32" s="3"/>
      <c r="K32" t="s">
        <v>1210</v>
      </c>
      <c r="M32" t="s">
        <v>6007</v>
      </c>
      <c r="Q32" t="s">
        <v>92</v>
      </c>
      <c r="T32" s="3"/>
      <c r="U32" t="s">
        <v>1429</v>
      </c>
      <c r="W32" s="3"/>
      <c r="AK32" t="str">
        <f>"SELECT (SELECT '"&amp;C32&amp;"' ColumnName from "&amp;E32&amp;" where "&amp;F32&amp;" is null and exists (select from "&amp;E32&amp;") limit 1) a union all"</f>
        <v>SELECT (SELECT 'mailDistributionRuleDeliveryMethod.sysChangeHistoryID' ColumnName from mailDistributionRuleDeliveryMethod where sysChangeHistoryID is null and exists (select from mailDistributionRuleDeliveryMethod) limit 1) a union all</v>
      </c>
      <c r="AP32" t="e">
        <f t="shared" si="3"/>
        <v>#NAME?</v>
      </c>
    </row>
    <row r="33" spans="1:42">
      <c r="A33">
        <v>17290</v>
      </c>
      <c r="B33" t="s">
        <v>1475</v>
      </c>
      <c r="C33" s="3" t="str">
        <f t="shared" si="0"/>
        <v>mailDistributionType.Description</v>
      </c>
      <c r="D33">
        <v>705</v>
      </c>
      <c r="E33" s="3" t="str">
        <f t="shared" si="1"/>
        <v>mailDistributionType</v>
      </c>
      <c r="F33" t="s">
        <v>12</v>
      </c>
      <c r="G33" s="3" t="s">
        <v>6941</v>
      </c>
      <c r="H33" s="3" t="str">
        <f t="shared" si="2"/>
        <v>mail.DistributionType</v>
      </c>
      <c r="J33" s="3"/>
      <c r="K33" t="s">
        <v>12</v>
      </c>
      <c r="M33" t="s">
        <v>196</v>
      </c>
      <c r="Q33" s="3" t="s">
        <v>919</v>
      </c>
      <c r="T33" s="3"/>
      <c r="U33" s="3" t="s">
        <v>93</v>
      </c>
      <c r="W33" s="4"/>
      <c r="X33" s="3"/>
      <c r="Y33" t="s">
        <v>92</v>
      </c>
      <c r="AB33" t="s">
        <v>92</v>
      </c>
      <c r="AH33" t="s">
        <v>92</v>
      </c>
      <c r="AJ33" t="str">
        <f>"SELECT (SELECT '"&amp;C33&amp;"' ColumnName from "&amp;E33&amp;" where "&amp;F33&amp;" is null and exists (select from "&amp;E33&amp;") limit 1) ColumnName union all"</f>
        <v>SELECT (SELECT 'mailDistributionType.Description' ColumnName from mailDistributionType where Description is null and exists (select from mailDistributionType) limit 1) ColumnName union all</v>
      </c>
      <c r="AL33" t="str">
        <f>"ALTER TABLE "&amp;E33&amp;" ALTER COLUMN "&amp;F33&amp;" DROP NOT NULL"</f>
        <v>ALTER TABLE mailDistributionType ALTER COLUMN Description DROP NOT NULL</v>
      </c>
      <c r="AP33" t="e">
        <f t="shared" si="3"/>
        <v>#NAME?</v>
      </c>
    </row>
    <row r="34" spans="1:42">
      <c r="A34">
        <v>17280</v>
      </c>
      <c r="B34" t="s">
        <v>1475</v>
      </c>
      <c r="C34" s="3" t="str">
        <f t="shared" si="0"/>
        <v>mailDistributionType.id</v>
      </c>
      <c r="D34">
        <v>705</v>
      </c>
      <c r="E34" s="3" t="str">
        <f t="shared" si="1"/>
        <v>mailDistributionType</v>
      </c>
      <c r="F34" t="s">
        <v>1285</v>
      </c>
      <c r="G34" s="3" t="s">
        <v>6688</v>
      </c>
      <c r="H34" s="3" t="str">
        <f t="shared" si="2"/>
        <v>mail.DistributionType</v>
      </c>
      <c r="J34" s="3"/>
      <c r="K34" t="s">
        <v>1285</v>
      </c>
      <c r="M34" t="s">
        <v>6007</v>
      </c>
      <c r="Q34" s="3" t="s">
        <v>919</v>
      </c>
      <c r="T34" s="3"/>
      <c r="U34" s="3" t="s">
        <v>95</v>
      </c>
      <c r="W34" s="4"/>
      <c r="X34" s="3"/>
      <c r="AJ34" t="str">
        <f>"SELECT (SELECT '"&amp;C34&amp;"' ColumnName from "&amp;E34&amp;" where "&amp;F34&amp;" is null and exists (select from "&amp;E34&amp;") limit 1) ColumnName union all"</f>
        <v>SELECT (SELECT 'mailDistributionType.id' ColumnName from mailDistributionType where id is null and exists (select from mailDistributionType) limit 1) ColumnName union all</v>
      </c>
      <c r="AL34" t="str">
        <f>"ALTER TABLE "&amp;E34&amp;" ALTER COLUMN "&amp;F34&amp;" DROP NOT NULL"</f>
        <v>ALTER TABLE mailDistributionType ALTER COLUMN id DROP NOT NULL</v>
      </c>
      <c r="AP34" t="e">
        <f t="shared" si="3"/>
        <v>#NAME?</v>
      </c>
    </row>
    <row r="35" spans="1:42">
      <c r="A35">
        <v>17310</v>
      </c>
      <c r="B35" t="s">
        <v>1475</v>
      </c>
      <c r="C35" s="3" t="str">
        <f t="shared" si="0"/>
        <v>mailDistributionType.RowStatus</v>
      </c>
      <c r="D35">
        <v>705</v>
      </c>
      <c r="E35" s="3" t="str">
        <f t="shared" si="1"/>
        <v>mailDistributionType</v>
      </c>
      <c r="F35" t="s">
        <v>1445</v>
      </c>
      <c r="G35" s="3" t="s">
        <v>6411</v>
      </c>
      <c r="H35" s="3" t="str">
        <f t="shared" si="2"/>
        <v>mail.DistributionType</v>
      </c>
      <c r="J35" s="3"/>
      <c r="K35" t="s">
        <v>2471</v>
      </c>
      <c r="M35" t="s">
        <v>976</v>
      </c>
      <c r="N35">
        <v>1</v>
      </c>
      <c r="Q35" s="3" t="s">
        <v>919</v>
      </c>
      <c r="S35" s="14"/>
      <c r="T35" s="3"/>
      <c r="U35" t="s">
        <v>94</v>
      </c>
      <c r="W35" s="4"/>
      <c r="X35" s="3"/>
      <c r="AJ35" t="str">
        <f>"SELECT (SELECT '"&amp;C35&amp;"' ColumnName from "&amp;E35&amp;" where "&amp;F35&amp;" is null and exists (select from "&amp;E35&amp;") limit 1) ColumnName union all"</f>
        <v>SELECT (SELECT 'mailDistributionType.RowStatus' ColumnName from mailDistributionType where RowStatus is null and exists (select from mailDistributionType) limit 1) ColumnName union all</v>
      </c>
      <c r="AL35" t="str">
        <f>"ALTER TABLE "&amp;E35&amp;" ALTER COLUMN "&amp;F35&amp;" DROP NOT NULL"</f>
        <v>ALTER TABLE mailDistributionType ALTER COLUMN RowStatus DROP NOT NULL</v>
      </c>
      <c r="AP35" t="e">
        <f t="shared" si="3"/>
        <v>#NAME?</v>
      </c>
    </row>
    <row r="36" spans="1:42">
      <c r="A36">
        <v>17300</v>
      </c>
      <c r="B36" t="s">
        <v>1475</v>
      </c>
      <c r="C36" s="3" t="str">
        <f t="shared" si="0"/>
        <v>mailDistributionType.ShortCode</v>
      </c>
      <c r="D36">
        <v>705</v>
      </c>
      <c r="E36" s="3" t="str">
        <f t="shared" si="1"/>
        <v>mailDistributionType</v>
      </c>
      <c r="F36" t="s">
        <v>16</v>
      </c>
      <c r="G36" t="s">
        <v>16</v>
      </c>
      <c r="H36" s="3" t="str">
        <f t="shared" si="2"/>
        <v>mail.DistributionType</v>
      </c>
      <c r="J36" s="3"/>
      <c r="K36" s="3" t="s">
        <v>117</v>
      </c>
      <c r="M36" t="s">
        <v>196</v>
      </c>
      <c r="N36" s="3"/>
      <c r="Q36" s="3" t="s">
        <v>92</v>
      </c>
      <c r="T36" s="3"/>
      <c r="U36" s="3" t="s">
        <v>93</v>
      </c>
      <c r="W36" s="4"/>
      <c r="X36" s="3"/>
      <c r="AB36" t="s">
        <v>92</v>
      </c>
      <c r="AH36" t="s">
        <v>92</v>
      </c>
      <c r="AJ36" t="str">
        <f>"SELECT (SELECT '"&amp;C36&amp;"' ColumnName from "&amp;E36&amp;" where "&amp;F36&amp;" is null and exists (select from "&amp;E36&amp;") limit 1) ColumnName union all"</f>
        <v>SELECT (SELECT 'mailDistributionType.ShortCode' ColumnName from mailDistributionType where ShortCode is null and exists (select from mailDistributionType) limit 1) ColumnName union all</v>
      </c>
      <c r="AL36" t="str">
        <f>"ALTER TABLE "&amp;E36&amp;" ALTER COLUMN "&amp;F36&amp;" DROP NOT NULL"</f>
        <v>ALTER TABLE mailDistributionType ALTER COLUMN ShortCode DROP NOT NULL</v>
      </c>
      <c r="AP36" t="e">
        <f t="shared" si="3"/>
        <v>#NAME?</v>
      </c>
    </row>
    <row r="37" spans="1:42">
      <c r="A37">
        <v>17320</v>
      </c>
      <c r="B37" t="s">
        <v>1475</v>
      </c>
      <c r="C37" s="3" t="str">
        <f t="shared" si="0"/>
        <v>mailDistributionType.sysChangeHistoryID</v>
      </c>
      <c r="D37">
        <v>705</v>
      </c>
      <c r="E37" s="3" t="str">
        <f t="shared" si="1"/>
        <v>mailDistributionType</v>
      </c>
      <c r="F37" t="s">
        <v>2497</v>
      </c>
      <c r="G37" s="3" t="s">
        <v>6403</v>
      </c>
      <c r="H37" s="3" t="str">
        <f t="shared" si="2"/>
        <v>mail.DistributionType</v>
      </c>
      <c r="J37" s="3"/>
      <c r="K37" t="s">
        <v>1210</v>
      </c>
      <c r="M37" t="s">
        <v>6007</v>
      </c>
      <c r="Q37" t="s">
        <v>92</v>
      </c>
      <c r="T37" s="3"/>
      <c r="U37" t="s">
        <v>1429</v>
      </c>
      <c r="W37" s="3"/>
      <c r="X37" s="3"/>
      <c r="AK37" t="str">
        <f>"SELECT (SELECT '"&amp;C37&amp;"' ColumnName from "&amp;E37&amp;" where "&amp;F37&amp;" is null and exists (select from "&amp;E37&amp;") limit 1) a union all"</f>
        <v>SELECT (SELECT 'mailDistributionType.sysChangeHistoryID' ColumnName from mailDistributionType where sysChangeHistoryID is null and exists (select from mailDistributionType) limit 1) a union all</v>
      </c>
      <c r="AP37" t="e">
        <f t="shared" si="3"/>
        <v>#NAME?</v>
      </c>
    </row>
    <row r="38" spans="1:42">
      <c r="A38">
        <v>17430</v>
      </c>
      <c r="B38" t="s">
        <v>1475</v>
      </c>
      <c r="C38" s="3" t="str">
        <f t="shared" si="0"/>
        <v>mailMerge.Address1</v>
      </c>
      <c r="D38">
        <v>706</v>
      </c>
      <c r="E38" s="3" t="str">
        <f t="shared" si="1"/>
        <v>mailMerge</v>
      </c>
      <c r="F38" t="s">
        <v>1</v>
      </c>
      <c r="G38" s="3" t="s">
        <v>6489</v>
      </c>
      <c r="H38" s="3" t="str">
        <f t="shared" si="2"/>
        <v>mail.Merge</v>
      </c>
      <c r="J38" s="3"/>
      <c r="K38" t="s">
        <v>113</v>
      </c>
      <c r="M38" t="s">
        <v>1073</v>
      </c>
      <c r="N38" s="3"/>
      <c r="Q38" t="s">
        <v>92</v>
      </c>
      <c r="T38" s="3"/>
      <c r="U38" t="s">
        <v>93</v>
      </c>
      <c r="AB38" t="s">
        <v>92</v>
      </c>
      <c r="AJ38" t="str">
        <f>"SELECT (SELECT '"&amp;C38&amp;"' ColumnName from "&amp;E38&amp;" where "&amp;F38&amp;" is null and exists (select from "&amp;E38&amp;") limit 1) ColumnName union all"</f>
        <v>SELECT (SELECT 'mailMerge.Address1' ColumnName from mailMerge where Address1 is null and exists (select from mailMerge) limit 1) ColumnName union all</v>
      </c>
      <c r="AL38" t="str">
        <f>"ALTER TABLE "&amp;E38&amp;" ALTER COLUMN "&amp;F38&amp;" DROP NOT NULL"</f>
        <v>ALTER TABLE mailMerge ALTER COLUMN Address1 DROP NOT NULL</v>
      </c>
      <c r="AP38" t="e">
        <f t="shared" si="3"/>
        <v>#NAME?</v>
      </c>
    </row>
    <row r="39" spans="1:42">
      <c r="A39">
        <v>17440</v>
      </c>
      <c r="B39" t="s">
        <v>1475</v>
      </c>
      <c r="C39" s="3" t="str">
        <f t="shared" si="0"/>
        <v>mailMerge.Address2</v>
      </c>
      <c r="D39">
        <v>706</v>
      </c>
      <c r="E39" s="3" t="str">
        <f t="shared" si="1"/>
        <v>mailMerge</v>
      </c>
      <c r="F39" t="s">
        <v>2</v>
      </c>
      <c r="G39" s="3" t="s">
        <v>6490</v>
      </c>
      <c r="H39" s="3" t="str">
        <f t="shared" si="2"/>
        <v>mail.Merge</v>
      </c>
      <c r="J39" s="3"/>
      <c r="K39" t="s">
        <v>114</v>
      </c>
      <c r="M39" t="s">
        <v>1073</v>
      </c>
      <c r="N39" s="3"/>
      <c r="Q39" t="s">
        <v>92</v>
      </c>
      <c r="T39" s="3"/>
      <c r="U39" t="s">
        <v>93</v>
      </c>
      <c r="AB39" t="s">
        <v>92</v>
      </c>
      <c r="AK39" t="str">
        <f t="shared" ref="AK39:AK76" si="4">"SELECT (SELECT '"&amp;C39&amp;"' ColumnName from "&amp;E39&amp;" where "&amp;F39&amp;" is null and exists (select from "&amp;E39&amp;") limit 1) a union all"</f>
        <v>SELECT (SELECT 'mailMerge.Address2' ColumnName from mailMerge where Address2 is null and exists (select from mailMerge) limit 1) a union all</v>
      </c>
      <c r="AO39" t="e">
        <f t="shared" ref="AO39:AO46" si="5">SUBSTITUTE(VLOOKUP(V39,DictionaryTableID,16,FALSE)&amp;"ID",".","")</f>
        <v>#N/A</v>
      </c>
      <c r="AP39" t="e">
        <f t="shared" si="3"/>
        <v>#NAME?</v>
      </c>
    </row>
    <row r="40" spans="1:42">
      <c r="A40">
        <v>17450</v>
      </c>
      <c r="B40" t="s">
        <v>1475</v>
      </c>
      <c r="C40" s="3" t="str">
        <f t="shared" si="0"/>
        <v>mailMerge.City</v>
      </c>
      <c r="D40">
        <v>706</v>
      </c>
      <c r="E40" s="3" t="str">
        <f t="shared" si="1"/>
        <v>mailMerge</v>
      </c>
      <c r="F40" t="s">
        <v>24</v>
      </c>
      <c r="G40" s="3" t="s">
        <v>6493</v>
      </c>
      <c r="H40" s="3" t="str">
        <f t="shared" si="2"/>
        <v>mail.Merge</v>
      </c>
      <c r="J40" s="3"/>
      <c r="K40" t="s">
        <v>24</v>
      </c>
      <c r="M40" t="s">
        <v>1073</v>
      </c>
      <c r="N40" s="3"/>
      <c r="Q40" t="s">
        <v>92</v>
      </c>
      <c r="T40" s="3"/>
      <c r="U40" t="s">
        <v>93</v>
      </c>
      <c r="AB40" t="s">
        <v>92</v>
      </c>
      <c r="AK40" t="str">
        <f t="shared" si="4"/>
        <v>SELECT (SELECT 'mailMerge.City' ColumnName from mailMerge where City is null and exists (select from mailMerge) limit 1) a union all</v>
      </c>
      <c r="AO40" t="e">
        <f t="shared" si="5"/>
        <v>#N/A</v>
      </c>
      <c r="AP40" t="e">
        <f t="shared" si="3"/>
        <v>#NAME?</v>
      </c>
    </row>
    <row r="41" spans="1:42">
      <c r="A41">
        <v>17460</v>
      </c>
      <c r="B41" t="s">
        <v>1475</v>
      </c>
      <c r="C41" s="3" t="str">
        <f t="shared" si="0"/>
        <v>mailMerge.ContactName2</v>
      </c>
      <c r="D41">
        <v>706</v>
      </c>
      <c r="E41" s="3" t="str">
        <f t="shared" si="1"/>
        <v>mailMerge</v>
      </c>
      <c r="F41" t="s">
        <v>1546</v>
      </c>
      <c r="G41" s="3" t="s">
        <v>6942</v>
      </c>
      <c r="H41" s="3" t="str">
        <f t="shared" si="2"/>
        <v>mail.Merge</v>
      </c>
      <c r="J41" s="3"/>
      <c r="K41" t="s">
        <v>1385</v>
      </c>
      <c r="M41" t="s">
        <v>1073</v>
      </c>
      <c r="Q41" t="s">
        <v>92</v>
      </c>
      <c r="T41" s="3"/>
      <c r="U41" t="s">
        <v>93</v>
      </c>
      <c r="AB41" t="s">
        <v>92</v>
      </c>
      <c r="AK41" t="str">
        <f t="shared" si="4"/>
        <v>SELECT (SELECT 'mailMerge.ContactName2' ColumnName from mailMerge where ContactName2 is null and exists (select from mailMerge) limit 1) a union all</v>
      </c>
      <c r="AO41" t="e">
        <f t="shared" si="5"/>
        <v>#N/A</v>
      </c>
      <c r="AP41" t="e">
        <f t="shared" si="3"/>
        <v>#NAME?</v>
      </c>
    </row>
    <row r="42" spans="1:42">
      <c r="A42">
        <v>17470</v>
      </c>
      <c r="B42" t="s">
        <v>1475</v>
      </c>
      <c r="C42" s="3" t="str">
        <f t="shared" si="0"/>
        <v>mailMerge.ContactNumber</v>
      </c>
      <c r="D42">
        <v>706</v>
      </c>
      <c r="E42" s="3" t="str">
        <f t="shared" si="1"/>
        <v>mailMerge</v>
      </c>
      <c r="F42" t="s">
        <v>1279</v>
      </c>
      <c r="G42" s="3" t="s">
        <v>6695</v>
      </c>
      <c r="H42" s="3" t="str">
        <f t="shared" si="2"/>
        <v>mail.Merge</v>
      </c>
      <c r="J42" s="3"/>
      <c r="K42" t="s">
        <v>1383</v>
      </c>
      <c r="M42" t="s">
        <v>1073</v>
      </c>
      <c r="N42" s="3"/>
      <c r="Q42" t="s">
        <v>92</v>
      </c>
      <c r="T42" s="3"/>
      <c r="U42" t="s">
        <v>93</v>
      </c>
      <c r="AB42" t="s">
        <v>92</v>
      </c>
      <c r="AK42" t="str">
        <f t="shared" si="4"/>
        <v>SELECT (SELECT 'mailMerge.ContactNumber' ColumnName from mailMerge where ContactNumber is null and exists (select from mailMerge) limit 1) a union all</v>
      </c>
      <c r="AO42" t="e">
        <f t="shared" si="5"/>
        <v>#N/A</v>
      </c>
      <c r="AP42" t="e">
        <f t="shared" si="3"/>
        <v>#NAME?</v>
      </c>
    </row>
    <row r="43" spans="1:42">
      <c r="A43">
        <v>17480</v>
      </c>
      <c r="B43" t="s">
        <v>1475</v>
      </c>
      <c r="C43" s="3" t="str">
        <f t="shared" si="0"/>
        <v>mailMerge.Country</v>
      </c>
      <c r="D43">
        <v>706</v>
      </c>
      <c r="E43" s="3" t="str">
        <f t="shared" si="1"/>
        <v>mailMerge</v>
      </c>
      <c r="F43" t="s">
        <v>1082</v>
      </c>
      <c r="G43" s="3" t="s">
        <v>6696</v>
      </c>
      <c r="H43" s="3" t="str">
        <f t="shared" si="2"/>
        <v>mail.Merge</v>
      </c>
      <c r="J43" s="3"/>
      <c r="K43" t="s">
        <v>1082</v>
      </c>
      <c r="M43" t="s">
        <v>1073</v>
      </c>
      <c r="Q43" t="s">
        <v>92</v>
      </c>
      <c r="T43" s="3"/>
      <c r="U43" t="s">
        <v>93</v>
      </c>
      <c r="AB43" t="s">
        <v>92</v>
      </c>
      <c r="AK43" t="str">
        <f t="shared" si="4"/>
        <v>SELECT (SELECT 'mailMerge.Country' ColumnName from mailMerge where Country is null and exists (select from mailMerge) limit 1) a union all</v>
      </c>
      <c r="AO43" t="e">
        <f t="shared" si="5"/>
        <v>#N/A</v>
      </c>
      <c r="AP43" t="e">
        <f t="shared" si="3"/>
        <v>#NAME?</v>
      </c>
    </row>
    <row r="44" spans="1:42">
      <c r="A44">
        <v>17340</v>
      </c>
      <c r="B44" t="s">
        <v>1475</v>
      </c>
      <c r="C44" s="3" t="str">
        <f t="shared" si="0"/>
        <v>mailMerge.crmAddressTypeID</v>
      </c>
      <c r="D44">
        <v>706</v>
      </c>
      <c r="E44" s="3" t="str">
        <f t="shared" si="1"/>
        <v>mailMerge</v>
      </c>
      <c r="F44" t="str">
        <f>VLOOKUP(V44,DictionaryTableID,3,FALSE)&amp;"ID"&amp;X44</f>
        <v>crmAddressTypeID</v>
      </c>
      <c r="G44" s="3" t="s">
        <v>6488</v>
      </c>
      <c r="H44" s="3" t="str">
        <f t="shared" si="2"/>
        <v>mail.Merge</v>
      </c>
      <c r="J44" s="3"/>
      <c r="K44" t="s">
        <v>1081</v>
      </c>
      <c r="M44" t="s">
        <v>6007</v>
      </c>
      <c r="Q44" t="s">
        <v>92</v>
      </c>
      <c r="T44" s="3"/>
      <c r="U44" t="s">
        <v>96</v>
      </c>
      <c r="V44">
        <v>114</v>
      </c>
      <c r="W44" s="3" t="str">
        <f>VLOOKUP(V44,DictionaryTableID,3,FALSE)</f>
        <v>crmAddressType</v>
      </c>
      <c r="Z44" t="s">
        <v>1081</v>
      </c>
      <c r="AB44" t="s">
        <v>92</v>
      </c>
      <c r="AK44" t="str">
        <f t="shared" si="4"/>
        <v>SELECT (SELECT 'mailMerge.crmAddressTypeID' ColumnName from mailMerge where crmAddressTypeID is null and exists (select from mailMerge) limit 1) a union all</v>
      </c>
      <c r="AO44" t="str">
        <f t="shared" si="5"/>
        <v>Contact ManagementAddress TypeID</v>
      </c>
      <c r="AP44" t="e">
        <f t="shared" si="3"/>
        <v>#NAME?</v>
      </c>
    </row>
    <row r="45" spans="1:42">
      <c r="A45">
        <v>17350</v>
      </c>
      <c r="B45" t="s">
        <v>1475</v>
      </c>
      <c r="C45" s="3" t="str">
        <f t="shared" si="0"/>
        <v>mailMerge.crmContactID</v>
      </c>
      <c r="D45">
        <v>706</v>
      </c>
      <c r="E45" s="3" t="str">
        <f t="shared" si="1"/>
        <v>mailMerge</v>
      </c>
      <c r="F45" t="str">
        <f>VLOOKUP(V45,DictionaryTableID,3,FALSE)&amp;"ID"&amp;X45</f>
        <v>crmContactID</v>
      </c>
      <c r="G45" s="3" t="s">
        <v>6690</v>
      </c>
      <c r="H45" s="3" t="str">
        <f t="shared" si="2"/>
        <v>mail.Merge</v>
      </c>
      <c r="J45" s="3"/>
      <c r="K45" t="s">
        <v>5989</v>
      </c>
      <c r="M45" t="s">
        <v>6007</v>
      </c>
      <c r="Q45" t="s">
        <v>92</v>
      </c>
      <c r="T45" s="3"/>
      <c r="U45" t="s">
        <v>96</v>
      </c>
      <c r="V45">
        <v>100</v>
      </c>
      <c r="W45" s="3" t="str">
        <f>VLOOKUP(V45,DictionaryTableID,3,FALSE)</f>
        <v>crmContact</v>
      </c>
      <c r="AB45" t="s">
        <v>92</v>
      </c>
      <c r="AK45" t="str">
        <f t="shared" si="4"/>
        <v>SELECT (SELECT 'mailMerge.crmContactID' ColumnName from mailMerge where crmContactID is null and exists (select from mailMerge) limit 1) a union all</v>
      </c>
      <c r="AO45" t="str">
        <f t="shared" si="5"/>
        <v>Contact ManagementContactID</v>
      </c>
      <c r="AP45" t="e">
        <f t="shared" si="3"/>
        <v>#NAME?</v>
      </c>
    </row>
    <row r="46" spans="1:42">
      <c r="A46">
        <v>17360</v>
      </c>
      <c r="B46" t="s">
        <v>1475</v>
      </c>
      <c r="C46" s="3" t="str">
        <f t="shared" si="0"/>
        <v>mailMerge.crmContactIDQueuedBy</v>
      </c>
      <c r="D46">
        <v>706</v>
      </c>
      <c r="E46" s="3" t="str">
        <f t="shared" si="1"/>
        <v>mailMerge</v>
      </c>
      <c r="F46" t="str">
        <f>VLOOKUP(V46,DictionaryTableID,3,FALSE)&amp;"ID"&amp;X46</f>
        <v>crmContactIDQueuedBy</v>
      </c>
      <c r="G46" s="3" t="s">
        <v>6691</v>
      </c>
      <c r="H46" s="3" t="str">
        <f t="shared" si="2"/>
        <v>mail.Merge</v>
      </c>
      <c r="J46" s="3"/>
      <c r="K46" t="s">
        <v>5990</v>
      </c>
      <c r="M46" t="s">
        <v>6007</v>
      </c>
      <c r="Q46" t="s">
        <v>92</v>
      </c>
      <c r="T46" s="3"/>
      <c r="U46" t="s">
        <v>96</v>
      </c>
      <c r="V46">
        <v>100</v>
      </c>
      <c r="W46" s="3" t="str">
        <f>VLOOKUP(V46,DictionaryTableID,3,FALSE)</f>
        <v>crmContact</v>
      </c>
      <c r="X46" t="s">
        <v>1425</v>
      </c>
      <c r="AB46" t="s">
        <v>92</v>
      </c>
      <c r="AK46" t="str">
        <f t="shared" si="4"/>
        <v>SELECT (SELECT 'mailMerge.crmContactIDQueuedBy' ColumnName from mailMerge where crmContactIDQueuedBy is null and exists (select from mailMerge) limit 1) a union all</v>
      </c>
      <c r="AO46" t="str">
        <f t="shared" si="5"/>
        <v>Contact ManagementContactID</v>
      </c>
      <c r="AP46" t="e">
        <f t="shared" si="3"/>
        <v>#NAME?</v>
      </c>
    </row>
    <row r="47" spans="1:42">
      <c r="A47">
        <v>17370</v>
      </c>
      <c r="B47" t="s">
        <v>1475</v>
      </c>
      <c r="C47" s="3" t="str">
        <f t="shared" si="0"/>
        <v>mailMerge.crmContactIDSendBy</v>
      </c>
      <c r="D47">
        <v>706</v>
      </c>
      <c r="E47" s="3" t="str">
        <f t="shared" si="1"/>
        <v>mailMerge</v>
      </c>
      <c r="F47" t="str">
        <f>VLOOKUP(V47,DictionaryTableID,3,FALSE)&amp;"ID"&amp;X47</f>
        <v>crmContactIDSendBy</v>
      </c>
      <c r="G47" s="3" t="s">
        <v>6448</v>
      </c>
      <c r="H47" s="3" t="str">
        <f t="shared" si="2"/>
        <v>mail.Merge</v>
      </c>
      <c r="J47" s="3"/>
      <c r="K47" t="s">
        <v>29</v>
      </c>
      <c r="M47" t="s">
        <v>6007</v>
      </c>
      <c r="Q47" t="s">
        <v>92</v>
      </c>
      <c r="T47" s="3"/>
      <c r="U47" t="s">
        <v>96</v>
      </c>
      <c r="V47">
        <v>100</v>
      </c>
      <c r="W47" s="3" t="str">
        <f>VLOOKUP(V47,DictionaryTableID,3,FALSE)</f>
        <v>crmContact</v>
      </c>
      <c r="X47" t="s">
        <v>1426</v>
      </c>
      <c r="AB47" t="s">
        <v>92</v>
      </c>
      <c r="AK47" t="str">
        <f t="shared" si="4"/>
        <v>SELECT (SELECT 'mailMerge.crmContactIDSendBy' ColumnName from mailMerge where crmContactIDSendBy is null and exists (select from mailMerge) limit 1) a union all</v>
      </c>
      <c r="AP47" t="e">
        <f t="shared" si="3"/>
        <v>#NAME?</v>
      </c>
    </row>
    <row r="48" spans="1:42">
      <c r="A48">
        <v>17490</v>
      </c>
      <c r="B48" t="s">
        <v>1475</v>
      </c>
      <c r="C48" s="3" t="str">
        <f t="shared" si="0"/>
        <v>mailMerge.DateQueued</v>
      </c>
      <c r="D48">
        <v>706</v>
      </c>
      <c r="E48" s="3" t="str">
        <f t="shared" si="1"/>
        <v>mailMerge</v>
      </c>
      <c r="F48" t="s">
        <v>1379</v>
      </c>
      <c r="G48" s="3" t="s">
        <v>6697</v>
      </c>
      <c r="H48" s="3" t="str">
        <f t="shared" si="2"/>
        <v>mail.Merge</v>
      </c>
      <c r="J48" s="3"/>
      <c r="K48" t="s">
        <v>1380</v>
      </c>
      <c r="M48" t="s">
        <v>1074</v>
      </c>
      <c r="Q48" t="s">
        <v>92</v>
      </c>
      <c r="T48" s="3"/>
      <c r="U48" t="s">
        <v>93</v>
      </c>
      <c r="AB48" t="s">
        <v>92</v>
      </c>
      <c r="AK48" t="str">
        <f t="shared" si="4"/>
        <v>SELECT (SELECT 'mailMerge.DateQueued' ColumnName from mailMerge where DateQueued is null and exists (select from mailMerge) limit 1) a union all</v>
      </c>
      <c r="AP48" t="e">
        <f t="shared" si="3"/>
        <v>#NAME?</v>
      </c>
    </row>
    <row r="49" spans="1:42">
      <c r="A49">
        <v>17500</v>
      </c>
      <c r="B49" t="s">
        <v>1475</v>
      </c>
      <c r="C49" s="3" t="str">
        <f t="shared" si="0"/>
        <v>mailMerge.DateSent</v>
      </c>
      <c r="D49">
        <v>706</v>
      </c>
      <c r="E49" s="3" t="str">
        <f t="shared" si="1"/>
        <v>mailMerge</v>
      </c>
      <c r="F49" t="s">
        <v>1381</v>
      </c>
      <c r="G49" s="3" t="s">
        <v>6698</v>
      </c>
      <c r="H49" s="3" t="str">
        <f t="shared" si="2"/>
        <v>mail.Merge</v>
      </c>
      <c r="J49" s="3"/>
      <c r="K49" t="s">
        <v>1382</v>
      </c>
      <c r="M49" t="s">
        <v>1074</v>
      </c>
      <c r="Q49" t="s">
        <v>92</v>
      </c>
      <c r="T49" s="3"/>
      <c r="U49" t="s">
        <v>93</v>
      </c>
      <c r="AB49" t="s">
        <v>92</v>
      </c>
      <c r="AK49" t="str">
        <f t="shared" si="4"/>
        <v>SELECT (SELECT 'mailMerge.DateSent' ColumnName from mailMerge where DateSent is null and exists (select from mailMerge) limit 1) a union all</v>
      </c>
      <c r="AP49" t="e">
        <f t="shared" si="3"/>
        <v>#NAME?</v>
      </c>
    </row>
    <row r="50" spans="1:42">
      <c r="A50">
        <v>17510</v>
      </c>
      <c r="B50" t="s">
        <v>1475</v>
      </c>
      <c r="C50" s="3" t="str">
        <f t="shared" si="0"/>
        <v>mailMerge.Designation</v>
      </c>
      <c r="D50">
        <v>706</v>
      </c>
      <c r="E50" s="3" t="str">
        <f t="shared" si="1"/>
        <v>mailMerge</v>
      </c>
      <c r="F50" t="s">
        <v>1384</v>
      </c>
      <c r="G50" s="3" t="s">
        <v>6699</v>
      </c>
      <c r="H50" s="3" t="str">
        <f t="shared" si="2"/>
        <v>mail.Merge</v>
      </c>
      <c r="J50" s="3"/>
      <c r="K50" t="s">
        <v>1384</v>
      </c>
      <c r="M50" t="s">
        <v>1073</v>
      </c>
      <c r="N50" s="3"/>
      <c r="Q50" t="s">
        <v>92</v>
      </c>
      <c r="T50" s="3"/>
      <c r="U50" t="s">
        <v>93</v>
      </c>
      <c r="AB50" t="s">
        <v>92</v>
      </c>
      <c r="AK50" t="str">
        <f t="shared" si="4"/>
        <v>SELECT (SELECT 'mailMerge.Designation' ColumnName from mailMerge where Designation is null and exists (select from mailMerge) limit 1) a union all</v>
      </c>
      <c r="AP50" t="e">
        <f t="shared" si="3"/>
        <v>#NAME?</v>
      </c>
    </row>
    <row r="51" spans="1:42">
      <c r="A51">
        <v>17520</v>
      </c>
      <c r="B51" t="s">
        <v>1475</v>
      </c>
      <c r="C51" s="3" t="str">
        <f t="shared" si="0"/>
        <v>mailMerge.DocumentName</v>
      </c>
      <c r="D51">
        <v>706</v>
      </c>
      <c r="E51" s="3" t="str">
        <f t="shared" si="1"/>
        <v>mailMerge</v>
      </c>
      <c r="F51" t="s">
        <v>1376</v>
      </c>
      <c r="G51" s="3" t="s">
        <v>6943</v>
      </c>
      <c r="H51" s="3" t="str">
        <f t="shared" si="2"/>
        <v>mail.Merge</v>
      </c>
      <c r="J51" s="3"/>
      <c r="K51" t="s">
        <v>1377</v>
      </c>
      <c r="M51" t="s">
        <v>1073</v>
      </c>
      <c r="Q51" t="s">
        <v>92</v>
      </c>
      <c r="T51" s="3"/>
      <c r="U51" t="s">
        <v>93</v>
      </c>
      <c r="AB51" t="s">
        <v>92</v>
      </c>
      <c r="AK51" t="str">
        <f t="shared" si="4"/>
        <v>SELECT (SELECT 'mailMerge.DocumentName' ColumnName from mailMerge where DocumentName is null and exists (select from mailMerge) limit 1) a union all</v>
      </c>
      <c r="AP51" t="e">
        <f t="shared" si="3"/>
        <v>#NAME?</v>
      </c>
    </row>
    <row r="52" spans="1:42">
      <c r="A52">
        <v>17530</v>
      </c>
      <c r="B52" t="s">
        <v>1475</v>
      </c>
      <c r="C52" s="3" t="str">
        <f t="shared" si="0"/>
        <v>mailMerge.Email</v>
      </c>
      <c r="D52">
        <v>706</v>
      </c>
      <c r="E52" s="3" t="str">
        <f t="shared" si="1"/>
        <v>mailMerge</v>
      </c>
      <c r="F52" t="s">
        <v>1086</v>
      </c>
      <c r="G52" s="3" t="s">
        <v>6700</v>
      </c>
      <c r="H52" s="3" t="str">
        <f t="shared" si="2"/>
        <v>mail.Merge</v>
      </c>
      <c r="J52" s="3"/>
      <c r="K52" t="s">
        <v>1086</v>
      </c>
      <c r="M52" t="s">
        <v>1073</v>
      </c>
      <c r="N52" s="3"/>
      <c r="Q52" t="s">
        <v>92</v>
      </c>
      <c r="T52" s="3"/>
      <c r="U52" t="s">
        <v>93</v>
      </c>
      <c r="AB52" t="s">
        <v>92</v>
      </c>
      <c r="AK52" t="str">
        <f t="shared" si="4"/>
        <v>SELECT (SELECT 'mailMerge.Email' ColumnName from mailMerge where Email is null and exists (select from mailMerge) limit 1) a union all</v>
      </c>
      <c r="AP52" t="e">
        <f t="shared" si="3"/>
        <v>#NAME?</v>
      </c>
    </row>
    <row r="53" spans="1:42">
      <c r="A53">
        <v>17540</v>
      </c>
      <c r="B53" t="s">
        <v>1475</v>
      </c>
      <c r="C53" s="3" t="str">
        <f t="shared" si="0"/>
        <v>mailMerge.Fax</v>
      </c>
      <c r="D53">
        <v>706</v>
      </c>
      <c r="E53" s="3" t="str">
        <f t="shared" si="1"/>
        <v>mailMerge</v>
      </c>
      <c r="F53" t="s">
        <v>1393</v>
      </c>
      <c r="G53" s="3" t="s">
        <v>6701</v>
      </c>
      <c r="H53" s="3" t="str">
        <f t="shared" si="2"/>
        <v>mail.Merge</v>
      </c>
      <c r="J53" s="3"/>
      <c r="K53" t="s">
        <v>1393</v>
      </c>
      <c r="M53" t="s">
        <v>1073</v>
      </c>
      <c r="N53" s="3"/>
      <c r="Q53" t="s">
        <v>92</v>
      </c>
      <c r="T53" s="3"/>
      <c r="U53" t="s">
        <v>93</v>
      </c>
      <c r="AB53" t="s">
        <v>92</v>
      </c>
      <c r="AK53" t="str">
        <f t="shared" si="4"/>
        <v>SELECT (SELECT 'mailMerge.Fax' ColumnName from mailMerge where Fax is null and exists (select from mailMerge) limit 1) a union all</v>
      </c>
      <c r="AP53" t="e">
        <f t="shared" si="3"/>
        <v>#NAME?</v>
      </c>
    </row>
    <row r="54" spans="1:42">
      <c r="A54">
        <v>17550</v>
      </c>
      <c r="B54" t="s">
        <v>1475</v>
      </c>
      <c r="C54" s="3" t="str">
        <f t="shared" si="0"/>
        <v>mailMerge.FirstName</v>
      </c>
      <c r="D54">
        <v>706</v>
      </c>
      <c r="E54" s="3" t="str">
        <f t="shared" si="1"/>
        <v>mailMerge</v>
      </c>
      <c r="F54" t="s">
        <v>44</v>
      </c>
      <c r="G54" s="3" t="s">
        <v>6944</v>
      </c>
      <c r="H54" s="3" t="str">
        <f t="shared" si="2"/>
        <v>mail.Merge</v>
      </c>
      <c r="J54" s="3"/>
      <c r="K54" t="s">
        <v>115</v>
      </c>
      <c r="M54" t="s">
        <v>1073</v>
      </c>
      <c r="Q54" t="s">
        <v>92</v>
      </c>
      <c r="T54" s="3"/>
      <c r="U54" t="s">
        <v>93</v>
      </c>
      <c r="AB54" t="s">
        <v>92</v>
      </c>
      <c r="AK54" t="str">
        <f t="shared" si="4"/>
        <v>SELECT (SELECT 'mailMerge.FirstName' ColumnName from mailMerge where FirstName is null and exists (select from mailMerge) limit 1) a union all</v>
      </c>
      <c r="AP54" t="e">
        <f t="shared" si="3"/>
        <v>#NAME?</v>
      </c>
    </row>
    <row r="55" spans="1:42">
      <c r="A55">
        <v>17330</v>
      </c>
      <c r="B55" t="s">
        <v>1475</v>
      </c>
      <c r="C55" s="3" t="str">
        <f t="shared" si="0"/>
        <v>mailMerge.ID</v>
      </c>
      <c r="D55">
        <v>706</v>
      </c>
      <c r="E55" s="3" t="str">
        <f t="shared" si="1"/>
        <v>mailMerge</v>
      </c>
      <c r="F55" t="s">
        <v>0</v>
      </c>
      <c r="G55" s="3" t="s">
        <v>6689</v>
      </c>
      <c r="H55" s="3" t="str">
        <f t="shared" si="2"/>
        <v>mail.Merge</v>
      </c>
      <c r="J55" s="3"/>
      <c r="K55" t="s">
        <v>0</v>
      </c>
      <c r="M55" t="s">
        <v>6007</v>
      </c>
      <c r="Q55" t="s">
        <v>919</v>
      </c>
      <c r="T55" s="3"/>
      <c r="U55" t="s">
        <v>95</v>
      </c>
      <c r="AK55" t="str">
        <f t="shared" si="4"/>
        <v>SELECT (SELECT 'mailMerge.ID' ColumnName from mailMerge where ID is null and exists (select from mailMerge) limit 1) a union all</v>
      </c>
      <c r="AP55" t="e">
        <f t="shared" si="3"/>
        <v>#NAME?</v>
      </c>
    </row>
    <row r="56" spans="1:42">
      <c r="A56">
        <v>17560</v>
      </c>
      <c r="B56" t="s">
        <v>1475</v>
      </c>
      <c r="C56" s="3" t="str">
        <f t="shared" si="0"/>
        <v>mailMerge.IsLabelRequired</v>
      </c>
      <c r="D56">
        <v>706</v>
      </c>
      <c r="E56" s="3" t="str">
        <f t="shared" si="1"/>
        <v>mailMerge</v>
      </c>
      <c r="F56" t="s">
        <v>2392</v>
      </c>
      <c r="G56" s="3" t="s">
        <v>6702</v>
      </c>
      <c r="H56" s="3" t="str">
        <f t="shared" si="2"/>
        <v>mail.Merge</v>
      </c>
      <c r="J56" s="3"/>
      <c r="K56" t="s">
        <v>1378</v>
      </c>
      <c r="M56" s="3" t="s">
        <v>2402</v>
      </c>
      <c r="Q56" t="s">
        <v>92</v>
      </c>
      <c r="T56" s="3"/>
      <c r="U56" t="s">
        <v>93</v>
      </c>
      <c r="AB56" t="s">
        <v>92</v>
      </c>
      <c r="AK56" t="str">
        <f t="shared" si="4"/>
        <v>SELECT (SELECT 'mailMerge.IsLabelRequired' ColumnName from mailMerge where IsLabelRequired is null and exists (select from mailMerge) limit 1) a union all</v>
      </c>
      <c r="AP56" t="e">
        <f t="shared" si="3"/>
        <v>#NAME?</v>
      </c>
    </row>
    <row r="57" spans="1:42">
      <c r="A57">
        <v>17700</v>
      </c>
      <c r="B57" t="s">
        <v>1475</v>
      </c>
      <c r="C57" s="3" t="str">
        <f t="shared" si="0"/>
        <v>mailMerge.JSONData</v>
      </c>
      <c r="D57">
        <v>706</v>
      </c>
      <c r="E57" s="3" t="str">
        <f t="shared" si="1"/>
        <v>mailMerge</v>
      </c>
      <c r="F57" t="s">
        <v>6137</v>
      </c>
      <c r="G57" s="3" t="s">
        <v>6710</v>
      </c>
      <c r="H57" s="3" t="str">
        <f t="shared" si="2"/>
        <v>mail.Merge</v>
      </c>
      <c r="J57" s="3"/>
      <c r="K57" t="s">
        <v>6137</v>
      </c>
      <c r="M57" t="s">
        <v>6134</v>
      </c>
      <c r="Q57" t="s">
        <v>92</v>
      </c>
      <c r="T57" s="3"/>
      <c r="U57" t="s">
        <v>93</v>
      </c>
      <c r="AB57" t="s">
        <v>92</v>
      </c>
      <c r="AK57" t="str">
        <f t="shared" si="4"/>
        <v>SELECT (SELECT 'mailMerge.JSONData' ColumnName from mailMerge where JSONData is null and exists (select from mailMerge) limit 1) a union all</v>
      </c>
      <c r="AP57" t="e">
        <f t="shared" si="3"/>
        <v>#NAME?</v>
      </c>
    </row>
    <row r="58" spans="1:42">
      <c r="A58">
        <v>17570</v>
      </c>
      <c r="B58" t="s">
        <v>1475</v>
      </c>
      <c r="C58" s="3" t="str">
        <f t="shared" si="0"/>
        <v>mailMerge.LastName</v>
      </c>
      <c r="D58">
        <v>706</v>
      </c>
      <c r="E58" s="3" t="str">
        <f t="shared" si="1"/>
        <v>mailMerge</v>
      </c>
      <c r="F58" t="s">
        <v>80</v>
      </c>
      <c r="G58" s="3" t="s">
        <v>6945</v>
      </c>
      <c r="H58" s="3" t="str">
        <f t="shared" si="2"/>
        <v>mail.Merge</v>
      </c>
      <c r="J58" s="3"/>
      <c r="K58" t="s">
        <v>99</v>
      </c>
      <c r="M58" t="s">
        <v>1073</v>
      </c>
      <c r="Q58" t="s">
        <v>92</v>
      </c>
      <c r="T58" s="3"/>
      <c r="U58" t="s">
        <v>93</v>
      </c>
      <c r="AB58" t="s">
        <v>92</v>
      </c>
      <c r="AK58" t="str">
        <f t="shared" si="4"/>
        <v>SELECT (SELECT 'mailMerge.LastName' ColumnName from mailMerge where LastName is null and exists (select from mailMerge) limit 1) a union all</v>
      </c>
      <c r="AP58" t="e">
        <f t="shared" si="3"/>
        <v>#NAME?</v>
      </c>
    </row>
    <row r="59" spans="1:42">
      <c r="A59">
        <v>17580</v>
      </c>
      <c r="B59" t="s">
        <v>1475</v>
      </c>
      <c r="C59" s="3" t="str">
        <f t="shared" si="0"/>
        <v>mailMerge.Location</v>
      </c>
      <c r="D59">
        <v>706</v>
      </c>
      <c r="E59" s="3" t="str">
        <f t="shared" si="1"/>
        <v>mailMerge</v>
      </c>
      <c r="F59" t="s">
        <v>53</v>
      </c>
      <c r="G59" s="3" t="s">
        <v>6703</v>
      </c>
      <c r="H59" s="3" t="str">
        <f t="shared" si="2"/>
        <v>mail.Merge</v>
      </c>
      <c r="J59" s="3"/>
      <c r="K59" t="s">
        <v>53</v>
      </c>
      <c r="M59" t="s">
        <v>1073</v>
      </c>
      <c r="N59" s="3"/>
      <c r="Q59" t="s">
        <v>92</v>
      </c>
      <c r="T59" s="3"/>
      <c r="U59" t="s">
        <v>93</v>
      </c>
      <c r="AB59" t="s">
        <v>92</v>
      </c>
      <c r="AK59" t="str">
        <f t="shared" si="4"/>
        <v>SELECT (SELECT 'mailMerge.Location' ColumnName from mailMerge where Location is null and exists (select from mailMerge) limit 1) a union all</v>
      </c>
      <c r="AP59" t="e">
        <f t="shared" si="3"/>
        <v>#NAME?</v>
      </c>
    </row>
    <row r="60" spans="1:42">
      <c r="A60">
        <v>17380</v>
      </c>
      <c r="B60" t="s">
        <v>1475</v>
      </c>
      <c r="C60" s="3" t="str">
        <f t="shared" si="0"/>
        <v>mailMerge.mailDistributionRuleDeliveryMethodID</v>
      </c>
      <c r="D60">
        <v>706</v>
      </c>
      <c r="E60" s="3" t="str">
        <f t="shared" si="1"/>
        <v>mailMerge</v>
      </c>
      <c r="F60" t="str">
        <f>VLOOKUP(V60,SystemTableId,3,FALSE)&amp;"ID"&amp;X60</f>
        <v>mailDistributionRuleDeliveryMethodID</v>
      </c>
      <c r="G60" s="3" t="s">
        <v>6692</v>
      </c>
      <c r="H60" s="3" t="str">
        <f t="shared" si="2"/>
        <v>mail.Merge</v>
      </c>
      <c r="J60" s="3"/>
      <c r="K60" t="s">
        <v>1370</v>
      </c>
      <c r="M60" t="s">
        <v>6007</v>
      </c>
      <c r="Q60" t="s">
        <v>92</v>
      </c>
      <c r="T60" s="3"/>
      <c r="U60" t="s">
        <v>96</v>
      </c>
      <c r="V60">
        <v>704</v>
      </c>
      <c r="W60" s="3" t="str">
        <f>VLOOKUP(V60,SystemTableId,3,FALSE)</f>
        <v>mailDistributionRuleDeliveryMethod</v>
      </c>
      <c r="Z60" t="s">
        <v>1371</v>
      </c>
      <c r="AB60" t="s">
        <v>92</v>
      </c>
      <c r="AK60" t="str">
        <f t="shared" si="4"/>
        <v>SELECT (SELECT 'mailMerge.mailDistributionRuleDeliveryMethodID' ColumnName from mailMerge where mailDistributionRuleDeliveryMethodID is null and exists (select from mailMerge) limit 1) a union all</v>
      </c>
      <c r="AP60" t="e">
        <f t="shared" si="3"/>
        <v>#NAME?</v>
      </c>
    </row>
    <row r="61" spans="1:42">
      <c r="A61">
        <v>17390</v>
      </c>
      <c r="B61" t="s">
        <v>1475</v>
      </c>
      <c r="C61" s="3" t="str">
        <f t="shared" si="0"/>
        <v>mailMerge.mailDistributionTypeID</v>
      </c>
      <c r="D61">
        <v>706</v>
      </c>
      <c r="E61" s="3" t="str">
        <f t="shared" si="1"/>
        <v>mailMerge</v>
      </c>
      <c r="F61" t="str">
        <f>VLOOKUP(V61,SystemTableId,3,FALSE)&amp;"ID"&amp;X61</f>
        <v>mailDistributionTypeID</v>
      </c>
      <c r="G61" s="3" t="s">
        <v>6682</v>
      </c>
      <c r="H61" s="3" t="str">
        <f t="shared" si="2"/>
        <v>mail.Merge</v>
      </c>
      <c r="J61" s="3"/>
      <c r="K61" t="s">
        <v>1368</v>
      </c>
      <c r="M61" t="s">
        <v>6007</v>
      </c>
      <c r="Q61" t="s">
        <v>92</v>
      </c>
      <c r="T61" s="3"/>
      <c r="U61" t="s">
        <v>96</v>
      </c>
      <c r="V61">
        <v>705</v>
      </c>
      <c r="W61" s="3" t="str">
        <f>VLOOKUP(V61,SystemTableId,3,FALSE)</f>
        <v>mailDistributionType</v>
      </c>
      <c r="Z61" t="s">
        <v>1369</v>
      </c>
      <c r="AB61" t="s">
        <v>92</v>
      </c>
      <c r="AK61" t="str">
        <f t="shared" si="4"/>
        <v>SELECT (SELECT 'mailMerge.mailDistributionTypeID' ColumnName from mailMerge where mailDistributionTypeID is null and exists (select from mailMerge) limit 1) a union all</v>
      </c>
      <c r="AP61" t="e">
        <f t="shared" si="3"/>
        <v>#NAME?</v>
      </c>
    </row>
    <row r="62" spans="1:42">
      <c r="A62">
        <v>17590</v>
      </c>
      <c r="B62" t="s">
        <v>1475</v>
      </c>
      <c r="C62" s="3" t="str">
        <f t="shared" si="0"/>
        <v>mailMerge.MailingName</v>
      </c>
      <c r="D62">
        <v>706</v>
      </c>
      <c r="E62" s="3" t="str">
        <f t="shared" si="1"/>
        <v>mailMerge</v>
      </c>
      <c r="F62" t="s">
        <v>1386</v>
      </c>
      <c r="G62" s="3" t="s">
        <v>6946</v>
      </c>
      <c r="H62" s="3" t="str">
        <f t="shared" si="2"/>
        <v>mail.Merge</v>
      </c>
      <c r="J62" s="3"/>
      <c r="K62" t="s">
        <v>1387</v>
      </c>
      <c r="M62" t="s">
        <v>1073</v>
      </c>
      <c r="Q62" t="s">
        <v>92</v>
      </c>
      <c r="T62" s="3"/>
      <c r="U62" t="s">
        <v>93</v>
      </c>
      <c r="AB62" t="s">
        <v>92</v>
      </c>
      <c r="AK62" t="str">
        <f t="shared" si="4"/>
        <v>SELECT (SELECT 'mailMerge.MailingName' ColumnName from mailMerge where MailingName is null and exists (select from mailMerge) limit 1) a union all</v>
      </c>
      <c r="AP62" t="e">
        <f t="shared" si="3"/>
        <v>#NAME?</v>
      </c>
    </row>
    <row r="63" spans="1:42">
      <c r="A63">
        <v>17400</v>
      </c>
      <c r="B63" t="s">
        <v>1475</v>
      </c>
      <c r="C63" s="3" t="str">
        <f t="shared" si="0"/>
        <v>mailMerge.mailStatusID</v>
      </c>
      <c r="D63">
        <v>706</v>
      </c>
      <c r="E63" s="3" t="str">
        <f t="shared" si="1"/>
        <v>mailMerge</v>
      </c>
      <c r="F63" t="str">
        <f>VLOOKUP(V63,SystemTableId,3,FALSE)&amp;"ID"&amp;X63</f>
        <v>mailStatusID</v>
      </c>
      <c r="G63" s="3" t="s">
        <v>6693</v>
      </c>
      <c r="H63" s="3" t="str">
        <f t="shared" si="2"/>
        <v>mail.Merge</v>
      </c>
      <c r="J63" s="3"/>
      <c r="K63" t="s">
        <v>55</v>
      </c>
      <c r="M63" t="s">
        <v>6007</v>
      </c>
      <c r="Q63" t="s">
        <v>92</v>
      </c>
      <c r="T63" s="3"/>
      <c r="U63" t="s">
        <v>96</v>
      </c>
      <c r="V63">
        <v>709</v>
      </c>
      <c r="W63" s="3" t="str">
        <f>VLOOKUP(V63,SystemTableId,3,FALSE)</f>
        <v>mailStatus</v>
      </c>
      <c r="Z63" t="s">
        <v>1367</v>
      </c>
      <c r="AB63" t="s">
        <v>92</v>
      </c>
      <c r="AK63" t="str">
        <f t="shared" si="4"/>
        <v>SELECT (SELECT 'mailMerge.mailStatusID' ColumnName from mailMerge where mailStatusID is null and exists (select from mailMerge) limit 1) a union all</v>
      </c>
      <c r="AP63" t="e">
        <f t="shared" si="3"/>
        <v>#NAME?</v>
      </c>
    </row>
    <row r="64" spans="1:42">
      <c r="A64">
        <v>17410</v>
      </c>
      <c r="B64" t="s">
        <v>1475</v>
      </c>
      <c r="C64" s="3" t="str">
        <f t="shared" si="0"/>
        <v>mailMerge.mailTemplateID</v>
      </c>
      <c r="D64">
        <v>706</v>
      </c>
      <c r="E64" s="3" t="str">
        <f t="shared" si="1"/>
        <v>mailMerge</v>
      </c>
      <c r="F64" t="str">
        <f>VLOOKUP(V64,SystemTableId,3,FALSE)&amp;"ID"&amp;X64</f>
        <v>mailTemplateID</v>
      </c>
      <c r="G64" s="3" t="s">
        <v>6694</v>
      </c>
      <c r="H64" s="3" t="str">
        <f t="shared" si="2"/>
        <v>mail.Merge</v>
      </c>
      <c r="J64" s="3"/>
      <c r="K64" t="s">
        <v>5986</v>
      </c>
      <c r="M64" t="s">
        <v>6007</v>
      </c>
      <c r="Q64" t="s">
        <v>92</v>
      </c>
      <c r="T64" s="3"/>
      <c r="U64" t="s">
        <v>96</v>
      </c>
      <c r="V64">
        <v>711</v>
      </c>
      <c r="W64" s="3" t="str">
        <f>VLOOKUP(V64,SystemTableId,3,FALSE)</f>
        <v>mailTemplate</v>
      </c>
      <c r="AB64" t="s">
        <v>92</v>
      </c>
      <c r="AK64" t="str">
        <f t="shared" si="4"/>
        <v>SELECT (SELECT 'mailMerge.mailTemplateID' ColumnName from mailMerge where mailTemplateID is null and exists (select from mailMerge) limit 1) a union all</v>
      </c>
      <c r="AP64" t="e">
        <f t="shared" si="3"/>
        <v>#NAME?</v>
      </c>
    </row>
    <row r="65" spans="1:42">
      <c r="A65">
        <v>17600</v>
      </c>
      <c r="B65" t="s">
        <v>1475</v>
      </c>
      <c r="C65" s="3" t="str">
        <f t="shared" si="0"/>
        <v>mailMerge.MessageText</v>
      </c>
      <c r="D65">
        <v>706</v>
      </c>
      <c r="E65" s="3" t="str">
        <f t="shared" si="1"/>
        <v>mailMerge</v>
      </c>
      <c r="F65" t="s">
        <v>1374</v>
      </c>
      <c r="G65" s="3" t="s">
        <v>6704</v>
      </c>
      <c r="H65" s="3" t="str">
        <f t="shared" si="2"/>
        <v>mail.Merge</v>
      </c>
      <c r="J65" s="3"/>
      <c r="K65" t="s">
        <v>1375</v>
      </c>
      <c r="M65" t="s">
        <v>1073</v>
      </c>
      <c r="Q65" t="s">
        <v>92</v>
      </c>
      <c r="T65" s="3"/>
      <c r="U65" t="s">
        <v>93</v>
      </c>
      <c r="AB65" t="s">
        <v>92</v>
      </c>
      <c r="AK65" t="str">
        <f t="shared" si="4"/>
        <v>SELECT (SELECT 'mailMerge.MessageText' ColumnName from mailMerge where MessageText is null and exists (select from mailMerge) limit 1) a union all</v>
      </c>
      <c r="AP65" t="e">
        <f t="shared" si="3"/>
        <v>#NAME?</v>
      </c>
    </row>
    <row r="66" spans="1:42">
      <c r="A66">
        <v>17610</v>
      </c>
      <c r="B66" t="s">
        <v>1475</v>
      </c>
      <c r="C66" s="3" t="str">
        <f t="shared" ref="C66:C129" si="6">CONCATENATE(E66,".",F66)</f>
        <v>mailMerge.MiddleName</v>
      </c>
      <c r="D66">
        <v>706</v>
      </c>
      <c r="E66" s="3" t="str">
        <f t="shared" ref="E66:E129" si="7">VLOOKUP(D66,SystemTableId,3,FALSE)</f>
        <v>mailMerge</v>
      </c>
      <c r="F66" t="s">
        <v>45</v>
      </c>
      <c r="G66" s="3" t="s">
        <v>6947</v>
      </c>
      <c r="H66" s="3" t="str">
        <f t="shared" ref="H66:H129" si="8">VLOOKUP(E66,SystemTables,14,FALSE)</f>
        <v>mail.Merge</v>
      </c>
      <c r="J66" s="3"/>
      <c r="K66" t="s">
        <v>116</v>
      </c>
      <c r="M66" t="s">
        <v>1073</v>
      </c>
      <c r="Q66" t="s">
        <v>92</v>
      </c>
      <c r="T66" s="3"/>
      <c r="U66" t="s">
        <v>93</v>
      </c>
      <c r="AB66" t="s">
        <v>92</v>
      </c>
      <c r="AK66" t="str">
        <f t="shared" si="4"/>
        <v>SELECT (SELECT 'mailMerge.MiddleName' ColumnName from mailMerge where MiddleName is null and exists (select from mailMerge) limit 1) a union all</v>
      </c>
      <c r="AP66" t="e">
        <f t="shared" ref="AP66:AP129" si="9">VLOOKUP(E66,temp6,1,FALSE)</f>
        <v>#NAME?</v>
      </c>
    </row>
    <row r="67" spans="1:42">
      <c r="A67">
        <v>17620</v>
      </c>
      <c r="B67" t="s">
        <v>1475</v>
      </c>
      <c r="C67" s="3" t="str">
        <f t="shared" si="6"/>
        <v>mailMerge.OfficeName</v>
      </c>
      <c r="D67">
        <v>706</v>
      </c>
      <c r="E67" s="3" t="str">
        <f t="shared" si="7"/>
        <v>mailMerge</v>
      </c>
      <c r="F67" t="s">
        <v>1394</v>
      </c>
      <c r="G67" s="3" t="s">
        <v>6948</v>
      </c>
      <c r="H67" s="3" t="str">
        <f t="shared" si="8"/>
        <v>mail.Merge</v>
      </c>
      <c r="J67" s="3"/>
      <c r="K67" t="s">
        <v>1395</v>
      </c>
      <c r="M67" t="s">
        <v>1073</v>
      </c>
      <c r="Q67" t="s">
        <v>92</v>
      </c>
      <c r="T67" s="3"/>
      <c r="U67" t="s">
        <v>93</v>
      </c>
      <c r="AB67" t="s">
        <v>92</v>
      </c>
      <c r="AK67" t="str">
        <f t="shared" si="4"/>
        <v>SELECT (SELECT 'mailMerge.OfficeName' ColumnName from mailMerge where OfficeName is null and exists (select from mailMerge) limit 1) a union all</v>
      </c>
      <c r="AP67" t="e">
        <f t="shared" si="9"/>
        <v>#NAME?</v>
      </c>
    </row>
    <row r="68" spans="1:42">
      <c r="A68">
        <v>17630</v>
      </c>
      <c r="B68" t="s">
        <v>1475</v>
      </c>
      <c r="C68" s="3" t="str">
        <f t="shared" si="6"/>
        <v>mailMerge.PostalCode</v>
      </c>
      <c r="D68">
        <v>706</v>
      </c>
      <c r="E68" s="3" t="str">
        <f t="shared" si="7"/>
        <v>mailMerge</v>
      </c>
      <c r="F68" t="s">
        <v>1390</v>
      </c>
      <c r="G68" s="3" t="s">
        <v>6705</v>
      </c>
      <c r="H68" s="3" t="str">
        <f t="shared" si="8"/>
        <v>mail.Merge</v>
      </c>
      <c r="J68" s="3"/>
      <c r="K68" t="s">
        <v>1087</v>
      </c>
      <c r="M68" t="s">
        <v>1073</v>
      </c>
      <c r="N68" s="3"/>
      <c r="Q68" t="s">
        <v>92</v>
      </c>
      <c r="T68" s="3"/>
      <c r="U68" t="s">
        <v>93</v>
      </c>
      <c r="AB68" t="s">
        <v>92</v>
      </c>
      <c r="AK68" t="str">
        <f t="shared" si="4"/>
        <v>SELECT (SELECT 'mailMerge.PostalCode' ColumnName from mailMerge where PostalCode is null and exists (select from mailMerge) limit 1) a union all</v>
      </c>
      <c r="AP68" t="e">
        <f t="shared" si="9"/>
        <v>#NAME?</v>
      </c>
    </row>
    <row r="69" spans="1:42">
      <c r="A69">
        <v>17640</v>
      </c>
      <c r="B69" t="s">
        <v>1475</v>
      </c>
      <c r="C69" s="3" t="str">
        <f t="shared" si="6"/>
        <v>mailMerge.Province</v>
      </c>
      <c r="D69">
        <v>706</v>
      </c>
      <c r="E69" s="3" t="str">
        <f t="shared" si="7"/>
        <v>mailMerge</v>
      </c>
      <c r="F69" t="s">
        <v>3</v>
      </c>
      <c r="G69" s="3" t="s">
        <v>6484</v>
      </c>
      <c r="H69" s="3" t="str">
        <f t="shared" si="8"/>
        <v>mail.Merge</v>
      </c>
      <c r="J69" s="3"/>
      <c r="K69" t="s">
        <v>3</v>
      </c>
      <c r="M69" t="s">
        <v>1073</v>
      </c>
      <c r="N69" s="3"/>
      <c r="Q69" t="s">
        <v>92</v>
      </c>
      <c r="T69" s="3"/>
      <c r="U69" t="s">
        <v>93</v>
      </c>
      <c r="AB69" t="s">
        <v>92</v>
      </c>
      <c r="AK69" t="str">
        <f t="shared" si="4"/>
        <v>SELECT (SELECT 'mailMerge.Province' ColumnName from mailMerge where Province is null and exists (select from mailMerge) limit 1) a union all</v>
      </c>
      <c r="AP69" t="e">
        <f t="shared" si="9"/>
        <v>#NAME?</v>
      </c>
    </row>
    <row r="70" spans="1:42">
      <c r="A70">
        <v>17650</v>
      </c>
      <c r="B70" t="s">
        <v>1475</v>
      </c>
      <c r="C70" s="3" t="str">
        <f t="shared" si="6"/>
        <v>mailMerge.ProvinceShortCode</v>
      </c>
      <c r="D70">
        <v>706</v>
      </c>
      <c r="E70" s="3" t="str">
        <f t="shared" si="7"/>
        <v>mailMerge</v>
      </c>
      <c r="F70" t="s">
        <v>1391</v>
      </c>
      <c r="G70" s="3" t="s">
        <v>6706</v>
      </c>
      <c r="H70" s="3" t="str">
        <f t="shared" si="8"/>
        <v>mail.Merge</v>
      </c>
      <c r="J70" s="3"/>
      <c r="K70" t="s">
        <v>1392</v>
      </c>
      <c r="M70" t="s">
        <v>1073</v>
      </c>
      <c r="N70" s="3"/>
      <c r="Q70" s="3" t="s">
        <v>92</v>
      </c>
      <c r="T70" s="3"/>
      <c r="U70" t="s">
        <v>93</v>
      </c>
      <c r="AB70" t="s">
        <v>92</v>
      </c>
      <c r="AK70" t="str">
        <f t="shared" si="4"/>
        <v>SELECT (SELECT 'mailMerge.ProvinceShortCode' ColumnName from mailMerge where ProvinceShortCode is null and exists (select from mailMerge) limit 1) a union all</v>
      </c>
      <c r="AP70" t="e">
        <f t="shared" si="9"/>
        <v>#NAME?</v>
      </c>
    </row>
    <row r="71" spans="1:42">
      <c r="A71">
        <v>17660</v>
      </c>
      <c r="B71" t="s">
        <v>1475</v>
      </c>
      <c r="C71" s="3" t="str">
        <f t="shared" si="6"/>
        <v>mailMerge.QueryDate</v>
      </c>
      <c r="D71">
        <v>706</v>
      </c>
      <c r="E71" s="3" t="str">
        <f t="shared" si="7"/>
        <v>mailMerge</v>
      </c>
      <c r="F71" t="s">
        <v>1406</v>
      </c>
      <c r="G71" s="3" t="s">
        <v>6707</v>
      </c>
      <c r="H71" s="3" t="str">
        <f t="shared" si="8"/>
        <v>mail.Merge</v>
      </c>
      <c r="J71" s="3"/>
      <c r="K71" t="s">
        <v>2487</v>
      </c>
      <c r="M71" t="s">
        <v>1407</v>
      </c>
      <c r="Q71" t="s">
        <v>92</v>
      </c>
      <c r="T71" s="3"/>
      <c r="U71" t="s">
        <v>93</v>
      </c>
      <c r="AB71" t="s">
        <v>92</v>
      </c>
      <c r="AK71" t="str">
        <f t="shared" si="4"/>
        <v>SELECT (SELECT 'mailMerge.QueryDate' ColumnName from mailMerge where QueryDate is null and exists (select from mailMerge) limit 1) a union all</v>
      </c>
      <c r="AP71" t="e">
        <f t="shared" si="9"/>
        <v>#NAME?</v>
      </c>
    </row>
    <row r="72" spans="1:42">
      <c r="A72">
        <v>17670</v>
      </c>
      <c r="B72" t="s">
        <v>1475</v>
      </c>
      <c r="C72" s="3" t="str">
        <f t="shared" si="6"/>
        <v>mailMerge.RegisteredName</v>
      </c>
      <c r="D72">
        <v>706</v>
      </c>
      <c r="E72" s="3" t="str">
        <f t="shared" si="7"/>
        <v>mailMerge</v>
      </c>
      <c r="F72" t="s">
        <v>1388</v>
      </c>
      <c r="G72" s="3" t="s">
        <v>6949</v>
      </c>
      <c r="H72" s="3" t="str">
        <f t="shared" si="8"/>
        <v>mail.Merge</v>
      </c>
      <c r="J72" s="3"/>
      <c r="K72" t="s">
        <v>1389</v>
      </c>
      <c r="M72" t="s">
        <v>1073</v>
      </c>
      <c r="Q72" t="s">
        <v>92</v>
      </c>
      <c r="T72" s="3"/>
      <c r="U72" t="s">
        <v>93</v>
      </c>
      <c r="AB72" t="s">
        <v>92</v>
      </c>
      <c r="AK72" t="str">
        <f t="shared" si="4"/>
        <v>SELECT (SELECT 'mailMerge.RegisteredName' ColumnName from mailMerge where RegisteredName is null and exists (select from mailMerge) limit 1) a union all</v>
      </c>
      <c r="AP72" t="e">
        <f t="shared" si="9"/>
        <v>#NAME?</v>
      </c>
    </row>
    <row r="73" spans="1:42">
      <c r="A73">
        <v>17710</v>
      </c>
      <c r="B73" t="s">
        <v>1475</v>
      </c>
      <c r="C73" s="3" t="str">
        <f t="shared" si="6"/>
        <v>mailMerge.RowStatus</v>
      </c>
      <c r="D73">
        <v>706</v>
      </c>
      <c r="E73" s="3" t="str">
        <f t="shared" si="7"/>
        <v>mailMerge</v>
      </c>
      <c r="F73" t="s">
        <v>1445</v>
      </c>
      <c r="G73" s="3" t="s">
        <v>6411</v>
      </c>
      <c r="H73" s="3" t="str">
        <f t="shared" si="8"/>
        <v>mail.Merge</v>
      </c>
      <c r="J73" s="3"/>
      <c r="K73" s="3" t="s">
        <v>2471</v>
      </c>
      <c r="M73" t="s">
        <v>976</v>
      </c>
      <c r="N73">
        <v>1</v>
      </c>
      <c r="Q73" t="s">
        <v>92</v>
      </c>
      <c r="T73" s="3"/>
      <c r="U73" t="s">
        <v>94</v>
      </c>
      <c r="AK73" t="str">
        <f t="shared" si="4"/>
        <v>SELECT (SELECT 'mailMerge.RowStatus' ColumnName from mailMerge where RowStatus is null and exists (select from mailMerge) limit 1) a union all</v>
      </c>
      <c r="AP73" t="e">
        <f t="shared" si="9"/>
        <v>#NAME?</v>
      </c>
    </row>
    <row r="74" spans="1:42">
      <c r="A74">
        <v>17680</v>
      </c>
      <c r="B74" t="s">
        <v>1475</v>
      </c>
      <c r="C74" s="3" t="str">
        <f t="shared" si="6"/>
        <v>mailMerge.SubjectText</v>
      </c>
      <c r="D74">
        <v>706</v>
      </c>
      <c r="E74" s="3" t="str">
        <f t="shared" si="7"/>
        <v>mailMerge</v>
      </c>
      <c r="F74" t="s">
        <v>1372</v>
      </c>
      <c r="G74" s="3" t="s">
        <v>6708</v>
      </c>
      <c r="H74" s="3" t="str">
        <f t="shared" si="8"/>
        <v>mail.Merge</v>
      </c>
      <c r="J74" s="3"/>
      <c r="K74" t="s">
        <v>1373</v>
      </c>
      <c r="M74" t="s">
        <v>1073</v>
      </c>
      <c r="Q74" t="s">
        <v>92</v>
      </c>
      <c r="T74" s="3"/>
      <c r="U74" t="s">
        <v>93</v>
      </c>
      <c r="AB74" t="s">
        <v>92</v>
      </c>
      <c r="AK74" t="str">
        <f t="shared" si="4"/>
        <v>SELECT (SELECT 'mailMerge.SubjectText' ColumnName from mailMerge where SubjectText is null and exists (select from mailMerge) limit 1) a union all</v>
      </c>
      <c r="AP74" t="e">
        <f t="shared" si="9"/>
        <v>#NAME?</v>
      </c>
    </row>
    <row r="75" spans="1:42">
      <c r="A75">
        <v>17720</v>
      </c>
      <c r="B75" t="s">
        <v>1475</v>
      </c>
      <c r="C75" s="3" t="str">
        <f t="shared" si="6"/>
        <v>mailMerge.sysChangeHistoryID</v>
      </c>
      <c r="D75">
        <v>706</v>
      </c>
      <c r="E75" s="3" t="str">
        <f t="shared" si="7"/>
        <v>mailMerge</v>
      </c>
      <c r="F75" t="s">
        <v>2497</v>
      </c>
      <c r="G75" s="3" t="s">
        <v>6403</v>
      </c>
      <c r="H75" s="3" t="str">
        <f t="shared" si="8"/>
        <v>mail.Merge</v>
      </c>
      <c r="J75" s="3"/>
      <c r="K75" t="s">
        <v>1210</v>
      </c>
      <c r="M75" t="s">
        <v>6007</v>
      </c>
      <c r="Q75" t="s">
        <v>92</v>
      </c>
      <c r="T75" s="3"/>
      <c r="U75" t="s">
        <v>1429</v>
      </c>
      <c r="W75" s="3"/>
      <c r="AK75" t="str">
        <f t="shared" si="4"/>
        <v>SELECT (SELECT 'mailMerge.sysChangeHistoryID' ColumnName from mailMerge where sysChangeHistoryID is null and exists (select from mailMerge) limit 1) a union all</v>
      </c>
      <c r="AP75" t="e">
        <f t="shared" si="9"/>
        <v>#NAME?</v>
      </c>
    </row>
    <row r="76" spans="1:42">
      <c r="A76">
        <v>17690</v>
      </c>
      <c r="B76" t="s">
        <v>1475</v>
      </c>
      <c r="C76" s="3" t="str">
        <f t="shared" si="6"/>
        <v>mailMerge.Title</v>
      </c>
      <c r="D76">
        <v>706</v>
      </c>
      <c r="E76" s="3" t="str">
        <f t="shared" si="7"/>
        <v>mailMerge</v>
      </c>
      <c r="F76" t="s">
        <v>1138</v>
      </c>
      <c r="G76" s="3" t="s">
        <v>6709</v>
      </c>
      <c r="H76" s="3" t="str">
        <f t="shared" si="8"/>
        <v>mail.Merge</v>
      </c>
      <c r="J76" s="3"/>
      <c r="K76" t="s">
        <v>1138</v>
      </c>
      <c r="M76" t="s">
        <v>1073</v>
      </c>
      <c r="N76" s="3"/>
      <c r="Q76" t="s">
        <v>92</v>
      </c>
      <c r="T76" s="3"/>
      <c r="U76" t="s">
        <v>93</v>
      </c>
      <c r="AB76" t="s">
        <v>92</v>
      </c>
      <c r="AK76" t="str">
        <f t="shared" si="4"/>
        <v>SELECT (SELECT 'mailMerge.Title' ColumnName from mailMerge where Title is null and exists (select from mailMerge) limit 1) a union all</v>
      </c>
      <c r="AP76" t="e">
        <f t="shared" si="9"/>
        <v>#NAME?</v>
      </c>
    </row>
    <row r="77" spans="1:42">
      <c r="A77">
        <v>17740</v>
      </c>
      <c r="B77" t="s">
        <v>1475</v>
      </c>
      <c r="C77" s="3" t="str">
        <f t="shared" si="6"/>
        <v>mailOption.crmAddressTypeID</v>
      </c>
      <c r="D77">
        <v>707</v>
      </c>
      <c r="E77" s="3" t="str">
        <f t="shared" si="7"/>
        <v>mailOption</v>
      </c>
      <c r="F77" t="str">
        <f>VLOOKUP(V77,DictionaryTableID,3,FALSE)&amp;"ID"&amp;X77</f>
        <v>crmAddressTypeID</v>
      </c>
      <c r="G77" s="3" t="s">
        <v>6488</v>
      </c>
      <c r="H77" s="3" t="str">
        <f t="shared" si="8"/>
        <v>mail.Option</v>
      </c>
      <c r="J77" s="3"/>
      <c r="K77" t="s">
        <v>1081</v>
      </c>
      <c r="M77" t="s">
        <v>6007</v>
      </c>
      <c r="Q77" t="s">
        <v>92</v>
      </c>
      <c r="T77" s="3"/>
      <c r="U77" t="s">
        <v>96</v>
      </c>
      <c r="V77">
        <v>114</v>
      </c>
      <c r="W77" s="3" t="str">
        <f>VLOOKUP(V77,DictionaryTableID,3,FALSE)</f>
        <v>crmAddressType</v>
      </c>
      <c r="Z77" t="s">
        <v>1081</v>
      </c>
      <c r="AB77" t="s">
        <v>92</v>
      </c>
      <c r="AJ77" t="str">
        <f>"SELECT (SELECT '"&amp;C77&amp;"' ColumnName from "&amp;E77&amp;" where "&amp;F77&amp;" is null and exists (select from "&amp;E77&amp;") limit 1) ColumnName union all"</f>
        <v>SELECT (SELECT 'mailOption.crmAddressTypeID' ColumnName from mailOption where crmAddressTypeID is null and exists (select from mailOption) limit 1) ColumnName union all</v>
      </c>
      <c r="AL77" t="str">
        <f>"ALTER TABLE "&amp;E77&amp;" ALTER COLUMN "&amp;F77&amp;" DROP NOT NULL"</f>
        <v>ALTER TABLE mailOption ALTER COLUMN crmAddressTypeID DROP NOT NULL</v>
      </c>
      <c r="AP77" t="e">
        <f t="shared" si="9"/>
        <v>#NAME?</v>
      </c>
    </row>
    <row r="78" spans="1:42">
      <c r="A78">
        <v>17750</v>
      </c>
      <c r="B78" t="s">
        <v>1475</v>
      </c>
      <c r="C78" s="3" t="str">
        <f t="shared" si="6"/>
        <v>mailOption.crmContactID</v>
      </c>
      <c r="D78">
        <v>707</v>
      </c>
      <c r="E78" s="3" t="str">
        <f t="shared" si="7"/>
        <v>mailOption</v>
      </c>
      <c r="F78" t="str">
        <f>VLOOKUP(V78,DictionaryTableID,3,FALSE)&amp;"ID"&amp;X78</f>
        <v>crmContactID</v>
      </c>
      <c r="G78" s="3" t="s">
        <v>6448</v>
      </c>
      <c r="H78" s="3" t="str">
        <f t="shared" si="8"/>
        <v>mail.Option</v>
      </c>
      <c r="J78" s="3"/>
      <c r="K78" t="s">
        <v>29</v>
      </c>
      <c r="M78" t="s">
        <v>6007</v>
      </c>
      <c r="Q78" t="s">
        <v>92</v>
      </c>
      <c r="T78" s="3"/>
      <c r="U78" t="s">
        <v>96</v>
      </c>
      <c r="V78">
        <v>100</v>
      </c>
      <c r="W78" s="3" t="str">
        <f>VLOOKUP(V78,DictionaryTableID,3,FALSE)</f>
        <v>crmContact</v>
      </c>
      <c r="AB78" t="s">
        <v>92</v>
      </c>
      <c r="AK78" t="str">
        <f t="shared" ref="AK78:AK84" si="10">"SELECT (SELECT '"&amp;C78&amp;"' ColumnName from "&amp;E78&amp;" where "&amp;F78&amp;" is null and exists (select from "&amp;E78&amp;") limit 1) a union all"</f>
        <v>SELECT (SELECT 'mailOption.crmContactID' ColumnName from mailOption where crmContactID is null and exists (select from mailOption) limit 1) a union all</v>
      </c>
      <c r="AO78" t="str">
        <f>SUBSTITUTE(VLOOKUP(V78,DictionaryTableID,16,FALSE)&amp;"ID",".","")</f>
        <v>Contact ManagementContactID</v>
      </c>
      <c r="AP78" t="e">
        <f t="shared" si="9"/>
        <v>#NAME?</v>
      </c>
    </row>
    <row r="79" spans="1:42">
      <c r="A79">
        <v>17730</v>
      </c>
      <c r="B79" t="s">
        <v>1475</v>
      </c>
      <c r="C79" s="3" t="str">
        <f t="shared" si="6"/>
        <v>mailOption.ID</v>
      </c>
      <c r="D79">
        <v>707</v>
      </c>
      <c r="E79" s="3" t="str">
        <f t="shared" si="7"/>
        <v>mailOption</v>
      </c>
      <c r="F79" t="s">
        <v>0</v>
      </c>
      <c r="G79" s="3" t="s">
        <v>6711</v>
      </c>
      <c r="H79" s="3" t="str">
        <f t="shared" si="8"/>
        <v>mail.Option</v>
      </c>
      <c r="J79" s="3"/>
      <c r="K79" t="s">
        <v>0</v>
      </c>
      <c r="M79" t="s">
        <v>6007</v>
      </c>
      <c r="Q79" t="s">
        <v>919</v>
      </c>
      <c r="T79" s="3"/>
      <c r="U79" t="s">
        <v>95</v>
      </c>
      <c r="AK79" t="str">
        <f t="shared" si="10"/>
        <v>SELECT (SELECT 'mailOption.ID' ColumnName from mailOption where ID is null and exists (select from mailOption) limit 1) a union all</v>
      </c>
      <c r="AO79" t="e">
        <f>SUBSTITUTE(VLOOKUP(V79,DictionaryTableID,16,FALSE)&amp;"ID",".","")</f>
        <v>#N/A</v>
      </c>
      <c r="AP79" t="e">
        <f t="shared" si="9"/>
        <v>#NAME?</v>
      </c>
    </row>
    <row r="80" spans="1:42">
      <c r="A80">
        <v>17760</v>
      </c>
      <c r="B80" t="s">
        <v>1475</v>
      </c>
      <c r="C80" s="3" t="str">
        <f t="shared" si="6"/>
        <v>mailOption.mailDistributionRuleDeliveryMethodID</v>
      </c>
      <c r="D80">
        <v>707</v>
      </c>
      <c r="E80" s="3" t="str">
        <f t="shared" si="7"/>
        <v>mailOption</v>
      </c>
      <c r="F80" t="str">
        <f>VLOOKUP(V80,SystemTableId,3,FALSE)&amp;"ID"&amp;X80</f>
        <v>mailDistributionRuleDeliveryMethodID</v>
      </c>
      <c r="G80" s="3" t="s">
        <v>6692</v>
      </c>
      <c r="H80" s="3" t="str">
        <f t="shared" si="8"/>
        <v>mail.Option</v>
      </c>
      <c r="J80" s="3"/>
      <c r="K80" t="s">
        <v>1370</v>
      </c>
      <c r="M80" t="s">
        <v>6007</v>
      </c>
      <c r="Q80" t="s">
        <v>92</v>
      </c>
      <c r="T80" s="3"/>
      <c r="U80" t="s">
        <v>96</v>
      </c>
      <c r="V80">
        <v>704</v>
      </c>
      <c r="W80" s="3" t="str">
        <f>VLOOKUP(V80,SystemTableId,3,FALSE)</f>
        <v>mailDistributionRuleDeliveryMethod</v>
      </c>
      <c r="Z80" t="s">
        <v>1371</v>
      </c>
      <c r="AB80" t="s">
        <v>92</v>
      </c>
      <c r="AK80" t="str">
        <f t="shared" si="10"/>
        <v>SELECT (SELECT 'mailOption.mailDistributionRuleDeliveryMethodID' ColumnName from mailOption where mailDistributionRuleDeliveryMethodID is null and exists (select from mailOption) limit 1) a union all</v>
      </c>
      <c r="AO80" t="e">
        <f>SUBSTITUTE(VLOOKUP(V80,DictionaryTableID,16,FALSE)&amp;"ID",".","")</f>
        <v>#N/A</v>
      </c>
      <c r="AP80" t="e">
        <f t="shared" si="9"/>
        <v>#NAME?</v>
      </c>
    </row>
    <row r="81" spans="1:42">
      <c r="A81">
        <v>17770</v>
      </c>
      <c r="B81" t="s">
        <v>1475</v>
      </c>
      <c r="C81" s="3" t="str">
        <f t="shared" si="6"/>
        <v>mailOption.mailDistributionTypeID</v>
      </c>
      <c r="D81">
        <v>707</v>
      </c>
      <c r="E81" s="3" t="str">
        <f t="shared" si="7"/>
        <v>mailOption</v>
      </c>
      <c r="F81" t="str">
        <f>VLOOKUP(V81,SystemTableId,3,FALSE)&amp;"ID"&amp;X81</f>
        <v>mailDistributionTypeID</v>
      </c>
      <c r="G81" s="3" t="s">
        <v>6682</v>
      </c>
      <c r="H81" s="3" t="str">
        <f t="shared" si="8"/>
        <v>mail.Option</v>
      </c>
      <c r="J81" s="3"/>
      <c r="K81" t="s">
        <v>1368</v>
      </c>
      <c r="M81" t="s">
        <v>6007</v>
      </c>
      <c r="Q81" t="s">
        <v>92</v>
      </c>
      <c r="T81" s="3"/>
      <c r="U81" t="s">
        <v>96</v>
      </c>
      <c r="V81">
        <v>705</v>
      </c>
      <c r="W81" s="3" t="str">
        <f>VLOOKUP(V81,SystemTableId,3,FALSE)</f>
        <v>mailDistributionType</v>
      </c>
      <c r="Z81" t="s">
        <v>1368</v>
      </c>
      <c r="AB81" t="s">
        <v>92</v>
      </c>
      <c r="AK81" t="str">
        <f t="shared" si="10"/>
        <v>SELECT (SELECT 'mailOption.mailDistributionTypeID' ColumnName from mailOption where mailDistributionTypeID is null and exists (select from mailOption) limit 1) a union all</v>
      </c>
      <c r="AO81" t="e">
        <f>SUBSTITUTE(VLOOKUP(V81,DictionaryTableID,16,FALSE)&amp;"ID",".","")</f>
        <v>#N/A</v>
      </c>
      <c r="AP81" t="e">
        <f t="shared" si="9"/>
        <v>#NAME?</v>
      </c>
    </row>
    <row r="82" spans="1:42">
      <c r="A82">
        <v>17780</v>
      </c>
      <c r="B82" t="s">
        <v>1475</v>
      </c>
      <c r="C82" s="3" t="str">
        <f t="shared" si="6"/>
        <v>mailOption.mailSupressReasonID</v>
      </c>
      <c r="D82">
        <v>707</v>
      </c>
      <c r="E82" s="3" t="str">
        <f t="shared" si="7"/>
        <v>mailOption</v>
      </c>
      <c r="F82" t="str">
        <f>VLOOKUP(V82,SystemTableId,3,FALSE)&amp;"ID"&amp;X82</f>
        <v>mailSupressReasonID</v>
      </c>
      <c r="G82" s="3" t="s">
        <v>6712</v>
      </c>
      <c r="H82" s="3" t="str">
        <f t="shared" si="8"/>
        <v>mail.Option</v>
      </c>
      <c r="J82" s="3"/>
      <c r="K82" t="s">
        <v>1400</v>
      </c>
      <c r="M82" t="s">
        <v>6007</v>
      </c>
      <c r="Q82" t="s">
        <v>92</v>
      </c>
      <c r="T82" s="3"/>
      <c r="U82" t="s">
        <v>96</v>
      </c>
      <c r="V82">
        <v>710</v>
      </c>
      <c r="W82" s="3" t="str">
        <f>VLOOKUP(V82,SystemTableId,3,FALSE)</f>
        <v>mailSupressReason</v>
      </c>
      <c r="Z82" t="s">
        <v>1400</v>
      </c>
      <c r="AB82" t="s">
        <v>92</v>
      </c>
      <c r="AK82" t="str">
        <f t="shared" si="10"/>
        <v>SELECT (SELECT 'mailOption.mailSupressReasonID' ColumnName from mailOption where mailSupressReasonID is null and exists (select from mailOption) limit 1) a union all</v>
      </c>
      <c r="AO82" t="e">
        <f>SUBSTITUTE(VLOOKUP(V82,DictionaryTableID,16,FALSE)&amp;"ID",".","")</f>
        <v>#N/A</v>
      </c>
      <c r="AP82" t="e">
        <f t="shared" si="9"/>
        <v>#NAME?</v>
      </c>
    </row>
    <row r="83" spans="1:42">
      <c r="A83">
        <v>17790</v>
      </c>
      <c r="B83" t="s">
        <v>1475</v>
      </c>
      <c r="C83" s="3" t="str">
        <f t="shared" si="6"/>
        <v>mailOption.RowStatus</v>
      </c>
      <c r="D83">
        <v>707</v>
      </c>
      <c r="E83" s="3" t="str">
        <f t="shared" si="7"/>
        <v>mailOption</v>
      </c>
      <c r="F83" t="s">
        <v>1445</v>
      </c>
      <c r="G83" s="3" t="s">
        <v>6411</v>
      </c>
      <c r="H83" s="3" t="str">
        <f t="shared" si="8"/>
        <v>mail.Option</v>
      </c>
      <c r="J83" s="3"/>
      <c r="K83" s="3" t="s">
        <v>2471</v>
      </c>
      <c r="M83" t="s">
        <v>976</v>
      </c>
      <c r="N83">
        <v>1</v>
      </c>
      <c r="Q83" t="s">
        <v>92</v>
      </c>
      <c r="T83" s="3"/>
      <c r="U83" t="s">
        <v>94</v>
      </c>
      <c r="AK83" t="str">
        <f t="shared" si="10"/>
        <v>SELECT (SELECT 'mailOption.RowStatus' ColumnName from mailOption where RowStatus is null and exists (select from mailOption) limit 1) a union all</v>
      </c>
      <c r="AP83" t="e">
        <f t="shared" si="9"/>
        <v>#NAME?</v>
      </c>
    </row>
    <row r="84" spans="1:42">
      <c r="A84">
        <v>17800</v>
      </c>
      <c r="B84" t="s">
        <v>1475</v>
      </c>
      <c r="C84" s="3" t="str">
        <f t="shared" si="6"/>
        <v>mailOption.sysChangeHistoryID</v>
      </c>
      <c r="D84">
        <v>707</v>
      </c>
      <c r="E84" s="3" t="str">
        <f t="shared" si="7"/>
        <v>mailOption</v>
      </c>
      <c r="F84" t="s">
        <v>2497</v>
      </c>
      <c r="G84" s="3" t="s">
        <v>6403</v>
      </c>
      <c r="H84" s="3" t="str">
        <f t="shared" si="8"/>
        <v>mail.Option</v>
      </c>
      <c r="J84" s="3"/>
      <c r="K84" t="s">
        <v>1210</v>
      </c>
      <c r="M84" t="s">
        <v>6007</v>
      </c>
      <c r="Q84" t="s">
        <v>92</v>
      </c>
      <c r="T84" s="3"/>
      <c r="U84" t="s">
        <v>1429</v>
      </c>
      <c r="W84" s="3"/>
      <c r="AK84" t="str">
        <f t="shared" si="10"/>
        <v>SELECT (SELECT 'mailOption.sysChangeHistoryID' ColumnName from mailOption where sysChangeHistoryID is null and exists (select from mailOption) limit 1) a union all</v>
      </c>
      <c r="AP84" t="e">
        <f t="shared" si="9"/>
        <v>#NAME?</v>
      </c>
    </row>
    <row r="85" spans="1:42">
      <c r="A85">
        <v>17820</v>
      </c>
      <c r="B85" t="s">
        <v>1475</v>
      </c>
      <c r="C85" s="3" t="str">
        <f t="shared" si="6"/>
        <v>mailOptionDefault.crmAddressTypeID</v>
      </c>
      <c r="D85">
        <v>708</v>
      </c>
      <c r="E85" s="3" t="str">
        <f t="shared" si="7"/>
        <v>mailOptionDefault</v>
      </c>
      <c r="F85" t="str">
        <f>VLOOKUP(V85,DictionaryTableID,3,FALSE)&amp;"ID"&amp;X85</f>
        <v>crmAddressTypeID</v>
      </c>
      <c r="G85" s="3" t="s">
        <v>6488</v>
      </c>
      <c r="H85" s="3" t="str">
        <f t="shared" si="8"/>
        <v>mail.OptionDefault</v>
      </c>
      <c r="J85" s="3"/>
      <c r="K85" t="s">
        <v>1081</v>
      </c>
      <c r="M85" t="s">
        <v>6007</v>
      </c>
      <c r="Q85" t="s">
        <v>92</v>
      </c>
      <c r="T85" s="3"/>
      <c r="U85" t="s">
        <v>96</v>
      </c>
      <c r="V85">
        <v>114</v>
      </c>
      <c r="W85" s="3" t="str">
        <f>VLOOKUP(V85,DictionaryTableID,3,FALSE)</f>
        <v>crmAddressType</v>
      </c>
      <c r="Z85" t="s">
        <v>1081</v>
      </c>
      <c r="AB85" t="s">
        <v>92</v>
      </c>
      <c r="AJ85" t="str">
        <f>"SELECT (SELECT '"&amp;C85&amp;"' ColumnName from "&amp;E85&amp;" where "&amp;F85&amp;" is null and exists (select from "&amp;E85&amp;") limit 1) ColumnName union all"</f>
        <v>SELECT (SELECT 'mailOptionDefault.crmAddressTypeID' ColumnName from mailOptionDefault where crmAddressTypeID is null and exists (select from mailOptionDefault) limit 1) ColumnName union all</v>
      </c>
      <c r="AL85" t="str">
        <f>"ALTER TABLE "&amp;E85&amp;" ALTER COLUMN "&amp;F85&amp;" DROP NOT NULL"</f>
        <v>ALTER TABLE mailOptionDefault ALTER COLUMN crmAddressTypeID DROP NOT NULL</v>
      </c>
      <c r="AP85" t="e">
        <f t="shared" si="9"/>
        <v>#NAME?</v>
      </c>
    </row>
    <row r="86" spans="1:42">
      <c r="A86">
        <v>17810</v>
      </c>
      <c r="B86" t="s">
        <v>1475</v>
      </c>
      <c r="C86" s="3" t="str">
        <f t="shared" si="6"/>
        <v>mailOptionDefault.ID</v>
      </c>
      <c r="D86">
        <v>708</v>
      </c>
      <c r="E86" s="3" t="str">
        <f t="shared" si="7"/>
        <v>mailOptionDefault</v>
      </c>
      <c r="F86" t="s">
        <v>0</v>
      </c>
      <c r="G86" s="3" t="s">
        <v>6713</v>
      </c>
      <c r="H86" s="3" t="str">
        <f t="shared" si="8"/>
        <v>mail.OptionDefault</v>
      </c>
      <c r="J86" s="3"/>
      <c r="K86" t="s">
        <v>0</v>
      </c>
      <c r="M86" t="s">
        <v>6007</v>
      </c>
      <c r="Q86" t="s">
        <v>919</v>
      </c>
      <c r="T86" s="3"/>
      <c r="U86" t="s">
        <v>95</v>
      </c>
      <c r="AK86" t="str">
        <f t="shared" ref="AK86:AK91" si="11">"SELECT (SELECT '"&amp;C86&amp;"' ColumnName from "&amp;E86&amp;" where "&amp;F86&amp;" is null and exists (select from "&amp;E86&amp;") limit 1) a union all"</f>
        <v>SELECT (SELECT 'mailOptionDefault.ID' ColumnName from mailOptionDefault where ID is null and exists (select from mailOptionDefault) limit 1) a union all</v>
      </c>
      <c r="AO86" t="e">
        <f>SUBSTITUTE(VLOOKUP(V86,DictionaryTableID,16,FALSE)&amp;"ID",".","")</f>
        <v>#N/A</v>
      </c>
      <c r="AP86" t="e">
        <f t="shared" si="9"/>
        <v>#NAME?</v>
      </c>
    </row>
    <row r="87" spans="1:42">
      <c r="A87">
        <v>17830</v>
      </c>
      <c r="B87" t="s">
        <v>1475</v>
      </c>
      <c r="C87" s="3" t="str">
        <f t="shared" si="6"/>
        <v>mailOptionDefault.mailDistributionRuleDeliveryMethodID</v>
      </c>
      <c r="D87">
        <v>708</v>
      </c>
      <c r="E87" s="3" t="str">
        <f t="shared" si="7"/>
        <v>mailOptionDefault</v>
      </c>
      <c r="F87" t="str">
        <f>VLOOKUP(V87,SystemTableId,3,FALSE)&amp;"ID"&amp;X87</f>
        <v>mailDistributionRuleDeliveryMethodID</v>
      </c>
      <c r="G87" s="3" t="s">
        <v>6692</v>
      </c>
      <c r="H87" s="3" t="str">
        <f t="shared" si="8"/>
        <v>mail.OptionDefault</v>
      </c>
      <c r="J87" s="3"/>
      <c r="K87" t="s">
        <v>1370</v>
      </c>
      <c r="M87" t="s">
        <v>6007</v>
      </c>
      <c r="Q87" t="s">
        <v>92</v>
      </c>
      <c r="T87" s="3"/>
      <c r="U87" t="s">
        <v>96</v>
      </c>
      <c r="V87">
        <v>704</v>
      </c>
      <c r="W87" s="3" t="str">
        <f>VLOOKUP(V87,SystemTableId,3,FALSE)</f>
        <v>mailDistributionRuleDeliveryMethod</v>
      </c>
      <c r="Z87" t="s">
        <v>1371</v>
      </c>
      <c r="AB87" t="s">
        <v>92</v>
      </c>
      <c r="AK87" t="str">
        <f t="shared" si="11"/>
        <v>SELECT (SELECT 'mailOptionDefault.mailDistributionRuleDeliveryMethodID' ColumnName from mailOptionDefault where mailDistributionRuleDeliveryMethodID is null and exists (select from mailOptionDefault) limit 1) a union all</v>
      </c>
      <c r="AO87" t="e">
        <f>SUBSTITUTE(VLOOKUP(V87,DictionaryTableID,16,FALSE)&amp;"ID",".","")</f>
        <v>#N/A</v>
      </c>
      <c r="AP87" t="e">
        <f t="shared" si="9"/>
        <v>#NAME?</v>
      </c>
    </row>
    <row r="88" spans="1:42">
      <c r="A88">
        <v>17840</v>
      </c>
      <c r="B88" t="s">
        <v>1475</v>
      </c>
      <c r="C88" s="3" t="str">
        <f t="shared" si="6"/>
        <v>mailOptionDefault.mailDistributionTypeID</v>
      </c>
      <c r="D88">
        <v>708</v>
      </c>
      <c r="E88" s="3" t="str">
        <f t="shared" si="7"/>
        <v>mailOptionDefault</v>
      </c>
      <c r="F88" t="str">
        <f>VLOOKUP(V88,SystemTableId,3,FALSE)&amp;"ID"&amp;X88</f>
        <v>mailDistributionTypeID</v>
      </c>
      <c r="G88" s="3" t="s">
        <v>6682</v>
      </c>
      <c r="H88" s="3" t="str">
        <f t="shared" si="8"/>
        <v>mail.OptionDefault</v>
      </c>
      <c r="J88" s="3"/>
      <c r="K88" t="s">
        <v>1368</v>
      </c>
      <c r="M88" t="s">
        <v>6007</v>
      </c>
      <c r="Q88" t="s">
        <v>92</v>
      </c>
      <c r="T88" s="3"/>
      <c r="U88" t="s">
        <v>96</v>
      </c>
      <c r="V88">
        <v>705</v>
      </c>
      <c r="W88" s="3" t="str">
        <f>VLOOKUP(V88,SystemTableId,3,FALSE)</f>
        <v>mailDistributionType</v>
      </c>
      <c r="Z88" t="s">
        <v>1369</v>
      </c>
      <c r="AB88" t="s">
        <v>92</v>
      </c>
      <c r="AK88" t="str">
        <f t="shared" si="11"/>
        <v>SELECT (SELECT 'mailOptionDefault.mailDistributionTypeID' ColumnName from mailOptionDefault where mailDistributionTypeID is null and exists (select from mailOptionDefault) limit 1) a union all</v>
      </c>
      <c r="AO88" t="e">
        <f>SUBSTITUTE(VLOOKUP(V88,DictionaryTableID,16,FALSE)&amp;"ID",".","")</f>
        <v>#N/A</v>
      </c>
      <c r="AP88" t="e">
        <f t="shared" si="9"/>
        <v>#NAME?</v>
      </c>
    </row>
    <row r="89" spans="1:42">
      <c r="A89">
        <v>17850</v>
      </c>
      <c r="B89" t="s">
        <v>1475</v>
      </c>
      <c r="C89" s="3" t="str">
        <f t="shared" si="6"/>
        <v>mailOptionDefault.mailSupressReasonID</v>
      </c>
      <c r="D89">
        <v>708</v>
      </c>
      <c r="E89" s="3" t="str">
        <f t="shared" si="7"/>
        <v>mailOptionDefault</v>
      </c>
      <c r="F89" t="str">
        <f>VLOOKUP(V89,SystemTableId,3,FALSE)&amp;"ID"&amp;X89</f>
        <v>mailSupressReasonID</v>
      </c>
      <c r="G89" s="3" t="s">
        <v>6712</v>
      </c>
      <c r="H89" s="3" t="str">
        <f t="shared" si="8"/>
        <v>mail.OptionDefault</v>
      </c>
      <c r="J89" s="3"/>
      <c r="K89" t="s">
        <v>1400</v>
      </c>
      <c r="M89" t="s">
        <v>6007</v>
      </c>
      <c r="Q89" t="s">
        <v>92</v>
      </c>
      <c r="T89" s="3"/>
      <c r="U89" t="s">
        <v>96</v>
      </c>
      <c r="V89">
        <v>710</v>
      </c>
      <c r="W89" s="3" t="str">
        <f>VLOOKUP(V89,SystemTableId,3,FALSE)</f>
        <v>mailSupressReason</v>
      </c>
      <c r="Z89" t="s">
        <v>1401</v>
      </c>
      <c r="AB89" t="s">
        <v>92</v>
      </c>
      <c r="AK89" t="str">
        <f t="shared" si="11"/>
        <v>SELECT (SELECT 'mailOptionDefault.mailSupressReasonID' ColumnName from mailOptionDefault where mailSupressReasonID is null and exists (select from mailOptionDefault) limit 1) a union all</v>
      </c>
      <c r="AO89" t="e">
        <f>SUBSTITUTE(VLOOKUP(V89,DictionaryTableID,16,FALSE)&amp;"ID",".","")</f>
        <v>#N/A</v>
      </c>
      <c r="AP89" t="e">
        <f t="shared" si="9"/>
        <v>#NAME?</v>
      </c>
    </row>
    <row r="90" spans="1:42">
      <c r="A90">
        <v>17860</v>
      </c>
      <c r="B90" t="s">
        <v>1475</v>
      </c>
      <c r="C90" s="3" t="str">
        <f t="shared" si="6"/>
        <v>mailOptionDefault.RowStatus</v>
      </c>
      <c r="D90">
        <v>708</v>
      </c>
      <c r="E90" s="3" t="str">
        <f t="shared" si="7"/>
        <v>mailOptionDefault</v>
      </c>
      <c r="F90" t="s">
        <v>1445</v>
      </c>
      <c r="G90" s="3" t="s">
        <v>6411</v>
      </c>
      <c r="H90" s="3" t="str">
        <f t="shared" si="8"/>
        <v>mail.OptionDefault</v>
      </c>
      <c r="J90" s="3"/>
      <c r="K90" s="3" t="s">
        <v>2471</v>
      </c>
      <c r="M90" t="s">
        <v>976</v>
      </c>
      <c r="N90">
        <v>1</v>
      </c>
      <c r="Q90" t="s">
        <v>92</v>
      </c>
      <c r="T90" s="3"/>
      <c r="U90" t="s">
        <v>94</v>
      </c>
      <c r="AK90" t="str">
        <f t="shared" si="11"/>
        <v>SELECT (SELECT 'mailOptionDefault.RowStatus' ColumnName from mailOptionDefault where RowStatus is null and exists (select from mailOptionDefault) limit 1) a union all</v>
      </c>
      <c r="AP90" t="e">
        <f t="shared" si="9"/>
        <v>#NAME?</v>
      </c>
    </row>
    <row r="91" spans="1:42">
      <c r="A91">
        <v>17870</v>
      </c>
      <c r="B91" t="s">
        <v>1475</v>
      </c>
      <c r="C91" s="3" t="str">
        <f t="shared" si="6"/>
        <v>mailOptionDefault.sysChangeHistoryID</v>
      </c>
      <c r="D91">
        <v>708</v>
      </c>
      <c r="E91" s="3" t="str">
        <f t="shared" si="7"/>
        <v>mailOptionDefault</v>
      </c>
      <c r="F91" t="s">
        <v>2497</v>
      </c>
      <c r="G91" s="3" t="s">
        <v>6403</v>
      </c>
      <c r="H91" s="3" t="str">
        <f t="shared" si="8"/>
        <v>mail.OptionDefault</v>
      </c>
      <c r="J91" s="3"/>
      <c r="K91" t="s">
        <v>1210</v>
      </c>
      <c r="M91" t="s">
        <v>6007</v>
      </c>
      <c r="Q91" t="s">
        <v>92</v>
      </c>
      <c r="T91" s="3"/>
      <c r="U91" t="s">
        <v>1429</v>
      </c>
      <c r="W91" s="3"/>
      <c r="AK91" t="str">
        <f t="shared" si="11"/>
        <v>SELECT (SELECT 'mailOptionDefault.sysChangeHistoryID' ColumnName from mailOptionDefault where sysChangeHistoryID is null and exists (select from mailOptionDefault) limit 1) a union all</v>
      </c>
      <c r="AP91" t="e">
        <f t="shared" si="9"/>
        <v>#NAME?</v>
      </c>
    </row>
    <row r="92" spans="1:42">
      <c r="A92">
        <v>17890</v>
      </c>
      <c r="B92" t="s">
        <v>1475</v>
      </c>
      <c r="C92" s="3" t="str">
        <f t="shared" si="6"/>
        <v>mailStatus.Description</v>
      </c>
      <c r="D92">
        <v>709</v>
      </c>
      <c r="E92" s="3" t="str">
        <f t="shared" si="7"/>
        <v>mailStatus</v>
      </c>
      <c r="F92" t="s">
        <v>12</v>
      </c>
      <c r="G92" t="s">
        <v>12</v>
      </c>
      <c r="H92" s="3" t="str">
        <f t="shared" si="8"/>
        <v>mail.Status</v>
      </c>
      <c r="J92" s="3"/>
      <c r="K92" t="s">
        <v>12</v>
      </c>
      <c r="M92" t="s">
        <v>196</v>
      </c>
      <c r="Q92" s="3" t="s">
        <v>919</v>
      </c>
      <c r="T92" s="3"/>
      <c r="U92" s="3" t="s">
        <v>93</v>
      </c>
      <c r="W92" s="4"/>
      <c r="X92" s="3"/>
      <c r="Y92" t="s">
        <v>92</v>
      </c>
      <c r="AB92" t="s">
        <v>92</v>
      </c>
      <c r="AH92" t="s">
        <v>92</v>
      </c>
      <c r="AJ92" t="str">
        <f>"SELECT (SELECT '"&amp;C92&amp;"' ColumnName from "&amp;E92&amp;" where "&amp;F92&amp;" is null and exists (select from "&amp;E92&amp;") limit 1) ColumnName union all"</f>
        <v>SELECT (SELECT 'mailStatus.Description' ColumnName from mailStatus where Description is null and exists (select from mailStatus) limit 1) ColumnName union all</v>
      </c>
      <c r="AL92" t="str">
        <f>"ALTER TABLE "&amp;E92&amp;" ALTER COLUMN "&amp;F92&amp;" DROP NOT NULL"</f>
        <v>ALTER TABLE mailStatus ALTER COLUMN Description DROP NOT NULL</v>
      </c>
      <c r="AP92" t="e">
        <f t="shared" si="9"/>
        <v>#NAME?</v>
      </c>
    </row>
    <row r="93" spans="1:42">
      <c r="A93">
        <v>17880</v>
      </c>
      <c r="B93" t="s">
        <v>1475</v>
      </c>
      <c r="C93" s="3" t="str">
        <f t="shared" si="6"/>
        <v>mailStatus.id</v>
      </c>
      <c r="D93">
        <v>709</v>
      </c>
      <c r="E93" s="3" t="str">
        <f t="shared" si="7"/>
        <v>mailStatus</v>
      </c>
      <c r="F93" t="s">
        <v>1285</v>
      </c>
      <c r="G93" s="3" t="s">
        <v>6714</v>
      </c>
      <c r="H93" s="3" t="str">
        <f t="shared" si="8"/>
        <v>mail.Status</v>
      </c>
      <c r="J93" s="3"/>
      <c r="K93" t="s">
        <v>1285</v>
      </c>
      <c r="M93" t="s">
        <v>6007</v>
      </c>
      <c r="Q93" s="3" t="s">
        <v>919</v>
      </c>
      <c r="T93" s="3"/>
      <c r="U93" s="3" t="s">
        <v>95</v>
      </c>
      <c r="W93" s="4"/>
      <c r="X93" s="3"/>
      <c r="AJ93" t="str">
        <f>"SELECT (SELECT '"&amp;C93&amp;"' ColumnName from "&amp;E93&amp;" where "&amp;F93&amp;" is null and exists (select from "&amp;E93&amp;") limit 1) ColumnName union all"</f>
        <v>SELECT (SELECT 'mailStatus.id' ColumnName from mailStatus where id is null and exists (select from mailStatus) limit 1) ColumnName union all</v>
      </c>
      <c r="AL93" t="str">
        <f>"ALTER TABLE "&amp;E93&amp;" ALTER COLUMN "&amp;F93&amp;" DROP NOT NULL"</f>
        <v>ALTER TABLE mailStatus ALTER COLUMN id DROP NOT NULL</v>
      </c>
      <c r="AP93" t="e">
        <f t="shared" si="9"/>
        <v>#NAME?</v>
      </c>
    </row>
    <row r="94" spans="1:42">
      <c r="A94">
        <v>17910</v>
      </c>
      <c r="B94" t="s">
        <v>1475</v>
      </c>
      <c r="C94" s="3" t="str">
        <f t="shared" si="6"/>
        <v>mailStatus.RowStatus</v>
      </c>
      <c r="D94">
        <v>709</v>
      </c>
      <c r="E94" s="3" t="str">
        <f t="shared" si="7"/>
        <v>mailStatus</v>
      </c>
      <c r="F94" t="s">
        <v>1445</v>
      </c>
      <c r="G94" s="3" t="s">
        <v>6411</v>
      </c>
      <c r="H94" s="3" t="str">
        <f t="shared" si="8"/>
        <v>mail.Status</v>
      </c>
      <c r="J94" s="3"/>
      <c r="K94" t="s">
        <v>2471</v>
      </c>
      <c r="M94" t="s">
        <v>976</v>
      </c>
      <c r="N94">
        <v>1</v>
      </c>
      <c r="Q94" s="3" t="s">
        <v>919</v>
      </c>
      <c r="S94" s="14"/>
      <c r="T94" s="3"/>
      <c r="U94" t="s">
        <v>94</v>
      </c>
      <c r="W94" s="4"/>
      <c r="X94" s="3"/>
      <c r="AJ94" t="str">
        <f>"SELECT (SELECT '"&amp;C94&amp;"' ColumnName from "&amp;E94&amp;" where "&amp;F94&amp;" is null and exists (select from "&amp;E94&amp;") limit 1) ColumnName union all"</f>
        <v>SELECT (SELECT 'mailStatus.RowStatus' ColumnName from mailStatus where RowStatus is null and exists (select from mailStatus) limit 1) ColumnName union all</v>
      </c>
      <c r="AL94" t="str">
        <f>"ALTER TABLE "&amp;E94&amp;" ALTER COLUMN "&amp;F94&amp;" DROP NOT NULL"</f>
        <v>ALTER TABLE mailStatus ALTER COLUMN RowStatus DROP NOT NULL</v>
      </c>
      <c r="AP94" t="e">
        <f t="shared" si="9"/>
        <v>#NAME?</v>
      </c>
    </row>
    <row r="95" spans="1:42">
      <c r="A95">
        <v>17900</v>
      </c>
      <c r="B95" t="s">
        <v>1475</v>
      </c>
      <c r="C95" s="3" t="str">
        <f t="shared" si="6"/>
        <v>mailStatus.ShortCode</v>
      </c>
      <c r="D95">
        <v>709</v>
      </c>
      <c r="E95" s="3" t="str">
        <f t="shared" si="7"/>
        <v>mailStatus</v>
      </c>
      <c r="F95" t="s">
        <v>16</v>
      </c>
      <c r="G95" t="s">
        <v>16</v>
      </c>
      <c r="H95" s="3" t="str">
        <f t="shared" si="8"/>
        <v>mail.Status</v>
      </c>
      <c r="J95" s="3"/>
      <c r="K95" s="3" t="s">
        <v>117</v>
      </c>
      <c r="M95" t="s">
        <v>196</v>
      </c>
      <c r="N95" s="3"/>
      <c r="Q95" s="3" t="s">
        <v>92</v>
      </c>
      <c r="T95" s="3"/>
      <c r="U95" s="3" t="s">
        <v>93</v>
      </c>
      <c r="W95" s="4"/>
      <c r="X95" s="3"/>
      <c r="AB95" t="s">
        <v>92</v>
      </c>
      <c r="AH95" t="s">
        <v>92</v>
      </c>
      <c r="AJ95" t="str">
        <f>"SELECT (SELECT '"&amp;C95&amp;"' ColumnName from "&amp;E95&amp;" where "&amp;F95&amp;" is null and exists (select from "&amp;E95&amp;") limit 1) ColumnName union all"</f>
        <v>SELECT (SELECT 'mailStatus.ShortCode' ColumnName from mailStatus where ShortCode is null and exists (select from mailStatus) limit 1) ColumnName union all</v>
      </c>
      <c r="AL95" t="str">
        <f>"ALTER TABLE "&amp;E95&amp;" ALTER COLUMN "&amp;F95&amp;" DROP NOT NULL"</f>
        <v>ALTER TABLE mailStatus ALTER COLUMN ShortCode DROP NOT NULL</v>
      </c>
      <c r="AP95" t="e">
        <f t="shared" si="9"/>
        <v>#NAME?</v>
      </c>
    </row>
    <row r="96" spans="1:42">
      <c r="A96">
        <v>17920</v>
      </c>
      <c r="B96" t="s">
        <v>1475</v>
      </c>
      <c r="C96" s="3" t="str">
        <f t="shared" si="6"/>
        <v>mailStatus.sysChangeHistoryID</v>
      </c>
      <c r="D96">
        <v>709</v>
      </c>
      <c r="E96" s="3" t="str">
        <f t="shared" si="7"/>
        <v>mailStatus</v>
      </c>
      <c r="F96" t="s">
        <v>2497</v>
      </c>
      <c r="G96" s="3" t="s">
        <v>6403</v>
      </c>
      <c r="H96" s="3" t="str">
        <f t="shared" si="8"/>
        <v>mail.Status</v>
      </c>
      <c r="J96" s="3"/>
      <c r="K96" t="s">
        <v>1210</v>
      </c>
      <c r="M96" t="s">
        <v>6007</v>
      </c>
      <c r="Q96" t="s">
        <v>92</v>
      </c>
      <c r="T96" s="3"/>
      <c r="U96" t="s">
        <v>1429</v>
      </c>
      <c r="W96" s="3"/>
      <c r="X96" s="3"/>
      <c r="AK96" t="str">
        <f>"SELECT (SELECT '"&amp;C96&amp;"' ColumnName from "&amp;E96&amp;" where "&amp;F96&amp;" is null and exists (select from "&amp;E96&amp;") limit 1) a union all"</f>
        <v>SELECT (SELECT 'mailStatus.sysChangeHistoryID' ColumnName from mailStatus where sysChangeHistoryID is null and exists (select from mailStatus) limit 1) a union all</v>
      </c>
      <c r="AP96" t="e">
        <f t="shared" si="9"/>
        <v>#NAME?</v>
      </c>
    </row>
    <row r="97" spans="1:42">
      <c r="A97">
        <v>17940</v>
      </c>
      <c r="B97" s="3" t="s">
        <v>1475</v>
      </c>
      <c r="C97" s="3" t="str">
        <f t="shared" si="6"/>
        <v>mailSupressReason.Description</v>
      </c>
      <c r="D97">
        <v>710</v>
      </c>
      <c r="E97" s="3" t="str">
        <f t="shared" si="7"/>
        <v>mailSupressReason</v>
      </c>
      <c r="F97" t="s">
        <v>12</v>
      </c>
      <c r="G97" s="3" t="s">
        <v>6423</v>
      </c>
      <c r="H97" s="3" t="str">
        <f t="shared" si="8"/>
        <v>mail.SupressReason</v>
      </c>
      <c r="J97" s="3"/>
      <c r="K97" s="3" t="s">
        <v>12</v>
      </c>
      <c r="L97" s="3"/>
      <c r="M97" t="s">
        <v>196</v>
      </c>
      <c r="P97" s="3"/>
      <c r="Q97" s="3" t="s">
        <v>919</v>
      </c>
      <c r="R97" s="3"/>
      <c r="S97" s="3"/>
      <c r="T97" s="3"/>
      <c r="U97" t="s">
        <v>93</v>
      </c>
      <c r="Y97" t="s">
        <v>92</v>
      </c>
      <c r="AB97" t="s">
        <v>92</v>
      </c>
      <c r="AH97" t="s">
        <v>92</v>
      </c>
      <c r="AJ97" t="str">
        <f>"SELECT (SELECT '"&amp;C97&amp;"' ColumnName from "&amp;E97&amp;" where "&amp;F97&amp;" is null and exists (select from "&amp;E97&amp;") limit 1) ColumnName union all"</f>
        <v>SELECT (SELECT 'mailSupressReason.Description' ColumnName from mailSupressReason where Description is null and exists (select from mailSupressReason) limit 1) ColumnName union all</v>
      </c>
      <c r="AL97" t="str">
        <f>"ALTER TABLE "&amp;E97&amp;" ALTER COLUMN "&amp;F97&amp;" DROP NOT NULL"</f>
        <v>ALTER TABLE mailSupressReason ALTER COLUMN Description DROP NOT NULL</v>
      </c>
      <c r="AP97" t="e">
        <f t="shared" si="9"/>
        <v>#NAME?</v>
      </c>
    </row>
    <row r="98" spans="1:42">
      <c r="A98">
        <v>17950</v>
      </c>
      <c r="B98" s="3" t="s">
        <v>1475</v>
      </c>
      <c r="C98" s="3" t="str">
        <f t="shared" si="6"/>
        <v>mailSupressReason.DisplaySequence</v>
      </c>
      <c r="D98">
        <v>710</v>
      </c>
      <c r="E98" s="3" t="str">
        <f t="shared" si="7"/>
        <v>mailSupressReason</v>
      </c>
      <c r="F98" t="s">
        <v>6055</v>
      </c>
      <c r="G98" s="3" t="s">
        <v>6432</v>
      </c>
      <c r="H98" s="3" t="str">
        <f t="shared" si="8"/>
        <v>mail.SupressReason</v>
      </c>
      <c r="J98" s="3"/>
      <c r="K98" s="3" t="s">
        <v>6297</v>
      </c>
      <c r="L98" s="3"/>
      <c r="M98" t="s">
        <v>195</v>
      </c>
      <c r="P98" s="3"/>
      <c r="Q98" s="3" t="s">
        <v>919</v>
      </c>
      <c r="R98" s="3"/>
      <c r="S98" s="3"/>
      <c r="T98" s="3"/>
      <c r="U98" t="s">
        <v>93</v>
      </c>
      <c r="AJ98" t="str">
        <f>"SELECT (SELECT '"&amp;C98&amp;"' ColumnName from "&amp;E98&amp;" where "&amp;F98&amp;" is null and exists (select from "&amp;E98&amp;") limit 1) ColumnName union all"</f>
        <v>SELECT (SELECT 'mailSupressReason.DisplaySequence' ColumnName from mailSupressReason where DisplaySequence is null and exists (select from mailSupressReason) limit 1) ColumnName union all</v>
      </c>
      <c r="AL98" t="str">
        <f>"ALTER TABLE "&amp;E98&amp;" ALTER COLUMN "&amp;F98&amp;" DROP NOT NULL"</f>
        <v>ALTER TABLE mailSupressReason ALTER COLUMN DisplaySequence DROP NOT NULL</v>
      </c>
      <c r="AP98" t="e">
        <f t="shared" si="9"/>
        <v>#NAME?</v>
      </c>
    </row>
    <row r="99" spans="1:42">
      <c r="A99">
        <v>17930</v>
      </c>
      <c r="B99" s="3" t="s">
        <v>1475</v>
      </c>
      <c r="C99" s="3" t="str">
        <f t="shared" si="6"/>
        <v>mailSupressReason.ID</v>
      </c>
      <c r="D99">
        <v>710</v>
      </c>
      <c r="E99" s="3" t="str">
        <f t="shared" si="7"/>
        <v>mailSupressReason</v>
      </c>
      <c r="F99" t="s">
        <v>0</v>
      </c>
      <c r="G99" s="3" t="s">
        <v>6715</v>
      </c>
      <c r="H99" s="3" t="str">
        <f t="shared" si="8"/>
        <v>mail.SupressReason</v>
      </c>
      <c r="J99" s="3"/>
      <c r="K99" s="3" t="s">
        <v>0</v>
      </c>
      <c r="L99" s="3"/>
      <c r="M99" t="s">
        <v>6007</v>
      </c>
      <c r="P99" s="3"/>
      <c r="Q99" s="3" t="s">
        <v>919</v>
      </c>
      <c r="R99" s="3"/>
      <c r="S99" s="3"/>
      <c r="T99" s="3"/>
      <c r="U99" s="3" t="s">
        <v>95</v>
      </c>
      <c r="AJ99" t="str">
        <f>"SELECT (SELECT '"&amp;C99&amp;"' ColumnName from "&amp;E99&amp;" where "&amp;F99&amp;" is null and exists (select from "&amp;E99&amp;") limit 1) ColumnName union all"</f>
        <v>SELECT (SELECT 'mailSupressReason.ID' ColumnName from mailSupressReason where ID is null and exists (select from mailSupressReason) limit 1) ColumnName union all</v>
      </c>
      <c r="AL99" t="str">
        <f>"ALTER TABLE "&amp;E99&amp;" ALTER COLUMN "&amp;F99&amp;" DROP NOT NULL"</f>
        <v>ALTER TABLE mailSupressReason ALTER COLUMN ID DROP NOT NULL</v>
      </c>
      <c r="AP99" t="e">
        <f t="shared" si="9"/>
        <v>#NAME?</v>
      </c>
    </row>
    <row r="100" spans="1:42">
      <c r="A100">
        <v>17970</v>
      </c>
      <c r="B100" s="3" t="s">
        <v>1475</v>
      </c>
      <c r="C100" s="3" t="str">
        <f t="shared" si="6"/>
        <v>mailSupressReason.RowStatus</v>
      </c>
      <c r="D100">
        <v>710</v>
      </c>
      <c r="E100" s="3" t="str">
        <f t="shared" si="7"/>
        <v>mailSupressReason</v>
      </c>
      <c r="F100" t="s">
        <v>1445</v>
      </c>
      <c r="G100" s="3" t="s">
        <v>6411</v>
      </c>
      <c r="H100" s="3" t="str">
        <f t="shared" si="8"/>
        <v>mail.SupressReason</v>
      </c>
      <c r="J100" s="3"/>
      <c r="K100" s="3" t="s">
        <v>2471</v>
      </c>
      <c r="L100" s="3"/>
      <c r="M100" t="s">
        <v>976</v>
      </c>
      <c r="N100">
        <v>1</v>
      </c>
      <c r="P100" s="3"/>
      <c r="Q100" s="3" t="s">
        <v>919</v>
      </c>
      <c r="R100" s="3"/>
      <c r="S100" s="3"/>
      <c r="T100" s="3"/>
      <c r="U100" t="s">
        <v>94</v>
      </c>
      <c r="AJ100" t="str">
        <f>"SELECT (SELECT '"&amp;C100&amp;"' ColumnName from "&amp;E100&amp;" where "&amp;F100&amp;" is null and exists (select from "&amp;E100&amp;") limit 1) ColumnName union all"</f>
        <v>SELECT (SELECT 'mailSupressReason.RowStatus' ColumnName from mailSupressReason where RowStatus is null and exists (select from mailSupressReason) limit 1) ColumnName union all</v>
      </c>
      <c r="AL100" t="str">
        <f>"ALTER TABLE "&amp;E100&amp;" ALTER COLUMN "&amp;F100&amp;" DROP NOT NULL"</f>
        <v>ALTER TABLE mailSupressReason ALTER COLUMN RowStatus DROP NOT NULL</v>
      </c>
      <c r="AP100" t="e">
        <f t="shared" si="9"/>
        <v>#NAME?</v>
      </c>
    </row>
    <row r="101" spans="1:42">
      <c r="A101">
        <v>17960</v>
      </c>
      <c r="B101" s="3" t="s">
        <v>1475</v>
      </c>
      <c r="C101" s="3" t="str">
        <f t="shared" si="6"/>
        <v>mailSupressReason.ShortCode</v>
      </c>
      <c r="D101">
        <v>710</v>
      </c>
      <c r="E101" s="3" t="str">
        <f t="shared" si="7"/>
        <v>mailSupressReason</v>
      </c>
      <c r="F101" t="s">
        <v>16</v>
      </c>
      <c r="G101" s="3" t="s">
        <v>6434</v>
      </c>
      <c r="H101" s="3" t="str">
        <f t="shared" si="8"/>
        <v>mail.SupressReason</v>
      </c>
      <c r="J101" s="3"/>
      <c r="K101" s="3" t="s">
        <v>117</v>
      </c>
      <c r="L101" s="3"/>
      <c r="M101" t="s">
        <v>196</v>
      </c>
      <c r="P101" s="3"/>
      <c r="Q101" s="3" t="s">
        <v>92</v>
      </c>
      <c r="R101" s="3"/>
      <c r="S101" s="3"/>
      <c r="T101" s="3"/>
      <c r="U101" t="s">
        <v>93</v>
      </c>
      <c r="AB101" t="s">
        <v>92</v>
      </c>
      <c r="AH101" t="s">
        <v>92</v>
      </c>
      <c r="AJ101" t="str">
        <f>"SELECT (SELECT '"&amp;C101&amp;"' ColumnName from "&amp;E101&amp;" where "&amp;F101&amp;" is null and exists (select from "&amp;E101&amp;") limit 1) ColumnName union all"</f>
        <v>SELECT (SELECT 'mailSupressReason.ShortCode' ColumnName from mailSupressReason where ShortCode is null and exists (select from mailSupressReason) limit 1) ColumnName union all</v>
      </c>
      <c r="AL101" t="str">
        <f>"ALTER TABLE "&amp;E101&amp;" ALTER COLUMN "&amp;F101&amp;" DROP NOT NULL"</f>
        <v>ALTER TABLE mailSupressReason ALTER COLUMN ShortCode DROP NOT NULL</v>
      </c>
      <c r="AP101" t="e">
        <f t="shared" si="9"/>
        <v>#NAME?</v>
      </c>
    </row>
    <row r="102" spans="1:42">
      <c r="A102">
        <v>17980</v>
      </c>
      <c r="B102" t="s">
        <v>1475</v>
      </c>
      <c r="C102" s="3" t="str">
        <f t="shared" si="6"/>
        <v>mailSupressReason.sysChangeHistoryID</v>
      </c>
      <c r="D102">
        <v>710</v>
      </c>
      <c r="E102" s="3" t="str">
        <f t="shared" si="7"/>
        <v>mailSupressReason</v>
      </c>
      <c r="F102" t="s">
        <v>2497</v>
      </c>
      <c r="G102" s="3" t="s">
        <v>6403</v>
      </c>
      <c r="H102" s="3" t="str">
        <f t="shared" si="8"/>
        <v>mail.SupressReason</v>
      </c>
      <c r="J102" s="3"/>
      <c r="K102" t="s">
        <v>1210</v>
      </c>
      <c r="M102" t="s">
        <v>6007</v>
      </c>
      <c r="Q102" t="s">
        <v>92</v>
      </c>
      <c r="T102" s="3"/>
      <c r="U102" t="s">
        <v>1429</v>
      </c>
      <c r="W102" s="3"/>
      <c r="X102" s="3"/>
      <c r="AK102" t="str">
        <f>"SELECT (SELECT '"&amp;C102&amp;"' ColumnName from "&amp;E102&amp;" where "&amp;F102&amp;" is null and exists (select from "&amp;E102&amp;") limit 1) a union all"</f>
        <v>SELECT (SELECT 'mailSupressReason.sysChangeHistoryID' ColumnName from mailSupressReason where sysChangeHistoryID is null and exists (select from mailSupressReason) limit 1) a union all</v>
      </c>
      <c r="AP102" t="e">
        <f t="shared" si="9"/>
        <v>#NAME?</v>
      </c>
    </row>
    <row r="103" spans="1:42">
      <c r="A103">
        <v>18010</v>
      </c>
      <c r="B103" t="s">
        <v>1475</v>
      </c>
      <c r="C103" s="3" t="str">
        <f t="shared" si="6"/>
        <v>mailTemplate.DefaultMessage</v>
      </c>
      <c r="D103">
        <v>711</v>
      </c>
      <c r="E103" s="3" t="str">
        <f t="shared" si="7"/>
        <v>mailTemplate</v>
      </c>
      <c r="F103" t="s">
        <v>1404</v>
      </c>
      <c r="G103" s="3" t="s">
        <v>6718</v>
      </c>
      <c r="H103" s="3" t="str">
        <f t="shared" si="8"/>
        <v>mail.Template</v>
      </c>
      <c r="J103" s="3"/>
      <c r="K103" t="s">
        <v>1404</v>
      </c>
      <c r="M103" t="s">
        <v>196</v>
      </c>
      <c r="Q103" t="s">
        <v>92</v>
      </c>
      <c r="T103" s="3"/>
      <c r="U103" t="s">
        <v>93</v>
      </c>
      <c r="AB103" t="s">
        <v>92</v>
      </c>
      <c r="AJ103" t="str">
        <f>"SELECT (SELECT '"&amp;C103&amp;"' ColumnName from "&amp;E103&amp;" where "&amp;F103&amp;" is null and exists (select from "&amp;E103&amp;") limit 1) ColumnName union all"</f>
        <v>SELECT (SELECT 'mailTemplate.DefaultMessage' ColumnName from mailTemplate where DefaultMessage is null and exists (select from mailTemplate) limit 1) ColumnName union all</v>
      </c>
      <c r="AL103" t="str">
        <f>"ALTER TABLE "&amp;E103&amp;" ALTER COLUMN "&amp;F103&amp;" DROP NOT NULL"</f>
        <v>ALTER TABLE mailTemplate ALTER COLUMN DefaultMessage DROP NOT NULL</v>
      </c>
      <c r="AP103" t="e">
        <f t="shared" si="9"/>
        <v>#NAME?</v>
      </c>
    </row>
    <row r="104" spans="1:42">
      <c r="A104">
        <v>18020</v>
      </c>
      <c r="B104" t="s">
        <v>1475</v>
      </c>
      <c r="C104" s="3" t="str">
        <f t="shared" si="6"/>
        <v>mailTemplate.DefaultSubject</v>
      </c>
      <c r="D104">
        <v>711</v>
      </c>
      <c r="E104" s="3" t="str">
        <f t="shared" si="7"/>
        <v>mailTemplate</v>
      </c>
      <c r="F104" t="s">
        <v>1403</v>
      </c>
      <c r="G104" s="3" t="s">
        <v>6719</v>
      </c>
      <c r="H104" s="3" t="str">
        <f t="shared" si="8"/>
        <v>mail.Template</v>
      </c>
      <c r="J104" s="3"/>
      <c r="K104" t="s">
        <v>1403</v>
      </c>
      <c r="M104" t="s">
        <v>1073</v>
      </c>
      <c r="Q104" t="s">
        <v>92</v>
      </c>
      <c r="T104" s="3"/>
      <c r="U104" t="s">
        <v>93</v>
      </c>
      <c r="AB104" t="s">
        <v>92</v>
      </c>
      <c r="AK104" t="str">
        <f t="shared" ref="AK104:AK112" si="12">"SELECT (SELECT '"&amp;C104&amp;"' ColumnName from "&amp;E104&amp;" where "&amp;F104&amp;" is null and exists (select from "&amp;E104&amp;") limit 1) a union all"</f>
        <v>SELECT (SELECT 'mailTemplate.DefaultSubject' ColumnName from mailTemplate where DefaultSubject is null and exists (select from mailTemplate) limit 1) a union all</v>
      </c>
      <c r="AO104" t="e">
        <f>SUBSTITUTE(VLOOKUP(V104,DictionaryTableID,16,FALSE)&amp;"ID",".","")</f>
        <v>#N/A</v>
      </c>
      <c r="AP104" t="e">
        <f t="shared" si="9"/>
        <v>#NAME?</v>
      </c>
    </row>
    <row r="105" spans="1:42">
      <c r="A105">
        <v>18030</v>
      </c>
      <c r="B105" t="s">
        <v>1475</v>
      </c>
      <c r="C105" s="3" t="str">
        <f t="shared" si="6"/>
        <v>mailTemplate.DocumentName</v>
      </c>
      <c r="D105">
        <v>711</v>
      </c>
      <c r="E105" s="3" t="str">
        <f t="shared" si="7"/>
        <v>mailTemplate</v>
      </c>
      <c r="F105" t="s">
        <v>1376</v>
      </c>
      <c r="G105" s="3" t="s">
        <v>6950</v>
      </c>
      <c r="H105" s="3" t="str">
        <f t="shared" si="8"/>
        <v>mail.Template</v>
      </c>
      <c r="J105" s="3"/>
      <c r="K105" t="s">
        <v>1376</v>
      </c>
      <c r="M105" t="s">
        <v>1073</v>
      </c>
      <c r="Q105" t="s">
        <v>92</v>
      </c>
      <c r="T105" s="3"/>
      <c r="U105" t="s">
        <v>93</v>
      </c>
      <c r="AB105" t="s">
        <v>92</v>
      </c>
      <c r="AK105" t="str">
        <f t="shared" si="12"/>
        <v>SELECT (SELECT 'mailTemplate.DocumentName' ColumnName from mailTemplate where DocumentName is null and exists (select from mailTemplate) limit 1) a union all</v>
      </c>
      <c r="AP105" t="e">
        <f t="shared" si="9"/>
        <v>#NAME?</v>
      </c>
    </row>
    <row r="106" spans="1:42">
      <c r="A106">
        <v>17990</v>
      </c>
      <c r="B106" t="s">
        <v>1475</v>
      </c>
      <c r="C106" s="3" t="str">
        <f t="shared" si="6"/>
        <v>mailTemplate.ID</v>
      </c>
      <c r="D106">
        <v>711</v>
      </c>
      <c r="E106" s="3" t="str">
        <f t="shared" si="7"/>
        <v>mailTemplate</v>
      </c>
      <c r="F106" t="s">
        <v>0</v>
      </c>
      <c r="G106" s="3" t="s">
        <v>6716</v>
      </c>
      <c r="H106" s="3" t="str">
        <f t="shared" si="8"/>
        <v>mail.Template</v>
      </c>
      <c r="J106" s="3"/>
      <c r="K106" t="s">
        <v>0</v>
      </c>
      <c r="M106" t="s">
        <v>6007</v>
      </c>
      <c r="Q106" t="s">
        <v>919</v>
      </c>
      <c r="T106" s="3"/>
      <c r="U106" t="s">
        <v>95</v>
      </c>
      <c r="AK106" t="str">
        <f t="shared" si="12"/>
        <v>SELECT (SELECT 'mailTemplate.ID' ColumnName from mailTemplate where ID is null and exists (select from mailTemplate) limit 1) a union all</v>
      </c>
      <c r="AP106" t="e">
        <f t="shared" si="9"/>
        <v>#NAME?</v>
      </c>
    </row>
    <row r="107" spans="1:42">
      <c r="A107">
        <v>18040</v>
      </c>
      <c r="B107" t="s">
        <v>1475</v>
      </c>
      <c r="C107" s="3" t="str">
        <f t="shared" si="6"/>
        <v>mailTemplate.KeyCode</v>
      </c>
      <c r="D107">
        <v>711</v>
      </c>
      <c r="E107" s="3" t="str">
        <f t="shared" si="7"/>
        <v>mailTemplate</v>
      </c>
      <c r="F107" t="s">
        <v>1402</v>
      </c>
      <c r="G107" s="3" t="s">
        <v>6720</v>
      </c>
      <c r="H107" s="3" t="str">
        <f t="shared" si="8"/>
        <v>mail.Template</v>
      </c>
      <c r="J107" s="3"/>
      <c r="K107" t="s">
        <v>1402</v>
      </c>
      <c r="M107" t="s">
        <v>195</v>
      </c>
      <c r="Q107" t="s">
        <v>92</v>
      </c>
      <c r="T107" s="3"/>
      <c r="U107" t="s">
        <v>93</v>
      </c>
      <c r="AB107" t="s">
        <v>92</v>
      </c>
      <c r="AK107" t="str">
        <f t="shared" si="12"/>
        <v>SELECT (SELECT 'mailTemplate.KeyCode' ColumnName from mailTemplate where KeyCode is null and exists (select from mailTemplate) limit 1) a union all</v>
      </c>
      <c r="AP107" t="e">
        <f t="shared" si="9"/>
        <v>#NAME?</v>
      </c>
    </row>
    <row r="108" spans="1:42">
      <c r="A108">
        <v>18000</v>
      </c>
      <c r="B108" t="s">
        <v>1475</v>
      </c>
      <c r="C108" s="3" t="str">
        <f t="shared" si="6"/>
        <v>mailTemplate.mailDistributionRuleDeliveryMethodID</v>
      </c>
      <c r="D108">
        <v>711</v>
      </c>
      <c r="E108" s="3" t="str">
        <f t="shared" si="7"/>
        <v>mailTemplate</v>
      </c>
      <c r="F108" t="str">
        <f>VLOOKUP(V108,SystemTableId,3,FALSE)&amp;"ID"&amp;X108</f>
        <v>mailDistributionRuleDeliveryMethodID</v>
      </c>
      <c r="G108" s="3" t="s">
        <v>6717</v>
      </c>
      <c r="H108" s="3" t="str">
        <f t="shared" si="8"/>
        <v>mail.Template</v>
      </c>
      <c r="J108" s="3"/>
      <c r="K108" t="s">
        <v>5993</v>
      </c>
      <c r="M108" t="s">
        <v>6007</v>
      </c>
      <c r="Q108" t="s">
        <v>92</v>
      </c>
      <c r="T108" s="3"/>
      <c r="U108" t="s">
        <v>96</v>
      </c>
      <c r="V108">
        <v>704</v>
      </c>
      <c r="W108" s="3" t="str">
        <f>VLOOKUP(V108,SystemTableId,3,FALSE)</f>
        <v>mailDistributionRuleDeliveryMethod</v>
      </c>
      <c r="Z108" t="s">
        <v>1369</v>
      </c>
      <c r="AB108" t="s">
        <v>92</v>
      </c>
      <c r="AK108" t="str">
        <f t="shared" si="12"/>
        <v>SELECT (SELECT 'mailTemplate.mailDistributionRuleDeliveryMethodID' ColumnName from mailTemplate where mailDistributionRuleDeliveryMethodID is null and exists (select from mailTemplate) limit 1) a union all</v>
      </c>
      <c r="AP108" t="e">
        <f t="shared" si="9"/>
        <v>#NAME?</v>
      </c>
    </row>
    <row r="109" spans="1:42">
      <c r="A109">
        <v>18050</v>
      </c>
      <c r="B109" t="s">
        <v>1475</v>
      </c>
      <c r="C109" s="3" t="str">
        <f t="shared" si="6"/>
        <v>mailTemplate.Name</v>
      </c>
      <c r="D109">
        <v>711</v>
      </c>
      <c r="E109" s="3" t="str">
        <f t="shared" si="7"/>
        <v>mailTemplate</v>
      </c>
      <c r="F109" t="s">
        <v>22</v>
      </c>
      <c r="G109" s="3" t="s">
        <v>6951</v>
      </c>
      <c r="H109" s="3" t="str">
        <f t="shared" si="8"/>
        <v>mail.Template</v>
      </c>
      <c r="J109" s="3"/>
      <c r="K109" t="s">
        <v>22</v>
      </c>
      <c r="M109" t="s">
        <v>1073</v>
      </c>
      <c r="N109" s="3"/>
      <c r="Q109" t="s">
        <v>92</v>
      </c>
      <c r="T109" s="3"/>
      <c r="U109" t="s">
        <v>93</v>
      </c>
      <c r="AB109" t="s">
        <v>92</v>
      </c>
      <c r="AH109" t="s">
        <v>92</v>
      </c>
      <c r="AK109" t="str">
        <f t="shared" si="12"/>
        <v>SELECT (SELECT 'mailTemplate.Name' ColumnName from mailTemplate where Name is null and exists (select from mailTemplate) limit 1) a union all</v>
      </c>
      <c r="AP109" t="e">
        <f t="shared" si="9"/>
        <v>#NAME?</v>
      </c>
    </row>
    <row r="110" spans="1:42">
      <c r="A110">
        <v>18060</v>
      </c>
      <c r="B110" t="s">
        <v>1475</v>
      </c>
      <c r="C110" s="3" t="str">
        <f t="shared" si="6"/>
        <v>mailTemplate.RowStatus</v>
      </c>
      <c r="D110">
        <v>711</v>
      </c>
      <c r="E110" s="3" t="str">
        <f t="shared" si="7"/>
        <v>mailTemplate</v>
      </c>
      <c r="F110" t="s">
        <v>1445</v>
      </c>
      <c r="G110" s="3" t="s">
        <v>6411</v>
      </c>
      <c r="H110" s="3" t="str">
        <f t="shared" si="8"/>
        <v>mail.Template</v>
      </c>
      <c r="J110" s="3"/>
      <c r="K110" t="s">
        <v>2471</v>
      </c>
      <c r="M110" t="s">
        <v>976</v>
      </c>
      <c r="N110">
        <v>1</v>
      </c>
      <c r="Q110" t="s">
        <v>92</v>
      </c>
      <c r="T110" s="3"/>
      <c r="U110" t="s">
        <v>94</v>
      </c>
      <c r="AK110" t="str">
        <f t="shared" si="12"/>
        <v>SELECT (SELECT 'mailTemplate.RowStatus' ColumnName from mailTemplate where RowStatus is null and exists (select from mailTemplate) limit 1) a union all</v>
      </c>
      <c r="AP110" t="e">
        <f t="shared" si="9"/>
        <v>#NAME?</v>
      </c>
    </row>
    <row r="111" spans="1:42">
      <c r="A111">
        <v>18070</v>
      </c>
      <c r="B111" t="s">
        <v>1475</v>
      </c>
      <c r="C111" s="3" t="str">
        <f t="shared" si="6"/>
        <v>mailTemplate.sysChangeHistoryID</v>
      </c>
      <c r="D111">
        <v>711</v>
      </c>
      <c r="E111" s="3" t="str">
        <f t="shared" si="7"/>
        <v>mailTemplate</v>
      </c>
      <c r="F111" t="s">
        <v>2497</v>
      </c>
      <c r="G111" s="3" t="s">
        <v>6403</v>
      </c>
      <c r="H111" s="3" t="str">
        <f t="shared" si="8"/>
        <v>mail.Template</v>
      </c>
      <c r="J111" s="3"/>
      <c r="K111" t="s">
        <v>1210</v>
      </c>
      <c r="M111" t="s">
        <v>6007</v>
      </c>
      <c r="Q111" t="s">
        <v>92</v>
      </c>
      <c r="T111" s="3"/>
      <c r="U111" t="s">
        <v>1429</v>
      </c>
      <c r="W111" s="3"/>
      <c r="AK111" t="str">
        <f t="shared" si="12"/>
        <v>SELECT (SELECT 'mailTemplate.sysChangeHistoryID' ColumnName from mailTemplate where sysChangeHistoryID is null and exists (select from mailTemplate) limit 1) a union all</v>
      </c>
      <c r="AP111" t="e">
        <f t="shared" si="9"/>
        <v>#NAME?</v>
      </c>
    </row>
    <row r="112" spans="1:42">
      <c r="A112" s="7">
        <v>18540</v>
      </c>
      <c r="B112" t="s">
        <v>1475</v>
      </c>
      <c r="C112" s="3" t="str">
        <f t="shared" si="6"/>
        <v>sysChecklist.Description</v>
      </c>
      <c r="D112" s="7">
        <v>10</v>
      </c>
      <c r="E112" s="3" t="str">
        <f t="shared" si="7"/>
        <v>sysChecklist</v>
      </c>
      <c r="F112" t="s">
        <v>12</v>
      </c>
      <c r="G112" s="3" t="s">
        <v>6423</v>
      </c>
      <c r="H112" s="3" t="str">
        <f t="shared" si="8"/>
        <v>System.Checklist</v>
      </c>
      <c r="K112" t="s">
        <v>12</v>
      </c>
      <c r="M112" t="s">
        <v>1073</v>
      </c>
      <c r="Q112" t="s">
        <v>92</v>
      </c>
      <c r="U112" t="s">
        <v>93</v>
      </c>
      <c r="V112" s="7"/>
      <c r="W112" s="7"/>
      <c r="AB112" s="7"/>
      <c r="AC112" s="7"/>
      <c r="AD112" s="15"/>
      <c r="AE112" s="7"/>
      <c r="AH112" t="s">
        <v>92</v>
      </c>
      <c r="AK112" t="str">
        <f t="shared" si="12"/>
        <v>SELECT (SELECT 'sysChecklist.Description' ColumnName from sysChecklist where Description is null and exists (select from sysChecklist) limit 1) a union all</v>
      </c>
      <c r="AO112" t="e">
        <f>SUBSTITUTE(VLOOKUP(V112,DictionaryTableID,16,FALSE)&amp;"ID",".","")</f>
        <v>#N/A</v>
      </c>
      <c r="AP112" t="e">
        <f t="shared" si="9"/>
        <v>#NAME?</v>
      </c>
    </row>
    <row r="113" spans="1:42">
      <c r="A113" s="7">
        <v>18530</v>
      </c>
      <c r="B113" t="s">
        <v>1475</v>
      </c>
      <c r="C113" s="3" t="str">
        <f t="shared" si="6"/>
        <v>sysChecklist.Id</v>
      </c>
      <c r="D113" s="7">
        <v>10</v>
      </c>
      <c r="E113" s="3" t="str">
        <f t="shared" si="7"/>
        <v>sysChecklist</v>
      </c>
      <c r="F113" t="s">
        <v>1539</v>
      </c>
      <c r="G113" s="3" t="s">
        <v>6738</v>
      </c>
      <c r="H113" s="3" t="str">
        <f t="shared" si="8"/>
        <v>System.Checklist</v>
      </c>
      <c r="K113" s="7" t="s">
        <v>0</v>
      </c>
      <c r="M113" t="s">
        <v>6007</v>
      </c>
      <c r="N113" s="7"/>
      <c r="O113" s="7"/>
      <c r="Q113" t="s">
        <v>919</v>
      </c>
      <c r="U113" s="7" t="s">
        <v>95</v>
      </c>
      <c r="V113" s="7"/>
      <c r="W113" s="7"/>
      <c r="X113" s="7"/>
      <c r="Z113" s="7"/>
      <c r="AC113" s="7"/>
      <c r="AD113" s="15"/>
      <c r="AE113" s="7"/>
      <c r="AJ113" t="str">
        <f>"SELECT (SELECT '"&amp;C113&amp;"' ColumnName from "&amp;E113&amp;" where "&amp;F113&amp;" is null and exists (select from "&amp;E113&amp;") limit 1) ColumnName union all"</f>
        <v>SELECT (SELECT 'sysChecklist.Id' ColumnName from sysChecklist where Id is null and exists (select from sysChecklist) limit 1) ColumnName union all</v>
      </c>
      <c r="AL113" t="str">
        <f>"ALTER TABLE "&amp;E113&amp;" ALTER COLUMN "&amp;F113&amp;" DROP NOT NULL"</f>
        <v>ALTER TABLE sysChecklist ALTER COLUMN Id DROP NOT NULL</v>
      </c>
      <c r="AP113" t="e">
        <f t="shared" si="9"/>
        <v>#NAME?</v>
      </c>
    </row>
    <row r="114" spans="1:42">
      <c r="A114" s="7">
        <v>18550</v>
      </c>
      <c r="B114" t="s">
        <v>1475</v>
      </c>
      <c r="C114" s="3" t="str">
        <f t="shared" si="6"/>
        <v>sysChecklist.Name</v>
      </c>
      <c r="D114" s="7">
        <v>10</v>
      </c>
      <c r="E114" s="3" t="str">
        <f t="shared" si="7"/>
        <v>sysChecklist</v>
      </c>
      <c r="F114" t="s">
        <v>22</v>
      </c>
      <c r="G114" s="3" t="s">
        <v>6952</v>
      </c>
      <c r="H114" s="3" t="str">
        <f t="shared" si="8"/>
        <v>System.Checklist</v>
      </c>
      <c r="K114" t="s">
        <v>22</v>
      </c>
      <c r="M114" t="s">
        <v>1073</v>
      </c>
      <c r="Q114" t="s">
        <v>92</v>
      </c>
      <c r="U114" t="s">
        <v>93</v>
      </c>
      <c r="V114" s="7"/>
      <c r="W114" s="7"/>
      <c r="X114" s="7"/>
      <c r="Z114" s="7"/>
      <c r="AB114" s="7"/>
      <c r="AC114" s="7"/>
      <c r="AD114" s="15"/>
      <c r="AE114" s="7"/>
      <c r="AH114" t="s">
        <v>92</v>
      </c>
      <c r="AK114" t="str">
        <f>"SELECT (SELECT '"&amp;C114&amp;"' ColumnName from "&amp;E114&amp;" where "&amp;F114&amp;" is null and exists (select from "&amp;E114&amp;") limit 1) a union all"</f>
        <v>SELECT (SELECT 'sysChecklist.Name' ColumnName from sysChecklist where Name is null and exists (select from sysChecklist) limit 1) a union all</v>
      </c>
      <c r="AP114" t="e">
        <f t="shared" si="9"/>
        <v>#NAME?</v>
      </c>
    </row>
    <row r="115" spans="1:42">
      <c r="A115" s="7">
        <v>18560</v>
      </c>
      <c r="B115" t="s">
        <v>1475</v>
      </c>
      <c r="C115" s="3" t="str">
        <f t="shared" si="6"/>
        <v>sysChecklist.RecordCount</v>
      </c>
      <c r="D115" s="7">
        <v>10</v>
      </c>
      <c r="E115" s="3" t="str">
        <f t="shared" si="7"/>
        <v>sysChecklist</v>
      </c>
      <c r="F115" s="7" t="s">
        <v>876</v>
      </c>
      <c r="G115" s="3" t="s">
        <v>6739</v>
      </c>
      <c r="H115" s="3" t="str">
        <f t="shared" si="8"/>
        <v>System.Checklist</v>
      </c>
      <c r="K115" s="7" t="s">
        <v>1982</v>
      </c>
      <c r="M115" t="s">
        <v>195</v>
      </c>
      <c r="N115" s="7"/>
      <c r="O115" s="7"/>
      <c r="P115" s="7"/>
      <c r="Q115" t="s">
        <v>92</v>
      </c>
      <c r="R115" s="7"/>
      <c r="S115" s="7"/>
      <c r="U115" s="7" t="s">
        <v>93</v>
      </c>
      <c r="V115" s="7"/>
      <c r="W115" s="7"/>
      <c r="X115" s="7"/>
      <c r="Z115" s="7"/>
      <c r="AB115" s="7"/>
      <c r="AC115" s="7"/>
      <c r="AD115" s="15"/>
      <c r="AE115" s="7"/>
      <c r="AK115" t="str">
        <f>"SELECT (SELECT '"&amp;C115&amp;"' ColumnName from "&amp;E115&amp;" where "&amp;F115&amp;" is null and exists (select from "&amp;E115&amp;") limit 1) a union all"</f>
        <v>SELECT (SELECT 'sysChecklist.RecordCount' ColumnName from sysChecklist where RecordCount is null and exists (select from sysChecklist) limit 1) a union all</v>
      </c>
      <c r="AP115" t="e">
        <f t="shared" si="9"/>
        <v>#NAME?</v>
      </c>
    </row>
    <row r="116" spans="1:42">
      <c r="A116" s="7">
        <v>18570</v>
      </c>
      <c r="B116" t="s">
        <v>1475</v>
      </c>
      <c r="C116" s="3" t="str">
        <f t="shared" si="6"/>
        <v>sysChecklist.RowStatus</v>
      </c>
      <c r="D116" s="7">
        <v>10</v>
      </c>
      <c r="E116" s="3" t="str">
        <f t="shared" si="7"/>
        <v>sysChecklist</v>
      </c>
      <c r="F116" t="s">
        <v>1445</v>
      </c>
      <c r="G116" s="3" t="s">
        <v>6411</v>
      </c>
      <c r="H116" s="3" t="str">
        <f t="shared" si="8"/>
        <v>System.Checklist</v>
      </c>
      <c r="K116" s="3" t="s">
        <v>2471</v>
      </c>
      <c r="M116" t="s">
        <v>976</v>
      </c>
      <c r="N116">
        <v>1</v>
      </c>
      <c r="O116" s="7"/>
      <c r="P116" s="7"/>
      <c r="Q116" t="s">
        <v>919</v>
      </c>
      <c r="R116" s="7"/>
      <c r="S116" s="7"/>
      <c r="T116" s="8"/>
      <c r="U116" s="7" t="s">
        <v>94</v>
      </c>
      <c r="V116" s="7"/>
      <c r="W116" s="7"/>
      <c r="X116" s="7"/>
      <c r="Z116" s="7"/>
      <c r="AC116" s="7"/>
      <c r="AD116" s="15"/>
      <c r="AE116" s="7"/>
      <c r="AK116" t="str">
        <f>"SELECT (SELECT '"&amp;C116&amp;"' ColumnName from "&amp;E116&amp;" where "&amp;F116&amp;" is null and exists (select from "&amp;E116&amp;") limit 1) a union all"</f>
        <v>SELECT (SELECT 'sysChecklist.RowStatus' ColumnName from sysChecklist where RowStatus is null and exists (select from sysChecklist) limit 1) a union all</v>
      </c>
      <c r="AP116" t="e">
        <f t="shared" si="9"/>
        <v>#NAME?</v>
      </c>
    </row>
    <row r="117" spans="1:42">
      <c r="A117" s="7">
        <v>18580</v>
      </c>
      <c r="B117" t="s">
        <v>1475</v>
      </c>
      <c r="C117" s="3" t="str">
        <f t="shared" si="6"/>
        <v>sysChecklist.sysChangeHistoryID</v>
      </c>
      <c r="D117" s="7">
        <v>10</v>
      </c>
      <c r="E117" s="3" t="str">
        <f t="shared" si="7"/>
        <v>sysChecklist</v>
      </c>
      <c r="F117" t="s">
        <v>2497</v>
      </c>
      <c r="G117" s="3" t="s">
        <v>6403</v>
      </c>
      <c r="H117" s="3" t="str">
        <f t="shared" si="8"/>
        <v>System.Checklist</v>
      </c>
      <c r="K117" t="s">
        <v>1210</v>
      </c>
      <c r="M117" t="s">
        <v>6007</v>
      </c>
      <c r="N117" s="7"/>
      <c r="O117" s="7"/>
      <c r="P117" s="7"/>
      <c r="Q117" t="s">
        <v>919</v>
      </c>
      <c r="R117" s="7"/>
      <c r="S117" s="7"/>
      <c r="T117" s="8"/>
      <c r="U117" t="s">
        <v>1429</v>
      </c>
      <c r="AC117" s="7"/>
      <c r="AD117" s="15"/>
      <c r="AE117" s="7"/>
      <c r="AJ117" t="str">
        <f>"SELECT (SELECT '"&amp;C117&amp;"' ColumnName from "&amp;E117&amp;" where "&amp;F117&amp;" is null and exists (select from "&amp;E117&amp;") limit 1) ColumnName union all"</f>
        <v>SELECT (SELECT 'sysChecklist.sysChangeHistoryID' ColumnName from sysChecklist where sysChangeHistoryID is null and exists (select from sysChecklist) limit 1) ColumnName union all</v>
      </c>
      <c r="AL117" t="str">
        <f>"ALTER TABLE "&amp;E117&amp;" ALTER COLUMN "&amp;F117&amp;" DROP NOT NULL"</f>
        <v>ALTER TABLE sysChecklist ALTER COLUMN sysChangeHistoryID DROP NOT NULL</v>
      </c>
      <c r="AP117" t="e">
        <f t="shared" si="9"/>
        <v>#NAME?</v>
      </c>
    </row>
    <row r="118" spans="1:42">
      <c r="A118">
        <v>18610</v>
      </c>
      <c r="B118" t="s">
        <v>1475</v>
      </c>
      <c r="C118" s="3" t="str">
        <f t="shared" si="6"/>
        <v>sysChecklistItem.ActionValue</v>
      </c>
      <c r="D118" s="7">
        <v>11</v>
      </c>
      <c r="E118" s="3" t="str">
        <f t="shared" si="7"/>
        <v>sysChecklistItem</v>
      </c>
      <c r="F118" t="s">
        <v>1991</v>
      </c>
      <c r="G118" s="3" t="s">
        <v>6742</v>
      </c>
      <c r="H118" s="3" t="str">
        <f t="shared" si="8"/>
        <v>System.ChecklistItem</v>
      </c>
      <c r="K118" s="7" t="s">
        <v>1992</v>
      </c>
      <c r="M118" t="s">
        <v>1073</v>
      </c>
      <c r="Q118" t="s">
        <v>92</v>
      </c>
      <c r="U118" t="s">
        <v>93</v>
      </c>
      <c r="AB118" s="7"/>
      <c r="AC118" s="7"/>
      <c r="AD118" s="15"/>
      <c r="AE118" s="7"/>
      <c r="AJ118" t="str">
        <f>"SELECT (SELECT '"&amp;C118&amp;"' ColumnName from "&amp;E118&amp;" where "&amp;F118&amp;" is null and exists (select from "&amp;E118&amp;") limit 1) ColumnName union all"</f>
        <v>SELECT (SELECT 'sysChecklistItem.ActionValue' ColumnName from sysChecklistItem where ActionValue is null and exists (select from sysChecklistItem) limit 1) ColumnName union all</v>
      </c>
      <c r="AL118" t="str">
        <f>"ALTER TABLE "&amp;E118&amp;" ALTER COLUMN "&amp;F118&amp;" DROP NOT NULL"</f>
        <v>ALTER TABLE sysChecklistItem ALTER COLUMN ActionValue DROP NOT NULL</v>
      </c>
      <c r="AP118" t="e">
        <f t="shared" si="9"/>
        <v>#NAME?</v>
      </c>
    </row>
    <row r="119" spans="1:42">
      <c r="A119" s="7">
        <v>18620</v>
      </c>
      <c r="B119" t="s">
        <v>1475</v>
      </c>
      <c r="C119" s="3" t="str">
        <f t="shared" si="6"/>
        <v>sysChecklistItem.Caption</v>
      </c>
      <c r="D119" s="7">
        <v>11</v>
      </c>
      <c r="E119" s="3" t="str">
        <f t="shared" si="7"/>
        <v>sysChecklistItem</v>
      </c>
      <c r="F119" t="s">
        <v>1129</v>
      </c>
      <c r="G119" s="3" t="s">
        <v>6743</v>
      </c>
      <c r="H119" s="3" t="str">
        <f t="shared" si="8"/>
        <v>System.ChecklistItem</v>
      </c>
      <c r="K119" t="s">
        <v>1129</v>
      </c>
      <c r="M119" t="s">
        <v>1073</v>
      </c>
      <c r="Q119" t="s">
        <v>92</v>
      </c>
      <c r="U119" t="s">
        <v>93</v>
      </c>
      <c r="V119" s="7"/>
      <c r="W119" s="7"/>
      <c r="AB119" s="7"/>
      <c r="AC119" s="7"/>
      <c r="AD119" s="15"/>
      <c r="AE119" s="7"/>
      <c r="AJ119" t="str">
        <f>"SELECT (SELECT '"&amp;C119&amp;"' ColumnName from "&amp;E119&amp;" where "&amp;F119&amp;" is null and exists (select from "&amp;E119&amp;") limit 1) ColumnName union all"</f>
        <v>SELECT (SELECT 'sysChecklistItem.Caption' ColumnName from sysChecklistItem where Caption is null and exists (select from sysChecklistItem) limit 1) ColumnName union all</v>
      </c>
      <c r="AL119" t="str">
        <f>"ALTER TABLE "&amp;E119&amp;" ALTER COLUMN "&amp;F119&amp;" DROP NOT NULL"</f>
        <v>ALTER TABLE sysChecklistItem ALTER COLUMN Caption DROP NOT NULL</v>
      </c>
      <c r="AP119" t="e">
        <f t="shared" si="9"/>
        <v>#NAME?</v>
      </c>
    </row>
    <row r="120" spans="1:42">
      <c r="A120" s="7">
        <v>18630</v>
      </c>
      <c r="B120" t="s">
        <v>1475</v>
      </c>
      <c r="C120" s="3" t="str">
        <f t="shared" si="6"/>
        <v>sysChecklistItem.ChecklistOptionGroup</v>
      </c>
      <c r="D120" s="7">
        <v>11</v>
      </c>
      <c r="E120" s="3" t="str">
        <f t="shared" si="7"/>
        <v>sysChecklistItem</v>
      </c>
      <c r="F120" t="s">
        <v>1984</v>
      </c>
      <c r="G120" s="3" t="s">
        <v>6744</v>
      </c>
      <c r="H120" s="3" t="str">
        <f t="shared" si="8"/>
        <v>System.ChecklistItem</v>
      </c>
      <c r="K120" t="s">
        <v>1985</v>
      </c>
      <c r="M120" t="s">
        <v>1073</v>
      </c>
      <c r="Q120" t="s">
        <v>92</v>
      </c>
      <c r="U120" t="s">
        <v>93</v>
      </c>
      <c r="V120" s="7"/>
      <c r="W120" s="7"/>
      <c r="AB120" s="7"/>
      <c r="AC120" s="7"/>
      <c r="AD120" s="15"/>
      <c r="AE120" s="7"/>
      <c r="AK120" t="str">
        <f t="shared" ref="AK120:AK131" si="13">"SELECT (SELECT '"&amp;C120&amp;"' ColumnName from "&amp;E120&amp;" where "&amp;F120&amp;" is null and exists (select from "&amp;E120&amp;") limit 1) a union all"</f>
        <v>SELECT (SELECT 'sysChecklistItem.ChecklistOptionGroup' ColumnName from sysChecklistItem where ChecklistOptionGroup is null and exists (select from sysChecklistItem) limit 1) a union all</v>
      </c>
      <c r="AP120" t="e">
        <f t="shared" si="9"/>
        <v>#NAME?</v>
      </c>
    </row>
    <row r="121" spans="1:42">
      <c r="A121" s="7">
        <v>18640</v>
      </c>
      <c r="B121" t="s">
        <v>1475</v>
      </c>
      <c r="C121" s="3" t="str">
        <f t="shared" si="6"/>
        <v>sysChecklistItem.Description</v>
      </c>
      <c r="D121" s="7">
        <v>11</v>
      </c>
      <c r="E121" s="3" t="str">
        <f t="shared" si="7"/>
        <v>sysChecklistItem</v>
      </c>
      <c r="F121" t="s">
        <v>12</v>
      </c>
      <c r="G121" s="3" t="s">
        <v>6423</v>
      </c>
      <c r="H121" s="3" t="str">
        <f t="shared" si="8"/>
        <v>System.ChecklistItem</v>
      </c>
      <c r="K121" t="s">
        <v>12</v>
      </c>
      <c r="M121" t="s">
        <v>196</v>
      </c>
      <c r="Q121" t="s">
        <v>92</v>
      </c>
      <c r="U121" t="s">
        <v>93</v>
      </c>
      <c r="V121" s="7"/>
      <c r="W121" s="7"/>
      <c r="AB121" s="7"/>
      <c r="AC121" s="7"/>
      <c r="AD121" s="15"/>
      <c r="AE121" s="7"/>
      <c r="AH121" t="s">
        <v>92</v>
      </c>
      <c r="AK121" t="str">
        <f t="shared" si="13"/>
        <v>SELECT (SELECT 'sysChecklistItem.Description' ColumnName from sysChecklistItem where Description is null and exists (select from sysChecklistItem) limit 1) a union all</v>
      </c>
      <c r="AP121" t="e">
        <f t="shared" si="9"/>
        <v>#NAME?</v>
      </c>
    </row>
    <row r="122" spans="1:42">
      <c r="A122" s="7">
        <v>18710</v>
      </c>
      <c r="B122" t="s">
        <v>1475</v>
      </c>
      <c r="C122" s="3" t="str">
        <f t="shared" si="6"/>
        <v>sysChecklistItem.DisplaySequence</v>
      </c>
      <c r="D122" s="7">
        <v>11</v>
      </c>
      <c r="E122" s="3" t="str">
        <f t="shared" si="7"/>
        <v>sysChecklistItem</v>
      </c>
      <c r="F122" t="s">
        <v>6055</v>
      </c>
      <c r="G122" s="3" t="s">
        <v>6432</v>
      </c>
      <c r="H122" s="3" t="str">
        <f t="shared" si="8"/>
        <v>System.ChecklistItem</v>
      </c>
      <c r="K122" s="3" t="s">
        <v>6297</v>
      </c>
      <c r="M122" t="s">
        <v>195</v>
      </c>
      <c r="Q122" t="s">
        <v>92</v>
      </c>
      <c r="U122" t="s">
        <v>93</v>
      </c>
      <c r="V122" s="7"/>
      <c r="W122" s="7"/>
      <c r="AB122" s="7"/>
      <c r="AC122" s="7"/>
      <c r="AD122" s="15"/>
      <c r="AE122" s="7"/>
      <c r="AK122" t="str">
        <f t="shared" si="13"/>
        <v>SELECT (SELECT 'sysChecklistItem.DisplaySequence' ColumnName from sysChecklistItem where DisplaySequence is null and exists (select from sysChecklistItem) limit 1) a union all</v>
      </c>
      <c r="AP122" t="e">
        <f t="shared" si="9"/>
        <v>#NAME?</v>
      </c>
    </row>
    <row r="123" spans="1:42">
      <c r="A123">
        <v>18650</v>
      </c>
      <c r="B123" t="s">
        <v>1475</v>
      </c>
      <c r="C123" s="3" t="str">
        <f t="shared" si="6"/>
        <v>sysChecklistItem.HasAdditionalInfo</v>
      </c>
      <c r="D123" s="7">
        <v>11</v>
      </c>
      <c r="E123" s="3" t="str">
        <f t="shared" si="7"/>
        <v>sysChecklistItem</v>
      </c>
      <c r="F123" t="s">
        <v>2389</v>
      </c>
      <c r="G123" s="3" t="s">
        <v>6745</v>
      </c>
      <c r="H123" s="3" t="str">
        <f t="shared" si="8"/>
        <v>System.ChecklistItem</v>
      </c>
      <c r="K123" s="7" t="s">
        <v>1989</v>
      </c>
      <c r="M123" s="3" t="s">
        <v>2402</v>
      </c>
      <c r="Q123" t="s">
        <v>92</v>
      </c>
      <c r="U123" t="s">
        <v>93</v>
      </c>
      <c r="AB123" s="7"/>
      <c r="AC123" s="7"/>
      <c r="AD123" s="15"/>
      <c r="AE123" s="7"/>
      <c r="AK123" t="str">
        <f t="shared" si="13"/>
        <v>SELECT (SELECT 'sysChecklistItem.HasAdditionalInfo' ColumnName from sysChecklistItem where HasAdditionalInfo is null and exists (select from sysChecklistItem) limit 1) a union all</v>
      </c>
      <c r="AP123" t="e">
        <f t="shared" si="9"/>
        <v>#NAME?</v>
      </c>
    </row>
    <row r="124" spans="1:42">
      <c r="A124">
        <v>18660</v>
      </c>
      <c r="B124" t="s">
        <v>1475</v>
      </c>
      <c r="C124" s="3" t="str">
        <f t="shared" si="6"/>
        <v>sysChecklistItem.HasGenerateNotes</v>
      </c>
      <c r="D124" s="7">
        <v>11</v>
      </c>
      <c r="E124" s="3" t="str">
        <f t="shared" si="7"/>
        <v>sysChecklistItem</v>
      </c>
      <c r="F124" t="s">
        <v>2390</v>
      </c>
      <c r="G124" s="3" t="s">
        <v>6746</v>
      </c>
      <c r="H124" s="3" t="str">
        <f t="shared" si="8"/>
        <v>System.ChecklistItem</v>
      </c>
      <c r="K124" s="7" t="s">
        <v>1990</v>
      </c>
      <c r="M124" s="3" t="s">
        <v>2402</v>
      </c>
      <c r="Q124" t="s">
        <v>92</v>
      </c>
      <c r="U124" t="s">
        <v>93</v>
      </c>
      <c r="V124" s="7"/>
      <c r="W124" s="7"/>
      <c r="X124" s="7"/>
      <c r="Z124" s="7"/>
      <c r="AB124" s="7"/>
      <c r="AC124" s="7"/>
      <c r="AD124" s="15"/>
      <c r="AE124" s="7"/>
      <c r="AK124" t="str">
        <f t="shared" si="13"/>
        <v>SELECT (SELECT 'sysChecklistItem.HasGenerateNotes' ColumnName from sysChecklistItem where HasGenerateNotes is null and exists (select from sysChecklistItem) limit 1) a union all</v>
      </c>
      <c r="AP124" t="e">
        <f t="shared" si="9"/>
        <v>#NAME?</v>
      </c>
    </row>
    <row r="125" spans="1:42">
      <c r="A125" s="7">
        <v>18590</v>
      </c>
      <c r="B125" t="s">
        <v>1475</v>
      </c>
      <c r="C125" s="3" t="str">
        <f t="shared" si="6"/>
        <v>sysChecklistItem.Id</v>
      </c>
      <c r="D125" s="7">
        <v>11</v>
      </c>
      <c r="E125" s="3" t="str">
        <f t="shared" si="7"/>
        <v>sysChecklistItem</v>
      </c>
      <c r="F125" t="s">
        <v>1539</v>
      </c>
      <c r="G125" s="3" t="s">
        <v>6740</v>
      </c>
      <c r="H125" s="3" t="str">
        <f t="shared" si="8"/>
        <v>System.ChecklistItem</v>
      </c>
      <c r="K125" s="7" t="s">
        <v>0</v>
      </c>
      <c r="M125" t="s">
        <v>6007</v>
      </c>
      <c r="N125" s="7"/>
      <c r="O125" s="7"/>
      <c r="Q125" t="s">
        <v>919</v>
      </c>
      <c r="U125" s="7" t="s">
        <v>95</v>
      </c>
      <c r="V125" s="7"/>
      <c r="W125" s="7"/>
      <c r="X125" s="7"/>
      <c r="Z125" s="7"/>
      <c r="AC125" s="7"/>
      <c r="AD125" s="15"/>
      <c r="AE125" s="7"/>
      <c r="AK125" t="str">
        <f t="shared" si="13"/>
        <v>SELECT (SELECT 'sysChecklistItem.Id' ColumnName from sysChecklistItem where Id is null and exists (select from sysChecklistItem) limit 1) a union all</v>
      </c>
      <c r="AP125" t="e">
        <f t="shared" si="9"/>
        <v>#NAME?</v>
      </c>
    </row>
    <row r="126" spans="1:42">
      <c r="A126" s="7">
        <v>18670</v>
      </c>
      <c r="B126" t="s">
        <v>1475</v>
      </c>
      <c r="C126" s="3" t="str">
        <f t="shared" si="6"/>
        <v>sysChecklistItem.IsRequired</v>
      </c>
      <c r="D126" s="7">
        <v>11</v>
      </c>
      <c r="E126" s="3" t="str">
        <f t="shared" si="7"/>
        <v>sysChecklistItem</v>
      </c>
      <c r="F126" t="s">
        <v>1986</v>
      </c>
      <c r="G126" s="3" t="s">
        <v>6747</v>
      </c>
      <c r="H126" s="3" t="str">
        <f t="shared" si="8"/>
        <v>System.ChecklistItem</v>
      </c>
      <c r="K126" t="s">
        <v>1987</v>
      </c>
      <c r="M126" s="3" t="s">
        <v>2402</v>
      </c>
      <c r="Q126" t="s">
        <v>1988</v>
      </c>
      <c r="U126" t="s">
        <v>93</v>
      </c>
      <c r="V126" s="7"/>
      <c r="W126" s="7"/>
      <c r="X126" s="7"/>
      <c r="Z126" s="7"/>
      <c r="AB126" s="7"/>
      <c r="AC126" s="7"/>
      <c r="AD126" s="15"/>
      <c r="AE126" s="7"/>
      <c r="AK126" t="str">
        <f t="shared" si="13"/>
        <v>SELECT (SELECT 'sysChecklistItem.IsRequired' ColumnName from sysChecklistItem where IsRequired is null and exists (select from sysChecklistItem) limit 1) a union all</v>
      </c>
      <c r="AP126" t="e">
        <f t="shared" si="9"/>
        <v>#NAME?</v>
      </c>
    </row>
    <row r="127" spans="1:42">
      <c r="A127" s="7">
        <v>18680</v>
      </c>
      <c r="B127" t="s">
        <v>1475</v>
      </c>
      <c r="C127" s="3" t="str">
        <f t="shared" si="6"/>
        <v>sysChecklistItem.Name</v>
      </c>
      <c r="D127" s="7">
        <v>11</v>
      </c>
      <c r="E127" s="3" t="str">
        <f t="shared" si="7"/>
        <v>sysChecklistItem</v>
      </c>
      <c r="F127" t="s">
        <v>22</v>
      </c>
      <c r="G127" s="3" t="s">
        <v>6953</v>
      </c>
      <c r="H127" s="3" t="str">
        <f t="shared" si="8"/>
        <v>System.ChecklistItem</v>
      </c>
      <c r="K127" t="s">
        <v>22</v>
      </c>
      <c r="M127" t="s">
        <v>1073</v>
      </c>
      <c r="Q127" t="s">
        <v>92</v>
      </c>
      <c r="U127" t="s">
        <v>93</v>
      </c>
      <c r="V127" s="7"/>
      <c r="W127" s="7"/>
      <c r="X127" s="7"/>
      <c r="Z127" s="7"/>
      <c r="AB127" s="7"/>
      <c r="AC127" s="7"/>
      <c r="AD127" s="15"/>
      <c r="AE127" s="7"/>
      <c r="AH127" t="s">
        <v>92</v>
      </c>
      <c r="AK127" t="str">
        <f t="shared" si="13"/>
        <v>SELECT (SELECT 'sysChecklistItem.Name' ColumnName from sysChecklistItem where Name is null and exists (select from sysChecklistItem) limit 1) a union all</v>
      </c>
      <c r="AP127" t="e">
        <f t="shared" si="9"/>
        <v>#NAME?</v>
      </c>
    </row>
    <row r="128" spans="1:42">
      <c r="A128" s="7">
        <v>18690</v>
      </c>
      <c r="B128" t="s">
        <v>1475</v>
      </c>
      <c r="C128" s="3" t="str">
        <f t="shared" si="6"/>
        <v>sysChecklistItem.RecordCount</v>
      </c>
      <c r="D128" s="7">
        <v>11</v>
      </c>
      <c r="E128" s="3" t="str">
        <f t="shared" si="7"/>
        <v>sysChecklistItem</v>
      </c>
      <c r="F128" s="7" t="s">
        <v>876</v>
      </c>
      <c r="G128" s="3" t="s">
        <v>6739</v>
      </c>
      <c r="H128" s="3" t="str">
        <f t="shared" si="8"/>
        <v>System.ChecklistItem</v>
      </c>
      <c r="K128" s="7" t="s">
        <v>1982</v>
      </c>
      <c r="M128" t="s">
        <v>195</v>
      </c>
      <c r="N128" s="7"/>
      <c r="O128" s="7"/>
      <c r="P128" s="7"/>
      <c r="Q128" t="s">
        <v>92</v>
      </c>
      <c r="R128" s="7"/>
      <c r="S128" s="7"/>
      <c r="U128" s="7" t="s">
        <v>93</v>
      </c>
      <c r="V128" s="7"/>
      <c r="W128" s="7"/>
      <c r="X128" s="7"/>
      <c r="Z128" s="7"/>
      <c r="AB128" s="7"/>
      <c r="AC128" s="7"/>
      <c r="AD128" s="15"/>
      <c r="AE128" s="7"/>
      <c r="AK128" t="str">
        <f t="shared" si="13"/>
        <v>SELECT (SELECT 'sysChecklistItem.RecordCount' ColumnName from sysChecklistItem where RecordCount is null and exists (select from sysChecklistItem) limit 1) a union all</v>
      </c>
      <c r="AP128" t="e">
        <f t="shared" si="9"/>
        <v>#NAME?</v>
      </c>
    </row>
    <row r="129" spans="1:42">
      <c r="A129">
        <v>18700</v>
      </c>
      <c r="B129" t="s">
        <v>1475</v>
      </c>
      <c r="C129" s="3" t="str">
        <f t="shared" si="6"/>
        <v>sysChecklistItem.ReqInfoName</v>
      </c>
      <c r="D129" s="7">
        <v>11</v>
      </c>
      <c r="E129" s="3" t="str">
        <f t="shared" si="7"/>
        <v>sysChecklistItem</v>
      </c>
      <c r="F129" t="s">
        <v>1993</v>
      </c>
      <c r="G129" s="3" t="s">
        <v>6954</v>
      </c>
      <c r="H129" s="3" t="str">
        <f t="shared" si="8"/>
        <v>System.ChecklistItem</v>
      </c>
      <c r="K129" s="7" t="s">
        <v>1994</v>
      </c>
      <c r="M129" t="s">
        <v>1073</v>
      </c>
      <c r="Q129" t="s">
        <v>92</v>
      </c>
      <c r="U129" t="s">
        <v>93</v>
      </c>
      <c r="AB129" s="7"/>
      <c r="AC129" s="7"/>
      <c r="AD129" s="15"/>
      <c r="AE129" s="7"/>
      <c r="AK129" t="str">
        <f t="shared" si="13"/>
        <v>SELECT (SELECT 'sysChecklistItem.ReqInfoName' ColumnName from sysChecklistItem where ReqInfoName is null and exists (select from sysChecklistItem) limit 1) a union all</v>
      </c>
      <c r="AP129" t="e">
        <f t="shared" si="9"/>
        <v>#NAME?</v>
      </c>
    </row>
    <row r="130" spans="1:42">
      <c r="A130" s="7">
        <v>18720</v>
      </c>
      <c r="B130" t="s">
        <v>1475</v>
      </c>
      <c r="C130" s="3" t="str">
        <f t="shared" ref="C130:C193" si="14">CONCATENATE(E130,".",F130)</f>
        <v>sysChecklistItem.RowStatus</v>
      </c>
      <c r="D130" s="7">
        <v>11</v>
      </c>
      <c r="E130" s="3" t="str">
        <f t="shared" ref="E130:E193" si="15">VLOOKUP(D130,SystemTableId,3,FALSE)</f>
        <v>sysChecklistItem</v>
      </c>
      <c r="F130" t="s">
        <v>1445</v>
      </c>
      <c r="G130" s="3" t="s">
        <v>6411</v>
      </c>
      <c r="H130" s="3" t="str">
        <f t="shared" ref="H130:H193" si="16">VLOOKUP(E130,SystemTables,14,FALSE)</f>
        <v>System.ChecklistItem</v>
      </c>
      <c r="K130" s="3" t="s">
        <v>2471</v>
      </c>
      <c r="M130" t="s">
        <v>976</v>
      </c>
      <c r="N130">
        <v>1</v>
      </c>
      <c r="Q130" t="s">
        <v>919</v>
      </c>
      <c r="U130" t="s">
        <v>94</v>
      </c>
      <c r="V130" s="7"/>
      <c r="W130" s="7"/>
      <c r="X130" s="7"/>
      <c r="Z130" s="7"/>
      <c r="AC130" s="7"/>
      <c r="AD130" s="15"/>
      <c r="AE130" s="7"/>
      <c r="AK130" t="str">
        <f t="shared" si="13"/>
        <v>SELECT (SELECT 'sysChecklistItem.RowStatus' ColumnName from sysChecklistItem where RowStatus is null and exists (select from sysChecklistItem) limit 1) a union all</v>
      </c>
      <c r="AP130" t="e">
        <f t="shared" ref="AP130:AP193" si="17">VLOOKUP(E130,temp6,1,FALSE)</f>
        <v>#NAME?</v>
      </c>
    </row>
    <row r="131" spans="1:42">
      <c r="A131" s="7">
        <v>18730</v>
      </c>
      <c r="B131" t="s">
        <v>1475</v>
      </c>
      <c r="C131" s="3" t="str">
        <f t="shared" si="14"/>
        <v>sysChecklistItem.sysChangeHistoryID</v>
      </c>
      <c r="D131" s="7">
        <v>11</v>
      </c>
      <c r="E131" s="3" t="str">
        <f t="shared" si="15"/>
        <v>sysChecklistItem</v>
      </c>
      <c r="F131" t="s">
        <v>2497</v>
      </c>
      <c r="G131" s="3" t="s">
        <v>6403</v>
      </c>
      <c r="H131" s="3" t="str">
        <f t="shared" si="16"/>
        <v>System.ChecklistItem</v>
      </c>
      <c r="K131" t="s">
        <v>1210</v>
      </c>
      <c r="M131" t="s">
        <v>6007</v>
      </c>
      <c r="N131" s="7"/>
      <c r="O131" s="7"/>
      <c r="P131" s="7"/>
      <c r="Q131" t="s">
        <v>919</v>
      </c>
      <c r="R131" s="7"/>
      <c r="S131" s="7"/>
      <c r="T131" s="8"/>
      <c r="U131" t="s">
        <v>1429</v>
      </c>
      <c r="AC131" s="7"/>
      <c r="AD131" s="15"/>
      <c r="AE131" s="7"/>
      <c r="AK131" t="str">
        <f t="shared" si="13"/>
        <v>SELECT (SELECT 'sysChecklistItem.sysChangeHistoryID' ColumnName from sysChecklistItem where sysChangeHistoryID is null and exists (select from sysChecklistItem) limit 1) a union all</v>
      </c>
      <c r="AP131" t="e">
        <f t="shared" si="17"/>
        <v>#NAME?</v>
      </c>
    </row>
    <row r="132" spans="1:42">
      <c r="A132" s="7">
        <v>18600</v>
      </c>
      <c r="B132" t="s">
        <v>1475</v>
      </c>
      <c r="C132" s="3" t="str">
        <f t="shared" si="14"/>
        <v>sysChecklistItem.sysChecklistID</v>
      </c>
      <c r="D132" s="7">
        <v>11</v>
      </c>
      <c r="E132" s="3" t="str">
        <f t="shared" si="15"/>
        <v>sysChecklistItem</v>
      </c>
      <c r="F132" t="str">
        <f>VLOOKUP(V132,SystemTableId,3,FALSE)&amp;"ID"&amp;X132</f>
        <v>sysChecklistID</v>
      </c>
      <c r="G132" s="3" t="s">
        <v>6741</v>
      </c>
      <c r="H132" s="3" t="str">
        <f t="shared" si="16"/>
        <v>System.ChecklistItem</v>
      </c>
      <c r="K132" t="s">
        <v>1983</v>
      </c>
      <c r="M132" t="s">
        <v>6007</v>
      </c>
      <c r="Q132" t="s">
        <v>92</v>
      </c>
      <c r="U132" t="s">
        <v>96</v>
      </c>
      <c r="V132" s="7">
        <v>10</v>
      </c>
      <c r="W132" s="3" t="str">
        <f>VLOOKUP(V132,SystemTableId,3,FALSE)</f>
        <v>sysChecklist</v>
      </c>
      <c r="AB132" s="7"/>
      <c r="AC132" s="7"/>
      <c r="AD132" s="15"/>
      <c r="AE132" s="7"/>
      <c r="AJ132" t="str">
        <f>"SELECT (SELECT '"&amp;C132&amp;"' ColumnName from "&amp;E132&amp;" where "&amp;F132&amp;" is null and exists (select from "&amp;E132&amp;") limit 1) ColumnName union all"</f>
        <v>SELECT (SELECT 'sysChecklistItem.sysChecklistID' ColumnName from sysChecklistItem where sysChecklistID is null and exists (select from sysChecklistItem) limit 1) ColumnName union all</v>
      </c>
      <c r="AL132" t="str">
        <f>"ALTER TABLE "&amp;E132&amp;" ALTER COLUMN "&amp;F132&amp;" DROP NOT NULL"</f>
        <v>ALTER TABLE sysChecklistItem ALTER COLUMN sysChecklistID DROP NOT NULL</v>
      </c>
      <c r="AP132" t="e">
        <f t="shared" si="17"/>
        <v>#NAME?</v>
      </c>
    </row>
    <row r="133" spans="1:42">
      <c r="A133" s="7">
        <v>18750</v>
      </c>
      <c r="B133" t="s">
        <v>1475</v>
      </c>
      <c r="C133" s="3" t="str">
        <f t="shared" si="14"/>
        <v>sysChecklistOptionGroup.Description</v>
      </c>
      <c r="D133" s="7">
        <v>12</v>
      </c>
      <c r="E133" s="3" t="str">
        <f t="shared" si="15"/>
        <v>sysChecklistOptionGroup</v>
      </c>
      <c r="F133" t="s">
        <v>12</v>
      </c>
      <c r="G133" s="3" t="s">
        <v>6423</v>
      </c>
      <c r="H133" s="3" t="str">
        <f t="shared" si="16"/>
        <v>System.ChecklistOptionGroup</v>
      </c>
      <c r="K133" t="s">
        <v>12</v>
      </c>
      <c r="M133" t="s">
        <v>1073</v>
      </c>
      <c r="Q133" t="s">
        <v>92</v>
      </c>
      <c r="U133" t="s">
        <v>93</v>
      </c>
      <c r="V133" s="7"/>
      <c r="W133" s="7"/>
      <c r="AB133" s="7"/>
      <c r="AC133" s="7"/>
      <c r="AD133" s="15"/>
      <c r="AE133" s="7"/>
      <c r="AH133" t="s">
        <v>92</v>
      </c>
      <c r="AJ133" t="str">
        <f>"SELECT (SELECT '"&amp;C133&amp;"' ColumnName from "&amp;E133&amp;" where "&amp;F133&amp;" is null and exists (select from "&amp;E133&amp;") limit 1) ColumnName union all"</f>
        <v>SELECT (SELECT 'sysChecklistOptionGroup.Description' ColumnName from sysChecklistOptionGroup where Description is null and exists (select from sysChecklistOptionGroup) limit 1) ColumnName union all</v>
      </c>
      <c r="AL133" t="str">
        <f>"ALTER TABLE "&amp;E133&amp;" ALTER COLUMN "&amp;F133&amp;" DROP NOT NULL"</f>
        <v>ALTER TABLE sysChecklistOptionGroup ALTER COLUMN Description DROP NOT NULL</v>
      </c>
      <c r="AP133" t="e">
        <f t="shared" si="17"/>
        <v>#NAME?</v>
      </c>
    </row>
    <row r="134" spans="1:42">
      <c r="A134" s="7">
        <v>18800</v>
      </c>
      <c r="B134" t="s">
        <v>1475</v>
      </c>
      <c r="C134" s="3" t="str">
        <f t="shared" si="14"/>
        <v>sysChecklistOptionGroup.DisplaySequence</v>
      </c>
      <c r="D134" s="7">
        <v>12</v>
      </c>
      <c r="E134" s="3" t="str">
        <f t="shared" si="15"/>
        <v>sysChecklistOptionGroup</v>
      </c>
      <c r="F134" t="s">
        <v>6055</v>
      </c>
      <c r="G134" s="3" t="s">
        <v>6432</v>
      </c>
      <c r="H134" s="3" t="str">
        <f t="shared" si="16"/>
        <v>System.ChecklistOptionGroup</v>
      </c>
      <c r="K134" s="3" t="s">
        <v>6297</v>
      </c>
      <c r="M134" t="s">
        <v>195</v>
      </c>
      <c r="Q134" t="s">
        <v>92</v>
      </c>
      <c r="U134" t="s">
        <v>93</v>
      </c>
      <c r="V134" s="7"/>
      <c r="W134" s="7"/>
      <c r="AB134" s="7"/>
      <c r="AC134" s="7"/>
      <c r="AD134" s="15"/>
      <c r="AE134" s="7"/>
      <c r="AJ134" t="str">
        <f>"SELECT (SELECT '"&amp;C134&amp;"' ColumnName from "&amp;E134&amp;" where "&amp;F134&amp;" is null and exists (select from "&amp;E134&amp;") limit 1) ColumnName union all"</f>
        <v>SELECT (SELECT 'sysChecklistOptionGroup.DisplaySequence' ColumnName from sysChecklistOptionGroup where DisplaySequence is null and exists (select from sysChecklistOptionGroup) limit 1) ColumnName union all</v>
      </c>
      <c r="AL134" t="str">
        <f>"ALTER TABLE "&amp;E134&amp;" ALTER COLUMN "&amp;F134&amp;" DROP NOT NULL"</f>
        <v>ALTER TABLE sysChecklistOptionGroup ALTER COLUMN DisplaySequence DROP NOT NULL</v>
      </c>
      <c r="AP134" t="e">
        <f t="shared" si="17"/>
        <v>#NAME?</v>
      </c>
    </row>
    <row r="135" spans="1:42">
      <c r="A135" s="7">
        <v>18760</v>
      </c>
      <c r="B135" t="s">
        <v>1475</v>
      </c>
      <c r="C135" s="3" t="str">
        <f t="shared" si="14"/>
        <v>sysChecklistOptionGroup.GroupName</v>
      </c>
      <c r="D135" s="7">
        <v>12</v>
      </c>
      <c r="E135" s="3" t="str">
        <f t="shared" si="15"/>
        <v>sysChecklistOptionGroup</v>
      </c>
      <c r="F135" t="s">
        <v>2404</v>
      </c>
      <c r="G135" s="3" t="s">
        <v>6955</v>
      </c>
      <c r="H135" s="3" t="str">
        <f t="shared" si="16"/>
        <v>System.ChecklistOptionGroup</v>
      </c>
      <c r="K135" t="s">
        <v>1078</v>
      </c>
      <c r="M135" t="s">
        <v>1073</v>
      </c>
      <c r="Q135" t="s">
        <v>92</v>
      </c>
      <c r="U135" t="s">
        <v>93</v>
      </c>
      <c r="V135" s="7"/>
      <c r="W135" s="7"/>
      <c r="X135" s="7"/>
      <c r="Z135" s="7"/>
      <c r="AB135" s="7"/>
      <c r="AC135" s="7"/>
      <c r="AD135" s="15"/>
      <c r="AE135" s="7"/>
      <c r="AK135" t="str">
        <f t="shared" ref="AK135:AK141" si="18">"SELECT (SELECT '"&amp;C135&amp;"' ColumnName from "&amp;E135&amp;" where "&amp;F135&amp;" is null and exists (select from "&amp;E135&amp;") limit 1) a union all"</f>
        <v>SELECT (SELECT 'sysChecklistOptionGroup.GroupName' ColumnName from sysChecklistOptionGroup where GroupName is null and exists (select from sysChecklistOptionGroup) limit 1) a union all</v>
      </c>
      <c r="AP135" t="e">
        <f t="shared" si="17"/>
        <v>#NAME?</v>
      </c>
    </row>
    <row r="136" spans="1:42">
      <c r="A136" s="7">
        <v>18740</v>
      </c>
      <c r="B136" t="s">
        <v>1475</v>
      </c>
      <c r="C136" s="3" t="str">
        <f t="shared" si="14"/>
        <v>sysChecklistOptionGroup.Id</v>
      </c>
      <c r="D136" s="7">
        <v>12</v>
      </c>
      <c r="E136" s="3" t="str">
        <f t="shared" si="15"/>
        <v>sysChecklistOptionGroup</v>
      </c>
      <c r="F136" t="s">
        <v>1539</v>
      </c>
      <c r="G136" s="3" t="s">
        <v>6748</v>
      </c>
      <c r="H136" s="3" t="str">
        <f t="shared" si="16"/>
        <v>System.ChecklistOptionGroup</v>
      </c>
      <c r="K136" s="7" t="s">
        <v>0</v>
      </c>
      <c r="M136" t="s">
        <v>6007</v>
      </c>
      <c r="N136" s="7"/>
      <c r="O136" s="7"/>
      <c r="Q136" t="s">
        <v>919</v>
      </c>
      <c r="U136" s="7" t="s">
        <v>95</v>
      </c>
      <c r="V136" s="7"/>
      <c r="W136" s="7"/>
      <c r="X136" s="7"/>
      <c r="Z136" s="7"/>
      <c r="AC136" s="7"/>
      <c r="AD136" s="15"/>
      <c r="AE136" s="7"/>
      <c r="AK136" t="str">
        <f t="shared" si="18"/>
        <v>SELECT (SELECT 'sysChecklistOptionGroup.Id' ColumnName from sysChecklistOptionGroup where Id is null and exists (select from sysChecklistOptionGroup) limit 1) a union all</v>
      </c>
      <c r="AP136" t="e">
        <f t="shared" si="17"/>
        <v>#NAME?</v>
      </c>
    </row>
    <row r="137" spans="1:42">
      <c r="A137" s="7">
        <v>18770</v>
      </c>
      <c r="B137" t="s">
        <v>1475</v>
      </c>
      <c r="C137" s="3" t="str">
        <f t="shared" si="14"/>
        <v>sysChecklistOptionGroup.InternalNote</v>
      </c>
      <c r="D137" s="7">
        <v>12</v>
      </c>
      <c r="E137" s="3" t="str">
        <f t="shared" si="15"/>
        <v>sysChecklistOptionGroup</v>
      </c>
      <c r="F137" t="s">
        <v>1997</v>
      </c>
      <c r="G137" s="3" t="s">
        <v>6749</v>
      </c>
      <c r="H137" s="3" t="str">
        <f t="shared" si="16"/>
        <v>System.ChecklistOptionGroup</v>
      </c>
      <c r="K137" t="s">
        <v>1998</v>
      </c>
      <c r="M137" t="s">
        <v>1073</v>
      </c>
      <c r="Q137" t="s">
        <v>92</v>
      </c>
      <c r="U137" t="s">
        <v>93</v>
      </c>
      <c r="V137" s="7"/>
      <c r="W137" s="7"/>
      <c r="X137" s="7"/>
      <c r="Z137" s="7"/>
      <c r="AB137" s="7"/>
      <c r="AC137" s="7"/>
      <c r="AD137" s="15"/>
      <c r="AE137" s="7"/>
      <c r="AK137" t="str">
        <f t="shared" si="18"/>
        <v>SELECT (SELECT 'sysChecklistOptionGroup.InternalNote' ColumnName from sysChecklistOptionGroup where InternalNote is null and exists (select from sysChecklistOptionGroup) limit 1) a union all</v>
      </c>
      <c r="AP137" t="e">
        <f t="shared" si="17"/>
        <v>#NAME?</v>
      </c>
    </row>
    <row r="138" spans="1:42">
      <c r="A138" s="7">
        <v>18780</v>
      </c>
      <c r="B138" t="s">
        <v>1475</v>
      </c>
      <c r="C138" s="3" t="str">
        <f t="shared" si="14"/>
        <v>sysChecklistOptionGroup.PublicNote</v>
      </c>
      <c r="D138" s="7">
        <v>12</v>
      </c>
      <c r="E138" s="3" t="str">
        <f t="shared" si="15"/>
        <v>sysChecklistOptionGroup</v>
      </c>
      <c r="F138" t="s">
        <v>1995</v>
      </c>
      <c r="G138" s="3" t="s">
        <v>6750</v>
      </c>
      <c r="H138" s="3" t="str">
        <f t="shared" si="16"/>
        <v>System.ChecklistOptionGroup</v>
      </c>
      <c r="K138" t="s">
        <v>1996</v>
      </c>
      <c r="M138" t="s">
        <v>1073</v>
      </c>
      <c r="Q138" t="s">
        <v>92</v>
      </c>
      <c r="U138" t="s">
        <v>93</v>
      </c>
      <c r="V138" s="7"/>
      <c r="W138" s="7"/>
      <c r="X138" s="7"/>
      <c r="Z138" s="7"/>
      <c r="AB138" s="7"/>
      <c r="AC138" s="7"/>
      <c r="AD138" s="15"/>
      <c r="AE138" s="7"/>
      <c r="AK138" t="str">
        <f t="shared" si="18"/>
        <v>SELECT (SELECT 'sysChecklistOptionGroup.PublicNote' ColumnName from sysChecklistOptionGroup where PublicNote is null and exists (select from sysChecklistOptionGroup) limit 1) a union all</v>
      </c>
      <c r="AP138" t="e">
        <f t="shared" si="17"/>
        <v>#NAME?</v>
      </c>
    </row>
    <row r="139" spans="1:42">
      <c r="A139" s="7">
        <v>18790</v>
      </c>
      <c r="B139" t="s">
        <v>1475</v>
      </c>
      <c r="C139" s="3" t="str">
        <f t="shared" si="14"/>
        <v>sysChecklistOptionGroup.RecordCount</v>
      </c>
      <c r="D139" s="7">
        <v>12</v>
      </c>
      <c r="E139" s="3" t="str">
        <f t="shared" si="15"/>
        <v>sysChecklistOptionGroup</v>
      </c>
      <c r="F139" s="7" t="s">
        <v>876</v>
      </c>
      <c r="G139" s="3" t="s">
        <v>6739</v>
      </c>
      <c r="H139" s="3" t="str">
        <f t="shared" si="16"/>
        <v>System.ChecklistOptionGroup</v>
      </c>
      <c r="K139" s="7" t="s">
        <v>1982</v>
      </c>
      <c r="M139" t="s">
        <v>195</v>
      </c>
      <c r="N139" s="7"/>
      <c r="O139" s="7"/>
      <c r="P139" s="7"/>
      <c r="Q139" t="s">
        <v>92</v>
      </c>
      <c r="R139" s="7"/>
      <c r="S139" s="7"/>
      <c r="U139" s="7" t="s">
        <v>93</v>
      </c>
      <c r="V139" s="7"/>
      <c r="W139" s="7"/>
      <c r="X139" s="7"/>
      <c r="Z139" s="7"/>
      <c r="AB139" s="7"/>
      <c r="AC139" s="7"/>
      <c r="AD139" s="15"/>
      <c r="AE139" s="7"/>
      <c r="AK139" t="str">
        <f t="shared" si="18"/>
        <v>SELECT (SELECT 'sysChecklistOptionGroup.RecordCount' ColumnName from sysChecklistOptionGroup where RecordCount is null and exists (select from sysChecklistOptionGroup) limit 1) a union all</v>
      </c>
      <c r="AP139" t="e">
        <f t="shared" si="17"/>
        <v>#NAME?</v>
      </c>
    </row>
    <row r="140" spans="1:42">
      <c r="A140" s="7">
        <v>18820</v>
      </c>
      <c r="B140" t="s">
        <v>1475</v>
      </c>
      <c r="C140" s="3" t="str">
        <f t="shared" si="14"/>
        <v>sysChecklistOptionGroup.RowStatus</v>
      </c>
      <c r="D140" s="7">
        <v>12</v>
      </c>
      <c r="E140" s="3" t="str">
        <f t="shared" si="15"/>
        <v>sysChecklistOptionGroup</v>
      </c>
      <c r="F140" t="s">
        <v>1445</v>
      </c>
      <c r="G140" s="3" t="s">
        <v>6411</v>
      </c>
      <c r="H140" s="3" t="str">
        <f t="shared" si="16"/>
        <v>System.ChecklistOptionGroup</v>
      </c>
      <c r="K140" s="3" t="s">
        <v>2471</v>
      </c>
      <c r="M140" t="s">
        <v>976</v>
      </c>
      <c r="N140">
        <v>1</v>
      </c>
      <c r="O140" s="7"/>
      <c r="P140" s="7"/>
      <c r="Q140" t="s">
        <v>919</v>
      </c>
      <c r="R140" s="7"/>
      <c r="S140" s="7"/>
      <c r="T140" s="8"/>
      <c r="U140" s="7" t="s">
        <v>94</v>
      </c>
      <c r="V140" s="7"/>
      <c r="W140" s="7"/>
      <c r="X140" s="7"/>
      <c r="Z140" s="7"/>
      <c r="AC140" s="7"/>
      <c r="AD140" s="15"/>
      <c r="AE140" s="7"/>
      <c r="AK140" t="str">
        <f t="shared" si="18"/>
        <v>SELECT (SELECT 'sysChecklistOptionGroup.RowStatus' ColumnName from sysChecklistOptionGroup where RowStatus is null and exists (select from sysChecklistOptionGroup) limit 1) a union all</v>
      </c>
      <c r="AP140" t="e">
        <f t="shared" si="17"/>
        <v>#NAME?</v>
      </c>
    </row>
    <row r="141" spans="1:42">
      <c r="A141" s="7">
        <v>18830</v>
      </c>
      <c r="B141" t="s">
        <v>1475</v>
      </c>
      <c r="C141" s="3" t="str">
        <f t="shared" si="14"/>
        <v>sysChecklistOptionGroup.sysChangeHistoryID</v>
      </c>
      <c r="D141" s="7">
        <v>12</v>
      </c>
      <c r="E141" s="3" t="str">
        <f t="shared" si="15"/>
        <v>sysChecklistOptionGroup</v>
      </c>
      <c r="F141" t="s">
        <v>2497</v>
      </c>
      <c r="G141" s="3" t="s">
        <v>6403</v>
      </c>
      <c r="H141" s="3" t="str">
        <f t="shared" si="16"/>
        <v>System.ChecklistOptionGroup</v>
      </c>
      <c r="K141" t="s">
        <v>1210</v>
      </c>
      <c r="M141" t="s">
        <v>6007</v>
      </c>
      <c r="N141" s="7"/>
      <c r="O141" s="7"/>
      <c r="P141" s="7"/>
      <c r="Q141" t="s">
        <v>919</v>
      </c>
      <c r="R141" s="7"/>
      <c r="S141" s="7"/>
      <c r="T141" s="8"/>
      <c r="U141" t="s">
        <v>1429</v>
      </c>
      <c r="AC141" s="7"/>
      <c r="AD141" s="15"/>
      <c r="AE141" s="7"/>
      <c r="AK141" t="str">
        <f t="shared" si="18"/>
        <v>SELECT (SELECT 'sysChecklistOptionGroup.sysChangeHistoryID' ColumnName from sysChecklistOptionGroup where sysChangeHistoryID is null and exists (select from sysChecklistOptionGroup) limit 1) a union all</v>
      </c>
      <c r="AP141" t="e">
        <f t="shared" si="17"/>
        <v>#NAME?</v>
      </c>
    </row>
    <row r="142" spans="1:42">
      <c r="A142" s="7">
        <v>18810</v>
      </c>
      <c r="B142" t="s">
        <v>1475</v>
      </c>
      <c r="C142" s="3" t="str">
        <f t="shared" si="14"/>
        <v>sysChecklistOptionGroup.Value</v>
      </c>
      <c r="D142" s="7">
        <v>12</v>
      </c>
      <c r="E142" s="3" t="str">
        <f t="shared" si="15"/>
        <v>sysChecklistOptionGroup</v>
      </c>
      <c r="F142" t="s">
        <v>1971</v>
      </c>
      <c r="G142" s="3" t="s">
        <v>6751</v>
      </c>
      <c r="H142" s="3" t="str">
        <f t="shared" si="16"/>
        <v>System.ChecklistOptionGroup</v>
      </c>
      <c r="K142" t="s">
        <v>1971</v>
      </c>
      <c r="M142" t="s">
        <v>1073</v>
      </c>
      <c r="Q142" t="s">
        <v>92</v>
      </c>
      <c r="U142" t="s">
        <v>93</v>
      </c>
      <c r="V142" s="7"/>
      <c r="W142" s="7"/>
      <c r="AB142" s="7"/>
      <c r="AC142" s="7"/>
      <c r="AD142" s="15"/>
      <c r="AE142" s="7"/>
      <c r="AJ142" t="str">
        <f>"SELECT (SELECT '"&amp;C142&amp;"' ColumnName from "&amp;E142&amp;" where "&amp;F142&amp;" is null and exists (select from "&amp;E142&amp;") limit 1) ColumnName union all"</f>
        <v>SELECT (SELECT 'sysChecklistOptionGroup.Value' ColumnName from sysChecklistOptionGroup where Value is null and exists (select from sysChecklistOptionGroup) limit 1) ColumnName union all</v>
      </c>
      <c r="AL142" t="str">
        <f>"ALTER TABLE "&amp;E142&amp;" ALTER COLUMN "&amp;F142&amp;" DROP NOT NULL"</f>
        <v>ALTER TABLE sysChecklistOptionGroup ALTER COLUMN Value DROP NOT NULL</v>
      </c>
      <c r="AP142" t="e">
        <f t="shared" si="17"/>
        <v>#NAME?</v>
      </c>
    </row>
    <row r="143" spans="1:42">
      <c r="A143">
        <v>18850</v>
      </c>
      <c r="B143" t="s">
        <v>1475</v>
      </c>
      <c r="C143" s="3" t="str">
        <f t="shared" si="14"/>
        <v>sysCommand.Caption</v>
      </c>
      <c r="D143">
        <v>13</v>
      </c>
      <c r="E143" s="3" t="str">
        <f t="shared" si="15"/>
        <v>sysCommand</v>
      </c>
      <c r="F143" t="s">
        <v>1129</v>
      </c>
      <c r="G143" s="3" t="s">
        <v>6743</v>
      </c>
      <c r="H143" s="3" t="str">
        <f t="shared" si="16"/>
        <v>System.Command</v>
      </c>
      <c r="J143" s="3"/>
      <c r="K143" t="s">
        <v>1129</v>
      </c>
      <c r="M143" t="s">
        <v>196</v>
      </c>
      <c r="Q143" t="s">
        <v>92</v>
      </c>
      <c r="T143" s="3"/>
      <c r="U143" t="s">
        <v>93</v>
      </c>
      <c r="AJ143" t="str">
        <f>"SELECT (SELECT '"&amp;C143&amp;"' ColumnName from "&amp;E143&amp;" where "&amp;F143&amp;" is null and exists (select from "&amp;E143&amp;") limit 1) ColumnName union all"</f>
        <v>SELECT (SELECT 'sysCommand.Caption' ColumnName from sysCommand where Caption is null and exists (select from sysCommand) limit 1) ColumnName union all</v>
      </c>
      <c r="AL143" t="str">
        <f>"ALTER TABLE "&amp;E143&amp;" ALTER COLUMN "&amp;F143&amp;" DROP NOT NULL"</f>
        <v>ALTER TABLE sysCommand ALTER COLUMN Caption DROP NOT NULL</v>
      </c>
      <c r="AP143" t="e">
        <f t="shared" si="17"/>
        <v>#NAME?</v>
      </c>
    </row>
    <row r="144" spans="1:42">
      <c r="A144">
        <v>18860</v>
      </c>
      <c r="B144" t="s">
        <v>1475</v>
      </c>
      <c r="C144" s="3" t="str">
        <f t="shared" si="14"/>
        <v>sysCommand.CommandType</v>
      </c>
      <c r="D144">
        <v>13</v>
      </c>
      <c r="E144" s="3" t="str">
        <f t="shared" si="15"/>
        <v>sysCommand</v>
      </c>
      <c r="F144" t="s">
        <v>7046</v>
      </c>
      <c r="G144" s="3" t="s">
        <v>6753</v>
      </c>
      <c r="H144" s="3" t="str">
        <f t="shared" si="16"/>
        <v>System.Command</v>
      </c>
      <c r="J144" s="3"/>
      <c r="K144" s="3" t="s">
        <v>1130</v>
      </c>
      <c r="M144" t="s">
        <v>976</v>
      </c>
      <c r="N144">
        <v>4</v>
      </c>
      <c r="Q144" t="s">
        <v>92</v>
      </c>
      <c r="T144" s="3"/>
      <c r="U144" t="s">
        <v>93</v>
      </c>
      <c r="AJ144" t="str">
        <f>"SELECT (SELECT '"&amp;C144&amp;"' ColumnName from "&amp;E144&amp;" where "&amp;F144&amp;" is null and exists (select from "&amp;E144&amp;") limit 1) ColumnName union all"</f>
        <v>SELECT (SELECT 'sysCommand.CommandType' ColumnName from sysCommand where CommandType is null and exists (select from sysCommand) limit 1) ColumnName union all</v>
      </c>
      <c r="AL144" t="str">
        <f>"ALTER TABLE "&amp;E144&amp;" ALTER COLUMN "&amp;F144&amp;" DROP NOT NULL"</f>
        <v>ALTER TABLE sysCommand ALTER COLUMN CommandType DROP NOT NULL</v>
      </c>
      <c r="AP144" t="e">
        <f t="shared" si="17"/>
        <v>#NAME?</v>
      </c>
    </row>
    <row r="145" spans="1:42">
      <c r="A145">
        <v>18870</v>
      </c>
      <c r="B145" t="s">
        <v>1475</v>
      </c>
      <c r="C145" s="3" t="str">
        <f t="shared" si="14"/>
        <v>sysCommand.Comments</v>
      </c>
      <c r="D145">
        <v>13</v>
      </c>
      <c r="E145" s="3" t="str">
        <f t="shared" si="15"/>
        <v>sysCommand</v>
      </c>
      <c r="F145" t="s">
        <v>14</v>
      </c>
      <c r="G145" s="3" t="s">
        <v>6421</v>
      </c>
      <c r="H145" s="3" t="str">
        <f t="shared" si="16"/>
        <v>System.Command</v>
      </c>
      <c r="J145" s="3"/>
      <c r="K145" s="3" t="s">
        <v>14</v>
      </c>
      <c r="M145" t="s">
        <v>196</v>
      </c>
      <c r="Q145" t="s">
        <v>92</v>
      </c>
      <c r="T145" s="3"/>
      <c r="U145" t="s">
        <v>93</v>
      </c>
      <c r="W145" s="4"/>
      <c r="AK145" t="str">
        <f t="shared" ref="AK145:AK156" si="19">"SELECT (SELECT '"&amp;C145&amp;"' ColumnName from "&amp;E145&amp;" where "&amp;F145&amp;" is null and exists (select from "&amp;E145&amp;") limit 1) a union all"</f>
        <v>SELECT (SELECT 'sysCommand.Comments' ColumnName from sysCommand where Comments is null and exists (select from sysCommand) limit 1) a union all</v>
      </c>
      <c r="AP145" t="e">
        <f t="shared" si="17"/>
        <v>#NAME?</v>
      </c>
    </row>
    <row r="146" spans="1:42">
      <c r="A146">
        <v>18880</v>
      </c>
      <c r="B146" t="s">
        <v>1475</v>
      </c>
      <c r="C146" s="3" t="str">
        <f t="shared" si="14"/>
        <v>sysCommand.FrenchCaption</v>
      </c>
      <c r="D146">
        <v>13</v>
      </c>
      <c r="E146" s="3" t="str">
        <f t="shared" si="15"/>
        <v>sysCommand</v>
      </c>
      <c r="F146" t="s">
        <v>1131</v>
      </c>
      <c r="G146" s="3" t="s">
        <v>6754</v>
      </c>
      <c r="H146" s="3" t="str">
        <f t="shared" si="16"/>
        <v>System.Command</v>
      </c>
      <c r="J146" s="3"/>
      <c r="K146" t="s">
        <v>1132</v>
      </c>
      <c r="M146" t="s">
        <v>196</v>
      </c>
      <c r="Q146" t="s">
        <v>92</v>
      </c>
      <c r="T146" s="3"/>
      <c r="U146" t="s">
        <v>93</v>
      </c>
      <c r="AK146" t="str">
        <f t="shared" si="19"/>
        <v>SELECT (SELECT 'sysCommand.FrenchCaption' ColumnName from sysCommand where FrenchCaption is null and exists (select from sysCommand) limit 1) a union all</v>
      </c>
      <c r="AP146" t="e">
        <f t="shared" si="17"/>
        <v>#NAME?</v>
      </c>
    </row>
    <row r="147" spans="1:42">
      <c r="A147">
        <v>18890</v>
      </c>
      <c r="B147" s="3" t="s">
        <v>1475</v>
      </c>
      <c r="C147" s="3" t="str">
        <f t="shared" si="14"/>
        <v>sysCommand.HelpText</v>
      </c>
      <c r="D147" s="3">
        <v>13</v>
      </c>
      <c r="E147" s="3" t="str">
        <f t="shared" si="15"/>
        <v>sysCommand</v>
      </c>
      <c r="F147" t="s">
        <v>239</v>
      </c>
      <c r="G147" s="3" t="s">
        <v>6755</v>
      </c>
      <c r="H147" s="3" t="str">
        <f t="shared" si="16"/>
        <v>System.Command</v>
      </c>
      <c r="J147" s="3"/>
      <c r="K147" s="3" t="s">
        <v>376</v>
      </c>
      <c r="L147" s="3"/>
      <c r="M147" s="3" t="s">
        <v>196</v>
      </c>
      <c r="O147" s="3"/>
      <c r="P147" s="3"/>
      <c r="Q147" s="3" t="s">
        <v>92</v>
      </c>
      <c r="R147" s="3"/>
      <c r="S147" s="3"/>
      <c r="T147" s="3"/>
      <c r="U147" s="3" t="s">
        <v>93</v>
      </c>
      <c r="AF147" t="s">
        <v>604</v>
      </c>
      <c r="AK147" t="str">
        <f t="shared" si="19"/>
        <v>SELECT (SELECT 'sysCommand.HelpText' ColumnName from sysCommand where HelpText is null and exists (select from sysCommand) limit 1) a union all</v>
      </c>
      <c r="AP147" t="e">
        <f t="shared" si="17"/>
        <v>#NAME?</v>
      </c>
    </row>
    <row r="148" spans="1:42">
      <c r="A148">
        <v>18840</v>
      </c>
      <c r="B148" t="s">
        <v>1475</v>
      </c>
      <c r="C148" s="3" t="str">
        <f t="shared" si="14"/>
        <v>sysCommand.ID</v>
      </c>
      <c r="D148">
        <v>13</v>
      </c>
      <c r="E148" s="3" t="str">
        <f t="shared" si="15"/>
        <v>sysCommand</v>
      </c>
      <c r="F148" t="s">
        <v>0</v>
      </c>
      <c r="G148" s="3" t="s">
        <v>6752</v>
      </c>
      <c r="H148" s="3" t="str">
        <f t="shared" si="16"/>
        <v>System.Command</v>
      </c>
      <c r="J148" s="3"/>
      <c r="K148" t="s">
        <v>1128</v>
      </c>
      <c r="M148" t="s">
        <v>6007</v>
      </c>
      <c r="Q148" s="3" t="s">
        <v>919</v>
      </c>
      <c r="T148" s="3"/>
      <c r="U148" s="3" t="s">
        <v>95</v>
      </c>
      <c r="AC148" t="s">
        <v>92</v>
      </c>
      <c r="AK148" t="str">
        <f t="shared" si="19"/>
        <v>SELECT (SELECT 'sysCommand.ID' ColumnName from sysCommand where ID is null and exists (select from sysCommand) limit 1) a union all</v>
      </c>
      <c r="AP148" t="e">
        <f t="shared" si="17"/>
        <v>#NAME?</v>
      </c>
    </row>
    <row r="149" spans="1:42">
      <c r="A149">
        <v>18900</v>
      </c>
      <c r="B149" t="s">
        <v>1475</v>
      </c>
      <c r="C149" s="3" t="str">
        <f t="shared" si="14"/>
        <v>sysCommand.IsChangeHistoryUsed</v>
      </c>
      <c r="D149">
        <v>13</v>
      </c>
      <c r="E149" s="3" t="str">
        <f t="shared" si="15"/>
        <v>sysCommand</v>
      </c>
      <c r="F149" t="s">
        <v>1302</v>
      </c>
      <c r="G149" s="3" t="s">
        <v>6756</v>
      </c>
      <c r="H149" s="3" t="str">
        <f t="shared" si="16"/>
        <v>System.Command</v>
      </c>
      <c r="J149" s="3"/>
      <c r="K149" t="s">
        <v>1133</v>
      </c>
      <c r="M149" s="3" t="s">
        <v>2402</v>
      </c>
      <c r="Q149" t="s">
        <v>92</v>
      </c>
      <c r="T149" s="3"/>
      <c r="U149" t="s">
        <v>93</v>
      </c>
      <c r="AK149" t="str">
        <f t="shared" si="19"/>
        <v>SELECT (SELECT 'sysCommand.IsChangeHistoryUsed' ColumnName from sysCommand where IsChangeHistoryUsed is null and exists (select from sysCommand) limit 1) a union all</v>
      </c>
      <c r="AP149" t="e">
        <f t="shared" si="17"/>
        <v>#NAME?</v>
      </c>
    </row>
    <row r="150" spans="1:42">
      <c r="A150">
        <v>18910</v>
      </c>
      <c r="B150" s="3" t="s">
        <v>1475</v>
      </c>
      <c r="C150" s="3" t="str">
        <f t="shared" si="14"/>
        <v>sysCommand.LogCondition</v>
      </c>
      <c r="D150" s="3">
        <v>13</v>
      </c>
      <c r="E150" s="3" t="str">
        <f t="shared" si="15"/>
        <v>sysCommand</v>
      </c>
      <c r="F150" t="s">
        <v>315</v>
      </c>
      <c r="G150" s="3" t="s">
        <v>6757</v>
      </c>
      <c r="H150" s="3" t="str">
        <f t="shared" si="16"/>
        <v>System.Command</v>
      </c>
      <c r="J150" s="3"/>
      <c r="K150" s="3" t="s">
        <v>380</v>
      </c>
      <c r="L150" s="3"/>
      <c r="M150" s="3" t="s">
        <v>196</v>
      </c>
      <c r="O150" s="3"/>
      <c r="P150" s="3"/>
      <c r="Q150" s="3" t="s">
        <v>92</v>
      </c>
      <c r="R150" s="3"/>
      <c r="S150" s="3"/>
      <c r="T150" s="3"/>
      <c r="U150" s="3" t="s">
        <v>93</v>
      </c>
      <c r="AF150" t="s">
        <v>608</v>
      </c>
      <c r="AK150" t="str">
        <f t="shared" si="19"/>
        <v>SELECT (SELECT 'sysCommand.LogCondition' ColumnName from sysCommand where LogCondition is null and exists (select from sysCommand) limit 1) a union all</v>
      </c>
      <c r="AP150" t="e">
        <f t="shared" si="17"/>
        <v>#NAME?</v>
      </c>
    </row>
    <row r="151" spans="1:42">
      <c r="A151">
        <v>18920</v>
      </c>
      <c r="B151" s="3" t="s">
        <v>1475</v>
      </c>
      <c r="C151" s="3" t="str">
        <f t="shared" si="14"/>
        <v>sysCommand.MenuMessage</v>
      </c>
      <c r="D151" s="3">
        <v>13</v>
      </c>
      <c r="E151" s="3" t="str">
        <f t="shared" si="15"/>
        <v>sysCommand</v>
      </c>
      <c r="F151" t="s">
        <v>1301</v>
      </c>
      <c r="G151" s="3" t="s">
        <v>6758</v>
      </c>
      <c r="H151" s="3" t="str">
        <f t="shared" si="16"/>
        <v>System.Command</v>
      </c>
      <c r="J151" s="3"/>
      <c r="K151" s="3" t="s">
        <v>373</v>
      </c>
      <c r="L151" s="3"/>
      <c r="M151" s="3" t="s">
        <v>196</v>
      </c>
      <c r="O151" s="3"/>
      <c r="P151" s="3"/>
      <c r="Q151" s="3" t="s">
        <v>92</v>
      </c>
      <c r="R151" s="3"/>
      <c r="S151" s="3"/>
      <c r="T151" s="3"/>
      <c r="U151" s="3" t="s">
        <v>93</v>
      </c>
      <c r="AF151" t="s">
        <v>601</v>
      </c>
      <c r="AK151" t="str">
        <f t="shared" si="19"/>
        <v>SELECT (SELECT 'sysCommand.MenuMessage' ColumnName from sysCommand where MenuMessage is null and exists (select from sysCommand) limit 1) a union all</v>
      </c>
      <c r="AP151" t="e">
        <f t="shared" si="17"/>
        <v>#NAME?</v>
      </c>
    </row>
    <row r="152" spans="1:42">
      <c r="A152">
        <v>18930</v>
      </c>
      <c r="B152" t="s">
        <v>1475</v>
      </c>
      <c r="C152" s="3" t="str">
        <f t="shared" si="14"/>
        <v>sysCommand.Name</v>
      </c>
      <c r="D152">
        <v>13</v>
      </c>
      <c r="E152" s="3" t="str">
        <f t="shared" si="15"/>
        <v>sysCommand</v>
      </c>
      <c r="F152" t="s">
        <v>22</v>
      </c>
      <c r="G152" s="3" t="s">
        <v>6956</v>
      </c>
      <c r="H152" s="3" t="str">
        <f t="shared" si="16"/>
        <v>System.Command</v>
      </c>
      <c r="J152" s="3"/>
      <c r="K152" t="s">
        <v>35</v>
      </c>
      <c r="M152" t="s">
        <v>196</v>
      </c>
      <c r="Q152" t="s">
        <v>92</v>
      </c>
      <c r="T152" s="3"/>
      <c r="U152" t="s">
        <v>93</v>
      </c>
      <c r="AH152" t="s">
        <v>92</v>
      </c>
      <c r="AK152" t="str">
        <f t="shared" si="19"/>
        <v>SELECT (SELECT 'sysCommand.Name' ColumnName from sysCommand where Name is null and exists (select from sysCommand) limit 1) a union all</v>
      </c>
      <c r="AP152" t="e">
        <f t="shared" si="17"/>
        <v>#NAME?</v>
      </c>
    </row>
    <row r="153" spans="1:42">
      <c r="A153">
        <v>18940</v>
      </c>
      <c r="B153" s="3" t="s">
        <v>1475</v>
      </c>
      <c r="C153" s="3" t="str">
        <f t="shared" si="14"/>
        <v>sysCommand.ProcedureName</v>
      </c>
      <c r="D153" s="3">
        <v>13</v>
      </c>
      <c r="E153" s="3" t="str">
        <f t="shared" si="15"/>
        <v>sysCommand</v>
      </c>
      <c r="F153" t="s">
        <v>319</v>
      </c>
      <c r="G153" s="3" t="s">
        <v>6957</v>
      </c>
      <c r="H153" s="3" t="str">
        <f t="shared" si="16"/>
        <v>System.Command</v>
      </c>
      <c r="J153" s="3"/>
      <c r="K153" s="3" t="s">
        <v>371</v>
      </c>
      <c r="L153" s="3"/>
      <c r="M153" s="3" t="s">
        <v>196</v>
      </c>
      <c r="O153" s="3"/>
      <c r="P153" s="3"/>
      <c r="Q153" s="3" t="s">
        <v>92</v>
      </c>
      <c r="R153" s="3"/>
      <c r="S153" s="3"/>
      <c r="T153" s="3"/>
      <c r="U153" s="3" t="s">
        <v>93</v>
      </c>
      <c r="AF153" t="s">
        <v>599</v>
      </c>
      <c r="AK153" t="str">
        <f t="shared" si="19"/>
        <v>SELECT (SELECT 'sysCommand.ProcedureName' ColumnName from sysCommand where ProcedureName is null and exists (select from sysCommand) limit 1) a union all</v>
      </c>
      <c r="AP153" t="e">
        <f t="shared" si="17"/>
        <v>#NAME?</v>
      </c>
    </row>
    <row r="154" spans="1:42">
      <c r="A154">
        <v>18970</v>
      </c>
      <c r="B154" t="s">
        <v>1475</v>
      </c>
      <c r="C154" s="3" t="str">
        <f t="shared" si="14"/>
        <v>sysCommand.RowStatus</v>
      </c>
      <c r="D154">
        <v>13</v>
      </c>
      <c r="E154" s="3" t="str">
        <f t="shared" si="15"/>
        <v>sysCommand</v>
      </c>
      <c r="F154" t="s">
        <v>1445</v>
      </c>
      <c r="G154" s="3" t="s">
        <v>6411</v>
      </c>
      <c r="H154" s="3" t="str">
        <f t="shared" si="16"/>
        <v>System.Command</v>
      </c>
      <c r="J154" s="3"/>
      <c r="K154" s="3" t="s">
        <v>2471</v>
      </c>
      <c r="M154" t="s">
        <v>976</v>
      </c>
      <c r="N154">
        <v>1</v>
      </c>
      <c r="Q154" t="s">
        <v>919</v>
      </c>
      <c r="S154" s="14"/>
      <c r="T154" s="3"/>
      <c r="U154" t="s">
        <v>94</v>
      </c>
      <c r="AK154" t="str">
        <f t="shared" si="19"/>
        <v>SELECT (SELECT 'sysCommand.RowStatus' ColumnName from sysCommand where RowStatus is null and exists (select from sysCommand) limit 1) a union all</v>
      </c>
      <c r="AP154" t="e">
        <f t="shared" si="17"/>
        <v>#NAME?</v>
      </c>
    </row>
    <row r="155" spans="1:42">
      <c r="A155">
        <v>18950</v>
      </c>
      <c r="B155" t="s">
        <v>1475</v>
      </c>
      <c r="C155" s="3" t="str">
        <f t="shared" si="14"/>
        <v>sysCommand.SourceCode</v>
      </c>
      <c r="D155">
        <v>13</v>
      </c>
      <c r="E155" s="3" t="str">
        <f t="shared" si="15"/>
        <v>sysCommand</v>
      </c>
      <c r="F155" t="s">
        <v>1303</v>
      </c>
      <c r="G155" s="3" t="s">
        <v>6759</v>
      </c>
      <c r="H155" s="3" t="str">
        <f t="shared" si="16"/>
        <v>System.Command</v>
      </c>
      <c r="J155" s="3"/>
      <c r="K155" t="s">
        <v>1303</v>
      </c>
      <c r="M155" t="s">
        <v>196</v>
      </c>
      <c r="Q155" t="s">
        <v>92</v>
      </c>
      <c r="T155" s="3"/>
      <c r="U155" t="s">
        <v>93</v>
      </c>
      <c r="W155" s="4"/>
      <c r="AK155" t="str">
        <f t="shared" si="19"/>
        <v>SELECT (SELECT 'sysCommand.SourceCode' ColumnName from sysCommand where SourceCode is null and exists (select from sysCommand) limit 1) a union all</v>
      </c>
      <c r="AP155" t="e">
        <f t="shared" si="17"/>
        <v>#NAME?</v>
      </c>
    </row>
    <row r="156" spans="1:42">
      <c r="A156">
        <v>18980</v>
      </c>
      <c r="B156" t="s">
        <v>1475</v>
      </c>
      <c r="C156" s="3" t="str">
        <f t="shared" si="14"/>
        <v>sysCommand.sysChangeHistoryID</v>
      </c>
      <c r="D156">
        <v>13</v>
      </c>
      <c r="E156" s="3" t="str">
        <f t="shared" si="15"/>
        <v>sysCommand</v>
      </c>
      <c r="F156" t="s">
        <v>2497</v>
      </c>
      <c r="G156" s="3" t="s">
        <v>6403</v>
      </c>
      <c r="H156" s="3" t="str">
        <f t="shared" si="16"/>
        <v>System.Command</v>
      </c>
      <c r="J156" s="3"/>
      <c r="K156" t="s">
        <v>1210</v>
      </c>
      <c r="M156" t="s">
        <v>6007</v>
      </c>
      <c r="Q156" t="s">
        <v>92</v>
      </c>
      <c r="T156" s="3"/>
      <c r="U156" t="s">
        <v>1429</v>
      </c>
      <c r="W156" s="3"/>
      <c r="X156" s="3"/>
      <c r="AK156" t="str">
        <f t="shared" si="19"/>
        <v>SELECT (SELECT 'sysCommand.sysChangeHistoryID' ColumnName from sysCommand where sysChangeHistoryID is null and exists (select from sysCommand) limit 1) a union all</v>
      </c>
      <c r="AP156" t="e">
        <f t="shared" si="17"/>
        <v>#NAME?</v>
      </c>
    </row>
    <row r="157" spans="1:42">
      <c r="A157">
        <v>18960</v>
      </c>
      <c r="B157" s="3" t="s">
        <v>1475</v>
      </c>
      <c r="C157" s="3" t="str">
        <f t="shared" si="14"/>
        <v>sysCommand.systemModule</v>
      </c>
      <c r="D157" s="3">
        <v>13</v>
      </c>
      <c r="E157" s="3" t="str">
        <f t="shared" si="15"/>
        <v>sysCommand</v>
      </c>
      <c r="F157" t="s">
        <v>2862</v>
      </c>
      <c r="G157" s="3" t="s">
        <v>6760</v>
      </c>
      <c r="H157" s="3" t="str">
        <f t="shared" si="16"/>
        <v>System.Command</v>
      </c>
      <c r="J157" s="3"/>
      <c r="K157" s="3" t="s">
        <v>1171</v>
      </c>
      <c r="L157" s="3"/>
      <c r="M157" s="3" t="s">
        <v>196</v>
      </c>
      <c r="N157" s="3"/>
      <c r="O157" s="3"/>
      <c r="P157" s="3"/>
      <c r="Q157" s="3" t="s">
        <v>92</v>
      </c>
      <c r="R157" s="3"/>
      <c r="S157" s="3"/>
      <c r="T157" s="3"/>
      <c r="U157" s="3" t="s">
        <v>93</v>
      </c>
      <c r="AF157" t="s">
        <v>1889</v>
      </c>
      <c r="AJ157" t="str">
        <f>"SELECT (SELECT '"&amp;C157&amp;"' ColumnName from "&amp;E157&amp;" where "&amp;F157&amp;" is null and exists (select from "&amp;E157&amp;") limit 1) ColumnName union all"</f>
        <v>SELECT (SELECT 'sysCommand.systemModule' ColumnName from sysCommand where systemModule is null and exists (select from sysCommand) limit 1) ColumnName union all</v>
      </c>
      <c r="AL157" t="str">
        <f>"ALTER TABLE "&amp;E157&amp;" ALTER COLUMN "&amp;F157&amp;" DROP NOT NULL"</f>
        <v>ALTER TABLE sysCommand ALTER COLUMN systemModule DROP NOT NULL</v>
      </c>
      <c r="AP157" t="e">
        <f t="shared" si="17"/>
        <v>#NAME?</v>
      </c>
    </row>
    <row r="158" spans="1:42">
      <c r="A158">
        <v>19020</v>
      </c>
      <c r="B158" s="3" t="s">
        <v>1475</v>
      </c>
      <c r="C158" s="3" t="str">
        <f t="shared" si="14"/>
        <v>sysCommandJoin.Condition</v>
      </c>
      <c r="D158" s="3">
        <v>14</v>
      </c>
      <c r="E158" s="3" t="str">
        <f t="shared" si="15"/>
        <v>sysCommandJoin</v>
      </c>
      <c r="F158" t="s">
        <v>345</v>
      </c>
      <c r="G158" s="3" t="s">
        <v>6764</v>
      </c>
      <c r="H158" s="3" t="str">
        <f t="shared" si="16"/>
        <v>System.CommandJoin</v>
      </c>
      <c r="J158" s="3"/>
      <c r="K158" s="3" t="s">
        <v>345</v>
      </c>
      <c r="L158" s="3"/>
      <c r="M158" s="3" t="s">
        <v>196</v>
      </c>
      <c r="O158" s="3"/>
      <c r="P158" s="3"/>
      <c r="Q158" s="3" t="s">
        <v>92</v>
      </c>
      <c r="R158" s="3"/>
      <c r="S158" s="3"/>
      <c r="T158" s="3"/>
      <c r="U158" s="3" t="s">
        <v>93</v>
      </c>
      <c r="AF158" t="s">
        <v>614</v>
      </c>
      <c r="AK158" t="str">
        <f>"SELECT (SELECT '"&amp;C158&amp;"' ColumnName from "&amp;E158&amp;" where "&amp;F158&amp;" is null and exists (select from "&amp;E158&amp;") limit 1) a union all"</f>
        <v>SELECT (SELECT 'sysCommandJoin.Condition' ColumnName from sysCommandJoin where Condition is null and exists (select from sysCommandJoin) limit 1) a union all</v>
      </c>
      <c r="AP158" t="e">
        <f t="shared" si="17"/>
        <v>#NAME?</v>
      </c>
    </row>
    <row r="159" spans="1:42">
      <c r="A159">
        <v>19030</v>
      </c>
      <c r="B159" s="3" t="s">
        <v>1475</v>
      </c>
      <c r="C159" s="3" t="str">
        <f t="shared" si="14"/>
        <v>sysCommandJoin.DisplaySequence</v>
      </c>
      <c r="D159" s="3">
        <v>14</v>
      </c>
      <c r="E159" s="3" t="str">
        <f t="shared" si="15"/>
        <v>sysCommandJoin</v>
      </c>
      <c r="F159" t="s">
        <v>6055</v>
      </c>
      <c r="G159" s="3" t="s">
        <v>6432</v>
      </c>
      <c r="H159" s="3" t="str">
        <f t="shared" si="16"/>
        <v>System.CommandJoin</v>
      </c>
      <c r="J159" s="3"/>
      <c r="K159" s="3" t="s">
        <v>6297</v>
      </c>
      <c r="L159" s="3"/>
      <c r="M159" s="3" t="s">
        <v>195</v>
      </c>
      <c r="N159" s="3"/>
      <c r="O159" s="3"/>
      <c r="P159" s="3"/>
      <c r="Q159" s="3" t="s">
        <v>92</v>
      </c>
      <c r="R159" s="3"/>
      <c r="S159" s="3"/>
      <c r="T159" s="3"/>
      <c r="U159" s="3" t="s">
        <v>93</v>
      </c>
      <c r="AF159" t="s">
        <v>613</v>
      </c>
      <c r="AJ159" t="str">
        <f>"SELECT (SELECT '"&amp;C159&amp;"' ColumnName from "&amp;E159&amp;" where "&amp;F159&amp;" is null and exists (select from "&amp;E159&amp;") limit 1) ColumnName union all"</f>
        <v>SELECT (SELECT 'sysCommandJoin.DisplaySequence' ColumnName from sysCommandJoin where DisplaySequence is null and exists (select from sysCommandJoin) limit 1) ColumnName union all</v>
      </c>
      <c r="AL159" t="str">
        <f>"ALTER TABLE "&amp;E159&amp;" ALTER COLUMN "&amp;F159&amp;" DROP NOT NULL"</f>
        <v>ALTER TABLE sysCommandJoin ALTER COLUMN DisplaySequence DROP NOT NULL</v>
      </c>
      <c r="AP159" t="e">
        <f t="shared" si="17"/>
        <v>#NAME?</v>
      </c>
    </row>
    <row r="160" spans="1:42">
      <c r="A160">
        <v>18990</v>
      </c>
      <c r="B160" s="3" t="s">
        <v>1475</v>
      </c>
      <c r="C160" s="3" t="str">
        <f t="shared" si="14"/>
        <v>sysCommandJoin.ID</v>
      </c>
      <c r="D160" s="3">
        <v>14</v>
      </c>
      <c r="E160" s="3" t="str">
        <f t="shared" si="15"/>
        <v>sysCommandJoin</v>
      </c>
      <c r="F160" t="s">
        <v>0</v>
      </c>
      <c r="G160" s="3" t="s">
        <v>6761</v>
      </c>
      <c r="H160" s="3" t="str">
        <f t="shared" si="16"/>
        <v>System.CommandJoin</v>
      </c>
      <c r="J160" s="3"/>
      <c r="K160" s="3" t="s">
        <v>0</v>
      </c>
      <c r="L160" s="3"/>
      <c r="M160" t="s">
        <v>6007</v>
      </c>
      <c r="N160" s="3"/>
      <c r="O160" s="3"/>
      <c r="P160" s="3"/>
      <c r="Q160" s="3" t="s">
        <v>919</v>
      </c>
      <c r="R160" s="3"/>
      <c r="S160" s="3"/>
      <c r="T160" s="3"/>
      <c r="U160" s="3" t="s">
        <v>95</v>
      </c>
      <c r="AF160" t="s">
        <v>610</v>
      </c>
      <c r="AK160" t="str">
        <f>"SELECT (SELECT '"&amp;C160&amp;"' ColumnName from "&amp;E160&amp;" where "&amp;F160&amp;" is null and exists (select from "&amp;E160&amp;") limit 1) a union all"</f>
        <v>SELECT (SELECT 'sysCommandJoin.ID' ColumnName from sysCommandJoin where ID is null and exists (select from sysCommandJoin) limit 1) a union all</v>
      </c>
      <c r="AO160" t="e">
        <f>SUBSTITUTE(VLOOKUP(V160,DictionaryTableID,16,FALSE)&amp;"ID",".","")</f>
        <v>#N/A</v>
      </c>
      <c r="AP160" t="e">
        <f t="shared" si="17"/>
        <v>#NAME?</v>
      </c>
    </row>
    <row r="161" spans="1:42">
      <c r="A161">
        <v>19040</v>
      </c>
      <c r="B161" s="3" t="s">
        <v>1475</v>
      </c>
      <c r="C161" s="3" t="str">
        <f t="shared" si="14"/>
        <v>sysCommandJoin.RowStatus</v>
      </c>
      <c r="D161" s="3">
        <v>14</v>
      </c>
      <c r="E161" s="3" t="str">
        <f t="shared" si="15"/>
        <v>sysCommandJoin</v>
      </c>
      <c r="F161" t="s">
        <v>1445</v>
      </c>
      <c r="G161" s="3" t="s">
        <v>6411</v>
      </c>
      <c r="H161" s="3" t="str">
        <f t="shared" si="16"/>
        <v>System.CommandJoin</v>
      </c>
      <c r="J161" s="3"/>
      <c r="K161" t="s">
        <v>2471</v>
      </c>
      <c r="L161" s="3"/>
      <c r="M161" t="s">
        <v>976</v>
      </c>
      <c r="N161">
        <v>1</v>
      </c>
      <c r="O161" s="3"/>
      <c r="P161" s="3"/>
      <c r="Q161" s="3" t="s">
        <v>919</v>
      </c>
      <c r="R161" s="3"/>
      <c r="S161" s="3"/>
      <c r="T161" s="3"/>
      <c r="U161" s="3" t="s">
        <v>94</v>
      </c>
      <c r="AK161" t="str">
        <f>"SELECT (SELECT '"&amp;C161&amp;"' ColumnName from "&amp;E161&amp;" where "&amp;F161&amp;" is null and exists (select from "&amp;E161&amp;") limit 1) a union all"</f>
        <v>SELECT (SELECT 'sysCommandJoin.RowStatus' ColumnName from sysCommandJoin where RowStatus is null and exists (select from sysCommandJoin) limit 1) a union all</v>
      </c>
      <c r="AO161" t="e">
        <f>SUBSTITUTE(VLOOKUP(V161,DictionaryTableID,16,FALSE)&amp;"ID",".","")</f>
        <v>#N/A</v>
      </c>
      <c r="AP161" t="e">
        <f t="shared" si="17"/>
        <v>#NAME?</v>
      </c>
    </row>
    <row r="162" spans="1:42">
      <c r="A162">
        <v>19050</v>
      </c>
      <c r="B162" t="s">
        <v>1475</v>
      </c>
      <c r="C162" s="3" t="str">
        <f t="shared" si="14"/>
        <v>sysCommandJoin.sysChangeHistoryID</v>
      </c>
      <c r="D162">
        <v>14</v>
      </c>
      <c r="E162" s="3" t="str">
        <f t="shared" si="15"/>
        <v>sysCommandJoin</v>
      </c>
      <c r="F162" t="s">
        <v>2497</v>
      </c>
      <c r="G162" s="3" t="s">
        <v>6403</v>
      </c>
      <c r="H162" s="3" t="str">
        <f t="shared" si="16"/>
        <v>System.CommandJoin</v>
      </c>
      <c r="J162" s="3"/>
      <c r="K162" t="s">
        <v>1210</v>
      </c>
      <c r="M162" t="s">
        <v>6007</v>
      </c>
      <c r="Q162" t="s">
        <v>92</v>
      </c>
      <c r="T162" s="3"/>
      <c r="U162" t="s">
        <v>1429</v>
      </c>
      <c r="W162" s="3"/>
      <c r="X162" s="3"/>
      <c r="AK162" t="str">
        <f>"SELECT (SELECT '"&amp;C162&amp;"' ColumnName from "&amp;E162&amp;" where "&amp;F162&amp;" is null and exists (select from "&amp;E162&amp;") limit 1) a union all"</f>
        <v>SELECT (SELECT 'sysCommandJoin.sysChangeHistoryID' ColumnName from sysCommandJoin where sysChangeHistoryID is null and exists (select from sysCommandJoin) limit 1) a union all</v>
      </c>
      <c r="AP162" t="e">
        <f t="shared" si="17"/>
        <v>#NAME?</v>
      </c>
    </row>
    <row r="163" spans="1:42">
      <c r="A163">
        <v>19000</v>
      </c>
      <c r="B163" s="3" t="s">
        <v>1475</v>
      </c>
      <c r="C163" s="3" t="str">
        <f t="shared" si="14"/>
        <v>sysCommandJoin.sysCommandIDChild</v>
      </c>
      <c r="D163" s="3">
        <v>14</v>
      </c>
      <c r="E163" s="3" t="str">
        <f t="shared" si="15"/>
        <v>sysCommandJoin</v>
      </c>
      <c r="F163" t="str">
        <f>VLOOKUP(V163,SystemTableId,3,FALSE)&amp;"ID"&amp;X163</f>
        <v>sysCommandIDChild</v>
      </c>
      <c r="G163" s="3" t="s">
        <v>6762</v>
      </c>
      <c r="H163" s="3" t="str">
        <f t="shared" si="16"/>
        <v>System.CommandJoin</v>
      </c>
      <c r="J163" s="3"/>
      <c r="K163" s="3" t="s">
        <v>436</v>
      </c>
      <c r="L163" s="3"/>
      <c r="M163" t="s">
        <v>6007</v>
      </c>
      <c r="N163" s="3"/>
      <c r="O163" s="3"/>
      <c r="P163" s="3"/>
      <c r="Q163" s="3" t="s">
        <v>92</v>
      </c>
      <c r="R163" s="3"/>
      <c r="S163" s="3"/>
      <c r="T163" s="3"/>
      <c r="U163" s="3" t="s">
        <v>96</v>
      </c>
      <c r="V163">
        <v>13</v>
      </c>
      <c r="W163" s="3" t="str">
        <f>VLOOKUP(V163,SystemTableId,3,FALSE)</f>
        <v>sysCommand</v>
      </c>
      <c r="X163" s="3" t="s">
        <v>1071</v>
      </c>
      <c r="AF163" t="s">
        <v>612</v>
      </c>
      <c r="AK163" t="str">
        <f>"SELECT (SELECT '"&amp;C163&amp;"' ColumnName from "&amp;E163&amp;" where "&amp;F163&amp;" is null and exists (select from "&amp;E163&amp;") limit 1) a union all"</f>
        <v>SELECT (SELECT 'sysCommandJoin.sysCommandIDChild' ColumnName from sysCommandJoin where sysCommandIDChild is null and exists (select from sysCommandJoin) limit 1) a union all</v>
      </c>
      <c r="AP163" t="e">
        <f t="shared" si="17"/>
        <v>#NAME?</v>
      </c>
    </row>
    <row r="164" spans="1:42">
      <c r="A164">
        <v>19010</v>
      </c>
      <c r="B164" s="3" t="s">
        <v>1475</v>
      </c>
      <c r="C164" s="3" t="str">
        <f t="shared" si="14"/>
        <v>sysCommandJoin.sysCommandIDParent</v>
      </c>
      <c r="D164" s="3">
        <v>14</v>
      </c>
      <c r="E164" s="3" t="str">
        <f t="shared" si="15"/>
        <v>sysCommandJoin</v>
      </c>
      <c r="F164" t="str">
        <f>VLOOKUP(V164,SystemTableId,3,FALSE)&amp;"ID"&amp;X164</f>
        <v>sysCommandIDParent</v>
      </c>
      <c r="G164" s="3" t="s">
        <v>6763</v>
      </c>
      <c r="H164" s="3" t="str">
        <f t="shared" si="16"/>
        <v>System.CommandJoin</v>
      </c>
      <c r="J164" s="3"/>
      <c r="K164" s="3" t="s">
        <v>435</v>
      </c>
      <c r="L164" s="3"/>
      <c r="M164" t="s">
        <v>6007</v>
      </c>
      <c r="N164" s="3"/>
      <c r="O164" s="3"/>
      <c r="P164" s="3"/>
      <c r="Q164" s="3" t="s">
        <v>92</v>
      </c>
      <c r="R164" s="3"/>
      <c r="S164" s="3"/>
      <c r="T164" s="3"/>
      <c r="U164" s="3" t="s">
        <v>96</v>
      </c>
      <c r="V164">
        <v>13</v>
      </c>
      <c r="W164" s="3" t="str">
        <f>VLOOKUP(V164,SystemTableId,3,FALSE)</f>
        <v>sysCommand</v>
      </c>
      <c r="X164" s="3" t="s">
        <v>1220</v>
      </c>
      <c r="AF164" t="s">
        <v>611</v>
      </c>
      <c r="AJ164" t="str">
        <f>"SELECT (SELECT '"&amp;C164&amp;"' ColumnName from "&amp;E164&amp;" where "&amp;F164&amp;" is null and exists (select from "&amp;E164&amp;") limit 1) ColumnName union all"</f>
        <v>SELECT (SELECT 'sysCommandJoin.sysCommandIDParent' ColumnName from sysCommandJoin where sysCommandIDParent is null and exists (select from sysCommandJoin) limit 1) ColumnName union all</v>
      </c>
      <c r="AL164" t="str">
        <f>"ALTER TABLE "&amp;E164&amp;" ALTER COLUMN "&amp;F164&amp;" DROP NOT NULL"</f>
        <v>ALTER TABLE sysCommandJoin ALTER COLUMN sysCommandIDParent DROP NOT NULL</v>
      </c>
      <c r="AP164" t="e">
        <f t="shared" si="17"/>
        <v>#NAME?</v>
      </c>
    </row>
    <row r="165" spans="1:42">
      <c r="A165">
        <v>19070</v>
      </c>
      <c r="B165" t="s">
        <v>1475</v>
      </c>
      <c r="C165" s="3" t="str">
        <f t="shared" si="14"/>
        <v>sysComponent.Command</v>
      </c>
      <c r="D165" s="7">
        <v>20</v>
      </c>
      <c r="E165" s="3" t="str">
        <f t="shared" si="15"/>
        <v>sysComponent</v>
      </c>
      <c r="F165" s="7" t="s">
        <v>35</v>
      </c>
      <c r="G165" t="s">
        <v>35</v>
      </c>
      <c r="H165" s="3" t="str">
        <f t="shared" si="16"/>
        <v>System.Component</v>
      </c>
      <c r="K165" s="7" t="s">
        <v>35</v>
      </c>
      <c r="M165" t="s">
        <v>1073</v>
      </c>
      <c r="O165" s="7"/>
      <c r="Q165" t="s">
        <v>92</v>
      </c>
      <c r="U165" s="7" t="s">
        <v>93</v>
      </c>
      <c r="AC165" s="7"/>
      <c r="AD165" s="15"/>
      <c r="AE165" s="7"/>
      <c r="AK165" t="str">
        <f>"SELECT (SELECT '"&amp;C165&amp;"' ColumnName from "&amp;E165&amp;" where "&amp;F165&amp;" is null and exists (select from "&amp;E165&amp;") limit 1) a union all"</f>
        <v>SELECT (SELECT 'sysComponent.Command' ColumnName from sysComponent where Command is null and exists (select from sysComponent) limit 1) a union all</v>
      </c>
      <c r="AP165" t="e">
        <f t="shared" si="17"/>
        <v>#NAME?</v>
      </c>
    </row>
    <row r="166" spans="1:42">
      <c r="A166">
        <v>19060</v>
      </c>
      <c r="B166" t="s">
        <v>1475</v>
      </c>
      <c r="C166" s="3" t="str">
        <f t="shared" si="14"/>
        <v>sysComponent.Id</v>
      </c>
      <c r="D166" s="7">
        <v>20</v>
      </c>
      <c r="E166" s="3" t="str">
        <f t="shared" si="15"/>
        <v>sysComponent</v>
      </c>
      <c r="F166" t="s">
        <v>1539</v>
      </c>
      <c r="G166" s="3" t="s">
        <v>6765</v>
      </c>
      <c r="H166" s="3" t="str">
        <f t="shared" si="16"/>
        <v>System.Component</v>
      </c>
      <c r="K166" s="7" t="s">
        <v>0</v>
      </c>
      <c r="M166" t="s">
        <v>6007</v>
      </c>
      <c r="N166" s="7"/>
      <c r="O166" s="7"/>
      <c r="Q166" t="s">
        <v>919</v>
      </c>
      <c r="U166" s="7" t="s">
        <v>95</v>
      </c>
      <c r="V166" s="7"/>
      <c r="W166" s="7"/>
      <c r="X166" s="7"/>
      <c r="Z166" s="7"/>
      <c r="AC166" s="7"/>
      <c r="AD166" s="15"/>
      <c r="AE166" s="7"/>
      <c r="AJ166" t="str">
        <f>"SELECT (SELECT '"&amp;C166&amp;"' ColumnName from "&amp;E166&amp;" where "&amp;F166&amp;" is null and exists (select from "&amp;E166&amp;") limit 1) ColumnName union all"</f>
        <v>SELECT (SELECT 'sysComponent.Id' ColumnName from sysComponent where Id is null and exists (select from sysComponent) limit 1) ColumnName union all</v>
      </c>
      <c r="AL166" t="str">
        <f>"ALTER TABLE "&amp;E166&amp;" ALTER COLUMN "&amp;F166&amp;" DROP NOT NULL"</f>
        <v>ALTER TABLE sysComponent ALTER COLUMN Id DROP NOT NULL</v>
      </c>
      <c r="AP166" t="e">
        <f t="shared" si="17"/>
        <v>#NAME?</v>
      </c>
    </row>
    <row r="167" spans="1:42">
      <c r="A167">
        <v>19080</v>
      </c>
      <c r="B167" t="s">
        <v>1475</v>
      </c>
      <c r="C167" s="3" t="str">
        <f t="shared" si="14"/>
        <v>sysComponent.Name</v>
      </c>
      <c r="D167" s="7">
        <v>20</v>
      </c>
      <c r="E167" s="3" t="str">
        <f t="shared" si="15"/>
        <v>sysComponent</v>
      </c>
      <c r="F167" s="7" t="s">
        <v>22</v>
      </c>
      <c r="G167" s="3" t="s">
        <v>6958</v>
      </c>
      <c r="H167" s="3" t="str">
        <f t="shared" si="16"/>
        <v>System.Component</v>
      </c>
      <c r="K167" s="7" t="s">
        <v>22</v>
      </c>
      <c r="M167" t="s">
        <v>1073</v>
      </c>
      <c r="O167" s="7"/>
      <c r="Q167" t="s">
        <v>919</v>
      </c>
      <c r="U167" s="7" t="s">
        <v>93</v>
      </c>
      <c r="V167" s="7"/>
      <c r="W167" s="7"/>
      <c r="X167" s="7"/>
      <c r="Z167" s="7"/>
      <c r="AC167" s="7"/>
      <c r="AD167" s="15"/>
      <c r="AE167" s="7"/>
      <c r="AK167" t="str">
        <f>"SELECT (SELECT '"&amp;C167&amp;"' ColumnName from "&amp;E167&amp;" where "&amp;F167&amp;" is null and exists (select from "&amp;E167&amp;") limit 1) a union all"</f>
        <v>SELECT (SELECT 'sysComponent.Name' ColumnName from sysComponent where Name is null and exists (select from sysComponent) limit 1) a union all</v>
      </c>
      <c r="AP167" t="e">
        <f t="shared" si="17"/>
        <v>#NAME?</v>
      </c>
    </row>
    <row r="168" spans="1:42">
      <c r="A168">
        <v>19090</v>
      </c>
      <c r="B168" t="s">
        <v>1475</v>
      </c>
      <c r="C168" s="3" t="str">
        <f t="shared" si="14"/>
        <v>sysComponent.Reference</v>
      </c>
      <c r="D168" s="7">
        <v>20</v>
      </c>
      <c r="E168" s="3" t="str">
        <f t="shared" si="15"/>
        <v>sysComponent</v>
      </c>
      <c r="F168" s="7" t="s">
        <v>1974</v>
      </c>
      <c r="G168" t="s">
        <v>1974</v>
      </c>
      <c r="H168" s="3" t="str">
        <f t="shared" si="16"/>
        <v>System.Component</v>
      </c>
      <c r="K168" s="7" t="s">
        <v>1974</v>
      </c>
      <c r="M168" t="s">
        <v>1073</v>
      </c>
      <c r="O168" s="7"/>
      <c r="Q168" t="s">
        <v>92</v>
      </c>
      <c r="U168" s="7" t="s">
        <v>93</v>
      </c>
      <c r="V168" s="7"/>
      <c r="W168" s="7"/>
      <c r="X168" s="7"/>
      <c r="Z168" s="7"/>
      <c r="AC168" s="7"/>
      <c r="AD168" s="15"/>
      <c r="AE168" s="7"/>
      <c r="AJ168" t="str">
        <f>"SELECT (SELECT '"&amp;C168&amp;"' ColumnName from "&amp;E168&amp;" where "&amp;F168&amp;" is null and exists (select from "&amp;E168&amp;") limit 1) ColumnName union all"</f>
        <v>SELECT (SELECT 'sysComponent.Reference' ColumnName from sysComponent where Reference is null and exists (select from sysComponent) limit 1) ColumnName union all</v>
      </c>
      <c r="AL168" t="str">
        <f>"ALTER TABLE "&amp;E168&amp;" ALTER COLUMN "&amp;F168&amp;" DROP NOT NULL"</f>
        <v>ALTER TABLE sysComponent ALTER COLUMN Reference DROP NOT NULL</v>
      </c>
      <c r="AP168" t="e">
        <f t="shared" si="17"/>
        <v>#NAME?</v>
      </c>
    </row>
    <row r="169" spans="1:42">
      <c r="A169">
        <v>19100</v>
      </c>
      <c r="B169" t="s">
        <v>1475</v>
      </c>
      <c r="C169" s="3" t="str">
        <f t="shared" si="14"/>
        <v>sysComponent.ReferenceName</v>
      </c>
      <c r="D169" s="7">
        <v>20</v>
      </c>
      <c r="E169" s="3" t="str">
        <f t="shared" si="15"/>
        <v>sysComponent</v>
      </c>
      <c r="F169" s="7" t="s">
        <v>1924</v>
      </c>
      <c r="G169" s="3" t="s">
        <v>6959</v>
      </c>
      <c r="H169" s="3" t="str">
        <f t="shared" si="16"/>
        <v>System.Component</v>
      </c>
      <c r="K169" s="7" t="s">
        <v>1925</v>
      </c>
      <c r="M169" t="s">
        <v>1073</v>
      </c>
      <c r="O169" s="7"/>
      <c r="Q169" t="s">
        <v>92</v>
      </c>
      <c r="U169" s="7" t="s">
        <v>93</v>
      </c>
      <c r="V169" s="7"/>
      <c r="W169" s="7"/>
      <c r="X169" s="7"/>
      <c r="Z169" s="7"/>
      <c r="AC169" s="7"/>
      <c r="AD169" s="15"/>
      <c r="AE169" s="7"/>
      <c r="AK169" t="str">
        <f>"SELECT (SELECT '"&amp;C169&amp;"' ColumnName from "&amp;E169&amp;" where "&amp;F169&amp;" is null and exists (select from "&amp;E169&amp;") limit 1) a union all"</f>
        <v>SELECT (SELECT 'sysComponent.ReferenceName' ColumnName from sysComponent where ReferenceName is null and exists (select from sysComponent) limit 1) a union all</v>
      </c>
      <c r="AP169" t="e">
        <f t="shared" si="17"/>
        <v>#NAME?</v>
      </c>
    </row>
    <row r="170" spans="1:42">
      <c r="A170">
        <v>19110</v>
      </c>
      <c r="B170" t="s">
        <v>1475</v>
      </c>
      <c r="C170" s="3" t="str">
        <f t="shared" si="14"/>
        <v>sysComponent.RenderName</v>
      </c>
      <c r="D170" s="7">
        <v>20</v>
      </c>
      <c r="E170" s="3" t="str">
        <f t="shared" si="15"/>
        <v>sysComponent</v>
      </c>
      <c r="F170" s="7" t="s">
        <v>1922</v>
      </c>
      <c r="G170" s="3" t="s">
        <v>6960</v>
      </c>
      <c r="H170" s="3" t="str">
        <f t="shared" si="16"/>
        <v>System.Component</v>
      </c>
      <c r="K170" s="7" t="s">
        <v>1923</v>
      </c>
      <c r="M170" t="s">
        <v>1073</v>
      </c>
      <c r="O170" s="7"/>
      <c r="Q170" t="s">
        <v>92</v>
      </c>
      <c r="U170" s="7" t="s">
        <v>93</v>
      </c>
      <c r="AC170" s="7"/>
      <c r="AD170" s="15"/>
      <c r="AE170" s="7"/>
      <c r="AK170" t="str">
        <f>"SELECT (SELECT '"&amp;C170&amp;"' ColumnName from "&amp;E170&amp;" where "&amp;F170&amp;" is null and exists (select from "&amp;E170&amp;") limit 1) a union all"</f>
        <v>SELECT (SELECT 'sysComponent.RenderName' ColumnName from sysComponent where RenderName is null and exists (select from sysComponent) limit 1) a union all</v>
      </c>
      <c r="AP170" t="e">
        <f t="shared" si="17"/>
        <v>#NAME?</v>
      </c>
    </row>
    <row r="171" spans="1:42">
      <c r="A171">
        <v>19120</v>
      </c>
      <c r="B171" t="s">
        <v>1475</v>
      </c>
      <c r="C171" s="3" t="str">
        <f t="shared" si="14"/>
        <v>sysComponent.RowStatus</v>
      </c>
      <c r="D171" s="7">
        <v>20</v>
      </c>
      <c r="E171" s="3" t="str">
        <f t="shared" si="15"/>
        <v>sysComponent</v>
      </c>
      <c r="F171" t="s">
        <v>1445</v>
      </c>
      <c r="G171" s="3" t="s">
        <v>6411</v>
      </c>
      <c r="H171" s="3" t="str">
        <f t="shared" si="16"/>
        <v>System.Component</v>
      </c>
      <c r="K171" s="3" t="s">
        <v>2471</v>
      </c>
      <c r="M171" t="s">
        <v>976</v>
      </c>
      <c r="N171">
        <v>1</v>
      </c>
      <c r="O171" s="7"/>
      <c r="Q171" t="s">
        <v>919</v>
      </c>
      <c r="U171" s="7" t="s">
        <v>94</v>
      </c>
      <c r="V171" s="7"/>
      <c r="W171" s="7"/>
      <c r="X171" s="7"/>
      <c r="Z171" s="7"/>
      <c r="AC171" s="7"/>
      <c r="AD171" s="15"/>
      <c r="AE171" s="7"/>
      <c r="AK171" t="str">
        <f>"SELECT (SELECT '"&amp;C171&amp;"' ColumnName from "&amp;E171&amp;" where "&amp;F171&amp;" is null and exists (select from "&amp;E171&amp;") limit 1) a union all"</f>
        <v>SELECT (SELECT 'sysComponent.RowStatus' ColumnName from sysComponent where RowStatus is null and exists (select from sysComponent) limit 1) a union all</v>
      </c>
      <c r="AP171" t="e">
        <f t="shared" si="17"/>
        <v>#NAME?</v>
      </c>
    </row>
    <row r="172" spans="1:42">
      <c r="A172">
        <v>19130</v>
      </c>
      <c r="B172" t="s">
        <v>1475</v>
      </c>
      <c r="C172" s="3" t="str">
        <f t="shared" si="14"/>
        <v>sysComponent.sysChangeHistoryID</v>
      </c>
      <c r="D172" s="7">
        <v>20</v>
      </c>
      <c r="E172" s="3" t="str">
        <f t="shared" si="15"/>
        <v>sysComponent</v>
      </c>
      <c r="F172" t="s">
        <v>2497</v>
      </c>
      <c r="G172" s="3" t="s">
        <v>6403</v>
      </c>
      <c r="H172" s="3" t="str">
        <f t="shared" si="16"/>
        <v>System.Component</v>
      </c>
      <c r="K172" t="s">
        <v>1210</v>
      </c>
      <c r="M172" t="s">
        <v>6007</v>
      </c>
      <c r="N172" s="7"/>
      <c r="O172" s="7"/>
      <c r="P172" s="7"/>
      <c r="Q172" t="s">
        <v>919</v>
      </c>
      <c r="R172" s="7"/>
      <c r="S172" s="7"/>
      <c r="T172" s="8"/>
      <c r="U172" t="s">
        <v>1429</v>
      </c>
      <c r="AJ172" t="str">
        <f>"SELECT (SELECT '"&amp;C172&amp;"' ColumnName from "&amp;E172&amp;" where "&amp;F172&amp;" is null and exists (select from "&amp;E172&amp;") limit 1) ColumnName union all"</f>
        <v>SELECT (SELECT 'sysComponent.sysChangeHistoryID' ColumnName from sysComponent where sysChangeHistoryID is null and exists (select from sysComponent) limit 1) ColumnName union all</v>
      </c>
      <c r="AL172" t="str">
        <f>"ALTER TABLE "&amp;E172&amp;" ALTER COLUMN "&amp;F172&amp;" DROP NOT NULL"</f>
        <v>ALTER TABLE sysComponent ALTER COLUMN sysChangeHistoryID DROP NOT NULL</v>
      </c>
      <c r="AP172" t="e">
        <f t="shared" si="17"/>
        <v>#NAME?</v>
      </c>
    </row>
    <row r="173" spans="1:42">
      <c r="A173">
        <v>19170</v>
      </c>
      <c r="B173" t="s">
        <v>1475</v>
      </c>
      <c r="C173" s="3" t="str">
        <f t="shared" si="14"/>
        <v>sysComponentLogic.Command</v>
      </c>
      <c r="D173">
        <v>21</v>
      </c>
      <c r="E173" s="3" t="str">
        <f t="shared" si="15"/>
        <v>sysComponentLogic</v>
      </c>
      <c r="F173" s="7" t="s">
        <v>35</v>
      </c>
      <c r="G173" t="s">
        <v>35</v>
      </c>
      <c r="H173" s="3" t="str">
        <f t="shared" si="16"/>
        <v>System.ComponentLogic</v>
      </c>
      <c r="K173" t="s">
        <v>35</v>
      </c>
      <c r="M173" t="s">
        <v>1073</v>
      </c>
      <c r="Q173" t="s">
        <v>92</v>
      </c>
      <c r="U173" t="s">
        <v>93</v>
      </c>
      <c r="AC173" s="7"/>
      <c r="AD173" s="15"/>
      <c r="AE173" s="7"/>
      <c r="AJ173" t="str">
        <f>"SELECT (SELECT '"&amp;C173&amp;"' ColumnName from "&amp;E173&amp;" where "&amp;F173&amp;" is null and exists (select from "&amp;E173&amp;") limit 1) ColumnName union all"</f>
        <v>SELECT (SELECT 'sysComponentLogic.Command' ColumnName from sysComponentLogic where Command is null and exists (select from sysComponentLogic) limit 1) ColumnName union all</v>
      </c>
      <c r="AL173" t="str">
        <f>"ALTER TABLE "&amp;E173&amp;" ALTER COLUMN "&amp;F173&amp;" DROP NOT NULL"</f>
        <v>ALTER TABLE sysComponentLogic ALTER COLUMN Command DROP NOT NULL</v>
      </c>
      <c r="AP173" t="e">
        <f t="shared" si="17"/>
        <v>#NAME?</v>
      </c>
    </row>
    <row r="174" spans="1:42">
      <c r="A174">
        <v>19140</v>
      </c>
      <c r="B174" t="s">
        <v>1475</v>
      </c>
      <c r="C174" s="3" t="str">
        <f t="shared" si="14"/>
        <v>sysComponentLogic.Id</v>
      </c>
      <c r="D174">
        <v>21</v>
      </c>
      <c r="E174" s="3" t="str">
        <f t="shared" si="15"/>
        <v>sysComponentLogic</v>
      </c>
      <c r="F174" t="s">
        <v>1539</v>
      </c>
      <c r="G174" s="3" t="s">
        <v>6766</v>
      </c>
      <c r="H174" s="3" t="str">
        <f t="shared" si="16"/>
        <v>System.ComponentLogic</v>
      </c>
      <c r="K174" t="s">
        <v>1539</v>
      </c>
      <c r="M174" t="s">
        <v>6007</v>
      </c>
      <c r="Q174" t="s">
        <v>919</v>
      </c>
      <c r="U174" t="s">
        <v>95</v>
      </c>
      <c r="V174" s="7"/>
      <c r="W174" s="7"/>
      <c r="X174" s="7"/>
      <c r="Z174" s="7"/>
      <c r="AC174" s="7"/>
      <c r="AD174" s="15"/>
      <c r="AE174" s="7"/>
      <c r="AJ174" t="str">
        <f>"SELECT (SELECT '"&amp;C174&amp;"' ColumnName from "&amp;E174&amp;" where "&amp;F174&amp;" is null and exists (select from "&amp;E174&amp;") limit 1) ColumnName union all"</f>
        <v>SELECT (SELECT 'sysComponentLogic.Id' ColumnName from sysComponentLogic where Id is null and exists (select from sysComponentLogic) limit 1) ColumnName union all</v>
      </c>
      <c r="AL174" t="str">
        <f>"ALTER TABLE "&amp;E174&amp;" ALTER COLUMN "&amp;F174&amp;" DROP NOT NULL"</f>
        <v>ALTER TABLE sysComponentLogic ALTER COLUMN Id DROP NOT NULL</v>
      </c>
      <c r="AP174" t="e">
        <f t="shared" si="17"/>
        <v>#NAME?</v>
      </c>
    </row>
    <row r="175" spans="1:42">
      <c r="A175">
        <v>19180</v>
      </c>
      <c r="B175" t="s">
        <v>1475</v>
      </c>
      <c r="C175" s="3" t="str">
        <f t="shared" si="14"/>
        <v>sysComponentLogic.RowStatus</v>
      </c>
      <c r="D175">
        <v>21</v>
      </c>
      <c r="E175" s="3" t="str">
        <f t="shared" si="15"/>
        <v>sysComponentLogic</v>
      </c>
      <c r="F175" t="s">
        <v>1445</v>
      </c>
      <c r="G175" s="3" t="s">
        <v>6411</v>
      </c>
      <c r="H175" s="3" t="str">
        <f t="shared" si="16"/>
        <v>System.ComponentLogic</v>
      </c>
      <c r="K175" s="3" t="s">
        <v>2471</v>
      </c>
      <c r="M175" t="s">
        <v>976</v>
      </c>
      <c r="N175">
        <v>1</v>
      </c>
      <c r="Q175" t="s">
        <v>919</v>
      </c>
      <c r="U175" t="s">
        <v>94</v>
      </c>
      <c r="V175" s="7"/>
      <c r="W175" s="7"/>
      <c r="X175" s="7"/>
      <c r="Z175" s="7"/>
      <c r="AC175" s="7"/>
      <c r="AD175" s="15"/>
      <c r="AE175" s="7"/>
      <c r="AK175" t="str">
        <f>"SELECT (SELECT '"&amp;C175&amp;"' ColumnName from "&amp;E175&amp;" where "&amp;F175&amp;" is null and exists (select from "&amp;E175&amp;") limit 1) a union all"</f>
        <v>SELECT (SELECT 'sysComponentLogic.RowStatus' ColumnName from sysComponentLogic where RowStatus is null and exists (select from sysComponentLogic) limit 1) a union all</v>
      </c>
      <c r="AP175" t="e">
        <f t="shared" si="17"/>
        <v>#NAME?</v>
      </c>
    </row>
    <row r="176" spans="1:42">
      <c r="A176">
        <v>19190</v>
      </c>
      <c r="B176" t="s">
        <v>1475</v>
      </c>
      <c r="C176" s="3" t="str">
        <f t="shared" si="14"/>
        <v>sysComponentLogic.sysChangeHistoryID</v>
      </c>
      <c r="D176" s="7">
        <v>21</v>
      </c>
      <c r="E176" s="3" t="str">
        <f t="shared" si="15"/>
        <v>sysComponentLogic</v>
      </c>
      <c r="F176" t="s">
        <v>2497</v>
      </c>
      <c r="G176" s="3" t="s">
        <v>6403</v>
      </c>
      <c r="H176" s="3" t="str">
        <f t="shared" si="16"/>
        <v>System.ComponentLogic</v>
      </c>
      <c r="K176" t="s">
        <v>1210</v>
      </c>
      <c r="M176" t="s">
        <v>6007</v>
      </c>
      <c r="N176" s="7"/>
      <c r="O176" s="7"/>
      <c r="P176" s="7"/>
      <c r="Q176" t="s">
        <v>919</v>
      </c>
      <c r="R176" s="7"/>
      <c r="S176" s="7"/>
      <c r="T176" s="8"/>
      <c r="U176" t="s">
        <v>1429</v>
      </c>
      <c r="AK176" t="str">
        <f>"SELECT (SELECT '"&amp;C176&amp;"' ColumnName from "&amp;E176&amp;" where "&amp;F176&amp;" is null and exists (select from "&amp;E176&amp;") limit 1) a union all"</f>
        <v>SELECT (SELECT 'sysComponentLogic.sysChangeHistoryID' ColumnName from sysComponentLogic where sysChangeHistoryID is null and exists (select from sysComponentLogic) limit 1) a union all</v>
      </c>
      <c r="AP176" t="e">
        <f t="shared" si="17"/>
        <v>#NAME?</v>
      </c>
    </row>
    <row r="177" spans="1:46">
      <c r="A177">
        <v>19150</v>
      </c>
      <c r="B177" t="s">
        <v>1475</v>
      </c>
      <c r="C177" s="3" t="str">
        <f t="shared" si="14"/>
        <v>sysComponentLogic.sysComponentID</v>
      </c>
      <c r="D177">
        <v>21</v>
      </c>
      <c r="E177" s="3" t="str">
        <f t="shared" si="15"/>
        <v>sysComponentLogic</v>
      </c>
      <c r="F177" t="str">
        <f>VLOOKUP(V177,SystemTableId,3,FALSE)&amp;"ID"&amp;X177</f>
        <v>sysComponentID</v>
      </c>
      <c r="G177" t="s">
        <v>1936</v>
      </c>
      <c r="H177" s="3" t="str">
        <f t="shared" si="16"/>
        <v>System.ComponentLogic</v>
      </c>
      <c r="K177" t="s">
        <v>1937</v>
      </c>
      <c r="M177" t="s">
        <v>6007</v>
      </c>
      <c r="Q177" t="s">
        <v>92</v>
      </c>
      <c r="U177" t="s">
        <v>96</v>
      </c>
      <c r="V177">
        <v>20</v>
      </c>
      <c r="W177" s="3" t="str">
        <f>VLOOKUP(V177,SystemTableId,3,FALSE)</f>
        <v>sysComponent</v>
      </c>
      <c r="AC177" s="7"/>
      <c r="AD177" s="15"/>
      <c r="AE177" s="7"/>
      <c r="AK177" t="str">
        <f>"SELECT (SELECT '"&amp;C177&amp;"' ColumnName from "&amp;E177&amp;" where "&amp;F177&amp;" is null and exists (select from "&amp;E177&amp;") limit 1) a union all"</f>
        <v>SELECT (SELECT 'sysComponentLogic.sysComponentID' ColumnName from sysComponentLogic where sysComponentID is null and exists (select from sysComponentLogic) limit 1) a union all</v>
      </c>
      <c r="AP177" t="e">
        <f t="shared" si="17"/>
        <v>#NAME?</v>
      </c>
    </row>
    <row r="178" spans="1:46">
      <c r="A178">
        <v>19160</v>
      </c>
      <c r="B178" t="s">
        <v>1475</v>
      </c>
      <c r="C178" s="3" t="str">
        <f t="shared" si="14"/>
        <v>sysComponentLogic.sysLogicID</v>
      </c>
      <c r="D178">
        <v>21</v>
      </c>
      <c r="E178" s="3" t="str">
        <f t="shared" si="15"/>
        <v>sysComponentLogic</v>
      </c>
      <c r="F178" t="str">
        <f>VLOOKUP(V178,SystemTableId,3,FALSE)&amp;"ID"&amp;X178</f>
        <v>sysLogicID</v>
      </c>
      <c r="G178" t="s">
        <v>1934</v>
      </c>
      <c r="H178" s="3" t="str">
        <f t="shared" si="16"/>
        <v>System.ComponentLogic</v>
      </c>
      <c r="K178" t="s">
        <v>1935</v>
      </c>
      <c r="M178" t="s">
        <v>6007</v>
      </c>
      <c r="Q178" t="s">
        <v>92</v>
      </c>
      <c r="U178" t="s">
        <v>96</v>
      </c>
      <c r="V178" s="7">
        <v>30</v>
      </c>
      <c r="W178" s="3" t="str">
        <f>VLOOKUP(V178,SystemTableId,3,FALSE)</f>
        <v>sysLogic</v>
      </c>
      <c r="X178" s="7"/>
      <c r="Z178" s="7"/>
      <c r="AC178" s="7"/>
      <c r="AD178" s="15"/>
      <c r="AE178" s="7"/>
      <c r="AJ178" t="str">
        <f>"SELECT (SELECT '"&amp;C178&amp;"' ColumnName from "&amp;E178&amp;" where "&amp;F178&amp;" is null and exists (select from "&amp;E178&amp;") limit 1) ColumnName union all"</f>
        <v>SELECT (SELECT 'sysComponentLogic.sysLogicID' ColumnName from sysComponentLogic where sysLogicID is null and exists (select from sysComponentLogic) limit 1) ColumnName union all</v>
      </c>
      <c r="AL178" t="str">
        <f>"ALTER TABLE "&amp;E178&amp;" ALTER COLUMN "&amp;F178&amp;" DROP NOT NULL"</f>
        <v>ALTER TABLE sysComponentLogic ALTER COLUMN sysLogicID DROP NOT NULL</v>
      </c>
      <c r="AP178" t="e">
        <f t="shared" si="17"/>
        <v>#NAME?</v>
      </c>
    </row>
    <row r="179" spans="1:46">
      <c r="A179">
        <v>19230</v>
      </c>
      <c r="B179" t="s">
        <v>1475</v>
      </c>
      <c r="C179" s="3" t="str">
        <f t="shared" si="14"/>
        <v>sysComponentProp.DataColumnField</v>
      </c>
      <c r="D179" s="7">
        <v>22</v>
      </c>
      <c r="E179" s="3" t="str">
        <f t="shared" si="15"/>
        <v>sysComponentProp</v>
      </c>
      <c r="F179" s="7" t="s">
        <v>1976</v>
      </c>
      <c r="G179" t="s">
        <v>1976</v>
      </c>
      <c r="H179" s="3" t="str">
        <f t="shared" si="16"/>
        <v>System.ComponentProp</v>
      </c>
      <c r="K179" s="7" t="s">
        <v>1977</v>
      </c>
      <c r="M179" t="s">
        <v>1073</v>
      </c>
      <c r="O179" s="7"/>
      <c r="Q179" t="s">
        <v>92</v>
      </c>
      <c r="U179" s="7" t="s">
        <v>93</v>
      </c>
      <c r="AC179" s="7"/>
      <c r="AD179" s="15"/>
      <c r="AE179" s="7"/>
      <c r="AJ179" t="str">
        <f>"SELECT (SELECT '"&amp;C179&amp;"' ColumnName from "&amp;E179&amp;" where "&amp;F179&amp;" is null and exists (select from "&amp;E179&amp;") limit 1) ColumnName union all"</f>
        <v>SELECT (SELECT 'sysComponentProp.DataColumnField' ColumnName from sysComponentProp where DataColumnField is null and exists (select from sysComponentProp) limit 1) ColumnName union all</v>
      </c>
      <c r="AL179" t="str">
        <f>"ALTER TABLE "&amp;E179&amp;" ALTER COLUMN "&amp;F179&amp;" DROP NOT NULL"</f>
        <v>ALTER TABLE sysComponentProp ALTER COLUMN DataColumnField DROP NOT NULL</v>
      </c>
      <c r="AP179" t="e">
        <f t="shared" si="17"/>
        <v>#NAME?</v>
      </c>
    </row>
    <row r="180" spans="1:46">
      <c r="A180">
        <v>19240</v>
      </c>
      <c r="B180" t="s">
        <v>1475</v>
      </c>
      <c r="C180" s="3" t="str">
        <f t="shared" si="14"/>
        <v>sysComponentProp.DefaultValue</v>
      </c>
      <c r="D180" s="7">
        <v>22</v>
      </c>
      <c r="E180" s="3" t="str">
        <f t="shared" si="15"/>
        <v>sysComponentProp</v>
      </c>
      <c r="F180" s="7" t="s">
        <v>884</v>
      </c>
      <c r="G180" t="s">
        <v>884</v>
      </c>
      <c r="H180" s="3" t="str">
        <f t="shared" si="16"/>
        <v>System.ComponentProp</v>
      </c>
      <c r="K180" s="7" t="s">
        <v>1975</v>
      </c>
      <c r="M180" t="s">
        <v>1073</v>
      </c>
      <c r="O180" s="7"/>
      <c r="Q180" t="s">
        <v>92</v>
      </c>
      <c r="U180" s="7" t="s">
        <v>93</v>
      </c>
      <c r="AC180" s="7"/>
      <c r="AD180" s="15"/>
      <c r="AE180" s="7"/>
      <c r="AJ180" t="str">
        <f>"SELECT (SELECT '"&amp;C180&amp;"' ColumnName from "&amp;E180&amp;" where "&amp;F180&amp;" is null and exists (select from "&amp;E180&amp;") limit 1) ColumnName union all"</f>
        <v>SELECT (SELECT 'sysComponentProp.DefaultValue' ColumnName from sysComponentProp where DefaultValue is null and exists (select from sysComponentProp) limit 1) ColumnName union all</v>
      </c>
      <c r="AL180" t="str">
        <f>"ALTER TABLE "&amp;E180&amp;" ALTER COLUMN "&amp;F180&amp;" DROP NOT NULL"</f>
        <v>ALTER TABLE sysComponentProp ALTER COLUMN DefaultValue DROP NOT NULL</v>
      </c>
      <c r="AP180" t="e">
        <f t="shared" si="17"/>
        <v>#NAME?</v>
      </c>
    </row>
    <row r="181" spans="1:46">
      <c r="A181">
        <v>19200</v>
      </c>
      <c r="B181" t="s">
        <v>1475</v>
      </c>
      <c r="C181" s="3" t="str">
        <f t="shared" si="14"/>
        <v>sysComponentProp.Id</v>
      </c>
      <c r="D181" s="7">
        <v>22</v>
      </c>
      <c r="E181" s="3" t="str">
        <f t="shared" si="15"/>
        <v>sysComponentProp</v>
      </c>
      <c r="F181" t="s">
        <v>1539</v>
      </c>
      <c r="G181" s="3" t="s">
        <v>6767</v>
      </c>
      <c r="H181" s="3" t="str">
        <f t="shared" si="16"/>
        <v>System.ComponentProp</v>
      </c>
      <c r="K181" s="7" t="s">
        <v>0</v>
      </c>
      <c r="M181" t="s">
        <v>6007</v>
      </c>
      <c r="N181" s="7"/>
      <c r="O181" s="7"/>
      <c r="Q181" t="s">
        <v>919</v>
      </c>
      <c r="U181" s="7" t="s">
        <v>95</v>
      </c>
      <c r="V181" s="7"/>
      <c r="W181" s="7"/>
      <c r="X181" s="7"/>
      <c r="Z181" s="7"/>
      <c r="AC181" s="7"/>
      <c r="AD181" s="15"/>
      <c r="AE181" s="7"/>
      <c r="AK181" t="str">
        <f>"SELECT (SELECT '"&amp;C181&amp;"' ColumnName from "&amp;E181&amp;" where "&amp;F181&amp;" is null and exists (select from "&amp;E181&amp;") limit 1) a union all"</f>
        <v>SELECT (SELECT 'sysComponentProp.Id' ColumnName from sysComponentProp where Id is null and exists (select from sysComponentProp) limit 1) a union all</v>
      </c>
      <c r="AP181" t="e">
        <f t="shared" si="17"/>
        <v>#NAME?</v>
      </c>
    </row>
    <row r="182" spans="1:46">
      <c r="A182">
        <v>19250</v>
      </c>
      <c r="B182" t="s">
        <v>1475</v>
      </c>
      <c r="C182" s="3" t="str">
        <f t="shared" si="14"/>
        <v>sysComponentProp.IsRenderPropertyNeeded</v>
      </c>
      <c r="D182" s="7">
        <v>22</v>
      </c>
      <c r="E182" s="3" t="str">
        <f t="shared" si="15"/>
        <v>sysComponentProp</v>
      </c>
      <c r="F182" s="7" t="s">
        <v>6163</v>
      </c>
      <c r="G182" t="s">
        <v>1972</v>
      </c>
      <c r="H182" s="3" t="str">
        <f t="shared" si="16"/>
        <v>System.ComponentProp</v>
      </c>
      <c r="K182" s="7" t="s">
        <v>1973</v>
      </c>
      <c r="M182" s="3" t="s">
        <v>2402</v>
      </c>
      <c r="N182" s="7"/>
      <c r="O182" s="7"/>
      <c r="Q182" t="s">
        <v>92</v>
      </c>
      <c r="U182" s="7" t="s">
        <v>93</v>
      </c>
      <c r="V182" s="7"/>
      <c r="W182" s="7"/>
      <c r="X182" s="7"/>
      <c r="Z182" s="7"/>
      <c r="AC182" s="7"/>
      <c r="AD182" s="15"/>
      <c r="AE182" s="7"/>
      <c r="AK182" t="str">
        <f>"SELECT (SELECT '"&amp;C182&amp;"' ColumnName from "&amp;E182&amp;" where "&amp;F182&amp;" is null and exists (select from "&amp;E182&amp;") limit 1) a union all"</f>
        <v>SELECT (SELECT 'sysComponentProp.IsRenderPropertyNeeded' ColumnName from sysComponentProp where IsRenderPropertyNeeded is null and exists (select from sysComponentProp) limit 1) a union all</v>
      </c>
      <c r="AP182" t="e">
        <f t="shared" si="17"/>
        <v>#NAME?</v>
      </c>
    </row>
    <row r="183" spans="1:46">
      <c r="A183">
        <v>19260</v>
      </c>
      <c r="B183" t="s">
        <v>1475</v>
      </c>
      <c r="C183" s="3" t="str">
        <f t="shared" si="14"/>
        <v>sysComponentProp.Name</v>
      </c>
      <c r="D183" s="7">
        <v>22</v>
      </c>
      <c r="E183" s="3" t="str">
        <f t="shared" si="15"/>
        <v>sysComponentProp</v>
      </c>
      <c r="F183" s="7" t="s">
        <v>22</v>
      </c>
      <c r="G183" s="3" t="s">
        <v>6961</v>
      </c>
      <c r="H183" s="3" t="str">
        <f t="shared" si="16"/>
        <v>System.ComponentProp</v>
      </c>
      <c r="K183" s="7" t="s">
        <v>22</v>
      </c>
      <c r="M183" t="s">
        <v>1073</v>
      </c>
      <c r="O183" s="7"/>
      <c r="Q183" t="s">
        <v>919</v>
      </c>
      <c r="U183" s="7" t="s">
        <v>93</v>
      </c>
      <c r="V183" s="7"/>
      <c r="W183" s="7"/>
      <c r="X183" s="7"/>
      <c r="Z183" s="7"/>
      <c r="AC183" s="7"/>
      <c r="AD183" s="15"/>
      <c r="AE183" s="7"/>
      <c r="AK183" t="str">
        <f>"SELECT (SELECT '"&amp;C183&amp;"' ColumnName from "&amp;E183&amp;" where "&amp;F183&amp;" is null and exists (select from "&amp;E183&amp;") limit 1) a union all"</f>
        <v>SELECT (SELECT 'sysComponentProp.Name' ColumnName from sysComponentProp where Name is null and exists (select from sysComponentProp) limit 1) a union all</v>
      </c>
      <c r="AP183" t="e">
        <f t="shared" si="17"/>
        <v>#NAME?</v>
      </c>
    </row>
    <row r="184" spans="1:46">
      <c r="A184">
        <v>19270</v>
      </c>
      <c r="B184" t="s">
        <v>1475</v>
      </c>
      <c r="C184" s="3" t="str">
        <f t="shared" si="14"/>
        <v>sysComponentProp.RenderName</v>
      </c>
      <c r="D184" s="7">
        <v>22</v>
      </c>
      <c r="E184" s="3" t="str">
        <f t="shared" si="15"/>
        <v>sysComponentProp</v>
      </c>
      <c r="F184" s="7" t="s">
        <v>1922</v>
      </c>
      <c r="G184" s="3" t="s">
        <v>6962</v>
      </c>
      <c r="H184" s="3" t="str">
        <f t="shared" si="16"/>
        <v>System.ComponentProp</v>
      </c>
      <c r="K184" s="7" t="s">
        <v>1923</v>
      </c>
      <c r="M184" t="s">
        <v>1073</v>
      </c>
      <c r="O184" s="7"/>
      <c r="Q184" t="s">
        <v>92</v>
      </c>
      <c r="U184" s="7" t="s">
        <v>93</v>
      </c>
      <c r="AC184" s="7"/>
      <c r="AD184" s="15"/>
      <c r="AE184" s="7"/>
      <c r="AK184" t="str">
        <f>"SELECT (SELECT '"&amp;C184&amp;"' ColumnName from "&amp;E184&amp;" where "&amp;F184&amp;" is null and exists (select from "&amp;E184&amp;") limit 1) a union all"</f>
        <v>SELECT (SELECT 'sysComponentProp.RenderName' ColumnName from sysComponentProp where RenderName is null and exists (select from sysComponentProp) limit 1) a union all</v>
      </c>
      <c r="AP184" t="e">
        <f t="shared" si="17"/>
        <v>#NAME?</v>
      </c>
    </row>
    <row r="185" spans="1:46">
      <c r="A185">
        <v>19280</v>
      </c>
      <c r="B185" t="s">
        <v>1475</v>
      </c>
      <c r="C185" s="3" t="str">
        <f t="shared" si="14"/>
        <v>sysComponentProp.RowStatus</v>
      </c>
      <c r="D185" s="7">
        <v>22</v>
      </c>
      <c r="E185" s="3" t="str">
        <f t="shared" si="15"/>
        <v>sysComponentProp</v>
      </c>
      <c r="F185" t="s">
        <v>1445</v>
      </c>
      <c r="G185" s="3" t="s">
        <v>6411</v>
      </c>
      <c r="H185" s="3" t="str">
        <f t="shared" si="16"/>
        <v>System.ComponentProp</v>
      </c>
      <c r="K185" s="3" t="s">
        <v>2471</v>
      </c>
      <c r="M185" t="s">
        <v>976</v>
      </c>
      <c r="N185">
        <v>1</v>
      </c>
      <c r="O185" s="7"/>
      <c r="Q185" t="s">
        <v>919</v>
      </c>
      <c r="U185" s="7" t="s">
        <v>94</v>
      </c>
      <c r="V185" s="7"/>
      <c r="W185" s="7"/>
      <c r="X185" s="7"/>
      <c r="Z185" s="7"/>
      <c r="AC185" s="7"/>
      <c r="AD185" s="15"/>
      <c r="AE185" s="7"/>
      <c r="AK185" t="str">
        <f>"SELECT (SELECT '"&amp;C185&amp;"' ColumnName from "&amp;E185&amp;" where "&amp;F185&amp;" is null and exists (select from "&amp;E185&amp;") limit 1) a union all"</f>
        <v>SELECT (SELECT 'sysComponentProp.RowStatus' ColumnName from sysComponentProp where RowStatus is null and exists (select from sysComponentProp) limit 1) a union all</v>
      </c>
      <c r="AP185" t="e">
        <f t="shared" si="17"/>
        <v>#NAME?</v>
      </c>
    </row>
    <row r="186" spans="1:46">
      <c r="A186">
        <v>19290</v>
      </c>
      <c r="B186" t="s">
        <v>1475</v>
      </c>
      <c r="C186" s="3" t="str">
        <f t="shared" si="14"/>
        <v>sysComponentProp.sysChangeHistoryID</v>
      </c>
      <c r="D186" s="7">
        <v>22</v>
      </c>
      <c r="E186" s="3" t="str">
        <f t="shared" si="15"/>
        <v>sysComponentProp</v>
      </c>
      <c r="F186" t="s">
        <v>2497</v>
      </c>
      <c r="G186" s="3" t="s">
        <v>6403</v>
      </c>
      <c r="H186" s="3" t="str">
        <f t="shared" si="16"/>
        <v>System.ComponentProp</v>
      </c>
      <c r="K186" t="s">
        <v>1210</v>
      </c>
      <c r="M186" t="s">
        <v>6007</v>
      </c>
      <c r="N186" s="7"/>
      <c r="O186" s="7"/>
      <c r="P186" s="7"/>
      <c r="Q186" t="s">
        <v>919</v>
      </c>
      <c r="R186" s="7"/>
      <c r="S186" s="7"/>
      <c r="T186" s="8"/>
      <c r="U186" t="s">
        <v>1429</v>
      </c>
      <c r="AJ186" t="str">
        <f>"SELECT (SELECT '"&amp;C186&amp;"' ColumnName from "&amp;E186&amp;" where "&amp;F186&amp;" is null and exists (select from "&amp;E186&amp;") limit 1) ColumnName union all"</f>
        <v>SELECT (SELECT 'sysComponentProp.sysChangeHistoryID' ColumnName from sysComponentProp where sysChangeHistoryID is null and exists (select from sysComponentProp) limit 1) ColumnName union all</v>
      </c>
      <c r="AL186" t="str">
        <f>"ALTER TABLE "&amp;E186&amp;" ALTER COLUMN "&amp;F186&amp;" DROP NOT NULL"</f>
        <v>ALTER TABLE sysComponentProp ALTER COLUMN sysChangeHistoryID DROP NOT NULL</v>
      </c>
      <c r="AP186" t="e">
        <f t="shared" si="17"/>
        <v>#NAME?</v>
      </c>
    </row>
    <row r="187" spans="1:46">
      <c r="A187">
        <v>19210</v>
      </c>
      <c r="B187" t="s">
        <v>1475</v>
      </c>
      <c r="C187" s="3" t="str">
        <f t="shared" si="14"/>
        <v>sysComponentProp.sysComponentID</v>
      </c>
      <c r="D187" s="7">
        <v>22</v>
      </c>
      <c r="E187" s="3" t="str">
        <f t="shared" si="15"/>
        <v>sysComponentProp</v>
      </c>
      <c r="F187" t="str">
        <f>VLOOKUP(V187,SystemTableId,3,FALSE)&amp;"ID"&amp;X187</f>
        <v>sysComponentID</v>
      </c>
      <c r="G187" t="s">
        <v>1936</v>
      </c>
      <c r="H187" s="3" t="str">
        <f t="shared" si="16"/>
        <v>System.ComponentProp</v>
      </c>
      <c r="K187" s="7" t="s">
        <v>1937</v>
      </c>
      <c r="M187" t="s">
        <v>6007</v>
      </c>
      <c r="Q187" t="s">
        <v>92</v>
      </c>
      <c r="U187" t="s">
        <v>96</v>
      </c>
      <c r="V187" s="7">
        <v>20</v>
      </c>
      <c r="W187" s="3" t="str">
        <f>VLOOKUP(V187,SystemTableId,3,FALSE)</f>
        <v>sysComponent</v>
      </c>
      <c r="AC187" s="7"/>
      <c r="AD187" s="15"/>
      <c r="AE187" s="7"/>
      <c r="AK187" t="str">
        <f>"SELECT (SELECT '"&amp;C187&amp;"' ColumnName from "&amp;E187&amp;" where "&amp;F187&amp;" is null and exists (select from "&amp;E187&amp;") limit 1) a union all"</f>
        <v>SELECT (SELECT 'sysComponentProp.sysComponentID' ColumnName from sysComponentProp where sysComponentID is null and exists (select from sysComponentProp) limit 1) a union all</v>
      </c>
      <c r="AP187" t="e">
        <f t="shared" si="17"/>
        <v>#NAME?</v>
      </c>
    </row>
    <row r="188" spans="1:46">
      <c r="A188">
        <v>19220</v>
      </c>
      <c r="B188" t="s">
        <v>1475</v>
      </c>
      <c r="C188" s="3" t="str">
        <f t="shared" si="14"/>
        <v>sysComponentProp.sysDataTypeID</v>
      </c>
      <c r="D188" s="7">
        <v>22</v>
      </c>
      <c r="E188" s="3" t="str">
        <f t="shared" si="15"/>
        <v>sysComponentProp</v>
      </c>
      <c r="F188" t="str">
        <f>VLOOKUP(V188,DictionaryTableID,3,FALSE)&amp;"ID"&amp;X188</f>
        <v>sysDataTypeID</v>
      </c>
      <c r="G188" t="s">
        <v>1960</v>
      </c>
      <c r="H188" s="3" t="str">
        <f t="shared" si="16"/>
        <v>System.ComponentProp</v>
      </c>
      <c r="K188" s="7" t="s">
        <v>1961</v>
      </c>
      <c r="M188" t="s">
        <v>6007</v>
      </c>
      <c r="Q188" t="s">
        <v>92</v>
      </c>
      <c r="U188" t="s">
        <v>96</v>
      </c>
      <c r="V188" s="7">
        <v>26</v>
      </c>
      <c r="W188" s="3" t="str">
        <f>VLOOKUP(V188,DictionaryTableID,3,FALSE)</f>
        <v>sysDataType</v>
      </c>
      <c r="AC188" s="7"/>
      <c r="AD188" s="15"/>
      <c r="AE188" s="7"/>
      <c r="AJ188" t="str">
        <f>"SELECT (SELECT '"&amp;C188&amp;"' ColumnName from "&amp;E188&amp;" where "&amp;F188&amp;" is null and exists (select from "&amp;E188&amp;") limit 1) ColumnName union all"</f>
        <v>SELECT (SELECT 'sysComponentProp.sysDataTypeID' ColumnName from sysComponentProp where sysDataTypeID is null and exists (select from sysComponentProp) limit 1) ColumnName union all</v>
      </c>
      <c r="AL188" t="str">
        <f>"ALTER TABLE "&amp;E188&amp;" ALTER COLUMN "&amp;F188&amp;" DROP NOT NULL"</f>
        <v>ALTER TABLE sysComponentProp ALTER COLUMN sysDataTypeID DROP NOT NULL</v>
      </c>
      <c r="AP188" t="e">
        <f t="shared" si="17"/>
        <v>#NAME?</v>
      </c>
    </row>
    <row r="189" spans="1:46">
      <c r="A189">
        <v>19330</v>
      </c>
      <c r="B189" t="s">
        <v>1475</v>
      </c>
      <c r="C189" s="3" t="str">
        <f t="shared" si="14"/>
        <v>sysComponentReducer.Command</v>
      </c>
      <c r="D189">
        <v>23</v>
      </c>
      <c r="E189" s="3" t="str">
        <f t="shared" si="15"/>
        <v>sysComponentReducer</v>
      </c>
      <c r="F189" s="7" t="s">
        <v>35</v>
      </c>
      <c r="G189" t="s">
        <v>35</v>
      </c>
      <c r="H189" s="3" t="str">
        <f t="shared" si="16"/>
        <v>System.ComponentReducer</v>
      </c>
      <c r="K189" t="s">
        <v>35</v>
      </c>
      <c r="M189" t="s">
        <v>1073</v>
      </c>
      <c r="Q189" t="s">
        <v>92</v>
      </c>
      <c r="U189" t="s">
        <v>93</v>
      </c>
      <c r="AC189" s="7"/>
      <c r="AD189" s="15"/>
      <c r="AE189" s="7"/>
      <c r="AJ189" t="str">
        <f>"SELECT (SELECT '"&amp;C189&amp;"' ColumnName from "&amp;E189&amp;" where "&amp;F189&amp;" is null and exists (select from "&amp;E189&amp;") limit 1) ColumnName union all"</f>
        <v>SELECT (SELECT 'sysComponentReducer.Command' ColumnName from sysComponentReducer where Command is null and exists (select from sysComponentReducer) limit 1) ColumnName union all</v>
      </c>
      <c r="AL189" t="str">
        <f>"ALTER TABLE "&amp;E189&amp;" ALTER COLUMN "&amp;F189&amp;" DROP NOT NULL"</f>
        <v>ALTER TABLE sysComponentReducer ALTER COLUMN Command DROP NOT NULL</v>
      </c>
      <c r="AP189" t="e">
        <f t="shared" si="17"/>
        <v>#NAME?</v>
      </c>
    </row>
    <row r="190" spans="1:46">
      <c r="A190">
        <v>19300</v>
      </c>
      <c r="B190" t="s">
        <v>1475</v>
      </c>
      <c r="C190" s="3" t="str">
        <f t="shared" si="14"/>
        <v>sysComponentReducer.Id</v>
      </c>
      <c r="D190">
        <v>23</v>
      </c>
      <c r="E190" s="3" t="str">
        <f t="shared" si="15"/>
        <v>sysComponentReducer</v>
      </c>
      <c r="F190" t="s">
        <v>1539</v>
      </c>
      <c r="G190" s="3" t="s">
        <v>6768</v>
      </c>
      <c r="H190" s="3" t="str">
        <f t="shared" si="16"/>
        <v>System.ComponentReducer</v>
      </c>
      <c r="K190" t="s">
        <v>1539</v>
      </c>
      <c r="M190" t="s">
        <v>6007</v>
      </c>
      <c r="Q190" t="s">
        <v>919</v>
      </c>
      <c r="U190" t="s">
        <v>95</v>
      </c>
      <c r="V190" s="7"/>
      <c r="W190" s="7"/>
      <c r="X190" s="7"/>
      <c r="Z190" s="7"/>
      <c r="AC190" s="7"/>
      <c r="AD190" s="15"/>
      <c r="AE190" s="7"/>
      <c r="AJ190" t="str">
        <f>"SELECT (SELECT '"&amp;C190&amp;"' ColumnName from "&amp;E190&amp;" where "&amp;F190&amp;" is null and exists (select from "&amp;E190&amp;") limit 1) ColumnName union all"</f>
        <v>SELECT (SELECT 'sysComponentReducer.Id' ColumnName from sysComponentReducer where Id is null and exists (select from sysComponentReducer) limit 1) ColumnName union all</v>
      </c>
      <c r="AL190" t="str">
        <f>"ALTER TABLE "&amp;E190&amp;" ALTER COLUMN "&amp;F190&amp;" DROP NOT NULL"</f>
        <v>ALTER TABLE sysComponentReducer ALTER COLUMN Id DROP NOT NULL</v>
      </c>
      <c r="AP190" t="e">
        <f t="shared" si="17"/>
        <v>#NAME?</v>
      </c>
    </row>
    <row r="191" spans="1:46">
      <c r="A191">
        <v>19340</v>
      </c>
      <c r="B191" t="s">
        <v>1475</v>
      </c>
      <c r="C191" s="3" t="str">
        <f t="shared" si="14"/>
        <v>sysComponentReducer.RowStatus</v>
      </c>
      <c r="D191">
        <v>23</v>
      </c>
      <c r="E191" s="3" t="str">
        <f t="shared" si="15"/>
        <v>sysComponentReducer</v>
      </c>
      <c r="F191" t="s">
        <v>1445</v>
      </c>
      <c r="G191" s="3" t="s">
        <v>6411</v>
      </c>
      <c r="H191" s="3" t="str">
        <f t="shared" si="16"/>
        <v>System.ComponentReducer</v>
      </c>
      <c r="K191" s="3" t="s">
        <v>2471</v>
      </c>
      <c r="M191" t="s">
        <v>976</v>
      </c>
      <c r="N191">
        <v>1</v>
      </c>
      <c r="Q191" t="s">
        <v>919</v>
      </c>
      <c r="U191" t="s">
        <v>94</v>
      </c>
      <c r="V191" s="7"/>
      <c r="W191" s="7"/>
      <c r="X191" s="7"/>
      <c r="Z191" s="7"/>
      <c r="AC191" s="7"/>
      <c r="AD191" s="15"/>
      <c r="AE191" s="7"/>
      <c r="AK191" t="str">
        <f>"SELECT (SELECT '"&amp;C191&amp;"' ColumnName from "&amp;E191&amp;" where "&amp;F191&amp;" is null and exists (select from "&amp;E191&amp;") limit 1) a union all"</f>
        <v>SELECT (SELECT 'sysComponentReducer.RowStatus' ColumnName from sysComponentReducer where RowStatus is null and exists (select from sysComponentReducer) limit 1) a union all</v>
      </c>
      <c r="AP191" t="e">
        <f t="shared" si="17"/>
        <v>#NAME?</v>
      </c>
      <c r="AS191" t="str">
        <f>"select distinct "&amp;F191&amp;" from "&amp;E191&amp;" union all"</f>
        <v>select distinct RowStatus from sysComponentReducer union all</v>
      </c>
      <c r="AT191" t="str">
        <f>"update a set a."&amp;F191&amp;"=b.tableid from "&amp;E191&amp;" a join #dbidtranslation b on b.dbid="&amp;F191</f>
        <v>update a set a.RowStatus=b.tableid from sysComponentReducer a join #dbidtranslation b on b.dbid=RowStatus</v>
      </c>
    </row>
    <row r="192" spans="1:46">
      <c r="A192">
        <v>19350</v>
      </c>
      <c r="B192" t="s">
        <v>1475</v>
      </c>
      <c r="C192" s="3" t="str">
        <f t="shared" si="14"/>
        <v>sysComponentReducer.sysChangeHistoryID</v>
      </c>
      <c r="D192" s="7">
        <v>23</v>
      </c>
      <c r="E192" s="3" t="str">
        <f t="shared" si="15"/>
        <v>sysComponentReducer</v>
      </c>
      <c r="F192" t="s">
        <v>2497</v>
      </c>
      <c r="G192" s="3" t="s">
        <v>6403</v>
      </c>
      <c r="H192" s="3" t="str">
        <f t="shared" si="16"/>
        <v>System.ComponentReducer</v>
      </c>
      <c r="K192" t="s">
        <v>1210</v>
      </c>
      <c r="M192" t="s">
        <v>6007</v>
      </c>
      <c r="N192" s="7"/>
      <c r="O192" s="7"/>
      <c r="P192" s="7"/>
      <c r="Q192" t="s">
        <v>919</v>
      </c>
      <c r="R192" s="7"/>
      <c r="S192" s="7"/>
      <c r="T192" s="8"/>
      <c r="U192" t="s">
        <v>1429</v>
      </c>
      <c r="AK192" t="str">
        <f>"SELECT (SELECT '"&amp;C192&amp;"' ColumnName from "&amp;E192&amp;" where "&amp;F192&amp;" is null and exists (select from "&amp;E192&amp;") limit 1) a union all"</f>
        <v>SELECT (SELECT 'sysComponentReducer.sysChangeHistoryID' ColumnName from sysComponentReducer where sysChangeHistoryID is null and exists (select from sysComponentReducer) limit 1) a union all</v>
      </c>
      <c r="AP192" t="e">
        <f t="shared" si="17"/>
        <v>#NAME?</v>
      </c>
    </row>
    <row r="193" spans="1:42">
      <c r="A193">
        <v>19310</v>
      </c>
      <c r="B193" t="s">
        <v>1475</v>
      </c>
      <c r="C193" s="3" t="str">
        <f t="shared" si="14"/>
        <v>sysComponentReducer.sysComponentID</v>
      </c>
      <c r="D193">
        <v>23</v>
      </c>
      <c r="E193" s="3" t="str">
        <f t="shared" si="15"/>
        <v>sysComponentReducer</v>
      </c>
      <c r="F193" t="str">
        <f>VLOOKUP(V193,SystemTableId,3,FALSE)&amp;"ID"&amp;X193</f>
        <v>sysComponentID</v>
      </c>
      <c r="G193" t="s">
        <v>1936</v>
      </c>
      <c r="H193" s="3" t="str">
        <f t="shared" si="16"/>
        <v>System.ComponentReducer</v>
      </c>
      <c r="K193" t="s">
        <v>1937</v>
      </c>
      <c r="M193" t="s">
        <v>6007</v>
      </c>
      <c r="Q193" t="s">
        <v>92</v>
      </c>
      <c r="U193" t="s">
        <v>96</v>
      </c>
      <c r="V193">
        <v>20</v>
      </c>
      <c r="W193" s="3" t="str">
        <f>VLOOKUP(V193,SystemTableId,3,FALSE)</f>
        <v>sysComponent</v>
      </c>
      <c r="AC193" s="7"/>
      <c r="AD193" s="15"/>
      <c r="AE193" s="7"/>
      <c r="AK193" t="str">
        <f>"SELECT (SELECT '"&amp;C193&amp;"' ColumnName from "&amp;E193&amp;" where "&amp;F193&amp;" is null and exists (select from "&amp;E193&amp;") limit 1) a union all"</f>
        <v>SELECT (SELECT 'sysComponentReducer.sysComponentID' ColumnName from sysComponentReducer where sysComponentID is null and exists (select from sysComponentReducer) limit 1) a union all</v>
      </c>
      <c r="AP193" t="e">
        <f t="shared" si="17"/>
        <v>#NAME?</v>
      </c>
    </row>
    <row r="194" spans="1:42">
      <c r="A194">
        <v>19320</v>
      </c>
      <c r="B194" t="s">
        <v>1475</v>
      </c>
      <c r="C194" s="3" t="str">
        <f t="shared" ref="C194:C257" si="20">CONCATENATE(E194,".",F194)</f>
        <v>sysComponentReducer.sysReducerID</v>
      </c>
      <c r="D194">
        <v>23</v>
      </c>
      <c r="E194" s="3" t="str">
        <f t="shared" ref="E194:E257" si="21">VLOOKUP(D194,SystemTableId,3,FALSE)</f>
        <v>sysComponentReducer</v>
      </c>
      <c r="F194" t="str">
        <f>VLOOKUP(V194,SystemTableId,3,FALSE)&amp;"ID"&amp;X194</f>
        <v>sysReducerID</v>
      </c>
      <c r="G194" t="s">
        <v>1999</v>
      </c>
      <c r="H194" s="3" t="str">
        <f t="shared" ref="H194:H257" si="22">VLOOKUP(E194,SystemTables,14,FALSE)</f>
        <v>System.ComponentReducer</v>
      </c>
      <c r="K194" t="s">
        <v>2000</v>
      </c>
      <c r="M194" t="s">
        <v>6007</v>
      </c>
      <c r="Q194" t="s">
        <v>92</v>
      </c>
      <c r="U194" t="s">
        <v>96</v>
      </c>
      <c r="V194" s="7">
        <v>62</v>
      </c>
      <c r="W194" s="3" t="str">
        <f>VLOOKUP(V194,SystemTableId,3,FALSE)</f>
        <v>sysReducer</v>
      </c>
      <c r="X194" s="7"/>
      <c r="Z194" s="7"/>
      <c r="AC194" s="7"/>
      <c r="AD194" s="15"/>
      <c r="AE194" s="7"/>
      <c r="AJ194" t="str">
        <f>"SELECT (SELECT '"&amp;C194&amp;"' ColumnName from "&amp;E194&amp;" where "&amp;F194&amp;" is null and exists (select from "&amp;E194&amp;") limit 1) ColumnName union all"</f>
        <v>SELECT (SELECT 'sysComponentReducer.sysReducerID' ColumnName from sysComponentReducer where sysReducerID is null and exists (select from sysComponentReducer) limit 1) ColumnName union all</v>
      </c>
      <c r="AL194" t="str">
        <f>"ALTER TABLE "&amp;E194&amp;" ALTER COLUMN "&amp;F194&amp;" DROP NOT NULL"</f>
        <v>ALTER TABLE sysComponentReducer ALTER COLUMN sysReducerID DROP NOT NULL</v>
      </c>
      <c r="AP194" t="e">
        <f t="shared" ref="AP194:AP257" si="23">VLOOKUP(E194,temp6,1,FALSE)</f>
        <v>#NAME?</v>
      </c>
    </row>
    <row r="195" spans="1:42">
      <c r="A195">
        <v>19390</v>
      </c>
      <c r="B195" t="s">
        <v>1475</v>
      </c>
      <c r="C195" s="3" t="str">
        <f t="shared" si="20"/>
        <v>sysComponentState.Command</v>
      </c>
      <c r="D195">
        <v>24</v>
      </c>
      <c r="E195" s="3" t="str">
        <f t="shared" si="21"/>
        <v>sysComponentState</v>
      </c>
      <c r="F195" s="7" t="s">
        <v>35</v>
      </c>
      <c r="G195" t="s">
        <v>35</v>
      </c>
      <c r="H195" s="3" t="str">
        <f t="shared" si="22"/>
        <v>System.ComponentState</v>
      </c>
      <c r="K195" t="s">
        <v>35</v>
      </c>
      <c r="M195" t="s">
        <v>1073</v>
      </c>
      <c r="Q195" t="s">
        <v>92</v>
      </c>
      <c r="U195" t="s">
        <v>93</v>
      </c>
      <c r="AC195" s="7"/>
      <c r="AD195" s="15"/>
      <c r="AE195" s="7"/>
      <c r="AJ195" t="str">
        <f>"SELECT (SELECT '"&amp;C195&amp;"' ColumnName from "&amp;E195&amp;" where "&amp;F195&amp;" is null and exists (select from "&amp;E195&amp;") limit 1) ColumnName union all"</f>
        <v>SELECT (SELECT 'sysComponentState.Command' ColumnName from sysComponentState where Command is null and exists (select from sysComponentState) limit 1) ColumnName union all</v>
      </c>
      <c r="AL195" t="str">
        <f>"ALTER TABLE "&amp;E195&amp;" ALTER COLUMN "&amp;F195&amp;" DROP NOT NULL"</f>
        <v>ALTER TABLE sysComponentState ALTER COLUMN Command DROP NOT NULL</v>
      </c>
      <c r="AP195" t="e">
        <f t="shared" si="23"/>
        <v>#NAME?</v>
      </c>
    </row>
    <row r="196" spans="1:42">
      <c r="A196">
        <v>19360</v>
      </c>
      <c r="B196" t="s">
        <v>1475</v>
      </c>
      <c r="C196" s="3" t="str">
        <f t="shared" si="20"/>
        <v>sysComponentState.Id</v>
      </c>
      <c r="D196">
        <v>24</v>
      </c>
      <c r="E196" s="3" t="str">
        <f t="shared" si="21"/>
        <v>sysComponentState</v>
      </c>
      <c r="F196" t="s">
        <v>1539</v>
      </c>
      <c r="G196" s="3" t="s">
        <v>6769</v>
      </c>
      <c r="H196" s="3" t="str">
        <f t="shared" si="22"/>
        <v>System.ComponentState</v>
      </c>
      <c r="K196" t="s">
        <v>1539</v>
      </c>
      <c r="M196" t="s">
        <v>6007</v>
      </c>
      <c r="Q196" t="s">
        <v>919</v>
      </c>
      <c r="U196" t="s">
        <v>95</v>
      </c>
      <c r="V196" s="7"/>
      <c r="W196" s="7"/>
      <c r="X196" s="7"/>
      <c r="Z196" s="7"/>
      <c r="AC196" s="7"/>
      <c r="AD196" s="15"/>
      <c r="AE196" s="7"/>
      <c r="AJ196" t="str">
        <f>"SELECT (SELECT '"&amp;C196&amp;"' ColumnName from "&amp;E196&amp;" where "&amp;F196&amp;" is null and exists (select from "&amp;E196&amp;") limit 1) ColumnName union all"</f>
        <v>SELECT (SELECT 'sysComponentState.Id' ColumnName from sysComponentState where Id is null and exists (select from sysComponentState) limit 1) ColumnName union all</v>
      </c>
      <c r="AL196" t="str">
        <f>"ALTER TABLE "&amp;E196&amp;" ALTER COLUMN "&amp;F196&amp;" DROP NOT NULL"</f>
        <v>ALTER TABLE sysComponentState ALTER COLUMN Id DROP NOT NULL</v>
      </c>
      <c r="AP196" t="e">
        <f t="shared" si="23"/>
        <v>#NAME?</v>
      </c>
    </row>
    <row r="197" spans="1:42">
      <c r="A197">
        <v>19400</v>
      </c>
      <c r="B197" t="s">
        <v>1475</v>
      </c>
      <c r="C197" s="3" t="str">
        <f t="shared" si="20"/>
        <v>sysComponentState.RowStatus</v>
      </c>
      <c r="D197">
        <v>24</v>
      </c>
      <c r="E197" s="3" t="str">
        <f t="shared" si="21"/>
        <v>sysComponentState</v>
      </c>
      <c r="F197" t="s">
        <v>1445</v>
      </c>
      <c r="G197" s="3" t="s">
        <v>6411</v>
      </c>
      <c r="H197" s="3" t="str">
        <f t="shared" si="22"/>
        <v>System.ComponentState</v>
      </c>
      <c r="K197" s="3" t="s">
        <v>2471</v>
      </c>
      <c r="M197" t="s">
        <v>976</v>
      </c>
      <c r="N197">
        <v>1</v>
      </c>
      <c r="Q197" t="s">
        <v>919</v>
      </c>
      <c r="U197" t="s">
        <v>94</v>
      </c>
      <c r="V197" s="7"/>
      <c r="W197" s="7"/>
      <c r="X197" s="7"/>
      <c r="Z197" s="7"/>
      <c r="AC197" s="7"/>
      <c r="AD197" s="15"/>
      <c r="AE197" s="7"/>
      <c r="AK197" t="str">
        <f>"SELECT (SELECT '"&amp;C197&amp;"' ColumnName from "&amp;E197&amp;" where "&amp;F197&amp;" is null and exists (select from "&amp;E197&amp;") limit 1) a union all"</f>
        <v>SELECT (SELECT 'sysComponentState.RowStatus' ColumnName from sysComponentState where RowStatus is null and exists (select from sysComponentState) limit 1) a union all</v>
      </c>
      <c r="AP197" t="e">
        <f t="shared" si="23"/>
        <v>#NAME?</v>
      </c>
    </row>
    <row r="198" spans="1:42">
      <c r="A198">
        <v>19410</v>
      </c>
      <c r="B198" t="s">
        <v>1475</v>
      </c>
      <c r="C198" s="3" t="str">
        <f t="shared" si="20"/>
        <v>sysComponentState.sysChangeHistoryID</v>
      </c>
      <c r="D198" s="7">
        <v>24</v>
      </c>
      <c r="E198" s="3" t="str">
        <f t="shared" si="21"/>
        <v>sysComponentState</v>
      </c>
      <c r="F198" t="s">
        <v>2497</v>
      </c>
      <c r="G198" s="3" t="s">
        <v>6403</v>
      </c>
      <c r="H198" s="3" t="str">
        <f t="shared" si="22"/>
        <v>System.ComponentState</v>
      </c>
      <c r="K198" t="s">
        <v>1210</v>
      </c>
      <c r="M198" t="s">
        <v>6007</v>
      </c>
      <c r="N198" s="7"/>
      <c r="O198" s="7"/>
      <c r="P198" s="7"/>
      <c r="Q198" t="s">
        <v>919</v>
      </c>
      <c r="R198" s="7"/>
      <c r="S198" s="7"/>
      <c r="T198" s="8"/>
      <c r="U198" t="s">
        <v>1429</v>
      </c>
      <c r="AK198" t="str">
        <f>"SELECT (SELECT '"&amp;C198&amp;"' ColumnName from "&amp;E198&amp;" where "&amp;F198&amp;" is null and exists (select from "&amp;E198&amp;") limit 1) a union all"</f>
        <v>SELECT (SELECT 'sysComponentState.sysChangeHistoryID' ColumnName from sysComponentState where sysChangeHistoryID is null and exists (select from sysComponentState) limit 1) a union all</v>
      </c>
      <c r="AP198" t="e">
        <f t="shared" si="23"/>
        <v>#NAME?</v>
      </c>
    </row>
    <row r="199" spans="1:42">
      <c r="A199">
        <v>19370</v>
      </c>
      <c r="B199" t="s">
        <v>1475</v>
      </c>
      <c r="C199" s="3" t="str">
        <f t="shared" si="20"/>
        <v>sysComponentState.sysComponentID</v>
      </c>
      <c r="D199">
        <v>24</v>
      </c>
      <c r="E199" s="3" t="str">
        <f t="shared" si="21"/>
        <v>sysComponentState</v>
      </c>
      <c r="F199" t="str">
        <f>VLOOKUP(V199,SystemTableId,3,FALSE)&amp;"ID"&amp;X199</f>
        <v>sysComponentID</v>
      </c>
      <c r="G199" t="s">
        <v>1936</v>
      </c>
      <c r="H199" s="3" t="str">
        <f t="shared" si="22"/>
        <v>System.ComponentState</v>
      </c>
      <c r="K199" t="s">
        <v>1937</v>
      </c>
      <c r="M199" t="s">
        <v>6007</v>
      </c>
      <c r="Q199" t="s">
        <v>92</v>
      </c>
      <c r="U199" t="s">
        <v>96</v>
      </c>
      <c r="V199">
        <v>20</v>
      </c>
      <c r="W199" s="3" t="str">
        <f>VLOOKUP(V199,SystemTableId,3,FALSE)</f>
        <v>sysComponent</v>
      </c>
      <c r="AC199" s="7"/>
      <c r="AD199" s="15"/>
      <c r="AE199" s="7"/>
      <c r="AK199" t="str">
        <f>"SELECT (SELECT '"&amp;C199&amp;"' ColumnName from "&amp;E199&amp;" where "&amp;F199&amp;" is null and exists (select from "&amp;E199&amp;") limit 1) a union all"</f>
        <v>SELECT (SELECT 'sysComponentState.sysComponentID' ColumnName from sysComponentState where sysComponentID is null and exists (select from sysComponentState) limit 1) a union all</v>
      </c>
      <c r="AP199" t="e">
        <f t="shared" si="23"/>
        <v>#NAME?</v>
      </c>
    </row>
    <row r="200" spans="1:42">
      <c r="A200">
        <v>19380</v>
      </c>
      <c r="B200" t="s">
        <v>1475</v>
      </c>
      <c r="C200" s="3" t="str">
        <f t="shared" si="20"/>
        <v>sysComponentState.sysInitialStateID</v>
      </c>
      <c r="D200">
        <v>24</v>
      </c>
      <c r="E200" s="3" t="str">
        <f t="shared" si="21"/>
        <v>sysComponentState</v>
      </c>
      <c r="F200" t="str">
        <f>VLOOKUP(V200,SystemTableId,3,FALSE)&amp;"ID"&amp;X200</f>
        <v>sysInitialStateID</v>
      </c>
      <c r="G200" t="s">
        <v>2001</v>
      </c>
      <c r="H200" s="3" t="str">
        <f t="shared" si="22"/>
        <v>System.ComponentState</v>
      </c>
      <c r="K200" t="s">
        <v>2002</v>
      </c>
      <c r="M200" t="s">
        <v>6007</v>
      </c>
      <c r="Q200" t="s">
        <v>92</v>
      </c>
      <c r="U200" t="s">
        <v>96</v>
      </c>
      <c r="V200" s="7">
        <v>27</v>
      </c>
      <c r="W200" s="3" t="str">
        <f>VLOOKUP(V200,SystemTableId,3,FALSE)</f>
        <v>sysInitialState</v>
      </c>
      <c r="AC200" s="7"/>
      <c r="AD200" s="15"/>
      <c r="AE200" s="7"/>
      <c r="AJ200" t="str">
        <f>"SELECT (SELECT '"&amp;C200&amp;"' ColumnName from "&amp;E200&amp;" where "&amp;F200&amp;" is null and exists (select from "&amp;E200&amp;") limit 1) ColumnName union all"</f>
        <v>SELECT (SELECT 'sysComponentState.sysInitialStateID' ColumnName from sysComponentState where sysInitialStateID is null and exists (select from sysComponentState) limit 1) ColumnName union all</v>
      </c>
      <c r="AL200" t="str">
        <f>"ALTER TABLE "&amp;E200&amp;" ALTER COLUMN "&amp;F200&amp;" DROP NOT NULL"</f>
        <v>ALTER TABLE sysComponentState ALTER COLUMN sysInitialStateID DROP NOT NULL</v>
      </c>
      <c r="AP200" t="e">
        <f t="shared" si="23"/>
        <v>#NAME?</v>
      </c>
    </row>
    <row r="201" spans="1:42">
      <c r="A201">
        <v>19430</v>
      </c>
      <c r="B201" t="s">
        <v>1475</v>
      </c>
      <c r="C201" s="3" t="str">
        <f t="shared" si="20"/>
        <v>sysDataSource.Command</v>
      </c>
      <c r="D201">
        <v>25</v>
      </c>
      <c r="E201" s="3" t="str">
        <f t="shared" si="21"/>
        <v>sysDataSource</v>
      </c>
      <c r="F201" s="7" t="s">
        <v>35</v>
      </c>
      <c r="G201" t="s">
        <v>35</v>
      </c>
      <c r="H201" s="3" t="str">
        <f t="shared" si="22"/>
        <v>System.DataSource</v>
      </c>
      <c r="K201" t="s">
        <v>35</v>
      </c>
      <c r="M201" t="s">
        <v>1073</v>
      </c>
      <c r="Q201" t="s">
        <v>92</v>
      </c>
      <c r="U201" t="s">
        <v>93</v>
      </c>
      <c r="AC201" s="7"/>
      <c r="AD201" s="15"/>
      <c r="AE201" s="7"/>
      <c r="AJ201" t="str">
        <f>"SELECT (SELECT '"&amp;C201&amp;"' ColumnName from "&amp;E201&amp;" where "&amp;F201&amp;" is null and exists (select from "&amp;E201&amp;") limit 1) ColumnName union all"</f>
        <v>SELECT (SELECT 'sysDataSource.Command' ColumnName from sysDataSource where Command is null and exists (select from sysDataSource) limit 1) ColumnName union all</v>
      </c>
      <c r="AL201" t="str">
        <f>"ALTER TABLE "&amp;E201&amp;" ALTER COLUMN "&amp;F201&amp;" DROP NOT NULL"</f>
        <v>ALTER TABLE sysDataSource ALTER COLUMN Command DROP NOT NULL</v>
      </c>
      <c r="AP201" t="e">
        <f t="shared" si="23"/>
        <v>#NAME?</v>
      </c>
    </row>
    <row r="202" spans="1:42">
      <c r="A202">
        <v>19420</v>
      </c>
      <c r="B202" t="s">
        <v>1475</v>
      </c>
      <c r="C202" s="3" t="str">
        <f t="shared" si="20"/>
        <v>sysDataSource.Id</v>
      </c>
      <c r="D202">
        <v>25</v>
      </c>
      <c r="E202" s="3" t="str">
        <f t="shared" si="21"/>
        <v>sysDataSource</v>
      </c>
      <c r="F202" t="s">
        <v>1539</v>
      </c>
      <c r="G202" s="3" t="s">
        <v>6770</v>
      </c>
      <c r="H202" s="3" t="str">
        <f t="shared" si="22"/>
        <v>System.DataSource</v>
      </c>
      <c r="K202" t="s">
        <v>1539</v>
      </c>
      <c r="M202" t="s">
        <v>6007</v>
      </c>
      <c r="Q202" t="s">
        <v>919</v>
      </c>
      <c r="U202" t="s">
        <v>95</v>
      </c>
      <c r="V202" s="7"/>
      <c r="W202" s="7"/>
      <c r="X202" s="7"/>
      <c r="Z202" s="7"/>
      <c r="AC202" s="7"/>
      <c r="AD202" s="15"/>
      <c r="AE202" s="7"/>
      <c r="AJ202" t="str">
        <f>"SELECT (SELECT '"&amp;C202&amp;"' ColumnName from "&amp;E202&amp;" where "&amp;F202&amp;" is null and exists (select from "&amp;E202&amp;") limit 1) ColumnName union all"</f>
        <v>SELECT (SELECT 'sysDataSource.Id' ColumnName from sysDataSource where Id is null and exists (select from sysDataSource) limit 1) ColumnName union all</v>
      </c>
      <c r="AL202" t="str">
        <f>"ALTER TABLE "&amp;E202&amp;" ALTER COLUMN "&amp;F202&amp;" DROP NOT NULL"</f>
        <v>ALTER TABLE sysDataSource ALTER COLUMN Id DROP NOT NULL</v>
      </c>
      <c r="AP202" t="e">
        <f t="shared" si="23"/>
        <v>#NAME?</v>
      </c>
    </row>
    <row r="203" spans="1:42">
      <c r="A203">
        <v>19440</v>
      </c>
      <c r="B203" t="s">
        <v>1475</v>
      </c>
      <c r="C203" s="3" t="str">
        <f t="shared" si="20"/>
        <v>sysDataSource.Name</v>
      </c>
      <c r="D203">
        <v>25</v>
      </c>
      <c r="E203" s="3" t="str">
        <f t="shared" si="21"/>
        <v>sysDataSource</v>
      </c>
      <c r="F203" s="7" t="s">
        <v>22</v>
      </c>
      <c r="G203" s="3" t="s">
        <v>6963</v>
      </c>
      <c r="H203" s="3" t="str">
        <f t="shared" si="22"/>
        <v>System.DataSource</v>
      </c>
      <c r="K203" t="s">
        <v>22</v>
      </c>
      <c r="M203" t="s">
        <v>1073</v>
      </c>
      <c r="Q203" t="s">
        <v>919</v>
      </c>
      <c r="U203" t="s">
        <v>93</v>
      </c>
      <c r="V203" s="7"/>
      <c r="W203" s="7"/>
      <c r="X203" s="7"/>
      <c r="Z203" s="7"/>
      <c r="AC203" s="7"/>
      <c r="AD203" s="15"/>
      <c r="AE203" s="7"/>
      <c r="AH203" t="s">
        <v>92</v>
      </c>
      <c r="AK203" t="str">
        <f>"SELECT (SELECT '"&amp;C203&amp;"' ColumnName from "&amp;E203&amp;" where "&amp;F203&amp;" is null and exists (select from "&amp;E203&amp;") limit 1) a union all"</f>
        <v>SELECT (SELECT 'sysDataSource.Name' ColumnName from sysDataSource where Name is null and exists (select from sysDataSource) limit 1) a union all</v>
      </c>
      <c r="AP203" t="e">
        <f t="shared" si="23"/>
        <v>#NAME?</v>
      </c>
    </row>
    <row r="204" spans="1:42">
      <c r="A204">
        <v>19450</v>
      </c>
      <c r="B204" t="s">
        <v>1475</v>
      </c>
      <c r="C204" s="3" t="str">
        <f t="shared" si="20"/>
        <v>sysDataSource.RowStatus</v>
      </c>
      <c r="D204">
        <v>25</v>
      </c>
      <c r="E204" s="3" t="str">
        <f t="shared" si="21"/>
        <v>sysDataSource</v>
      </c>
      <c r="F204" t="s">
        <v>1445</v>
      </c>
      <c r="G204" s="3" t="s">
        <v>6411</v>
      </c>
      <c r="H204" s="3" t="str">
        <f t="shared" si="22"/>
        <v>System.DataSource</v>
      </c>
      <c r="K204" s="3" t="s">
        <v>2471</v>
      </c>
      <c r="M204" t="s">
        <v>976</v>
      </c>
      <c r="N204">
        <v>1</v>
      </c>
      <c r="Q204" t="s">
        <v>919</v>
      </c>
      <c r="U204" t="s">
        <v>94</v>
      </c>
      <c r="V204" s="7"/>
      <c r="W204" s="7"/>
      <c r="X204" s="7"/>
      <c r="Z204" s="7"/>
      <c r="AC204" s="7"/>
      <c r="AD204" s="15"/>
      <c r="AE204" s="7"/>
      <c r="AJ204" t="str">
        <f>"SELECT (SELECT '"&amp;C204&amp;"' ColumnName from "&amp;E204&amp;" where "&amp;F204&amp;" is null and exists (select from "&amp;E204&amp;") limit 1) ColumnName union all"</f>
        <v>SELECT (SELECT 'sysDataSource.RowStatus' ColumnName from sysDataSource where RowStatus is null and exists (select from sysDataSource) limit 1) ColumnName union all</v>
      </c>
      <c r="AL204" t="str">
        <f>"ALTER TABLE "&amp;E204&amp;" ALTER COLUMN "&amp;F204&amp;" DROP NOT NULL"</f>
        <v>ALTER TABLE sysDataSource ALTER COLUMN RowStatus DROP NOT NULL</v>
      </c>
      <c r="AP204" t="e">
        <f t="shared" si="23"/>
        <v>#NAME?</v>
      </c>
    </row>
    <row r="205" spans="1:42">
      <c r="A205">
        <v>19890</v>
      </c>
      <c r="B205" t="s">
        <v>1475</v>
      </c>
      <c r="C205" s="3" t="str">
        <f t="shared" si="20"/>
        <v>sysInitialState.Id</v>
      </c>
      <c r="D205">
        <v>27</v>
      </c>
      <c r="E205" s="3" t="str">
        <f t="shared" si="21"/>
        <v>sysInitialState</v>
      </c>
      <c r="F205" t="s">
        <v>1539</v>
      </c>
      <c r="G205" s="3" t="s">
        <v>6798</v>
      </c>
      <c r="H205" s="3" t="str">
        <f t="shared" si="22"/>
        <v>System.InitialState</v>
      </c>
      <c r="K205" t="s">
        <v>1539</v>
      </c>
      <c r="M205" t="s">
        <v>6007</v>
      </c>
      <c r="Q205" t="s">
        <v>919</v>
      </c>
      <c r="U205" t="s">
        <v>95</v>
      </c>
      <c r="V205" s="7"/>
      <c r="W205" s="7"/>
      <c r="X205" s="7"/>
      <c r="Z205" s="7"/>
      <c r="AC205" s="7"/>
      <c r="AD205" s="15"/>
      <c r="AE205" s="7"/>
      <c r="AJ205" t="str">
        <f>"SELECT (SELECT '"&amp;C205&amp;"' ColumnName from "&amp;E205&amp;" where "&amp;F205&amp;" is null and exists (select from "&amp;E205&amp;") limit 1) ColumnName union all"</f>
        <v>SELECT (SELECT 'sysInitialState.Id' ColumnName from sysInitialState where Id is null and exists (select from sysInitialState) limit 1) ColumnName union all</v>
      </c>
      <c r="AL205" t="str">
        <f>"ALTER TABLE "&amp;E205&amp;" ALTER COLUMN "&amp;F205&amp;" DROP NOT NULL"</f>
        <v>ALTER TABLE sysInitialState ALTER COLUMN Id DROP NOT NULL</v>
      </c>
      <c r="AP205" t="e">
        <f t="shared" si="23"/>
        <v>#NAME?</v>
      </c>
    </row>
    <row r="206" spans="1:42">
      <c r="A206">
        <v>19900</v>
      </c>
      <c r="B206" t="s">
        <v>1475</v>
      </c>
      <c r="C206" s="3" t="str">
        <f t="shared" si="20"/>
        <v>sysInitialState.Name</v>
      </c>
      <c r="D206">
        <v>27</v>
      </c>
      <c r="E206" s="3" t="str">
        <f t="shared" si="21"/>
        <v>sysInitialState</v>
      </c>
      <c r="F206" s="7" t="s">
        <v>22</v>
      </c>
      <c r="G206" s="3" t="s">
        <v>7012</v>
      </c>
      <c r="H206" s="3" t="str">
        <f t="shared" si="22"/>
        <v>System.InitialState</v>
      </c>
      <c r="K206" t="s">
        <v>22</v>
      </c>
      <c r="M206" t="s">
        <v>1073</v>
      </c>
      <c r="Q206" t="s">
        <v>92</v>
      </c>
      <c r="U206" t="s">
        <v>93</v>
      </c>
      <c r="V206" s="7"/>
      <c r="W206" s="7"/>
      <c r="X206" s="7"/>
      <c r="Z206" s="7"/>
      <c r="AC206" s="7"/>
      <c r="AD206" s="15"/>
      <c r="AE206" s="7"/>
      <c r="AH206" t="s">
        <v>92</v>
      </c>
      <c r="AK206" t="str">
        <f>"SELECT (SELECT '"&amp;C206&amp;"' ColumnName from "&amp;E206&amp;" where "&amp;F206&amp;" is null and exists (select from "&amp;E206&amp;") limit 1) a union all"</f>
        <v>SELECT (SELECT 'sysInitialState.Name' ColumnName from sysInitialState where Name is null and exists (select from sysInitialState) limit 1) a union all</v>
      </c>
      <c r="AO206" t="e">
        <f>SUBSTITUTE(VLOOKUP(V206,DictionaryTableID,16,FALSE)&amp;"ID",".","")</f>
        <v>#N/A</v>
      </c>
      <c r="AP206" t="e">
        <f t="shared" si="23"/>
        <v>#NAME?</v>
      </c>
    </row>
    <row r="207" spans="1:42">
      <c r="A207">
        <v>19910</v>
      </c>
      <c r="B207" t="s">
        <v>1475</v>
      </c>
      <c r="C207" s="3" t="str">
        <f t="shared" si="20"/>
        <v>sysInitialState.RenderName</v>
      </c>
      <c r="D207">
        <v>27</v>
      </c>
      <c r="E207" s="3" t="str">
        <f t="shared" si="21"/>
        <v>sysInitialState</v>
      </c>
      <c r="F207" s="7" t="s">
        <v>1922</v>
      </c>
      <c r="G207" s="3" t="s">
        <v>7013</v>
      </c>
      <c r="H207" s="3" t="str">
        <f t="shared" si="22"/>
        <v>System.InitialState</v>
      </c>
      <c r="K207" t="s">
        <v>1923</v>
      </c>
      <c r="M207" t="s">
        <v>1073</v>
      </c>
      <c r="Q207" t="s">
        <v>92</v>
      </c>
      <c r="U207" t="s">
        <v>93</v>
      </c>
      <c r="AC207" s="7"/>
      <c r="AD207" s="15"/>
      <c r="AE207" s="7"/>
      <c r="AJ207" t="str">
        <f>"SELECT (SELECT '"&amp;C207&amp;"' ColumnName from "&amp;E207&amp;" where "&amp;F207&amp;" is null and exists (select from "&amp;E207&amp;") limit 1) ColumnName union all"</f>
        <v>SELECT (SELECT 'sysInitialState.RenderName' ColumnName from sysInitialState where RenderName is null and exists (select from sysInitialState) limit 1) ColumnName union all</v>
      </c>
      <c r="AL207" t="str">
        <f>"ALTER TABLE "&amp;E207&amp;" ALTER COLUMN "&amp;F207&amp;" DROP NOT NULL"</f>
        <v>ALTER TABLE sysInitialState ALTER COLUMN RenderName DROP NOT NULL</v>
      </c>
      <c r="AP207" t="e">
        <f t="shared" si="23"/>
        <v>#NAME?</v>
      </c>
    </row>
    <row r="208" spans="1:42">
      <c r="A208">
        <v>19940</v>
      </c>
      <c r="B208" t="s">
        <v>1475</v>
      </c>
      <c r="C208" s="3" t="str">
        <f t="shared" si="20"/>
        <v>sysInitialState.RowStatus</v>
      </c>
      <c r="D208">
        <v>27</v>
      </c>
      <c r="E208" s="3" t="str">
        <f t="shared" si="21"/>
        <v>sysInitialState</v>
      </c>
      <c r="F208" t="s">
        <v>1445</v>
      </c>
      <c r="G208" s="3" t="s">
        <v>6411</v>
      </c>
      <c r="H208" s="3" t="str">
        <f t="shared" si="22"/>
        <v>System.InitialState</v>
      </c>
      <c r="K208" s="3" t="s">
        <v>2471</v>
      </c>
      <c r="M208" t="s">
        <v>976</v>
      </c>
      <c r="N208">
        <v>1</v>
      </c>
      <c r="Q208" t="s">
        <v>919</v>
      </c>
      <c r="U208" t="s">
        <v>94</v>
      </c>
      <c r="V208" s="7"/>
      <c r="W208" s="7"/>
      <c r="X208" s="7"/>
      <c r="Z208" s="7"/>
      <c r="AC208" s="7"/>
      <c r="AD208" s="15"/>
      <c r="AE208" s="7"/>
      <c r="AK208" t="str">
        <f>"SELECT (SELECT '"&amp;C208&amp;"' ColumnName from "&amp;E208&amp;" where "&amp;F208&amp;" is null and exists (select from "&amp;E208&amp;") limit 1) a union all"</f>
        <v>SELECT (SELECT 'sysInitialState.RowStatus' ColumnName from sysInitialState where RowStatus is null and exists (select from sysInitialState) limit 1) a union all</v>
      </c>
      <c r="AP208" t="e">
        <f t="shared" si="23"/>
        <v>#NAME?</v>
      </c>
    </row>
    <row r="209" spans="1:42">
      <c r="A209">
        <v>19950</v>
      </c>
      <c r="B209" t="s">
        <v>1475</v>
      </c>
      <c r="C209" s="3" t="str">
        <f t="shared" si="20"/>
        <v>sysInitialState.sysChangeHistoryID</v>
      </c>
      <c r="D209" s="7">
        <v>27</v>
      </c>
      <c r="E209" s="3" t="str">
        <f t="shared" si="21"/>
        <v>sysInitialState</v>
      </c>
      <c r="F209" t="s">
        <v>2497</v>
      </c>
      <c r="G209" s="3" t="s">
        <v>6403</v>
      </c>
      <c r="H209" s="3" t="str">
        <f t="shared" si="22"/>
        <v>System.InitialState</v>
      </c>
      <c r="K209" t="s">
        <v>1210</v>
      </c>
      <c r="M209" t="s">
        <v>6007</v>
      </c>
      <c r="N209" s="7"/>
      <c r="O209" s="7"/>
      <c r="P209" s="7"/>
      <c r="Q209" t="s">
        <v>919</v>
      </c>
      <c r="R209" s="7"/>
      <c r="S209" s="7"/>
      <c r="T209" s="8"/>
      <c r="U209" t="s">
        <v>1429</v>
      </c>
      <c r="AK209" t="str">
        <f>"SELECT (SELECT '"&amp;C209&amp;"' ColumnName from "&amp;E209&amp;" where "&amp;F209&amp;" is null and exists (select from "&amp;E209&amp;") limit 1) a union all"</f>
        <v>SELECT (SELECT 'sysInitialState.sysChangeHistoryID' ColumnName from sysInitialState where sysChangeHistoryID is null and exists (select from sysInitialState) limit 1) a union all</v>
      </c>
      <c r="AP209" t="e">
        <f t="shared" si="23"/>
        <v>#NAME?</v>
      </c>
    </row>
    <row r="210" spans="1:42">
      <c r="A210">
        <v>19920</v>
      </c>
      <c r="B210" t="s">
        <v>1475</v>
      </c>
      <c r="C210" s="3" t="str">
        <f t="shared" si="20"/>
        <v>sysInitialState.Type</v>
      </c>
      <c r="D210">
        <v>27</v>
      </c>
      <c r="E210" s="3" t="str">
        <f t="shared" si="21"/>
        <v>sysInitialState</v>
      </c>
      <c r="F210" s="7" t="s">
        <v>40</v>
      </c>
      <c r="G210" t="s">
        <v>40</v>
      </c>
      <c r="H210" s="3" t="str">
        <f t="shared" si="22"/>
        <v>System.InitialState</v>
      </c>
      <c r="K210" t="s">
        <v>40</v>
      </c>
      <c r="M210" t="s">
        <v>1073</v>
      </c>
      <c r="Q210" t="s">
        <v>92</v>
      </c>
      <c r="U210" t="s">
        <v>93</v>
      </c>
      <c r="AC210" s="7"/>
      <c r="AD210" s="15"/>
      <c r="AE210" s="7"/>
      <c r="AK210" t="str">
        <f>"SELECT (SELECT '"&amp;C210&amp;"' ColumnName from "&amp;E210&amp;" where "&amp;F210&amp;" is null and exists (select from "&amp;E210&amp;") limit 1) a union all"</f>
        <v>SELECT (SELECT 'sysInitialState.Type' ColumnName from sysInitialState where Type is null and exists (select from sysInitialState) limit 1) a union all</v>
      </c>
      <c r="AP210" t="e">
        <f t="shared" si="23"/>
        <v>#NAME?</v>
      </c>
    </row>
    <row r="211" spans="1:42">
      <c r="A211">
        <v>19930</v>
      </c>
      <c r="B211" t="s">
        <v>1475</v>
      </c>
      <c r="C211" s="3" t="str">
        <f t="shared" si="20"/>
        <v>sysInitialState.Value</v>
      </c>
      <c r="D211">
        <v>27</v>
      </c>
      <c r="E211" s="3" t="str">
        <f t="shared" si="21"/>
        <v>sysInitialState</v>
      </c>
      <c r="F211" s="7" t="s">
        <v>1971</v>
      </c>
      <c r="G211" t="s">
        <v>1971</v>
      </c>
      <c r="H211" s="3" t="str">
        <f t="shared" si="22"/>
        <v>System.InitialState</v>
      </c>
      <c r="K211" t="s">
        <v>1971</v>
      </c>
      <c r="M211" t="s">
        <v>196</v>
      </c>
      <c r="Q211" t="s">
        <v>92</v>
      </c>
      <c r="U211" t="s">
        <v>93</v>
      </c>
      <c r="AC211" s="7"/>
      <c r="AD211" s="15"/>
      <c r="AE211" s="7"/>
      <c r="AK211" t="str">
        <f>"SELECT (SELECT '"&amp;C211&amp;"' ColumnName from "&amp;E211&amp;" where "&amp;F211&amp;" is null and exists (select from "&amp;E211&amp;") limit 1) a union all"</f>
        <v>SELECT (SELECT 'sysInitialState.Value' ColumnName from sysInitialState where Value is null and exists (select from sysInitialState) limit 1) a union all</v>
      </c>
      <c r="AP211" t="e">
        <f t="shared" si="23"/>
        <v>#NAME?</v>
      </c>
    </row>
    <row r="212" spans="1:42">
      <c r="A212">
        <v>19970</v>
      </c>
      <c r="B212" t="s">
        <v>1475</v>
      </c>
      <c r="C212" s="3" t="str">
        <f t="shared" si="20"/>
        <v>sysLogic.ActionType</v>
      </c>
      <c r="D212" s="7">
        <v>30</v>
      </c>
      <c r="E212" s="3" t="str">
        <f t="shared" si="21"/>
        <v>sysLogic</v>
      </c>
      <c r="F212" s="7" t="s">
        <v>1118</v>
      </c>
      <c r="G212" t="s">
        <v>1118</v>
      </c>
      <c r="H212" s="3" t="str">
        <f t="shared" si="22"/>
        <v>System.Logic</v>
      </c>
      <c r="K212" s="7" t="s">
        <v>1978</v>
      </c>
      <c r="M212" t="s">
        <v>1073</v>
      </c>
      <c r="O212" s="7"/>
      <c r="Q212" t="s">
        <v>92</v>
      </c>
      <c r="U212" s="7" t="s">
        <v>93</v>
      </c>
      <c r="AC212" s="7"/>
      <c r="AD212" s="15"/>
      <c r="AE212" s="7"/>
      <c r="AJ212" t="str">
        <f>"SELECT (SELECT '"&amp;C212&amp;"' ColumnName from "&amp;E212&amp;" where "&amp;F212&amp;" is null and exists (select from "&amp;E212&amp;") limit 1) ColumnName union all"</f>
        <v>SELECT (SELECT 'sysLogic.ActionType' ColumnName from sysLogic where ActionType is null and exists (select from sysLogic) limit 1) ColumnName union all</v>
      </c>
      <c r="AL212" t="str">
        <f>"ALTER TABLE "&amp;E212&amp;" ALTER COLUMN "&amp;F212&amp;" DROP NOT NULL"</f>
        <v>ALTER TABLE sysLogic ALTER COLUMN ActionType DROP NOT NULL</v>
      </c>
      <c r="AP212" t="e">
        <f t="shared" si="23"/>
        <v>#NAME?</v>
      </c>
    </row>
    <row r="213" spans="1:42">
      <c r="A213">
        <v>19980</v>
      </c>
      <c r="B213" t="s">
        <v>1475</v>
      </c>
      <c r="C213" s="3" t="str">
        <f t="shared" si="20"/>
        <v>sysLogic.Code</v>
      </c>
      <c r="D213" s="7">
        <v>30</v>
      </c>
      <c r="E213" s="3" t="str">
        <f t="shared" si="21"/>
        <v>sysLogic</v>
      </c>
      <c r="F213" s="7" t="s">
        <v>1979</v>
      </c>
      <c r="G213" t="s">
        <v>1979</v>
      </c>
      <c r="H213" s="3" t="str">
        <f t="shared" si="22"/>
        <v>System.Logic</v>
      </c>
      <c r="K213" s="7" t="s">
        <v>1979</v>
      </c>
      <c r="M213" t="s">
        <v>196</v>
      </c>
      <c r="N213" s="7"/>
      <c r="O213" s="7"/>
      <c r="Q213" t="s">
        <v>92</v>
      </c>
      <c r="U213" s="7" t="s">
        <v>93</v>
      </c>
      <c r="AC213" s="7"/>
      <c r="AD213" s="15"/>
      <c r="AE213" s="7"/>
      <c r="AJ213" t="str">
        <f>"SELECT (SELECT '"&amp;C213&amp;"' ColumnName from "&amp;E213&amp;" where "&amp;F213&amp;" is null and exists (select from "&amp;E213&amp;") limit 1) ColumnName union all"</f>
        <v>SELECT (SELECT 'sysLogic.Code' ColumnName from sysLogic where Code is null and exists (select from sysLogic) limit 1) ColumnName union all</v>
      </c>
      <c r="AL213" t="str">
        <f>"ALTER TABLE "&amp;E213&amp;" ALTER COLUMN "&amp;F213&amp;" DROP NOT NULL"</f>
        <v>ALTER TABLE sysLogic ALTER COLUMN Code DROP NOT NULL</v>
      </c>
      <c r="AP213" t="e">
        <f t="shared" si="23"/>
        <v>#NAME?</v>
      </c>
    </row>
    <row r="214" spans="1:42">
      <c r="A214">
        <v>19960</v>
      </c>
      <c r="B214" t="s">
        <v>1475</v>
      </c>
      <c r="C214" s="3" t="str">
        <f t="shared" si="20"/>
        <v>sysLogic.Id</v>
      </c>
      <c r="D214" s="7">
        <v>30</v>
      </c>
      <c r="E214" s="3" t="str">
        <f t="shared" si="21"/>
        <v>sysLogic</v>
      </c>
      <c r="F214" t="s">
        <v>1539</v>
      </c>
      <c r="G214" s="3" t="s">
        <v>6799</v>
      </c>
      <c r="H214" s="3" t="str">
        <f t="shared" si="22"/>
        <v>System.Logic</v>
      </c>
      <c r="K214" s="7" t="s">
        <v>0</v>
      </c>
      <c r="M214" t="s">
        <v>6007</v>
      </c>
      <c r="N214" s="7"/>
      <c r="O214" s="7"/>
      <c r="Q214" t="s">
        <v>919</v>
      </c>
      <c r="U214" s="7" t="s">
        <v>95</v>
      </c>
      <c r="V214" s="7"/>
      <c r="W214" s="7"/>
      <c r="X214" s="7"/>
      <c r="Z214" s="7"/>
      <c r="AC214" s="7"/>
      <c r="AD214" s="15"/>
      <c r="AE214" s="7"/>
      <c r="AJ214" t="str">
        <f>"SELECT (SELECT '"&amp;C214&amp;"' ColumnName from "&amp;E214&amp;" where "&amp;F214&amp;" is null and exists (select from "&amp;E214&amp;") limit 1) ColumnName union all"</f>
        <v>SELECT (SELECT 'sysLogic.Id' ColumnName from sysLogic where Id is null and exists (select from sysLogic) limit 1) ColumnName union all</v>
      </c>
      <c r="AL214" t="str">
        <f>"ALTER TABLE "&amp;E214&amp;" ALTER COLUMN "&amp;F214&amp;" DROP NOT NULL"</f>
        <v>ALTER TABLE sysLogic ALTER COLUMN Id DROP NOT NULL</v>
      </c>
      <c r="AP214" t="e">
        <f t="shared" si="23"/>
        <v>#NAME?</v>
      </c>
    </row>
    <row r="215" spans="1:42">
      <c r="A215">
        <v>19990</v>
      </c>
      <c r="B215" t="s">
        <v>1475</v>
      </c>
      <c r="C215" s="3" t="str">
        <f t="shared" si="20"/>
        <v>sysLogic.Name</v>
      </c>
      <c r="D215" s="7">
        <v>30</v>
      </c>
      <c r="E215" s="3" t="str">
        <f t="shared" si="21"/>
        <v>sysLogic</v>
      </c>
      <c r="F215" s="7" t="s">
        <v>22</v>
      </c>
      <c r="G215" s="3" t="s">
        <v>6971</v>
      </c>
      <c r="H215" s="3" t="str">
        <f t="shared" si="22"/>
        <v>System.Logic</v>
      </c>
      <c r="K215" s="7" t="s">
        <v>22</v>
      </c>
      <c r="M215" t="s">
        <v>1073</v>
      </c>
      <c r="O215" s="7"/>
      <c r="Q215" t="s">
        <v>92</v>
      </c>
      <c r="U215" s="7" t="s">
        <v>93</v>
      </c>
      <c r="V215" s="7"/>
      <c r="W215" s="7"/>
      <c r="X215" s="7"/>
      <c r="Z215" s="7"/>
      <c r="AC215" s="7"/>
      <c r="AD215" s="15"/>
      <c r="AE215" s="7"/>
      <c r="AH215" t="s">
        <v>92</v>
      </c>
      <c r="AK215" t="str">
        <f>"SELECT (SELECT '"&amp;C215&amp;"' ColumnName from "&amp;E215&amp;" where "&amp;F215&amp;" is null and exists (select from "&amp;E215&amp;") limit 1) a union all"</f>
        <v>SELECT (SELECT 'sysLogic.Name' ColumnName from sysLogic where Name is null and exists (select from sysLogic) limit 1) a union all</v>
      </c>
      <c r="AP215" t="e">
        <f t="shared" si="23"/>
        <v>#NAME?</v>
      </c>
    </row>
    <row r="216" spans="1:42">
      <c r="A216">
        <v>20000</v>
      </c>
      <c r="B216" t="s">
        <v>1475</v>
      </c>
      <c r="C216" s="3" t="str">
        <f t="shared" si="20"/>
        <v>sysLogic.RowStatus</v>
      </c>
      <c r="D216" s="7">
        <v>30</v>
      </c>
      <c r="E216" s="3" t="str">
        <f t="shared" si="21"/>
        <v>sysLogic</v>
      </c>
      <c r="F216" t="s">
        <v>1445</v>
      </c>
      <c r="G216" s="3" t="s">
        <v>6411</v>
      </c>
      <c r="H216" s="3" t="str">
        <f t="shared" si="22"/>
        <v>System.Logic</v>
      </c>
      <c r="K216" s="3" t="s">
        <v>2471</v>
      </c>
      <c r="M216" t="s">
        <v>976</v>
      </c>
      <c r="N216">
        <v>1</v>
      </c>
      <c r="O216" s="7"/>
      <c r="Q216" t="s">
        <v>919</v>
      </c>
      <c r="U216" s="7" t="s">
        <v>94</v>
      </c>
      <c r="V216" s="7"/>
      <c r="W216" s="7"/>
      <c r="X216" s="7"/>
      <c r="Z216" s="7"/>
      <c r="AC216" s="7"/>
      <c r="AD216" s="15"/>
      <c r="AE216" s="7"/>
      <c r="AK216" t="str">
        <f>"SELECT (SELECT '"&amp;C216&amp;"' ColumnName from "&amp;E216&amp;" where "&amp;F216&amp;" is null and exists (select from "&amp;E216&amp;") limit 1) a union all"</f>
        <v>SELECT (SELECT 'sysLogic.RowStatus' ColumnName from sysLogic where RowStatus is null and exists (select from sysLogic) limit 1) a union all</v>
      </c>
      <c r="AP216" t="e">
        <f t="shared" si="23"/>
        <v>#NAME?</v>
      </c>
    </row>
    <row r="217" spans="1:42">
      <c r="A217">
        <v>20010</v>
      </c>
      <c r="B217" t="s">
        <v>1475</v>
      </c>
      <c r="C217" s="3" t="str">
        <f t="shared" si="20"/>
        <v>sysLogic.sysChangeHistoryID</v>
      </c>
      <c r="D217" s="7">
        <v>30</v>
      </c>
      <c r="E217" s="3" t="str">
        <f t="shared" si="21"/>
        <v>sysLogic</v>
      </c>
      <c r="F217" t="s">
        <v>2497</v>
      </c>
      <c r="G217" s="3" t="s">
        <v>6403</v>
      </c>
      <c r="H217" s="3" t="str">
        <f t="shared" si="22"/>
        <v>System.Logic</v>
      </c>
      <c r="K217" t="s">
        <v>1210</v>
      </c>
      <c r="M217" t="s">
        <v>6007</v>
      </c>
      <c r="N217" s="7"/>
      <c r="O217" s="7"/>
      <c r="P217" s="7"/>
      <c r="Q217" t="s">
        <v>919</v>
      </c>
      <c r="R217" s="7"/>
      <c r="S217" s="7"/>
      <c r="T217" s="8"/>
      <c r="U217" t="s">
        <v>1429</v>
      </c>
      <c r="AK217" t="str">
        <f>"SELECT (SELECT '"&amp;C217&amp;"' ColumnName from "&amp;E217&amp;" where "&amp;F217&amp;" is null and exists (select from "&amp;E217&amp;") limit 1) a union all"</f>
        <v>SELECT (SELECT 'sysLogic.sysChangeHistoryID' ColumnName from sysLogic where sysChangeHistoryID is null and exists (select from sysLogic) limit 1) a union all</v>
      </c>
      <c r="AP217" t="e">
        <f t="shared" si="23"/>
        <v>#NAME?</v>
      </c>
    </row>
    <row r="218" spans="1:42">
      <c r="A218" s="7">
        <v>20110</v>
      </c>
      <c r="B218" t="s">
        <v>1475</v>
      </c>
      <c r="C218" s="3" t="str">
        <f t="shared" si="20"/>
        <v>sysModule.ActiveNavigationItem</v>
      </c>
      <c r="D218">
        <v>31</v>
      </c>
      <c r="E218" s="3" t="str">
        <f t="shared" si="21"/>
        <v>sysModule</v>
      </c>
      <c r="F218" t="s">
        <v>2056</v>
      </c>
      <c r="G218" s="3" t="s">
        <v>6806</v>
      </c>
      <c r="H218" s="3" t="str">
        <f t="shared" si="22"/>
        <v>System.Module</v>
      </c>
      <c r="J218" t="s">
        <v>2056</v>
      </c>
      <c r="K218" t="s">
        <v>2057</v>
      </c>
      <c r="M218" t="s">
        <v>1073</v>
      </c>
      <c r="Q218" t="s">
        <v>92</v>
      </c>
      <c r="U218" t="s">
        <v>93</v>
      </c>
      <c r="AC218" s="7"/>
      <c r="AD218" s="15"/>
      <c r="AE218" s="7"/>
      <c r="AJ218" t="str">
        <f>"SELECT (SELECT '"&amp;C218&amp;"' ColumnName from "&amp;E218&amp;" where "&amp;F218&amp;" is null and exists (select from "&amp;E218&amp;") limit 1) ColumnName union all"</f>
        <v>SELECT (SELECT 'sysModule.ActiveNavigationItem' ColumnName from sysModule where ActiveNavigationItem is null and exists (select from sysModule) limit 1) ColumnName union all</v>
      </c>
      <c r="AL218" t="str">
        <f>"ALTER TABLE "&amp;E218&amp;" ALTER COLUMN "&amp;F218&amp;" DROP NOT NULL"</f>
        <v>ALTER TABLE sysModule ALTER COLUMN ActiveNavigationItem DROP NOT NULL</v>
      </c>
      <c r="AP218" t="e">
        <f t="shared" si="23"/>
        <v>#NAME?</v>
      </c>
    </row>
    <row r="219" spans="1:42">
      <c r="A219">
        <v>20120</v>
      </c>
      <c r="B219" t="s">
        <v>1475</v>
      </c>
      <c r="C219" s="3" t="str">
        <f t="shared" si="20"/>
        <v>sysModule.Base</v>
      </c>
      <c r="D219" s="7">
        <v>31</v>
      </c>
      <c r="E219" s="3" t="str">
        <f t="shared" si="21"/>
        <v>sysModule</v>
      </c>
      <c r="F219" s="7" t="s">
        <v>1932</v>
      </c>
      <c r="G219" t="s">
        <v>1932</v>
      </c>
      <c r="H219" s="3" t="str">
        <f t="shared" si="22"/>
        <v>System.Module</v>
      </c>
      <c r="K219" s="7" t="s">
        <v>1932</v>
      </c>
      <c r="M219" t="s">
        <v>1073</v>
      </c>
      <c r="O219" s="7"/>
      <c r="Q219" t="s">
        <v>92</v>
      </c>
      <c r="U219" s="7" t="s">
        <v>93</v>
      </c>
      <c r="AC219" s="7"/>
      <c r="AD219" s="15"/>
      <c r="AE219" s="7"/>
      <c r="AJ219" t="str">
        <f>"SELECT (SELECT '"&amp;C219&amp;"' ColumnName from "&amp;E219&amp;" where "&amp;F219&amp;" is null and exists (select from "&amp;E219&amp;") limit 1) ColumnName union all"</f>
        <v>SELECT (SELECT 'sysModule.Base' ColumnName from sysModule where Base is null and exists (select from sysModule) limit 1) ColumnName union all</v>
      </c>
      <c r="AL219" t="str">
        <f>"ALTER TABLE "&amp;E219&amp;" ALTER COLUMN "&amp;F219&amp;" DROP NOT NULL"</f>
        <v>ALTER TABLE sysModule ALTER COLUMN Base DROP NOT NULL</v>
      </c>
      <c r="AP219" t="e">
        <f t="shared" si="23"/>
        <v>#NAME?</v>
      </c>
    </row>
    <row r="220" spans="1:42">
      <c r="A220">
        <v>20130</v>
      </c>
      <c r="B220" t="s">
        <v>1475</v>
      </c>
      <c r="C220" s="3" t="str">
        <f t="shared" si="20"/>
        <v>sysModule.Caption</v>
      </c>
      <c r="D220" s="7">
        <v>31</v>
      </c>
      <c r="E220" s="3" t="str">
        <f t="shared" si="21"/>
        <v>sysModule</v>
      </c>
      <c r="F220" s="7" t="s">
        <v>1129</v>
      </c>
      <c r="G220" t="s">
        <v>1129</v>
      </c>
      <c r="H220" s="3" t="str">
        <f t="shared" si="22"/>
        <v>System.Module</v>
      </c>
      <c r="K220" s="7" t="s">
        <v>1129</v>
      </c>
      <c r="M220" t="s">
        <v>1073</v>
      </c>
      <c r="O220" s="7"/>
      <c r="Q220" t="s">
        <v>92</v>
      </c>
      <c r="U220" s="7" t="s">
        <v>93</v>
      </c>
      <c r="AC220" s="7"/>
      <c r="AD220" s="15"/>
      <c r="AE220" s="7"/>
      <c r="AJ220" t="str">
        <f>"SELECT (SELECT '"&amp;C220&amp;"' ColumnName from "&amp;E220&amp;" where "&amp;F220&amp;" is null and exists (select from "&amp;E220&amp;") limit 1) ColumnName union all"</f>
        <v>SELECT (SELECT 'sysModule.Caption' ColumnName from sysModule where Caption is null and exists (select from sysModule) limit 1) ColumnName union all</v>
      </c>
      <c r="AL220" t="str">
        <f>"ALTER TABLE "&amp;E220&amp;" ALTER COLUMN "&amp;F220&amp;" DROP NOT NULL"</f>
        <v>ALTER TABLE sysModule ALTER COLUMN Caption DROP NOT NULL</v>
      </c>
      <c r="AP220" t="e">
        <f t="shared" si="23"/>
        <v>#NAME?</v>
      </c>
    </row>
    <row r="221" spans="1:42">
      <c r="A221">
        <v>20140</v>
      </c>
      <c r="B221" t="s">
        <v>1475</v>
      </c>
      <c r="C221" s="3" t="str">
        <f t="shared" si="20"/>
        <v>sysModule.Command</v>
      </c>
      <c r="D221" s="7">
        <v>31</v>
      </c>
      <c r="E221" s="3" t="str">
        <f t="shared" si="21"/>
        <v>sysModule</v>
      </c>
      <c r="F221" s="7" t="s">
        <v>35</v>
      </c>
      <c r="G221" t="s">
        <v>35</v>
      </c>
      <c r="H221" s="3" t="str">
        <f t="shared" si="22"/>
        <v>System.Module</v>
      </c>
      <c r="K221" s="7" t="s">
        <v>35</v>
      </c>
      <c r="M221" t="s">
        <v>1073</v>
      </c>
      <c r="O221" s="7"/>
      <c r="Q221" t="s">
        <v>92</v>
      </c>
      <c r="U221" s="7" t="s">
        <v>93</v>
      </c>
      <c r="AC221" s="7"/>
      <c r="AD221" s="15"/>
      <c r="AE221" s="7"/>
      <c r="AK221" t="str">
        <f t="shared" ref="AK221:AK235" si="24">"SELECT (SELECT '"&amp;C221&amp;"' ColumnName from "&amp;E221&amp;" where "&amp;F221&amp;" is null and exists (select from "&amp;E221&amp;") limit 1) a union all"</f>
        <v>SELECT (SELECT 'sysModule.Command' ColumnName from sysModule where Command is null and exists (select from sysModule) limit 1) a union all</v>
      </c>
      <c r="AP221" t="e">
        <f t="shared" si="23"/>
        <v>#NAME?</v>
      </c>
    </row>
    <row r="222" spans="1:42">
      <c r="A222">
        <v>20090</v>
      </c>
      <c r="B222" t="s">
        <v>1475</v>
      </c>
      <c r="C222" s="3" t="str">
        <f t="shared" si="20"/>
        <v>sysModule.ID</v>
      </c>
      <c r="D222" s="7">
        <v>31</v>
      </c>
      <c r="E222" s="3" t="str">
        <f t="shared" si="21"/>
        <v>sysModule</v>
      </c>
      <c r="F222" t="s">
        <v>0</v>
      </c>
      <c r="G222" s="3" t="s">
        <v>6805</v>
      </c>
      <c r="H222" s="3" t="str">
        <f t="shared" si="22"/>
        <v>System.Module</v>
      </c>
      <c r="K222" s="7" t="s">
        <v>0</v>
      </c>
      <c r="M222" t="s">
        <v>6007</v>
      </c>
      <c r="N222" s="7"/>
      <c r="O222" s="7"/>
      <c r="Q222" t="s">
        <v>919</v>
      </c>
      <c r="U222" s="7" t="s">
        <v>95</v>
      </c>
      <c r="V222" s="7"/>
      <c r="W222" s="3"/>
      <c r="X222" s="7"/>
      <c r="Z222" s="7"/>
      <c r="AC222" s="7"/>
      <c r="AD222" s="15"/>
      <c r="AE222" s="7"/>
      <c r="AK222" t="str">
        <f t="shared" si="24"/>
        <v>SELECT (SELECT 'sysModule.ID' ColumnName from sysModule where ID is null and exists (select from sysModule) limit 1) a union all</v>
      </c>
      <c r="AP222" t="e">
        <f t="shared" si="23"/>
        <v>#NAME?</v>
      </c>
    </row>
    <row r="223" spans="1:42">
      <c r="A223">
        <v>20150</v>
      </c>
      <c r="B223" t="s">
        <v>1475</v>
      </c>
      <c r="C223" s="3" t="str">
        <f t="shared" si="20"/>
        <v>sysModule.IsDirect</v>
      </c>
      <c r="D223" s="7">
        <v>31</v>
      </c>
      <c r="E223" s="3" t="str">
        <f t="shared" si="21"/>
        <v>sysModule</v>
      </c>
      <c r="F223" s="7" t="s">
        <v>2393</v>
      </c>
      <c r="G223" s="3" t="s">
        <v>6807</v>
      </c>
      <c r="H223" s="3" t="str">
        <f t="shared" si="22"/>
        <v>System.Module</v>
      </c>
      <c r="K223" s="7" t="s">
        <v>1931</v>
      </c>
      <c r="M223" s="3" t="s">
        <v>2402</v>
      </c>
      <c r="N223" s="7"/>
      <c r="O223" s="7"/>
      <c r="Q223" t="s">
        <v>92</v>
      </c>
      <c r="U223" s="7" t="s">
        <v>93</v>
      </c>
      <c r="AC223" s="7"/>
      <c r="AD223" s="15"/>
      <c r="AE223" s="7"/>
      <c r="AK223" t="str">
        <f t="shared" si="24"/>
        <v>SELECT (SELECT 'sysModule.IsDirect' ColumnName from sysModule where IsDirect is null and exists (select from sysModule) limit 1) a union all</v>
      </c>
      <c r="AP223" t="e">
        <f t="shared" si="23"/>
        <v>#NAME?</v>
      </c>
    </row>
    <row r="224" spans="1:42">
      <c r="A224">
        <v>20160</v>
      </c>
      <c r="B224" t="s">
        <v>1475</v>
      </c>
      <c r="C224" s="3" t="str">
        <f t="shared" si="20"/>
        <v>sysModule.IsHierarchical</v>
      </c>
      <c r="D224" s="7">
        <v>31</v>
      </c>
      <c r="E224" s="3" t="str">
        <f t="shared" si="21"/>
        <v>sysModule</v>
      </c>
      <c r="F224" s="7" t="s">
        <v>1929</v>
      </c>
      <c r="G224" t="s">
        <v>1929</v>
      </c>
      <c r="H224" s="3" t="str">
        <f t="shared" si="22"/>
        <v>System.Module</v>
      </c>
      <c r="K224" s="7" t="s">
        <v>1930</v>
      </c>
      <c r="M224" s="3" t="s">
        <v>2402</v>
      </c>
      <c r="N224" s="7"/>
      <c r="O224" s="7"/>
      <c r="Q224" t="s">
        <v>92</v>
      </c>
      <c r="U224" s="7" t="s">
        <v>93</v>
      </c>
      <c r="V224" s="7"/>
      <c r="W224" s="7"/>
      <c r="X224" s="7"/>
      <c r="Z224" s="7"/>
      <c r="AC224" s="7"/>
      <c r="AD224" s="15"/>
      <c r="AE224" s="7"/>
      <c r="AK224" t="str">
        <f t="shared" si="24"/>
        <v>SELECT (SELECT 'sysModule.IsHierarchical' ColumnName from sysModule where IsHierarchical is null and exists (select from sysModule) limit 1) a union all</v>
      </c>
      <c r="AP224" t="e">
        <f t="shared" si="23"/>
        <v>#NAME?</v>
      </c>
    </row>
    <row r="225" spans="1:42">
      <c r="A225">
        <v>20170</v>
      </c>
      <c r="B225" t="s">
        <v>1475</v>
      </c>
      <c r="C225" s="3" t="str">
        <f t="shared" si="20"/>
        <v>sysModule.IsTemporal</v>
      </c>
      <c r="D225" s="7">
        <v>31</v>
      </c>
      <c r="E225" s="3" t="str">
        <f t="shared" si="21"/>
        <v>sysModule</v>
      </c>
      <c r="F225" s="7" t="s">
        <v>1927</v>
      </c>
      <c r="G225" t="s">
        <v>1927</v>
      </c>
      <c r="H225" s="3" t="str">
        <f t="shared" si="22"/>
        <v>System.Module</v>
      </c>
      <c r="K225" s="7" t="s">
        <v>1928</v>
      </c>
      <c r="M225" s="3" t="s">
        <v>2402</v>
      </c>
      <c r="N225" s="7"/>
      <c r="O225" s="7"/>
      <c r="Q225" t="s">
        <v>92</v>
      </c>
      <c r="U225" s="7" t="s">
        <v>93</v>
      </c>
      <c r="V225" s="7"/>
      <c r="W225" s="7"/>
      <c r="X225" s="7"/>
      <c r="Z225" s="7"/>
      <c r="AC225" s="7"/>
      <c r="AD225" s="15"/>
      <c r="AE225" s="7"/>
      <c r="AK225" t="str">
        <f t="shared" si="24"/>
        <v>SELECT (SELECT 'sysModule.IsTemporal' ColumnName from sysModule where IsTemporal is null and exists (select from sysModule) limit 1) a union all</v>
      </c>
      <c r="AP225" t="e">
        <f t="shared" si="23"/>
        <v>#NAME?</v>
      </c>
    </row>
    <row r="226" spans="1:42">
      <c r="A226">
        <v>20180</v>
      </c>
      <c r="B226" t="s">
        <v>1475</v>
      </c>
      <c r="C226" s="3" t="str">
        <f t="shared" si="20"/>
        <v>sysModule.Name</v>
      </c>
      <c r="D226" s="7">
        <v>31</v>
      </c>
      <c r="E226" s="3" t="str">
        <f t="shared" si="21"/>
        <v>sysModule</v>
      </c>
      <c r="F226" s="7" t="s">
        <v>22</v>
      </c>
      <c r="G226" s="3" t="s">
        <v>6973</v>
      </c>
      <c r="H226" s="3" t="str">
        <f t="shared" si="22"/>
        <v>System.Module</v>
      </c>
      <c r="K226" s="7" t="s">
        <v>22</v>
      </c>
      <c r="M226" s="7" t="s">
        <v>1073</v>
      </c>
      <c r="O226" s="7"/>
      <c r="Q226" t="s">
        <v>92</v>
      </c>
      <c r="U226" s="7" t="s">
        <v>93</v>
      </c>
      <c r="V226" s="7"/>
      <c r="W226" s="7"/>
      <c r="X226" s="7"/>
      <c r="Z226" s="7"/>
      <c r="AC226" s="7"/>
      <c r="AD226" s="15"/>
      <c r="AE226" s="7"/>
      <c r="AH226" t="s">
        <v>92</v>
      </c>
      <c r="AK226" t="str">
        <f t="shared" si="24"/>
        <v>SELECT (SELECT 'sysModule.Name' ColumnName from sysModule where Name is null and exists (select from sysModule) limit 1) a union all</v>
      </c>
      <c r="AP226" t="e">
        <f t="shared" si="23"/>
        <v>#NAME?</v>
      </c>
    </row>
    <row r="227" spans="1:42">
      <c r="A227">
        <v>20190</v>
      </c>
      <c r="B227" t="s">
        <v>1475</v>
      </c>
      <c r="C227" s="3" t="str">
        <f t="shared" si="20"/>
        <v>sysModule.NavigationMenu</v>
      </c>
      <c r="D227">
        <v>31</v>
      </c>
      <c r="E227" s="3" t="str">
        <f t="shared" si="21"/>
        <v>sysModule</v>
      </c>
      <c r="F227" s="7" t="s">
        <v>2003</v>
      </c>
      <c r="G227" t="s">
        <v>2003</v>
      </c>
      <c r="H227" s="3" t="str">
        <f t="shared" si="22"/>
        <v>System.Module</v>
      </c>
      <c r="K227" t="s">
        <v>2004</v>
      </c>
      <c r="M227" t="s">
        <v>1073</v>
      </c>
      <c r="Q227" t="s">
        <v>92</v>
      </c>
      <c r="U227" t="s">
        <v>93</v>
      </c>
      <c r="V227" s="7"/>
      <c r="W227" s="7"/>
      <c r="X227" s="7"/>
      <c r="Z227" s="7"/>
      <c r="AC227" s="7"/>
      <c r="AD227" s="15"/>
      <c r="AE227" s="7"/>
      <c r="AK227" t="str">
        <f t="shared" si="24"/>
        <v>SELECT (SELECT 'sysModule.NavigationMenu' ColumnName from sysModule where NavigationMenu is null and exists (select from sysModule) limit 1) a union all</v>
      </c>
      <c r="AP227" t="e">
        <f t="shared" si="23"/>
        <v>#NAME?</v>
      </c>
    </row>
    <row r="228" spans="1:42">
      <c r="A228">
        <v>20200</v>
      </c>
      <c r="B228" t="s">
        <v>1475</v>
      </c>
      <c r="C228" s="3" t="str">
        <f t="shared" si="20"/>
        <v>sysModule.PluralName</v>
      </c>
      <c r="D228" s="7">
        <v>31</v>
      </c>
      <c r="E228" s="3" t="str">
        <f t="shared" si="21"/>
        <v>sysModule</v>
      </c>
      <c r="F228" s="7" t="s">
        <v>463</v>
      </c>
      <c r="G228" s="3" t="s">
        <v>6974</v>
      </c>
      <c r="H228" s="3" t="str">
        <f t="shared" si="22"/>
        <v>System.Module</v>
      </c>
      <c r="K228" s="7" t="s">
        <v>1921</v>
      </c>
      <c r="M228" t="s">
        <v>1073</v>
      </c>
      <c r="O228" s="7"/>
      <c r="Q228" t="s">
        <v>92</v>
      </c>
      <c r="U228" s="7" t="s">
        <v>93</v>
      </c>
      <c r="V228" s="7"/>
      <c r="W228" s="7"/>
      <c r="X228" s="7"/>
      <c r="Z228" s="7"/>
      <c r="AC228" s="7"/>
      <c r="AD228" s="15"/>
      <c r="AE228" s="7"/>
      <c r="AK228" t="str">
        <f t="shared" si="24"/>
        <v>SELECT (SELECT 'sysModule.PluralName' ColumnName from sysModule where PluralName is null and exists (select from sysModule) limit 1) a union all</v>
      </c>
      <c r="AP228" t="e">
        <f t="shared" si="23"/>
        <v>#NAME?</v>
      </c>
    </row>
    <row r="229" spans="1:42">
      <c r="A229">
        <v>20210</v>
      </c>
      <c r="B229" t="s">
        <v>1475</v>
      </c>
      <c r="C229" s="3" t="str">
        <f t="shared" si="20"/>
        <v>sysModule.ReferenceName</v>
      </c>
      <c r="D229" s="7">
        <v>31</v>
      </c>
      <c r="E229" s="3" t="str">
        <f t="shared" si="21"/>
        <v>sysModule</v>
      </c>
      <c r="F229" s="7" t="s">
        <v>1924</v>
      </c>
      <c r="G229" s="3" t="s">
        <v>6975</v>
      </c>
      <c r="H229" s="3" t="str">
        <f t="shared" si="22"/>
        <v>System.Module</v>
      </c>
      <c r="K229" s="7" t="s">
        <v>1925</v>
      </c>
      <c r="M229" t="s">
        <v>1073</v>
      </c>
      <c r="O229" s="7"/>
      <c r="Q229" t="s">
        <v>92</v>
      </c>
      <c r="U229" s="7" t="s">
        <v>93</v>
      </c>
      <c r="V229" s="7"/>
      <c r="W229" s="7"/>
      <c r="X229" s="7"/>
      <c r="Z229" s="7"/>
      <c r="AC229" s="7"/>
      <c r="AD229" s="15"/>
      <c r="AE229" s="7"/>
      <c r="AK229" t="str">
        <f t="shared" si="24"/>
        <v>SELECT (SELECT 'sysModule.ReferenceName' ColumnName from sysModule where ReferenceName is null and exists (select from sysModule) limit 1) a union all</v>
      </c>
      <c r="AP229" t="e">
        <f t="shared" si="23"/>
        <v>#NAME?</v>
      </c>
    </row>
    <row r="230" spans="1:42">
      <c r="A230">
        <v>20220</v>
      </c>
      <c r="B230" t="s">
        <v>1475</v>
      </c>
      <c r="C230" s="3" t="str">
        <f t="shared" si="20"/>
        <v>sysModule.RenderName</v>
      </c>
      <c r="D230" s="7">
        <v>31</v>
      </c>
      <c r="E230" s="3" t="str">
        <f t="shared" si="21"/>
        <v>sysModule</v>
      </c>
      <c r="F230" s="7" t="s">
        <v>1922</v>
      </c>
      <c r="G230" s="3" t="s">
        <v>6976</v>
      </c>
      <c r="H230" s="3" t="str">
        <f t="shared" si="22"/>
        <v>System.Module</v>
      </c>
      <c r="K230" s="7" t="s">
        <v>1923</v>
      </c>
      <c r="M230" t="s">
        <v>1073</v>
      </c>
      <c r="O230" s="7"/>
      <c r="Q230" t="s">
        <v>92</v>
      </c>
      <c r="U230" s="7" t="s">
        <v>93</v>
      </c>
      <c r="AC230" s="7"/>
      <c r="AD230" s="15"/>
      <c r="AE230" s="7"/>
      <c r="AK230" t="str">
        <f t="shared" si="24"/>
        <v>SELECT (SELECT 'sysModule.RenderName' ColumnName from sysModule where RenderName is null and exists (select from sysModule) limit 1) a union all</v>
      </c>
      <c r="AP230" t="e">
        <f t="shared" si="23"/>
        <v>#NAME?</v>
      </c>
    </row>
    <row r="231" spans="1:42">
      <c r="A231">
        <v>20250</v>
      </c>
      <c r="B231" t="s">
        <v>1475</v>
      </c>
      <c r="C231" s="3" t="str">
        <f t="shared" si="20"/>
        <v>sysModule.RowStatus</v>
      </c>
      <c r="D231" s="7">
        <v>31</v>
      </c>
      <c r="E231" s="3" t="str">
        <f t="shared" si="21"/>
        <v>sysModule</v>
      </c>
      <c r="F231" t="s">
        <v>1445</v>
      </c>
      <c r="G231" s="3" t="s">
        <v>6411</v>
      </c>
      <c r="H231" s="3" t="str">
        <f t="shared" si="22"/>
        <v>System.Module</v>
      </c>
      <c r="K231" s="3" t="s">
        <v>2471</v>
      </c>
      <c r="M231" t="s">
        <v>976</v>
      </c>
      <c r="N231">
        <v>1</v>
      </c>
      <c r="O231" s="7"/>
      <c r="Q231" t="s">
        <v>919</v>
      </c>
      <c r="U231" s="7" t="s">
        <v>94</v>
      </c>
      <c r="V231" s="7"/>
      <c r="W231" s="7"/>
      <c r="X231" s="7"/>
      <c r="Z231" s="7"/>
      <c r="AC231" s="7"/>
      <c r="AD231" s="15"/>
      <c r="AE231" s="7"/>
      <c r="AK231" t="str">
        <f t="shared" si="24"/>
        <v>SELECT (SELECT 'sysModule.RowStatus' ColumnName from sysModule where RowStatus is null and exists (select from sysModule) limit 1) a union all</v>
      </c>
      <c r="AP231" t="e">
        <f t="shared" si="23"/>
        <v>#NAME?</v>
      </c>
    </row>
    <row r="232" spans="1:42">
      <c r="A232">
        <v>20230</v>
      </c>
      <c r="B232" t="s">
        <v>1475</v>
      </c>
      <c r="C232" s="3" t="str">
        <f t="shared" si="20"/>
        <v>sysModule.SingularName</v>
      </c>
      <c r="D232" s="7">
        <v>31</v>
      </c>
      <c r="E232" s="3" t="str">
        <f t="shared" si="21"/>
        <v>sysModule</v>
      </c>
      <c r="F232" s="7" t="s">
        <v>333</v>
      </c>
      <c r="G232" s="3" t="s">
        <v>6977</v>
      </c>
      <c r="H232" s="3" t="str">
        <f t="shared" si="22"/>
        <v>System.Module</v>
      </c>
      <c r="K232" s="7" t="s">
        <v>404</v>
      </c>
      <c r="M232" t="s">
        <v>1073</v>
      </c>
      <c r="O232" s="7"/>
      <c r="Q232" t="s">
        <v>92</v>
      </c>
      <c r="U232" s="7" t="s">
        <v>93</v>
      </c>
      <c r="AC232" s="7"/>
      <c r="AD232" s="15"/>
      <c r="AE232" s="7"/>
      <c r="AK232" t="str">
        <f t="shared" si="24"/>
        <v>SELECT (SELECT 'sysModule.SingularName' ColumnName from sysModule where SingularName is null and exists (select from sysModule) limit 1) a union all</v>
      </c>
      <c r="AP232" t="e">
        <f t="shared" si="23"/>
        <v>#NAME?</v>
      </c>
    </row>
    <row r="233" spans="1:42">
      <c r="A233">
        <v>20260</v>
      </c>
      <c r="B233" t="s">
        <v>1475</v>
      </c>
      <c r="C233" s="3" t="str">
        <f t="shared" si="20"/>
        <v>sysModule.sysChangeHistoryID</v>
      </c>
      <c r="D233" s="7">
        <v>31</v>
      </c>
      <c r="E233" s="3" t="str">
        <f t="shared" si="21"/>
        <v>sysModule</v>
      </c>
      <c r="F233" t="s">
        <v>2497</v>
      </c>
      <c r="G233" s="3" t="s">
        <v>6403</v>
      </c>
      <c r="H233" s="3" t="str">
        <f t="shared" si="22"/>
        <v>System.Module</v>
      </c>
      <c r="K233" t="s">
        <v>1210</v>
      </c>
      <c r="M233" t="s">
        <v>6007</v>
      </c>
      <c r="N233" s="7"/>
      <c r="O233" s="7"/>
      <c r="P233" s="7"/>
      <c r="Q233" t="s">
        <v>919</v>
      </c>
      <c r="R233" s="7"/>
      <c r="S233" s="7"/>
      <c r="T233" s="8"/>
      <c r="U233" t="s">
        <v>1429</v>
      </c>
      <c r="AK233" t="str">
        <f t="shared" si="24"/>
        <v>SELECT (SELECT 'sysModule.sysChangeHistoryID' ColumnName from sysModule where sysChangeHistoryID is null and exists (select from sysModule) limit 1) a union all</v>
      </c>
      <c r="AP233" t="e">
        <f t="shared" si="23"/>
        <v>#NAME?</v>
      </c>
    </row>
    <row r="234" spans="1:42">
      <c r="A234">
        <v>20100</v>
      </c>
      <c r="B234" t="s">
        <v>1475</v>
      </c>
      <c r="C234" s="3" t="str">
        <f t="shared" si="20"/>
        <v>sysModule.sysDictionaryTableID</v>
      </c>
      <c r="D234" s="7">
        <v>31</v>
      </c>
      <c r="E234" s="3" t="str">
        <f t="shared" si="21"/>
        <v>sysModule</v>
      </c>
      <c r="F234" t="str">
        <f>VLOOKUP(V234,DictionaryTableID,3,FALSE)&amp;"ID"&amp;X234</f>
        <v>sysDictionaryTableID</v>
      </c>
      <c r="G234" t="s">
        <v>1926</v>
      </c>
      <c r="H234" s="3" t="str">
        <f t="shared" si="22"/>
        <v>System.Module</v>
      </c>
      <c r="K234" t="s">
        <v>902</v>
      </c>
      <c r="M234" t="s">
        <v>6007</v>
      </c>
      <c r="Q234" t="s">
        <v>92</v>
      </c>
      <c r="U234" t="s">
        <v>96</v>
      </c>
      <c r="V234">
        <v>1</v>
      </c>
      <c r="W234" s="3" t="str">
        <f>VLOOKUP(V234,DictionaryTableID,3,FALSE)</f>
        <v>sysDictionaryTable</v>
      </c>
      <c r="AC234" s="7"/>
      <c r="AD234" s="15"/>
      <c r="AE234" s="7"/>
      <c r="AK234" t="str">
        <f t="shared" si="24"/>
        <v>SELECT (SELECT 'sysModule.sysDictionaryTableID' ColumnName from sysModule where sysDictionaryTableID is null and exists (select from sysModule) limit 1) a union all</v>
      </c>
      <c r="AP234" t="e">
        <f t="shared" si="23"/>
        <v>#NAME?</v>
      </c>
    </row>
    <row r="235" spans="1:42">
      <c r="A235">
        <v>20240</v>
      </c>
      <c r="B235" t="s">
        <v>1475</v>
      </c>
      <c r="C235" s="3" t="str">
        <f t="shared" si="20"/>
        <v>sysModule.Title</v>
      </c>
      <c r="D235" s="7">
        <v>31</v>
      </c>
      <c r="E235" s="3" t="str">
        <f t="shared" si="21"/>
        <v>sysModule</v>
      </c>
      <c r="F235" s="7" t="s">
        <v>1138</v>
      </c>
      <c r="G235" t="s">
        <v>1138</v>
      </c>
      <c r="H235" s="3" t="str">
        <f t="shared" si="22"/>
        <v>System.Module</v>
      </c>
      <c r="K235" s="7" t="s">
        <v>1138</v>
      </c>
      <c r="M235" t="s">
        <v>1073</v>
      </c>
      <c r="O235" s="7"/>
      <c r="Q235" t="s">
        <v>92</v>
      </c>
      <c r="U235" s="7" t="s">
        <v>93</v>
      </c>
      <c r="AC235" s="7"/>
      <c r="AD235" s="15"/>
      <c r="AE235" s="7"/>
      <c r="AK235" t="str">
        <f t="shared" si="24"/>
        <v>SELECT (SELECT 'sysModule.Title' ColumnName from sysModule where Title is null and exists (select from sysModule) limit 1) a union all</v>
      </c>
      <c r="AP235" t="e">
        <f t="shared" si="23"/>
        <v>#NAME?</v>
      </c>
    </row>
    <row r="236" spans="1:42">
      <c r="A236">
        <v>20330</v>
      </c>
      <c r="B236" t="s">
        <v>1475</v>
      </c>
      <c r="C236" s="3" t="str">
        <f t="shared" si="20"/>
        <v>sysModuleComponent.Area</v>
      </c>
      <c r="D236" s="7">
        <v>32</v>
      </c>
      <c r="E236" s="3" t="str">
        <f t="shared" si="21"/>
        <v>sysModuleComponent</v>
      </c>
      <c r="F236" s="7" t="s">
        <v>1941</v>
      </c>
      <c r="G236" t="s">
        <v>1941</v>
      </c>
      <c r="H236" s="3" t="str">
        <f t="shared" si="22"/>
        <v>System.ModuleComponent</v>
      </c>
      <c r="K236" s="7" t="s">
        <v>1941</v>
      </c>
      <c r="M236" t="s">
        <v>1073</v>
      </c>
      <c r="O236" s="7"/>
      <c r="Q236" t="s">
        <v>92</v>
      </c>
      <c r="U236" s="7" t="s">
        <v>93</v>
      </c>
      <c r="AC236" s="7"/>
      <c r="AD236" s="15"/>
      <c r="AE236" s="7"/>
      <c r="AJ236" t="str">
        <f>"SELECT (SELECT '"&amp;C236&amp;"' ColumnName from "&amp;E236&amp;" where "&amp;F236&amp;" is null and exists (select from "&amp;E236&amp;") limit 1) ColumnName union all"</f>
        <v>SELECT (SELECT 'sysModuleComponent.Area' ColumnName from sysModuleComponent where Area is null and exists (select from sysModuleComponent) limit 1) ColumnName union all</v>
      </c>
      <c r="AL236" t="str">
        <f>"ALTER TABLE "&amp;E236&amp;" ALTER COLUMN "&amp;F236&amp;" DROP NOT NULL"</f>
        <v>ALTER TABLE sysModuleComponent ALTER COLUMN Area DROP NOT NULL</v>
      </c>
      <c r="AP236" t="e">
        <f t="shared" si="23"/>
        <v>#NAME?</v>
      </c>
    </row>
    <row r="237" spans="1:42">
      <c r="A237">
        <v>20340</v>
      </c>
      <c r="B237" t="s">
        <v>1475</v>
      </c>
      <c r="C237" s="3" t="str">
        <f t="shared" si="20"/>
        <v>sysModuleComponent.Command</v>
      </c>
      <c r="D237" s="7">
        <v>32</v>
      </c>
      <c r="E237" s="3" t="str">
        <f t="shared" si="21"/>
        <v>sysModuleComponent</v>
      </c>
      <c r="F237" s="7" t="s">
        <v>35</v>
      </c>
      <c r="G237" t="s">
        <v>35</v>
      </c>
      <c r="H237" s="3" t="str">
        <f t="shared" si="22"/>
        <v>System.ModuleComponent</v>
      </c>
      <c r="K237" s="7" t="s">
        <v>35</v>
      </c>
      <c r="M237" t="s">
        <v>1073</v>
      </c>
      <c r="Q237" t="s">
        <v>92</v>
      </c>
      <c r="U237" t="s">
        <v>93</v>
      </c>
      <c r="V237" s="7"/>
      <c r="W237" s="7"/>
      <c r="AC237" s="7"/>
      <c r="AD237" s="15"/>
      <c r="AE237" s="7"/>
      <c r="AJ237" t="str">
        <f>"SELECT (SELECT '"&amp;C237&amp;"' ColumnName from "&amp;E237&amp;" where "&amp;F237&amp;" is null and exists (select from "&amp;E237&amp;") limit 1) ColumnName union all"</f>
        <v>SELECT (SELECT 'sysModuleComponent.Command' ColumnName from sysModuleComponent where Command is null and exists (select from sysModuleComponent) limit 1) ColumnName union all</v>
      </c>
      <c r="AL237" t="str">
        <f>"ALTER TABLE "&amp;E237&amp;" ALTER COLUMN "&amp;F237&amp;" DROP NOT NULL"</f>
        <v>ALTER TABLE sysModuleComponent ALTER COLUMN Command DROP NOT NULL</v>
      </c>
      <c r="AP237" t="e">
        <f t="shared" si="23"/>
        <v>#NAME?</v>
      </c>
    </row>
    <row r="238" spans="1:42">
      <c r="A238">
        <v>20350</v>
      </c>
      <c r="B238" t="s">
        <v>1475</v>
      </c>
      <c r="C238" s="3" t="str">
        <f t="shared" si="20"/>
        <v>sysModuleComponent.DisplayName</v>
      </c>
      <c r="D238" s="7">
        <v>32</v>
      </c>
      <c r="E238" s="3" t="str">
        <f t="shared" si="21"/>
        <v>sysModuleComponent</v>
      </c>
      <c r="F238" s="7" t="s">
        <v>1964</v>
      </c>
      <c r="G238" s="3" t="s">
        <v>6978</v>
      </c>
      <c r="H238" s="3" t="str">
        <f t="shared" si="22"/>
        <v>System.ModuleComponent</v>
      </c>
      <c r="K238" s="7" t="s">
        <v>1965</v>
      </c>
      <c r="M238" t="s">
        <v>1073</v>
      </c>
      <c r="Q238" t="s">
        <v>92</v>
      </c>
      <c r="U238" t="s">
        <v>93</v>
      </c>
      <c r="V238" s="7"/>
      <c r="W238" s="7"/>
      <c r="AC238" s="7"/>
      <c r="AD238" s="15"/>
      <c r="AE238" s="7"/>
      <c r="AJ238" t="str">
        <f>"SELECT (SELECT '"&amp;C238&amp;"' ColumnName from "&amp;E238&amp;" where "&amp;F238&amp;" is null and exists (select from "&amp;E238&amp;") limit 1) ColumnName union all"</f>
        <v>SELECT (SELECT 'sysModuleComponent.DisplayName' ColumnName from sysModuleComponent where DisplayName is null and exists (select from sysModuleComponent) limit 1) ColumnName union all</v>
      </c>
      <c r="AL238" t="str">
        <f>"ALTER TABLE "&amp;E238&amp;" ALTER COLUMN "&amp;F238&amp;" DROP NOT NULL"</f>
        <v>ALTER TABLE sysModuleComponent ALTER COLUMN DisplayName DROP NOT NULL</v>
      </c>
      <c r="AP238" t="e">
        <f t="shared" si="23"/>
        <v>#NAME?</v>
      </c>
    </row>
    <row r="239" spans="1:42">
      <c r="A239">
        <v>20450</v>
      </c>
      <c r="B239" t="s">
        <v>1475</v>
      </c>
      <c r="C239" s="3" t="str">
        <f t="shared" si="20"/>
        <v>sysModuleComponent.DisplaySequence</v>
      </c>
      <c r="D239" s="7">
        <v>32</v>
      </c>
      <c r="E239" s="3" t="str">
        <f t="shared" si="21"/>
        <v>sysModuleComponent</v>
      </c>
      <c r="F239" t="s">
        <v>6055</v>
      </c>
      <c r="G239" s="3" t="s">
        <v>6432</v>
      </c>
      <c r="H239" s="3" t="str">
        <f t="shared" si="22"/>
        <v>System.ModuleComponent</v>
      </c>
      <c r="K239" s="3" t="s">
        <v>6297</v>
      </c>
      <c r="M239" t="s">
        <v>195</v>
      </c>
      <c r="Q239" t="s">
        <v>92</v>
      </c>
      <c r="U239" t="s">
        <v>93</v>
      </c>
      <c r="AC239" s="7"/>
      <c r="AD239" s="15"/>
      <c r="AE239" s="7"/>
      <c r="AK239" t="str">
        <f t="shared" ref="AK239:AK260" si="25">"SELECT (SELECT '"&amp;C239&amp;"' ColumnName from "&amp;E239&amp;" where "&amp;F239&amp;" is null and exists (select from "&amp;E239&amp;") limit 1) a union all"</f>
        <v>SELECT (SELECT 'sysModuleComponent.DisplaySequence' ColumnName from sysModuleComponent where DisplaySequence is null and exists (select from sysModuleComponent) limit 1) a union all</v>
      </c>
      <c r="AP239" t="e">
        <f t="shared" si="23"/>
        <v>#NAME?</v>
      </c>
    </row>
    <row r="240" spans="1:42">
      <c r="A240">
        <v>20360</v>
      </c>
      <c r="B240" t="s">
        <v>1475</v>
      </c>
      <c r="C240" s="3" t="str">
        <f t="shared" si="20"/>
        <v>sysModuleComponent.FieldName</v>
      </c>
      <c r="D240" s="7">
        <v>32</v>
      </c>
      <c r="E240" s="3" t="str">
        <f t="shared" si="21"/>
        <v>sysModuleComponent</v>
      </c>
      <c r="F240" s="7" t="s">
        <v>1939</v>
      </c>
      <c r="G240" s="3" t="s">
        <v>6979</v>
      </c>
      <c r="H240" s="3" t="str">
        <f t="shared" si="22"/>
        <v>System.ModuleComponent</v>
      </c>
      <c r="K240" s="7" t="s">
        <v>1940</v>
      </c>
      <c r="M240" t="s">
        <v>1073</v>
      </c>
      <c r="O240" s="7"/>
      <c r="Q240" t="s">
        <v>92</v>
      </c>
      <c r="U240" s="7" t="s">
        <v>93</v>
      </c>
      <c r="AC240" s="7"/>
      <c r="AD240" s="15"/>
      <c r="AE240" s="7"/>
      <c r="AK240" t="str">
        <f t="shared" si="25"/>
        <v>SELECT (SELECT 'sysModuleComponent.FieldName' ColumnName from sysModuleComponent where FieldName is null and exists (select from sysModuleComponent) limit 1) a union all</v>
      </c>
      <c r="AP240" t="e">
        <f t="shared" si="23"/>
        <v>#NAME?</v>
      </c>
    </row>
    <row r="241" spans="1:42">
      <c r="A241">
        <v>20270</v>
      </c>
      <c r="B241" t="s">
        <v>1475</v>
      </c>
      <c r="C241" s="3" t="str">
        <f t="shared" si="20"/>
        <v>sysModuleComponent.Id</v>
      </c>
      <c r="D241" s="7">
        <v>32</v>
      </c>
      <c r="E241" s="3" t="str">
        <f t="shared" si="21"/>
        <v>sysModuleComponent</v>
      </c>
      <c r="F241" t="s">
        <v>1539</v>
      </c>
      <c r="G241" s="3" t="s">
        <v>6808</v>
      </c>
      <c r="H241" s="3" t="str">
        <f t="shared" si="22"/>
        <v>System.ModuleComponent</v>
      </c>
      <c r="K241" s="7" t="s">
        <v>0</v>
      </c>
      <c r="M241" t="s">
        <v>6007</v>
      </c>
      <c r="N241" s="7"/>
      <c r="O241" s="7"/>
      <c r="Q241" t="s">
        <v>919</v>
      </c>
      <c r="U241" s="7" t="s">
        <v>95</v>
      </c>
      <c r="V241" s="7"/>
      <c r="W241" s="7"/>
      <c r="X241" s="7"/>
      <c r="Z241" s="7"/>
      <c r="AC241" s="7"/>
      <c r="AD241" s="15"/>
      <c r="AE241" s="7"/>
      <c r="AK241" t="str">
        <f t="shared" si="25"/>
        <v>SELECT (SELECT 'sysModuleComponent.Id' ColumnName from sysModuleComponent where Id is null and exists (select from sysModuleComponent) limit 1) a union all</v>
      </c>
      <c r="AP241" t="e">
        <f t="shared" si="23"/>
        <v>#NAME?</v>
      </c>
    </row>
    <row r="242" spans="1:42">
      <c r="A242">
        <v>20370</v>
      </c>
      <c r="B242" t="s">
        <v>1475</v>
      </c>
      <c r="C242" s="3" t="str">
        <f t="shared" si="20"/>
        <v>sysModuleComponent.IsColumn</v>
      </c>
      <c r="D242" s="7">
        <v>32</v>
      </c>
      <c r="E242" s="3" t="str">
        <f t="shared" si="21"/>
        <v>sysModuleComponent</v>
      </c>
      <c r="F242" s="7" t="s">
        <v>2406</v>
      </c>
      <c r="G242" t="s">
        <v>1866</v>
      </c>
      <c r="H242" s="3" t="str">
        <f t="shared" si="22"/>
        <v>System.ModuleComponent</v>
      </c>
      <c r="K242" s="7" t="s">
        <v>1866</v>
      </c>
      <c r="M242" t="s">
        <v>2402</v>
      </c>
      <c r="Q242" t="s">
        <v>92</v>
      </c>
      <c r="U242" t="s">
        <v>93</v>
      </c>
      <c r="AC242" s="7"/>
      <c r="AD242" s="15"/>
      <c r="AE242" s="7"/>
      <c r="AK242" t="str">
        <f t="shared" si="25"/>
        <v>SELECT (SELECT 'sysModuleComponent.IsColumn' ColumnName from sysModuleComponent where IsColumn is null and exists (select from sysModuleComponent) limit 1) a union all</v>
      </c>
      <c r="AP242" t="e">
        <f t="shared" si="23"/>
        <v>#NAME?</v>
      </c>
    </row>
    <row r="243" spans="1:42">
      <c r="A243">
        <v>20380</v>
      </c>
      <c r="B243" t="s">
        <v>1475</v>
      </c>
      <c r="C243" s="3" t="str">
        <f t="shared" si="20"/>
        <v>sysModuleComponent.IsDirectEmbedChildren</v>
      </c>
      <c r="D243" s="7">
        <v>32</v>
      </c>
      <c r="E243" s="3" t="str">
        <f t="shared" si="21"/>
        <v>sysModuleComponent</v>
      </c>
      <c r="F243" s="7" t="s">
        <v>2394</v>
      </c>
      <c r="G243" s="3" t="s">
        <v>6809</v>
      </c>
      <c r="H243" s="3" t="str">
        <f t="shared" si="22"/>
        <v>System.ModuleComponent</v>
      </c>
      <c r="K243" s="7" t="s">
        <v>1942</v>
      </c>
      <c r="M243" s="3" t="s">
        <v>2402</v>
      </c>
      <c r="Q243" t="s">
        <v>92</v>
      </c>
      <c r="U243" t="s">
        <v>93</v>
      </c>
      <c r="V243" s="7"/>
      <c r="W243" s="7"/>
      <c r="AC243" s="7"/>
      <c r="AD243" s="15"/>
      <c r="AE243" s="7"/>
      <c r="AK243" t="str">
        <f t="shared" si="25"/>
        <v>SELECT (SELECT 'sysModuleComponent.IsDirectEmbedChildren' ColumnName from sysModuleComponent where IsDirectEmbedChildren is null and exists (select from sysModuleComponent) limit 1) a union all</v>
      </c>
      <c r="AP243" t="e">
        <f t="shared" si="23"/>
        <v>#NAME?</v>
      </c>
    </row>
    <row r="244" spans="1:42">
      <c r="A244">
        <v>20390</v>
      </c>
      <c r="B244" t="s">
        <v>1475</v>
      </c>
      <c r="C244" s="3" t="str">
        <f t="shared" si="20"/>
        <v>sysModuleComponent.IsRenderIgnored</v>
      </c>
      <c r="D244" s="7">
        <v>32</v>
      </c>
      <c r="E244" s="3" t="str">
        <f t="shared" si="21"/>
        <v>sysModuleComponent</v>
      </c>
      <c r="F244" s="7" t="s">
        <v>6164</v>
      </c>
      <c r="G244" s="3" t="s">
        <v>6810</v>
      </c>
      <c r="H244" s="3" t="str">
        <f t="shared" si="22"/>
        <v>System.ModuleComponent</v>
      </c>
      <c r="K244" s="7" t="s">
        <v>1966</v>
      </c>
      <c r="M244" s="3" t="s">
        <v>2402</v>
      </c>
      <c r="Q244" t="s">
        <v>92</v>
      </c>
      <c r="U244" t="s">
        <v>93</v>
      </c>
      <c r="V244" s="7"/>
      <c r="W244" s="7"/>
      <c r="X244" s="7"/>
      <c r="Z244" s="7"/>
      <c r="AC244" s="7"/>
      <c r="AD244" s="15"/>
      <c r="AE244" s="7"/>
      <c r="AK244" t="str">
        <f t="shared" si="25"/>
        <v>SELECT (SELECT 'sysModuleComponent.IsRenderIgnored' ColumnName from sysModuleComponent where IsRenderIgnored is null and exists (select from sysModuleComponent) limit 1) a union all</v>
      </c>
      <c r="AP244" t="e">
        <f t="shared" si="23"/>
        <v>#NAME?</v>
      </c>
    </row>
    <row r="245" spans="1:42">
      <c r="A245">
        <v>20400</v>
      </c>
      <c r="B245" t="s">
        <v>1475</v>
      </c>
      <c r="C245" s="3" t="str">
        <f t="shared" si="20"/>
        <v>sysModuleComponent.OffsetLg</v>
      </c>
      <c r="D245" s="7">
        <v>32</v>
      </c>
      <c r="E245" s="3" t="str">
        <f t="shared" si="21"/>
        <v>sysModuleComponent</v>
      </c>
      <c r="F245" s="7" t="s">
        <v>1952</v>
      </c>
      <c r="G245" t="s">
        <v>1952</v>
      </c>
      <c r="H245" s="3" t="str">
        <f t="shared" si="22"/>
        <v>System.ModuleComponent</v>
      </c>
      <c r="K245" s="7" t="s">
        <v>1953</v>
      </c>
      <c r="M245" t="s">
        <v>195</v>
      </c>
      <c r="Q245" t="s">
        <v>92</v>
      </c>
      <c r="U245" t="s">
        <v>93</v>
      </c>
      <c r="V245" s="7"/>
      <c r="W245" s="7"/>
      <c r="X245" s="7"/>
      <c r="Z245" s="7"/>
      <c r="AC245" s="7"/>
      <c r="AD245" s="15"/>
      <c r="AE245" s="7"/>
      <c r="AK245" t="str">
        <f t="shared" si="25"/>
        <v>SELECT (SELECT 'sysModuleComponent.OffsetLg' ColumnName from sysModuleComponent where OffsetLg is null and exists (select from sysModuleComponent) limit 1) a union all</v>
      </c>
      <c r="AP245" t="e">
        <f t="shared" si="23"/>
        <v>#NAME?</v>
      </c>
    </row>
    <row r="246" spans="1:42">
      <c r="A246">
        <v>20410</v>
      </c>
      <c r="B246" t="s">
        <v>1475</v>
      </c>
      <c r="C246" s="3" t="str">
        <f t="shared" si="20"/>
        <v>sysModuleComponent.OffsetMd</v>
      </c>
      <c r="D246" s="7">
        <v>32</v>
      </c>
      <c r="E246" s="3" t="str">
        <f t="shared" si="21"/>
        <v>sysModuleComponent</v>
      </c>
      <c r="F246" s="7" t="s">
        <v>1954</v>
      </c>
      <c r="G246" t="s">
        <v>1954</v>
      </c>
      <c r="H246" s="3" t="str">
        <f t="shared" si="22"/>
        <v>System.ModuleComponent</v>
      </c>
      <c r="K246" s="7" t="s">
        <v>1955</v>
      </c>
      <c r="M246" t="s">
        <v>195</v>
      </c>
      <c r="Q246" t="s">
        <v>92</v>
      </c>
      <c r="U246" t="s">
        <v>93</v>
      </c>
      <c r="V246" s="7"/>
      <c r="W246" s="7"/>
      <c r="X246" s="7"/>
      <c r="Z246" s="7"/>
      <c r="AC246" s="7"/>
      <c r="AD246" s="15"/>
      <c r="AE246" s="7"/>
      <c r="AK246" t="str">
        <f t="shared" si="25"/>
        <v>SELECT (SELECT 'sysModuleComponent.OffsetMd' ColumnName from sysModuleComponent where OffsetMd is null and exists (select from sysModuleComponent) limit 1) a union all</v>
      </c>
      <c r="AP246" t="e">
        <f t="shared" si="23"/>
        <v>#NAME?</v>
      </c>
    </row>
    <row r="247" spans="1:42">
      <c r="A247">
        <v>20420</v>
      </c>
      <c r="B247" t="s">
        <v>1475</v>
      </c>
      <c r="C247" s="3" t="str">
        <f t="shared" si="20"/>
        <v>sysModuleComponent.OffsetSm</v>
      </c>
      <c r="D247" s="7">
        <v>32</v>
      </c>
      <c r="E247" s="3" t="str">
        <f t="shared" si="21"/>
        <v>sysModuleComponent</v>
      </c>
      <c r="F247" s="7" t="s">
        <v>1956</v>
      </c>
      <c r="G247" t="s">
        <v>1956</v>
      </c>
      <c r="H247" s="3" t="str">
        <f t="shared" si="22"/>
        <v>System.ModuleComponent</v>
      </c>
      <c r="K247" s="7" t="s">
        <v>1957</v>
      </c>
      <c r="M247" t="s">
        <v>195</v>
      </c>
      <c r="Q247" t="s">
        <v>92</v>
      </c>
      <c r="U247" t="s">
        <v>93</v>
      </c>
      <c r="V247" s="7"/>
      <c r="W247" s="7"/>
      <c r="X247" s="7"/>
      <c r="Z247" s="7"/>
      <c r="AC247" s="7"/>
      <c r="AD247" s="15"/>
      <c r="AE247" s="7"/>
      <c r="AK247" t="str">
        <f t="shared" si="25"/>
        <v>SELECT (SELECT 'sysModuleComponent.OffsetSm' ColumnName from sysModuleComponent where OffsetSm is null and exists (select from sysModuleComponent) limit 1) a union all</v>
      </c>
      <c r="AP247" t="e">
        <f t="shared" si="23"/>
        <v>#NAME?</v>
      </c>
    </row>
    <row r="248" spans="1:42">
      <c r="A248">
        <v>20430</v>
      </c>
      <c r="B248" t="s">
        <v>1475</v>
      </c>
      <c r="C248" s="3" t="str">
        <f t="shared" si="20"/>
        <v>sysModuleComponent.OffsetXs</v>
      </c>
      <c r="D248" s="7">
        <v>32</v>
      </c>
      <c r="E248" s="3" t="str">
        <f t="shared" si="21"/>
        <v>sysModuleComponent</v>
      </c>
      <c r="F248" s="7" t="s">
        <v>1958</v>
      </c>
      <c r="G248" t="s">
        <v>1958</v>
      </c>
      <c r="H248" s="3" t="str">
        <f t="shared" si="22"/>
        <v>System.ModuleComponent</v>
      </c>
      <c r="K248" s="7" t="s">
        <v>1959</v>
      </c>
      <c r="M248" t="s">
        <v>195</v>
      </c>
      <c r="Q248" t="s">
        <v>92</v>
      </c>
      <c r="U248" t="s">
        <v>93</v>
      </c>
      <c r="V248" s="7"/>
      <c r="W248" s="7"/>
      <c r="X248" s="7"/>
      <c r="Z248" s="7"/>
      <c r="AC248" s="7"/>
      <c r="AD248" s="15"/>
      <c r="AE248" s="7"/>
      <c r="AK248" t="str">
        <f t="shared" si="25"/>
        <v>SELECT (SELECT 'sysModuleComponent.OffsetXs' ColumnName from sysModuleComponent where OffsetXs is null and exists (select from sysModuleComponent) limit 1) a union all</v>
      </c>
      <c r="AP248" t="e">
        <f t="shared" si="23"/>
        <v>#NAME?</v>
      </c>
    </row>
    <row r="249" spans="1:42">
      <c r="A249">
        <v>20440</v>
      </c>
      <c r="B249" t="s">
        <v>1475</v>
      </c>
      <c r="C249" s="3" t="str">
        <f t="shared" si="20"/>
        <v>sysModuleComponent.Row</v>
      </c>
      <c r="D249" s="7">
        <v>32</v>
      </c>
      <c r="E249" s="3" t="str">
        <f t="shared" si="21"/>
        <v>sysModuleComponent</v>
      </c>
      <c r="F249" s="7" t="s">
        <v>1943</v>
      </c>
      <c r="G249" t="s">
        <v>1943</v>
      </c>
      <c r="H249" s="3" t="str">
        <f t="shared" si="22"/>
        <v>System.ModuleComponent</v>
      </c>
      <c r="K249" s="7" t="s">
        <v>1943</v>
      </c>
      <c r="M249" t="s">
        <v>195</v>
      </c>
      <c r="Q249" t="s">
        <v>92</v>
      </c>
      <c r="U249" t="s">
        <v>93</v>
      </c>
      <c r="AC249" s="7"/>
      <c r="AD249" s="15"/>
      <c r="AE249" s="7"/>
      <c r="AK249" t="str">
        <f t="shared" si="25"/>
        <v>SELECT (SELECT 'sysModuleComponent.Row' ColumnName from sysModuleComponent where Row is null and exists (select from sysModuleComponent) limit 1) a union all</v>
      </c>
      <c r="AP249" t="e">
        <f t="shared" si="23"/>
        <v>#NAME?</v>
      </c>
    </row>
    <row r="250" spans="1:42">
      <c r="A250">
        <v>20500</v>
      </c>
      <c r="B250" t="s">
        <v>1475</v>
      </c>
      <c r="C250" s="3" t="str">
        <f t="shared" si="20"/>
        <v>sysModuleComponent.RowStatus</v>
      </c>
      <c r="D250" s="7">
        <v>32</v>
      </c>
      <c r="E250" s="3" t="str">
        <f t="shared" si="21"/>
        <v>sysModuleComponent</v>
      </c>
      <c r="F250" t="s">
        <v>1445</v>
      </c>
      <c r="G250" s="3" t="s">
        <v>6411</v>
      </c>
      <c r="H250" s="3" t="str">
        <f t="shared" si="22"/>
        <v>System.ModuleComponent</v>
      </c>
      <c r="K250" s="3" t="s">
        <v>2471</v>
      </c>
      <c r="M250" t="s">
        <v>976</v>
      </c>
      <c r="N250">
        <v>1</v>
      </c>
      <c r="Q250" t="s">
        <v>919</v>
      </c>
      <c r="U250" t="s">
        <v>94</v>
      </c>
      <c r="V250" s="7"/>
      <c r="W250" s="7"/>
      <c r="X250" s="7"/>
      <c r="Z250" s="7"/>
      <c r="AC250" s="7"/>
      <c r="AD250" s="15"/>
      <c r="AE250" s="7"/>
      <c r="AK250" t="str">
        <f t="shared" si="25"/>
        <v>SELECT (SELECT 'sysModuleComponent.RowStatus' ColumnName from sysModuleComponent where RowStatus is null and exists (select from sysModuleComponent) limit 1) a union all</v>
      </c>
      <c r="AP250" t="e">
        <f t="shared" si="23"/>
        <v>#NAME?</v>
      </c>
    </row>
    <row r="251" spans="1:42">
      <c r="A251">
        <v>20460</v>
      </c>
      <c r="B251" t="s">
        <v>1475</v>
      </c>
      <c r="C251" s="3" t="str">
        <f t="shared" si="20"/>
        <v>sysModuleComponent.SpanLg</v>
      </c>
      <c r="D251" s="7">
        <v>32</v>
      </c>
      <c r="E251" s="3" t="str">
        <f t="shared" si="21"/>
        <v>sysModuleComponent</v>
      </c>
      <c r="F251" s="7" t="s">
        <v>1944</v>
      </c>
      <c r="G251" t="s">
        <v>1944</v>
      </c>
      <c r="H251" s="3" t="str">
        <f t="shared" si="22"/>
        <v>System.ModuleComponent</v>
      </c>
      <c r="K251" s="7" t="s">
        <v>1945</v>
      </c>
      <c r="M251" t="s">
        <v>195</v>
      </c>
      <c r="Q251" t="s">
        <v>92</v>
      </c>
      <c r="U251" t="s">
        <v>93</v>
      </c>
      <c r="AC251" s="7"/>
      <c r="AD251" s="15"/>
      <c r="AE251" s="7"/>
      <c r="AK251" t="str">
        <f t="shared" si="25"/>
        <v>SELECT (SELECT 'sysModuleComponent.SpanLg' ColumnName from sysModuleComponent where SpanLg is null and exists (select from sysModuleComponent) limit 1) a union all</v>
      </c>
      <c r="AP251" t="e">
        <f t="shared" si="23"/>
        <v>#NAME?</v>
      </c>
    </row>
    <row r="252" spans="1:42">
      <c r="A252">
        <v>20470</v>
      </c>
      <c r="B252" t="s">
        <v>1475</v>
      </c>
      <c r="C252" s="3" t="str">
        <f t="shared" si="20"/>
        <v>sysModuleComponent.SpanMd</v>
      </c>
      <c r="D252" s="7">
        <v>32</v>
      </c>
      <c r="E252" s="3" t="str">
        <f t="shared" si="21"/>
        <v>sysModuleComponent</v>
      </c>
      <c r="F252" s="7" t="s">
        <v>1946</v>
      </c>
      <c r="G252" t="s">
        <v>1946</v>
      </c>
      <c r="H252" s="3" t="str">
        <f t="shared" si="22"/>
        <v>System.ModuleComponent</v>
      </c>
      <c r="K252" s="7" t="s">
        <v>1947</v>
      </c>
      <c r="M252" t="s">
        <v>195</v>
      </c>
      <c r="Q252" t="s">
        <v>92</v>
      </c>
      <c r="U252" t="s">
        <v>93</v>
      </c>
      <c r="AC252" s="7"/>
      <c r="AD252" s="15"/>
      <c r="AE252" s="7"/>
      <c r="AK252" t="str">
        <f t="shared" si="25"/>
        <v>SELECT (SELECT 'sysModuleComponent.SpanMd' ColumnName from sysModuleComponent where SpanMd is null and exists (select from sysModuleComponent) limit 1) a union all</v>
      </c>
      <c r="AP252" t="e">
        <f t="shared" si="23"/>
        <v>#NAME?</v>
      </c>
    </row>
    <row r="253" spans="1:42">
      <c r="A253">
        <v>20480</v>
      </c>
      <c r="B253" t="s">
        <v>1475</v>
      </c>
      <c r="C253" s="3" t="str">
        <f t="shared" si="20"/>
        <v>sysModuleComponent.SpanSm</v>
      </c>
      <c r="D253" s="7">
        <v>32</v>
      </c>
      <c r="E253" s="3" t="str">
        <f t="shared" si="21"/>
        <v>sysModuleComponent</v>
      </c>
      <c r="F253" s="7" t="s">
        <v>1948</v>
      </c>
      <c r="G253" t="s">
        <v>1948</v>
      </c>
      <c r="H253" s="3" t="str">
        <f t="shared" si="22"/>
        <v>System.ModuleComponent</v>
      </c>
      <c r="K253" s="7" t="s">
        <v>1949</v>
      </c>
      <c r="M253" t="s">
        <v>195</v>
      </c>
      <c r="Q253" t="s">
        <v>92</v>
      </c>
      <c r="U253" t="s">
        <v>93</v>
      </c>
      <c r="AC253" s="7"/>
      <c r="AD253" s="15"/>
      <c r="AE253" s="7"/>
      <c r="AK253" t="str">
        <f t="shared" si="25"/>
        <v>SELECT (SELECT 'sysModuleComponent.SpanSm' ColumnName from sysModuleComponent where SpanSm is null and exists (select from sysModuleComponent) limit 1) a union all</v>
      </c>
      <c r="AP253" t="e">
        <f t="shared" si="23"/>
        <v>#NAME?</v>
      </c>
    </row>
    <row r="254" spans="1:42">
      <c r="A254">
        <v>20490</v>
      </c>
      <c r="B254" t="s">
        <v>1475</v>
      </c>
      <c r="C254" s="3" t="str">
        <f t="shared" si="20"/>
        <v>sysModuleComponent.SpanXs</v>
      </c>
      <c r="D254" s="7">
        <v>32</v>
      </c>
      <c r="E254" s="3" t="str">
        <f t="shared" si="21"/>
        <v>sysModuleComponent</v>
      </c>
      <c r="F254" s="7" t="s">
        <v>1950</v>
      </c>
      <c r="G254" t="s">
        <v>1950</v>
      </c>
      <c r="H254" s="3" t="str">
        <f t="shared" si="22"/>
        <v>System.ModuleComponent</v>
      </c>
      <c r="K254" s="7" t="s">
        <v>1951</v>
      </c>
      <c r="M254" t="s">
        <v>195</v>
      </c>
      <c r="Q254" t="s">
        <v>92</v>
      </c>
      <c r="U254" t="s">
        <v>93</v>
      </c>
      <c r="AC254" s="7"/>
      <c r="AD254" s="15"/>
      <c r="AE254" s="7"/>
      <c r="AK254" t="str">
        <f t="shared" si="25"/>
        <v>SELECT (SELECT 'sysModuleComponent.SpanXs' ColumnName from sysModuleComponent where SpanXs is null and exists (select from sysModuleComponent) limit 1) a union all</v>
      </c>
      <c r="AP254" t="e">
        <f t="shared" si="23"/>
        <v>#NAME?</v>
      </c>
    </row>
    <row r="255" spans="1:42">
      <c r="A255">
        <v>20510</v>
      </c>
      <c r="B255" t="s">
        <v>1475</v>
      </c>
      <c r="C255" s="3" t="str">
        <f t="shared" si="20"/>
        <v>sysModuleComponent.sysChangeHistoryID</v>
      </c>
      <c r="D255" s="7">
        <v>32</v>
      </c>
      <c r="E255" s="3" t="str">
        <f t="shared" si="21"/>
        <v>sysModuleComponent</v>
      </c>
      <c r="F255" t="s">
        <v>2497</v>
      </c>
      <c r="G255" s="3" t="s">
        <v>6403</v>
      </c>
      <c r="H255" s="3" t="str">
        <f t="shared" si="22"/>
        <v>System.ModuleComponent</v>
      </c>
      <c r="K255" t="s">
        <v>1210</v>
      </c>
      <c r="M255" t="s">
        <v>6007</v>
      </c>
      <c r="N255" s="7"/>
      <c r="O255" s="7"/>
      <c r="P255" s="7"/>
      <c r="Q255" t="s">
        <v>919</v>
      </c>
      <c r="R255" s="7"/>
      <c r="S255" s="7"/>
      <c r="T255" s="8"/>
      <c r="U255" t="s">
        <v>1429</v>
      </c>
      <c r="AK255" t="str">
        <f t="shared" si="25"/>
        <v>SELECT (SELECT 'sysModuleComponent.sysChangeHistoryID' ColumnName from sysModuleComponent where sysChangeHistoryID is null and exists (select from sysModuleComponent) limit 1) a union all</v>
      </c>
      <c r="AP255" t="e">
        <f t="shared" si="23"/>
        <v>#NAME?</v>
      </c>
    </row>
    <row r="256" spans="1:42">
      <c r="A256">
        <v>20280</v>
      </c>
      <c r="B256" t="s">
        <v>1475</v>
      </c>
      <c r="C256" s="3" t="str">
        <f t="shared" si="20"/>
        <v>sysModuleComponent.sysComponentID</v>
      </c>
      <c r="D256" s="7">
        <v>32</v>
      </c>
      <c r="E256" s="3" t="str">
        <f t="shared" si="21"/>
        <v>sysModuleComponent</v>
      </c>
      <c r="F256" t="str">
        <f>VLOOKUP(V256,SystemTableId,3,FALSE)&amp;"ID"&amp;X256</f>
        <v>sysComponentID</v>
      </c>
      <c r="G256" t="s">
        <v>1936</v>
      </c>
      <c r="H256" s="3" t="str">
        <f t="shared" si="22"/>
        <v>System.ModuleComponent</v>
      </c>
      <c r="K256" s="7" t="s">
        <v>1937</v>
      </c>
      <c r="M256" t="s">
        <v>6007</v>
      </c>
      <c r="Q256" t="s">
        <v>92</v>
      </c>
      <c r="U256" t="s">
        <v>96</v>
      </c>
      <c r="V256" s="7">
        <v>20</v>
      </c>
      <c r="W256" s="3" t="str">
        <f>VLOOKUP(V256,SystemTableId,3,FALSE)</f>
        <v>sysComponent</v>
      </c>
      <c r="AC256" s="7"/>
      <c r="AD256" s="15"/>
      <c r="AE256" s="7"/>
      <c r="AK256" t="str">
        <f t="shared" si="25"/>
        <v>SELECT (SELECT 'sysModuleComponent.sysComponentID' ColumnName from sysModuleComponent where sysComponentID is null and exists (select from sysModuleComponent) limit 1) a union all</v>
      </c>
      <c r="AP256" t="e">
        <f t="shared" si="23"/>
        <v>#NAME?</v>
      </c>
    </row>
    <row r="257" spans="1:42">
      <c r="A257">
        <v>20290</v>
      </c>
      <c r="B257" t="s">
        <v>1475</v>
      </c>
      <c r="C257" s="3" t="str">
        <f t="shared" si="20"/>
        <v>sysModuleComponent.sysDataTypeID</v>
      </c>
      <c r="D257" s="7">
        <v>32</v>
      </c>
      <c r="E257" s="3" t="str">
        <f t="shared" si="21"/>
        <v>sysModuleComponent</v>
      </c>
      <c r="F257" t="str">
        <f>VLOOKUP(V257,DictionaryTableID,3,FALSE)&amp;"ID"&amp;X257</f>
        <v>sysDataTypeID</v>
      </c>
      <c r="G257" t="s">
        <v>1960</v>
      </c>
      <c r="H257" s="3" t="str">
        <f t="shared" si="22"/>
        <v>System.ModuleComponent</v>
      </c>
      <c r="K257" s="7" t="s">
        <v>1961</v>
      </c>
      <c r="M257" t="s">
        <v>6007</v>
      </c>
      <c r="Q257" t="s">
        <v>92</v>
      </c>
      <c r="U257" t="s">
        <v>96</v>
      </c>
      <c r="V257" s="7">
        <v>26</v>
      </c>
      <c r="W257" s="3" t="str">
        <f>VLOOKUP(V257,DictionaryTableID,3,FALSE)</f>
        <v>sysDataType</v>
      </c>
      <c r="AC257" s="7"/>
      <c r="AD257" s="15"/>
      <c r="AE257" s="7"/>
      <c r="AK257" t="str">
        <f t="shared" si="25"/>
        <v>SELECT (SELECT 'sysModuleComponent.sysDataTypeID' ColumnName from sysModuleComponent where sysDataTypeID is null and exists (select from sysModuleComponent) limit 1) a union all</v>
      </c>
      <c r="AP257" t="e">
        <f t="shared" si="23"/>
        <v>#NAME?</v>
      </c>
    </row>
    <row r="258" spans="1:42">
      <c r="A258">
        <v>20300</v>
      </c>
      <c r="B258" t="s">
        <v>1475</v>
      </c>
      <c r="C258" s="3" t="str">
        <f t="shared" ref="C258:C321" si="26">CONCATENATE(E258,".",F258)</f>
        <v>sysModuleComponent.sysDictionaryColumnID</v>
      </c>
      <c r="D258" s="7">
        <v>32</v>
      </c>
      <c r="E258" s="3" t="str">
        <f t="shared" ref="E258:E321" si="27">VLOOKUP(D258,SystemTableId,3,FALSE)</f>
        <v>sysModuleComponent</v>
      </c>
      <c r="F258" t="str">
        <f>VLOOKUP(V258,DictionaryTableID,3,FALSE)&amp;"ID"&amp;X258</f>
        <v>sysDictionaryColumnID</v>
      </c>
      <c r="G258" t="s">
        <v>1962</v>
      </c>
      <c r="H258" s="3" t="str">
        <f t="shared" ref="H258:H321" si="28">VLOOKUP(E258,SystemTables,14,FALSE)</f>
        <v>System.ModuleComponent</v>
      </c>
      <c r="K258" s="7" t="s">
        <v>1963</v>
      </c>
      <c r="M258" t="s">
        <v>6007</v>
      </c>
      <c r="Q258" t="s">
        <v>92</v>
      </c>
      <c r="U258" t="s">
        <v>96</v>
      </c>
      <c r="V258">
        <v>2</v>
      </c>
      <c r="W258" s="3" t="str">
        <f>VLOOKUP(V258,DictionaryTableID,3,FALSE)</f>
        <v>sysDictionaryColumn</v>
      </c>
      <c r="AC258" s="7"/>
      <c r="AD258" s="15"/>
      <c r="AE258" s="7"/>
      <c r="AK258" t="str">
        <f t="shared" si="25"/>
        <v>SELECT (SELECT 'sysModuleComponent.sysDictionaryColumnID' ColumnName from sysModuleComponent where sysDictionaryColumnID is null and exists (select from sysModuleComponent) limit 1) a union all</v>
      </c>
      <c r="AP258" t="e">
        <f t="shared" ref="AP258:AP321" si="29">VLOOKUP(E258,temp6,1,FALSE)</f>
        <v>#NAME?</v>
      </c>
    </row>
    <row r="259" spans="1:42">
      <c r="A259">
        <v>20310</v>
      </c>
      <c r="B259" t="s">
        <v>1475</v>
      </c>
      <c r="C259" s="3" t="str">
        <f t="shared" si="26"/>
        <v>sysModuleComponent.sysModuleComponentIDParent</v>
      </c>
      <c r="D259" s="7">
        <v>32</v>
      </c>
      <c r="E259" s="3" t="str">
        <f t="shared" si="27"/>
        <v>sysModuleComponent</v>
      </c>
      <c r="F259" t="str">
        <f>VLOOKUP(V259,SystemTableId,3,FALSE)&amp;"ID"&amp;X259</f>
        <v>sysModuleComponentIDParent</v>
      </c>
      <c r="G259" t="s">
        <v>1938</v>
      </c>
      <c r="H259" s="3" t="str">
        <f t="shared" si="28"/>
        <v>System.ModuleComponent</v>
      </c>
      <c r="K259" s="7" t="s">
        <v>1220</v>
      </c>
      <c r="M259" t="s">
        <v>6007</v>
      </c>
      <c r="Q259" t="s">
        <v>92</v>
      </c>
      <c r="U259" t="s">
        <v>96</v>
      </c>
      <c r="V259" s="7">
        <v>32</v>
      </c>
      <c r="W259" s="3" t="str">
        <f>VLOOKUP(V259,SystemTableId,3,FALSE)</f>
        <v>sysModuleComponent</v>
      </c>
      <c r="X259" s="3" t="s">
        <v>1220</v>
      </c>
      <c r="Z259" s="7"/>
      <c r="AC259" s="7"/>
      <c r="AD259" s="15"/>
      <c r="AE259" s="7"/>
      <c r="AK259" t="str">
        <f t="shared" si="25"/>
        <v>SELECT (SELECT 'sysModuleComponent.sysModuleComponentIDParent' ColumnName from sysModuleComponent where sysModuleComponentIDParent is null and exists (select from sysModuleComponent) limit 1) a union all</v>
      </c>
      <c r="AP259" t="e">
        <f t="shared" si="29"/>
        <v>#NAME?</v>
      </c>
    </row>
    <row r="260" spans="1:42">
      <c r="A260">
        <v>20320</v>
      </c>
      <c r="B260" t="s">
        <v>1475</v>
      </c>
      <c r="C260" s="3" t="str">
        <f t="shared" si="26"/>
        <v>sysModuleComponent.sysModuleID</v>
      </c>
      <c r="D260" s="7">
        <v>32</v>
      </c>
      <c r="E260" s="3" t="str">
        <f t="shared" si="27"/>
        <v>sysModuleComponent</v>
      </c>
      <c r="F260" t="str">
        <f>VLOOKUP(V260,SystemTableId,3,FALSE)&amp;"ID"&amp;X260</f>
        <v>sysModuleID</v>
      </c>
      <c r="G260" t="s">
        <v>1933</v>
      </c>
      <c r="H260" s="3" t="str">
        <f t="shared" si="28"/>
        <v>System.ModuleComponent</v>
      </c>
      <c r="K260" s="7" t="s">
        <v>1171</v>
      </c>
      <c r="M260" t="s">
        <v>6007</v>
      </c>
      <c r="Q260" t="s">
        <v>92</v>
      </c>
      <c r="U260" t="s">
        <v>96</v>
      </c>
      <c r="V260" s="7">
        <v>31</v>
      </c>
      <c r="W260" s="3" t="str">
        <f>VLOOKUP(V260,SystemTableId,3,FALSE)</f>
        <v>sysModule</v>
      </c>
      <c r="X260" s="7"/>
      <c r="Z260" s="7"/>
      <c r="AC260" s="7"/>
      <c r="AD260" s="15"/>
      <c r="AE260" s="7"/>
      <c r="AK260" t="str">
        <f t="shared" si="25"/>
        <v>SELECT (SELECT 'sysModuleComponent.sysModuleID' ColumnName from sysModuleComponent where sysModuleID is null and exists (select from sysModuleComponent) limit 1) a union all</v>
      </c>
      <c r="AP260" t="e">
        <f t="shared" si="29"/>
        <v>#NAME?</v>
      </c>
    </row>
    <row r="261" spans="1:42">
      <c r="A261">
        <v>20560</v>
      </c>
      <c r="B261" t="s">
        <v>1475</v>
      </c>
      <c r="C261" s="3" t="str">
        <f t="shared" si="26"/>
        <v>sysModuleComponentLogic.Command</v>
      </c>
      <c r="D261" s="7">
        <v>33</v>
      </c>
      <c r="E261" s="3" t="str">
        <f t="shared" si="27"/>
        <v>sysModuleComponentLogic</v>
      </c>
      <c r="F261" s="7" t="s">
        <v>35</v>
      </c>
      <c r="G261" t="s">
        <v>35</v>
      </c>
      <c r="H261" s="3" t="str">
        <f t="shared" si="28"/>
        <v>System.ModuleComponentLogic</v>
      </c>
      <c r="K261" s="7" t="s">
        <v>35</v>
      </c>
      <c r="M261" t="s">
        <v>1073</v>
      </c>
      <c r="O261" s="7"/>
      <c r="Q261" t="s">
        <v>92</v>
      </c>
      <c r="U261" s="7" t="s">
        <v>93</v>
      </c>
      <c r="AC261" s="7"/>
      <c r="AD261" s="15"/>
      <c r="AE261" s="7"/>
      <c r="AJ261" t="str">
        <f>"SELECT (SELECT '"&amp;C261&amp;"' ColumnName from "&amp;E261&amp;" where "&amp;F261&amp;" is null and exists (select from "&amp;E261&amp;") limit 1) ColumnName union all"</f>
        <v>SELECT (SELECT 'sysModuleComponentLogic.Command' ColumnName from sysModuleComponentLogic where Command is null and exists (select from sysModuleComponentLogic) limit 1) ColumnName union all</v>
      </c>
      <c r="AL261" t="str">
        <f>"ALTER TABLE "&amp;E261&amp;" ALTER COLUMN "&amp;F261&amp;" DROP NOT NULL"</f>
        <v>ALTER TABLE sysModuleComponentLogic ALTER COLUMN Command DROP NOT NULL</v>
      </c>
      <c r="AP261" t="e">
        <f t="shared" si="29"/>
        <v>#NAME?</v>
      </c>
    </row>
    <row r="262" spans="1:42">
      <c r="A262">
        <v>20520</v>
      </c>
      <c r="B262" t="s">
        <v>1475</v>
      </c>
      <c r="C262" s="3" t="str">
        <f t="shared" si="26"/>
        <v>sysModuleComponentLogic.Id</v>
      </c>
      <c r="D262" s="7">
        <v>33</v>
      </c>
      <c r="E262" s="3" t="str">
        <f t="shared" si="27"/>
        <v>sysModuleComponentLogic</v>
      </c>
      <c r="F262" t="s">
        <v>1539</v>
      </c>
      <c r="G262" s="3" t="s">
        <v>6811</v>
      </c>
      <c r="H262" s="3" t="str">
        <f t="shared" si="28"/>
        <v>System.ModuleComponentLogic</v>
      </c>
      <c r="K262" s="7" t="s">
        <v>0</v>
      </c>
      <c r="M262" t="s">
        <v>6007</v>
      </c>
      <c r="N262" s="7"/>
      <c r="O262" s="7"/>
      <c r="Q262" t="s">
        <v>919</v>
      </c>
      <c r="U262" s="7" t="s">
        <v>95</v>
      </c>
      <c r="V262" s="7"/>
      <c r="W262" s="7"/>
      <c r="X262" s="7"/>
      <c r="Z262" s="7"/>
      <c r="AC262" s="7"/>
      <c r="AD262" s="15"/>
      <c r="AE262" s="7"/>
      <c r="AJ262" t="str">
        <f>"SELECT (SELECT '"&amp;C262&amp;"' ColumnName from "&amp;E262&amp;" where "&amp;F262&amp;" is null and exists (select from "&amp;E262&amp;") limit 1) ColumnName union all"</f>
        <v>SELECT (SELECT 'sysModuleComponentLogic.Id' ColumnName from sysModuleComponentLogic where Id is null and exists (select from sysModuleComponentLogic) limit 1) ColumnName union all</v>
      </c>
      <c r="AL262" t="str">
        <f>"ALTER TABLE "&amp;E262&amp;" ALTER COLUMN "&amp;F262&amp;" DROP NOT NULL"</f>
        <v>ALTER TABLE sysModuleComponentLogic ALTER COLUMN Id DROP NOT NULL</v>
      </c>
      <c r="AP262" t="e">
        <f t="shared" si="29"/>
        <v>#NAME?</v>
      </c>
    </row>
    <row r="263" spans="1:42">
      <c r="A263">
        <v>20570</v>
      </c>
      <c r="B263" t="s">
        <v>1475</v>
      </c>
      <c r="C263" s="3" t="str">
        <f t="shared" si="26"/>
        <v>sysModuleComponentLogic.RowStatus</v>
      </c>
      <c r="D263" s="7">
        <v>33</v>
      </c>
      <c r="E263" s="3" t="str">
        <f t="shared" si="27"/>
        <v>sysModuleComponentLogic</v>
      </c>
      <c r="F263" t="s">
        <v>1445</v>
      </c>
      <c r="G263" s="3" t="s">
        <v>6411</v>
      </c>
      <c r="H263" s="3" t="str">
        <f t="shared" si="28"/>
        <v>System.ModuleComponentLogic</v>
      </c>
      <c r="K263" s="3" t="s">
        <v>2471</v>
      </c>
      <c r="M263" t="s">
        <v>976</v>
      </c>
      <c r="N263">
        <v>1</v>
      </c>
      <c r="O263" s="7"/>
      <c r="Q263" t="s">
        <v>919</v>
      </c>
      <c r="U263" s="7" t="s">
        <v>94</v>
      </c>
      <c r="V263" s="7"/>
      <c r="W263" s="7"/>
      <c r="X263" s="7"/>
      <c r="Z263" s="7"/>
      <c r="AC263" s="7"/>
      <c r="AD263" s="15"/>
      <c r="AE263" s="7"/>
      <c r="AJ263" t="str">
        <f>"SELECT (SELECT '"&amp;C263&amp;"' ColumnName from "&amp;E263&amp;" where "&amp;F263&amp;" is null and exists (select from "&amp;E263&amp;") limit 1) ColumnName union all"</f>
        <v>SELECT (SELECT 'sysModuleComponentLogic.RowStatus' ColumnName from sysModuleComponentLogic where RowStatus is null and exists (select from sysModuleComponentLogic) limit 1) ColumnName union all</v>
      </c>
      <c r="AL263" t="str">
        <f>"ALTER TABLE "&amp;E263&amp;" ALTER COLUMN "&amp;F263&amp;" DROP NOT NULL"</f>
        <v>ALTER TABLE sysModuleComponentLogic ALTER COLUMN RowStatus DROP NOT NULL</v>
      </c>
      <c r="AP263" t="e">
        <f t="shared" si="29"/>
        <v>#NAME?</v>
      </c>
    </row>
    <row r="264" spans="1:42">
      <c r="A264">
        <v>20580</v>
      </c>
      <c r="B264" t="s">
        <v>1475</v>
      </c>
      <c r="C264" s="3" t="str">
        <f t="shared" si="26"/>
        <v>sysModuleComponentLogic.sysChangeHistoryID</v>
      </c>
      <c r="D264" s="7">
        <v>33</v>
      </c>
      <c r="E264" s="3" t="str">
        <f t="shared" si="27"/>
        <v>sysModuleComponentLogic</v>
      </c>
      <c r="F264" t="s">
        <v>2497</v>
      </c>
      <c r="G264" s="3" t="s">
        <v>6403</v>
      </c>
      <c r="H264" s="3" t="str">
        <f t="shared" si="28"/>
        <v>System.ModuleComponentLogic</v>
      </c>
      <c r="K264" t="s">
        <v>1210</v>
      </c>
      <c r="M264" t="s">
        <v>6007</v>
      </c>
      <c r="N264" s="7"/>
      <c r="O264" s="7"/>
      <c r="P264" s="7"/>
      <c r="Q264" t="s">
        <v>919</v>
      </c>
      <c r="R264" s="7"/>
      <c r="S264" s="7"/>
      <c r="T264" s="8"/>
      <c r="U264" t="s">
        <v>1429</v>
      </c>
      <c r="AK264" t="str">
        <f>"SELECT (SELECT '"&amp;C264&amp;"' ColumnName from "&amp;E264&amp;" where "&amp;F264&amp;" is null and exists (select from "&amp;E264&amp;") limit 1) a union all"</f>
        <v>SELECT (SELECT 'sysModuleComponentLogic.sysChangeHistoryID' ColumnName from sysModuleComponentLogic where sysChangeHistoryID is null and exists (select from sysModuleComponentLogic) limit 1) a union all</v>
      </c>
      <c r="AP264" t="e">
        <f t="shared" si="29"/>
        <v>#NAME?</v>
      </c>
    </row>
    <row r="265" spans="1:42">
      <c r="A265">
        <v>20530</v>
      </c>
      <c r="B265" t="s">
        <v>1475</v>
      </c>
      <c r="C265" s="3" t="str">
        <f t="shared" si="26"/>
        <v>sysModuleComponentLogic.sysLogicID</v>
      </c>
      <c r="D265" s="7">
        <v>33</v>
      </c>
      <c r="E265" s="3" t="str">
        <f t="shared" si="27"/>
        <v>sysModuleComponentLogic</v>
      </c>
      <c r="F265" t="str">
        <f>VLOOKUP(V265,SystemTableId,3,FALSE)&amp;"ID"&amp;X265</f>
        <v>sysLogicID</v>
      </c>
      <c r="G265" t="s">
        <v>1934</v>
      </c>
      <c r="H265" s="3" t="str">
        <f t="shared" si="28"/>
        <v>System.ModuleComponentLogic</v>
      </c>
      <c r="K265" s="7" t="s">
        <v>1935</v>
      </c>
      <c r="M265" t="s">
        <v>6007</v>
      </c>
      <c r="Q265" t="s">
        <v>92</v>
      </c>
      <c r="U265" t="s">
        <v>96</v>
      </c>
      <c r="V265" s="7">
        <v>30</v>
      </c>
      <c r="W265" s="3" t="str">
        <f>VLOOKUP(V265,SystemTableId,3,FALSE)</f>
        <v>sysLogic</v>
      </c>
      <c r="X265" s="7"/>
      <c r="Z265" s="7"/>
      <c r="AC265" s="7"/>
      <c r="AD265" s="15"/>
      <c r="AE265" s="7"/>
      <c r="AK265" t="str">
        <f>"SELECT (SELECT '"&amp;C265&amp;"' ColumnName from "&amp;E265&amp;" where "&amp;F265&amp;" is null and exists (select from "&amp;E265&amp;") limit 1) a union all"</f>
        <v>SELECT (SELECT 'sysModuleComponentLogic.sysLogicID' ColumnName from sysModuleComponentLogic where sysLogicID is null and exists (select from sysModuleComponentLogic) limit 1) a union all</v>
      </c>
      <c r="AP265" t="e">
        <f t="shared" si="29"/>
        <v>#NAME?</v>
      </c>
    </row>
    <row r="266" spans="1:42">
      <c r="A266">
        <v>20540</v>
      </c>
      <c r="B266" t="s">
        <v>1475</v>
      </c>
      <c r="C266" s="3" t="str">
        <f t="shared" si="26"/>
        <v>sysModuleComponentLogic.sysModuleComponentID</v>
      </c>
      <c r="D266" s="7">
        <v>33</v>
      </c>
      <c r="E266" s="3" t="str">
        <f t="shared" si="27"/>
        <v>sysModuleComponentLogic</v>
      </c>
      <c r="F266" t="str">
        <f>VLOOKUP(V266,SystemTableId,3,FALSE)&amp;"ID"&amp;X266</f>
        <v>sysModuleComponentID</v>
      </c>
      <c r="G266" t="s">
        <v>1967</v>
      </c>
      <c r="H266" s="3" t="str">
        <f t="shared" si="28"/>
        <v>System.ModuleComponentLogic</v>
      </c>
      <c r="K266" s="7" t="s">
        <v>1968</v>
      </c>
      <c r="M266" t="s">
        <v>6007</v>
      </c>
      <c r="Q266" t="s">
        <v>92</v>
      </c>
      <c r="U266" t="s">
        <v>96</v>
      </c>
      <c r="V266" s="7">
        <v>32</v>
      </c>
      <c r="W266" s="3" t="str">
        <f>VLOOKUP(V266,SystemTableId,3,FALSE)</f>
        <v>sysModuleComponent</v>
      </c>
      <c r="X266" s="7"/>
      <c r="Z266" s="7"/>
      <c r="AC266" s="7"/>
      <c r="AD266" s="15"/>
      <c r="AE266" s="7"/>
      <c r="AK266" t="str">
        <f>"SELECT (SELECT '"&amp;C266&amp;"' ColumnName from "&amp;E266&amp;" where "&amp;F266&amp;" is null and exists (select from "&amp;E266&amp;") limit 1) a union all"</f>
        <v>SELECT (SELECT 'sysModuleComponentLogic.sysModuleComponentID' ColumnName from sysModuleComponentLogic where sysModuleComponentID is null and exists (select from sysModuleComponentLogic) limit 1) a union all</v>
      </c>
      <c r="AP266" t="e">
        <f t="shared" si="29"/>
        <v>#NAME?</v>
      </c>
    </row>
    <row r="267" spans="1:42">
      <c r="A267">
        <v>20550</v>
      </c>
      <c r="B267" t="s">
        <v>1475</v>
      </c>
      <c r="C267" s="3" t="str">
        <f t="shared" si="26"/>
        <v>sysModuleComponentLogic.sysModuleID</v>
      </c>
      <c r="D267" s="7">
        <v>33</v>
      </c>
      <c r="E267" s="3" t="str">
        <f t="shared" si="27"/>
        <v>sysModuleComponentLogic</v>
      </c>
      <c r="F267" t="str">
        <f>VLOOKUP(V267,SystemTableId,3,FALSE)&amp;"ID"&amp;X267</f>
        <v>sysModuleID</v>
      </c>
      <c r="G267" t="s">
        <v>1933</v>
      </c>
      <c r="H267" s="3" t="str">
        <f t="shared" si="28"/>
        <v>System.ModuleComponentLogic</v>
      </c>
      <c r="K267" s="7" t="s">
        <v>1171</v>
      </c>
      <c r="M267" t="s">
        <v>6007</v>
      </c>
      <c r="Q267" t="s">
        <v>92</v>
      </c>
      <c r="U267" t="s">
        <v>96</v>
      </c>
      <c r="V267" s="7">
        <v>31</v>
      </c>
      <c r="W267" s="3" t="str">
        <f>VLOOKUP(V267,SystemTableId,3,FALSE)</f>
        <v>sysModule</v>
      </c>
      <c r="X267" s="7"/>
      <c r="Z267" s="7"/>
      <c r="AC267" s="7"/>
      <c r="AD267" s="15"/>
      <c r="AE267" s="7"/>
      <c r="AK267" t="str">
        <f>"SELECT (SELECT '"&amp;C267&amp;"' ColumnName from "&amp;E267&amp;" where "&amp;F267&amp;" is null and exists (select from "&amp;E267&amp;") limit 1) a union all"</f>
        <v>SELECT (SELECT 'sysModuleComponentLogic.sysModuleID' ColumnName from sysModuleComponentLogic where sysModuleID is null and exists (select from sysModuleComponentLogic) limit 1) a union all</v>
      </c>
      <c r="AP267" t="e">
        <f t="shared" si="29"/>
        <v>#NAME?</v>
      </c>
    </row>
    <row r="268" spans="1:42">
      <c r="A268">
        <v>20640</v>
      </c>
      <c r="B268" t="s">
        <v>1475</v>
      </c>
      <c r="C268" s="3" t="str">
        <f t="shared" si="26"/>
        <v>sysModuleComponentProp.Command</v>
      </c>
      <c r="D268" s="7">
        <v>34</v>
      </c>
      <c r="E268" s="3" t="str">
        <f t="shared" si="27"/>
        <v>sysModuleComponentProp</v>
      </c>
      <c r="F268" s="7" t="s">
        <v>35</v>
      </c>
      <c r="G268" t="s">
        <v>35</v>
      </c>
      <c r="H268" s="3" t="str">
        <f t="shared" si="28"/>
        <v>System.ModuleComponentProp</v>
      </c>
      <c r="K268" s="7" t="s">
        <v>35</v>
      </c>
      <c r="M268" t="s">
        <v>1073</v>
      </c>
      <c r="O268" s="7"/>
      <c r="Q268" t="s">
        <v>92</v>
      </c>
      <c r="U268" s="7" t="s">
        <v>93</v>
      </c>
      <c r="AC268" s="7"/>
      <c r="AD268" s="15"/>
      <c r="AE268" s="7"/>
      <c r="AJ268" t="str">
        <f>"SELECT (SELECT '"&amp;C268&amp;"' ColumnName from "&amp;E268&amp;" where "&amp;F268&amp;" is null and exists (select from "&amp;E268&amp;") limit 1) ColumnName union all"</f>
        <v>SELECT (SELECT 'sysModuleComponentProp.Command' ColumnName from sysModuleComponentProp where Command is null and exists (select from sysModuleComponentProp) limit 1) ColumnName union all</v>
      </c>
      <c r="AL268" t="str">
        <f>"ALTER TABLE "&amp;E268&amp;" ALTER COLUMN "&amp;F268&amp;" DROP NOT NULL"</f>
        <v>ALTER TABLE sysModuleComponentProp ALTER COLUMN Command DROP NOT NULL</v>
      </c>
      <c r="AP268" t="e">
        <f t="shared" si="29"/>
        <v>#NAME?</v>
      </c>
    </row>
    <row r="269" spans="1:42">
      <c r="A269">
        <v>20590</v>
      </c>
      <c r="B269" t="s">
        <v>1475</v>
      </c>
      <c r="C269" s="3" t="str">
        <f t="shared" si="26"/>
        <v>sysModuleComponentProp.Id</v>
      </c>
      <c r="D269" s="7">
        <v>34</v>
      </c>
      <c r="E269" s="3" t="str">
        <f t="shared" si="27"/>
        <v>sysModuleComponentProp</v>
      </c>
      <c r="F269" t="s">
        <v>1539</v>
      </c>
      <c r="G269" s="3" t="s">
        <v>6812</v>
      </c>
      <c r="H269" s="3" t="str">
        <f t="shared" si="28"/>
        <v>System.ModuleComponentProp</v>
      </c>
      <c r="K269" s="7" t="s">
        <v>0</v>
      </c>
      <c r="M269" t="s">
        <v>6007</v>
      </c>
      <c r="N269" s="7"/>
      <c r="O269" s="7"/>
      <c r="Q269" t="s">
        <v>919</v>
      </c>
      <c r="U269" s="7" t="s">
        <v>95</v>
      </c>
      <c r="V269" s="7"/>
      <c r="W269" s="7"/>
      <c r="X269" s="7"/>
      <c r="Z269" s="7"/>
      <c r="AC269" s="7"/>
      <c r="AD269" s="15"/>
      <c r="AE269" s="7"/>
      <c r="AJ269" t="str">
        <f>"SELECT (SELECT '"&amp;C269&amp;"' ColumnName from "&amp;E269&amp;" where "&amp;F269&amp;" is null and exists (select from "&amp;E269&amp;") limit 1) ColumnName union all"</f>
        <v>SELECT (SELECT 'sysModuleComponentProp.Id' ColumnName from sysModuleComponentProp where Id is null and exists (select from sysModuleComponentProp) limit 1) ColumnName union all</v>
      </c>
      <c r="AL269" t="str">
        <f>"ALTER TABLE "&amp;E269&amp;" ALTER COLUMN "&amp;F269&amp;" DROP NOT NULL"</f>
        <v>ALTER TABLE sysModuleComponentProp ALTER COLUMN Id DROP NOT NULL</v>
      </c>
      <c r="AP269" t="e">
        <f t="shared" si="29"/>
        <v>#NAME?</v>
      </c>
    </row>
    <row r="270" spans="1:42">
      <c r="A270">
        <v>20650</v>
      </c>
      <c r="B270" t="s">
        <v>1475</v>
      </c>
      <c r="C270" s="3" t="str">
        <f t="shared" si="26"/>
        <v>sysModuleComponentProp.IsRenderPropertyNeeded</v>
      </c>
      <c r="D270" s="7">
        <v>34</v>
      </c>
      <c r="E270" s="3" t="str">
        <f t="shared" si="27"/>
        <v>sysModuleComponentProp</v>
      </c>
      <c r="F270" s="7" t="s">
        <v>6163</v>
      </c>
      <c r="G270" t="s">
        <v>1972</v>
      </c>
      <c r="H270" s="3" t="str">
        <f t="shared" si="28"/>
        <v>System.ModuleComponentProp</v>
      </c>
      <c r="K270" s="7" t="s">
        <v>1973</v>
      </c>
      <c r="M270" s="3" t="s">
        <v>2402</v>
      </c>
      <c r="N270" s="7"/>
      <c r="O270" s="7"/>
      <c r="Q270" t="s">
        <v>92</v>
      </c>
      <c r="U270" s="7" t="s">
        <v>93</v>
      </c>
      <c r="V270" s="7"/>
      <c r="W270" s="7"/>
      <c r="X270" s="7"/>
      <c r="Z270" s="7"/>
      <c r="AC270" s="7"/>
      <c r="AD270" s="15"/>
      <c r="AE270" s="7"/>
      <c r="AJ270" t="str">
        <f>"SELECT (SELECT '"&amp;C270&amp;"' ColumnName from "&amp;E270&amp;" where "&amp;F270&amp;" is null and exists (select from "&amp;E270&amp;") limit 1) ColumnName union all"</f>
        <v>SELECT (SELECT 'sysModuleComponentProp.IsRenderPropertyNeeded' ColumnName from sysModuleComponentProp where IsRenderPropertyNeeded is null and exists (select from sysModuleComponentProp) limit 1) ColumnName union all</v>
      </c>
      <c r="AL270" t="str">
        <f>"ALTER TABLE "&amp;E270&amp;" ALTER COLUMN "&amp;F270&amp;" DROP NOT NULL"</f>
        <v>ALTER TABLE sysModuleComponentProp ALTER COLUMN IsRenderPropertyNeeded DROP NOT NULL</v>
      </c>
      <c r="AP270" t="e">
        <f t="shared" si="29"/>
        <v>#NAME?</v>
      </c>
    </row>
    <row r="271" spans="1:42">
      <c r="A271">
        <v>20670</v>
      </c>
      <c r="B271" t="s">
        <v>1475</v>
      </c>
      <c r="C271" s="3" t="str">
        <f t="shared" si="26"/>
        <v>sysModuleComponentProp.RowStatus</v>
      </c>
      <c r="D271" s="7">
        <v>34</v>
      </c>
      <c r="E271" s="3" t="str">
        <f t="shared" si="27"/>
        <v>sysModuleComponentProp</v>
      </c>
      <c r="F271" t="s">
        <v>1445</v>
      </c>
      <c r="G271" s="3" t="s">
        <v>6411</v>
      </c>
      <c r="H271" s="3" t="str">
        <f t="shared" si="28"/>
        <v>System.ModuleComponentProp</v>
      </c>
      <c r="K271" s="3" t="s">
        <v>2471</v>
      </c>
      <c r="M271" t="s">
        <v>976</v>
      </c>
      <c r="N271">
        <v>1</v>
      </c>
      <c r="O271" s="7"/>
      <c r="Q271" t="s">
        <v>919</v>
      </c>
      <c r="U271" s="7" t="s">
        <v>94</v>
      </c>
      <c r="V271" s="7"/>
      <c r="W271" s="7"/>
      <c r="X271" s="7"/>
      <c r="Z271" s="7"/>
      <c r="AC271" s="7"/>
      <c r="AD271" s="15"/>
      <c r="AE271" s="7"/>
      <c r="AK271" t="str">
        <f t="shared" ref="AK271:AK277" si="30">"SELECT (SELECT '"&amp;C271&amp;"' ColumnName from "&amp;E271&amp;" where "&amp;F271&amp;" is null and exists (select from "&amp;E271&amp;") limit 1) a union all"</f>
        <v>SELECT (SELECT 'sysModuleComponentProp.RowStatus' ColumnName from sysModuleComponentProp where RowStatus is null and exists (select from sysModuleComponentProp) limit 1) a union all</v>
      </c>
      <c r="AP271" t="e">
        <f t="shared" si="29"/>
        <v>#NAME?</v>
      </c>
    </row>
    <row r="272" spans="1:42">
      <c r="A272">
        <v>20680</v>
      </c>
      <c r="B272" t="s">
        <v>1475</v>
      </c>
      <c r="C272" s="3" t="str">
        <f t="shared" si="26"/>
        <v>sysModuleComponentProp.sysChangeHistoryID</v>
      </c>
      <c r="D272" s="7">
        <v>34</v>
      </c>
      <c r="E272" s="3" t="str">
        <f t="shared" si="27"/>
        <v>sysModuleComponentProp</v>
      </c>
      <c r="F272" t="s">
        <v>2497</v>
      </c>
      <c r="G272" s="3" t="s">
        <v>6403</v>
      </c>
      <c r="H272" s="3" t="str">
        <f t="shared" si="28"/>
        <v>System.ModuleComponentProp</v>
      </c>
      <c r="K272" t="s">
        <v>1210</v>
      </c>
      <c r="M272" t="s">
        <v>6007</v>
      </c>
      <c r="N272" s="7"/>
      <c r="O272" s="7"/>
      <c r="P272" s="7"/>
      <c r="Q272" t="s">
        <v>919</v>
      </c>
      <c r="R272" s="7"/>
      <c r="S272" s="7"/>
      <c r="T272" s="8"/>
      <c r="U272" t="s">
        <v>1429</v>
      </c>
      <c r="AK272" t="str">
        <f t="shared" si="30"/>
        <v>SELECT (SELECT 'sysModuleComponentProp.sysChangeHistoryID' ColumnName from sysModuleComponentProp where sysChangeHistoryID is null and exists (select from sysModuleComponentProp) limit 1) a union all</v>
      </c>
      <c r="AP272" t="e">
        <f t="shared" si="29"/>
        <v>#NAME?</v>
      </c>
    </row>
    <row r="273" spans="1:42">
      <c r="A273">
        <v>20600</v>
      </c>
      <c r="B273" t="s">
        <v>1475</v>
      </c>
      <c r="C273" s="3" t="str">
        <f t="shared" si="26"/>
        <v>sysModuleComponentProp.sysComponentPropID</v>
      </c>
      <c r="D273" s="7">
        <v>34</v>
      </c>
      <c r="E273" s="3" t="str">
        <f t="shared" si="27"/>
        <v>sysModuleComponentProp</v>
      </c>
      <c r="F273" t="str">
        <f>VLOOKUP(V273,SystemTableId,3,FALSE)&amp;"ID"&amp;X273</f>
        <v>sysComponentPropID</v>
      </c>
      <c r="G273" t="s">
        <v>1969</v>
      </c>
      <c r="H273" s="3" t="str">
        <f t="shared" si="28"/>
        <v>System.ModuleComponentProp</v>
      </c>
      <c r="K273" s="7" t="s">
        <v>1970</v>
      </c>
      <c r="M273" t="s">
        <v>6007</v>
      </c>
      <c r="Q273" t="s">
        <v>92</v>
      </c>
      <c r="U273" t="s">
        <v>96</v>
      </c>
      <c r="V273" s="7">
        <v>22</v>
      </c>
      <c r="W273" s="3" t="str">
        <f>VLOOKUP(V273,SystemTableId,3,FALSE)</f>
        <v>sysComponentProp</v>
      </c>
      <c r="AC273" s="7"/>
      <c r="AD273" s="15"/>
      <c r="AE273" s="7"/>
      <c r="AK273" t="str">
        <f t="shared" si="30"/>
        <v>SELECT (SELECT 'sysModuleComponentProp.sysComponentPropID' ColumnName from sysModuleComponentProp where sysComponentPropID is null and exists (select from sysModuleComponentProp) limit 1) a union all</v>
      </c>
      <c r="AP273" t="e">
        <f t="shared" si="29"/>
        <v>#NAME?</v>
      </c>
    </row>
    <row r="274" spans="1:42">
      <c r="A274">
        <v>20610</v>
      </c>
      <c r="B274" t="s">
        <v>1475</v>
      </c>
      <c r="C274" s="3" t="str">
        <f t="shared" si="26"/>
        <v>sysModuleComponentProp.sysLogicID</v>
      </c>
      <c r="D274" s="7">
        <v>34</v>
      </c>
      <c r="E274" s="3" t="str">
        <f t="shared" si="27"/>
        <v>sysModuleComponentProp</v>
      </c>
      <c r="F274" t="str">
        <f>VLOOKUP(V274,SystemTableId,3,FALSE)&amp;"ID"&amp;X274</f>
        <v>sysLogicID</v>
      </c>
      <c r="G274" t="s">
        <v>1934</v>
      </c>
      <c r="H274" s="3" t="str">
        <f t="shared" si="28"/>
        <v>System.ModuleComponentProp</v>
      </c>
      <c r="K274" s="7" t="s">
        <v>1935</v>
      </c>
      <c r="M274" t="s">
        <v>6007</v>
      </c>
      <c r="Q274" t="s">
        <v>92</v>
      </c>
      <c r="U274" t="s">
        <v>96</v>
      </c>
      <c r="V274" s="7">
        <v>30</v>
      </c>
      <c r="W274" s="3" t="str">
        <f>VLOOKUP(V274,SystemTableId,3,FALSE)</f>
        <v>sysLogic</v>
      </c>
      <c r="X274" s="7"/>
      <c r="Z274" s="7"/>
      <c r="AC274" s="7"/>
      <c r="AD274" s="15"/>
      <c r="AE274" s="7"/>
      <c r="AK274" t="str">
        <f t="shared" si="30"/>
        <v>SELECT (SELECT 'sysModuleComponentProp.sysLogicID' ColumnName from sysModuleComponentProp where sysLogicID is null and exists (select from sysModuleComponentProp) limit 1) a union all</v>
      </c>
      <c r="AP274" t="e">
        <f t="shared" si="29"/>
        <v>#NAME?</v>
      </c>
    </row>
    <row r="275" spans="1:42">
      <c r="A275">
        <v>20620</v>
      </c>
      <c r="B275" t="s">
        <v>1475</v>
      </c>
      <c r="C275" s="3" t="str">
        <f t="shared" si="26"/>
        <v>sysModuleComponentProp.sysModuleComponentID</v>
      </c>
      <c r="D275" s="7">
        <v>34</v>
      </c>
      <c r="E275" s="3" t="str">
        <f t="shared" si="27"/>
        <v>sysModuleComponentProp</v>
      </c>
      <c r="F275" t="str">
        <f>VLOOKUP(V275,SystemTableId,3,FALSE)&amp;"ID"&amp;X275</f>
        <v>sysModuleComponentID</v>
      </c>
      <c r="G275" t="s">
        <v>1967</v>
      </c>
      <c r="H275" s="3" t="str">
        <f t="shared" si="28"/>
        <v>System.ModuleComponentProp</v>
      </c>
      <c r="K275" s="7" t="s">
        <v>1968</v>
      </c>
      <c r="M275" t="s">
        <v>6007</v>
      </c>
      <c r="Q275" t="s">
        <v>92</v>
      </c>
      <c r="U275" t="s">
        <v>96</v>
      </c>
      <c r="V275" s="7">
        <v>32</v>
      </c>
      <c r="W275" s="3" t="str">
        <f>VLOOKUP(V275,SystemTableId,3,FALSE)</f>
        <v>sysModuleComponent</v>
      </c>
      <c r="X275" s="7"/>
      <c r="Z275" s="7"/>
      <c r="AC275" s="7"/>
      <c r="AD275" s="15"/>
      <c r="AE275" s="7"/>
      <c r="AK275" t="str">
        <f t="shared" si="30"/>
        <v>SELECT (SELECT 'sysModuleComponentProp.sysModuleComponentID' ColumnName from sysModuleComponentProp where sysModuleComponentID is null and exists (select from sysModuleComponentProp) limit 1) a union all</v>
      </c>
      <c r="AP275" t="e">
        <f t="shared" si="29"/>
        <v>#NAME?</v>
      </c>
    </row>
    <row r="276" spans="1:42">
      <c r="A276">
        <v>20630</v>
      </c>
      <c r="B276" t="s">
        <v>1475</v>
      </c>
      <c r="C276" s="3" t="str">
        <f t="shared" si="26"/>
        <v>sysModuleComponentProp.sysModuleID</v>
      </c>
      <c r="D276" s="7">
        <v>34</v>
      </c>
      <c r="E276" s="3" t="str">
        <f t="shared" si="27"/>
        <v>sysModuleComponentProp</v>
      </c>
      <c r="F276" t="str">
        <f>VLOOKUP(V276,SystemTableId,3,FALSE)&amp;"ID"&amp;X276</f>
        <v>sysModuleID</v>
      </c>
      <c r="G276" t="s">
        <v>1933</v>
      </c>
      <c r="H276" s="3" t="str">
        <f t="shared" si="28"/>
        <v>System.ModuleComponentProp</v>
      </c>
      <c r="K276" s="7" t="s">
        <v>1171</v>
      </c>
      <c r="M276" t="s">
        <v>6007</v>
      </c>
      <c r="Q276" t="s">
        <v>92</v>
      </c>
      <c r="U276" t="s">
        <v>96</v>
      </c>
      <c r="V276" s="7">
        <v>31</v>
      </c>
      <c r="W276" s="3" t="str">
        <f>VLOOKUP(V276,SystemTableId,3,FALSE)</f>
        <v>sysModule</v>
      </c>
      <c r="X276" s="7"/>
      <c r="Z276" s="7"/>
      <c r="AC276" s="7"/>
      <c r="AD276" s="15"/>
      <c r="AE276" s="7"/>
      <c r="AK276" t="str">
        <f t="shared" si="30"/>
        <v>SELECT (SELECT 'sysModuleComponentProp.sysModuleID' ColumnName from sysModuleComponentProp where sysModuleID is null and exists (select from sysModuleComponentProp) limit 1) a union all</v>
      </c>
      <c r="AP276" t="e">
        <f t="shared" si="29"/>
        <v>#NAME?</v>
      </c>
    </row>
    <row r="277" spans="1:42">
      <c r="A277">
        <v>20660</v>
      </c>
      <c r="B277" t="s">
        <v>1475</v>
      </c>
      <c r="C277" s="3" t="str">
        <f t="shared" si="26"/>
        <v>sysModuleComponentProp.Value</v>
      </c>
      <c r="D277" s="7">
        <v>34</v>
      </c>
      <c r="E277" s="3" t="str">
        <f t="shared" si="27"/>
        <v>sysModuleComponentProp</v>
      </c>
      <c r="F277" s="7" t="s">
        <v>1971</v>
      </c>
      <c r="G277" t="s">
        <v>1971</v>
      </c>
      <c r="H277" s="3" t="str">
        <f t="shared" si="28"/>
        <v>System.ModuleComponentProp</v>
      </c>
      <c r="K277" s="7" t="s">
        <v>1971</v>
      </c>
      <c r="M277" t="s">
        <v>196</v>
      </c>
      <c r="N277" s="7"/>
      <c r="O277" s="7"/>
      <c r="Q277" t="s">
        <v>92</v>
      </c>
      <c r="U277" s="7" t="s">
        <v>93</v>
      </c>
      <c r="AC277" s="7"/>
      <c r="AD277" s="15"/>
      <c r="AE277" s="7"/>
      <c r="AK277" t="str">
        <f t="shared" si="30"/>
        <v>SELECT (SELECT 'sysModuleComponentProp.Value' ColumnName from sysModuleComponentProp where Value is null and exists (select from sysModuleComponentProp) limit 1) a union all</v>
      </c>
      <c r="AP277" t="e">
        <f t="shared" si="29"/>
        <v>#NAME?</v>
      </c>
    </row>
    <row r="278" spans="1:42">
      <c r="A278">
        <v>20730</v>
      </c>
      <c r="B278" t="s">
        <v>1475</v>
      </c>
      <c r="C278" s="3" t="str">
        <f t="shared" si="26"/>
        <v>sysModuleComponentReducer.Command</v>
      </c>
      <c r="D278">
        <v>35</v>
      </c>
      <c r="E278" s="3" t="str">
        <f t="shared" si="27"/>
        <v>sysModuleComponentReducer</v>
      </c>
      <c r="F278" s="7" t="s">
        <v>35</v>
      </c>
      <c r="G278" t="s">
        <v>35</v>
      </c>
      <c r="H278" s="3" t="str">
        <f t="shared" si="28"/>
        <v>System.ModuleComponentReducer</v>
      </c>
      <c r="K278" t="s">
        <v>35</v>
      </c>
      <c r="M278" t="s">
        <v>1073</v>
      </c>
      <c r="Q278" t="s">
        <v>92</v>
      </c>
      <c r="U278" t="s">
        <v>93</v>
      </c>
      <c r="AC278" s="7"/>
      <c r="AD278" s="15"/>
      <c r="AE278" s="7"/>
      <c r="AJ278" t="str">
        <f>"SELECT (SELECT '"&amp;C278&amp;"' ColumnName from "&amp;E278&amp;" where "&amp;F278&amp;" is null and exists (select from "&amp;E278&amp;") limit 1) ColumnName union all"</f>
        <v>SELECT (SELECT 'sysModuleComponentReducer.Command' ColumnName from sysModuleComponentReducer where Command is null and exists (select from sysModuleComponentReducer) limit 1) ColumnName union all</v>
      </c>
      <c r="AL278" t="str">
        <f>"ALTER TABLE "&amp;E278&amp;" ALTER COLUMN "&amp;F278&amp;" DROP NOT NULL"</f>
        <v>ALTER TABLE sysModuleComponentReducer ALTER COLUMN Command DROP NOT NULL</v>
      </c>
      <c r="AP278" t="e">
        <f t="shared" si="29"/>
        <v>#NAME?</v>
      </c>
    </row>
    <row r="279" spans="1:42">
      <c r="A279">
        <v>20690</v>
      </c>
      <c r="B279" t="s">
        <v>1475</v>
      </c>
      <c r="C279" s="3" t="str">
        <f t="shared" si="26"/>
        <v>sysModuleComponentReducer.Id</v>
      </c>
      <c r="D279">
        <v>35</v>
      </c>
      <c r="E279" s="3" t="str">
        <f t="shared" si="27"/>
        <v>sysModuleComponentReducer</v>
      </c>
      <c r="F279" t="s">
        <v>1539</v>
      </c>
      <c r="G279" s="3" t="s">
        <v>6813</v>
      </c>
      <c r="H279" s="3" t="str">
        <f t="shared" si="28"/>
        <v>System.ModuleComponentReducer</v>
      </c>
      <c r="K279" t="s">
        <v>1539</v>
      </c>
      <c r="M279" t="s">
        <v>6007</v>
      </c>
      <c r="Q279" t="s">
        <v>919</v>
      </c>
      <c r="U279" t="s">
        <v>95</v>
      </c>
      <c r="V279" s="7"/>
      <c r="W279" s="7"/>
      <c r="X279" s="7"/>
      <c r="Z279" s="7"/>
      <c r="AC279" s="7"/>
      <c r="AD279" s="15"/>
      <c r="AE279" s="7"/>
      <c r="AJ279" t="str">
        <f>"SELECT (SELECT '"&amp;C279&amp;"' ColumnName from "&amp;E279&amp;" where "&amp;F279&amp;" is null and exists (select from "&amp;E279&amp;") limit 1) ColumnName union all"</f>
        <v>SELECT (SELECT 'sysModuleComponentReducer.Id' ColumnName from sysModuleComponentReducer where Id is null and exists (select from sysModuleComponentReducer) limit 1) ColumnName union all</v>
      </c>
      <c r="AL279" t="str">
        <f>"ALTER TABLE "&amp;E279&amp;" ALTER COLUMN "&amp;F279&amp;" DROP NOT NULL"</f>
        <v>ALTER TABLE sysModuleComponentReducer ALTER COLUMN Id DROP NOT NULL</v>
      </c>
      <c r="AP279" t="e">
        <f t="shared" si="29"/>
        <v>#NAME?</v>
      </c>
    </row>
    <row r="280" spans="1:42">
      <c r="A280">
        <v>20740</v>
      </c>
      <c r="B280" t="s">
        <v>1475</v>
      </c>
      <c r="C280" s="3" t="str">
        <f t="shared" si="26"/>
        <v>sysModuleComponentReducer.RowStatus</v>
      </c>
      <c r="D280">
        <v>35</v>
      </c>
      <c r="E280" s="3" t="str">
        <f t="shared" si="27"/>
        <v>sysModuleComponentReducer</v>
      </c>
      <c r="F280" t="s">
        <v>1445</v>
      </c>
      <c r="G280" s="3" t="s">
        <v>6411</v>
      </c>
      <c r="H280" s="3" t="str">
        <f t="shared" si="28"/>
        <v>System.ModuleComponentReducer</v>
      </c>
      <c r="K280" s="3" t="s">
        <v>2471</v>
      </c>
      <c r="M280" t="s">
        <v>976</v>
      </c>
      <c r="N280">
        <v>1</v>
      </c>
      <c r="Q280" t="s">
        <v>919</v>
      </c>
      <c r="S280" s="14"/>
      <c r="U280" t="s">
        <v>94</v>
      </c>
      <c r="V280" s="7"/>
      <c r="W280" s="7"/>
      <c r="X280" s="7"/>
      <c r="Z280" s="7"/>
      <c r="AC280" s="7"/>
      <c r="AD280" s="15"/>
      <c r="AE280" s="7"/>
      <c r="AJ280" t="str">
        <f>"SELECT (SELECT '"&amp;C280&amp;"' ColumnName from "&amp;E280&amp;" where "&amp;F280&amp;" is null and exists (select from "&amp;E280&amp;") limit 1) ColumnName union all"</f>
        <v>SELECT (SELECT 'sysModuleComponentReducer.RowStatus' ColumnName from sysModuleComponentReducer where RowStatus is null and exists (select from sysModuleComponentReducer) limit 1) ColumnName union all</v>
      </c>
      <c r="AL280" t="str">
        <f>"ALTER TABLE "&amp;E280&amp;" ALTER COLUMN "&amp;F280&amp;" DROP NOT NULL"</f>
        <v>ALTER TABLE sysModuleComponentReducer ALTER COLUMN RowStatus DROP NOT NULL</v>
      </c>
      <c r="AP280" t="e">
        <f t="shared" si="29"/>
        <v>#NAME?</v>
      </c>
    </row>
    <row r="281" spans="1:42">
      <c r="A281">
        <v>20750</v>
      </c>
      <c r="B281" t="s">
        <v>1475</v>
      </c>
      <c r="C281" s="3" t="str">
        <f t="shared" si="26"/>
        <v>sysModuleComponentReducer.sysChangeHistoryID</v>
      </c>
      <c r="D281" s="7">
        <v>35</v>
      </c>
      <c r="E281" s="3" t="str">
        <f t="shared" si="27"/>
        <v>sysModuleComponentReducer</v>
      </c>
      <c r="F281" t="s">
        <v>2497</v>
      </c>
      <c r="G281" s="3" t="s">
        <v>6403</v>
      </c>
      <c r="H281" s="3" t="str">
        <f t="shared" si="28"/>
        <v>System.ModuleComponentReducer</v>
      </c>
      <c r="K281" t="s">
        <v>1210</v>
      </c>
      <c r="M281" t="s">
        <v>6007</v>
      </c>
      <c r="N281" s="7"/>
      <c r="O281" s="7"/>
      <c r="P281" s="7"/>
      <c r="Q281" t="s">
        <v>919</v>
      </c>
      <c r="R281" s="7"/>
      <c r="S281" s="7"/>
      <c r="T281" s="8"/>
      <c r="U281" t="s">
        <v>1429</v>
      </c>
      <c r="AK281" t="str">
        <f>"SELECT (SELECT '"&amp;C281&amp;"' ColumnName from "&amp;E281&amp;" where "&amp;F281&amp;" is null and exists (select from "&amp;E281&amp;") limit 1) a union all"</f>
        <v>SELECT (SELECT 'sysModuleComponentReducer.sysChangeHistoryID' ColumnName from sysModuleComponentReducer where sysChangeHistoryID is null and exists (select from sysModuleComponentReducer) limit 1) a union all</v>
      </c>
      <c r="AP281" t="e">
        <f t="shared" si="29"/>
        <v>#NAME?</v>
      </c>
    </row>
    <row r="282" spans="1:42">
      <c r="A282">
        <v>20700</v>
      </c>
      <c r="B282" t="s">
        <v>1475</v>
      </c>
      <c r="C282" s="3" t="str">
        <f t="shared" si="26"/>
        <v>sysModuleComponentReducer.sysModuleComponentID</v>
      </c>
      <c r="D282">
        <v>35</v>
      </c>
      <c r="E282" s="3" t="str">
        <f t="shared" si="27"/>
        <v>sysModuleComponentReducer</v>
      </c>
      <c r="F282" t="str">
        <f>VLOOKUP(V282,SystemTableId,3,FALSE)&amp;"ID"&amp;X282</f>
        <v>sysModuleComponentID</v>
      </c>
      <c r="G282" t="s">
        <v>1967</v>
      </c>
      <c r="H282" s="3" t="str">
        <f t="shared" si="28"/>
        <v>System.ModuleComponentReducer</v>
      </c>
      <c r="K282" t="s">
        <v>1968</v>
      </c>
      <c r="M282" t="s">
        <v>6007</v>
      </c>
      <c r="Q282" t="s">
        <v>92</v>
      </c>
      <c r="U282" t="s">
        <v>96</v>
      </c>
      <c r="V282" s="7">
        <v>32</v>
      </c>
      <c r="W282" s="3" t="str">
        <f>VLOOKUP(V282,SystemTableId,3,FALSE)</f>
        <v>sysModuleComponent</v>
      </c>
      <c r="X282" s="7"/>
      <c r="Z282" s="7"/>
      <c r="AC282" s="7"/>
      <c r="AD282" s="15"/>
      <c r="AE282" s="7"/>
      <c r="AK282" t="str">
        <f>"SELECT (SELECT '"&amp;C282&amp;"' ColumnName from "&amp;E282&amp;" where "&amp;F282&amp;" is null and exists (select from "&amp;E282&amp;") limit 1) a union all"</f>
        <v>SELECT (SELECT 'sysModuleComponentReducer.sysModuleComponentID' ColumnName from sysModuleComponentReducer where sysModuleComponentID is null and exists (select from sysModuleComponentReducer) limit 1) a union all</v>
      </c>
      <c r="AP282" t="e">
        <f t="shared" si="29"/>
        <v>#NAME?</v>
      </c>
    </row>
    <row r="283" spans="1:42">
      <c r="A283">
        <v>20710</v>
      </c>
      <c r="B283" t="s">
        <v>1475</v>
      </c>
      <c r="C283" s="3" t="str">
        <f t="shared" si="26"/>
        <v>sysModuleComponentReducer.sysModuleID</v>
      </c>
      <c r="D283">
        <v>35</v>
      </c>
      <c r="E283" s="3" t="str">
        <f t="shared" si="27"/>
        <v>sysModuleComponentReducer</v>
      </c>
      <c r="F283" t="str">
        <f>VLOOKUP(V283,SystemTableId,3,FALSE)&amp;"ID"&amp;X283</f>
        <v>sysModuleID</v>
      </c>
      <c r="G283" t="s">
        <v>1933</v>
      </c>
      <c r="H283" s="3" t="str">
        <f t="shared" si="28"/>
        <v>System.ModuleComponentReducer</v>
      </c>
      <c r="K283" t="s">
        <v>1171</v>
      </c>
      <c r="M283" t="s">
        <v>6007</v>
      </c>
      <c r="Q283" t="s">
        <v>92</v>
      </c>
      <c r="U283" t="s">
        <v>96</v>
      </c>
      <c r="V283" s="7">
        <v>31</v>
      </c>
      <c r="W283" s="3" t="str">
        <f>VLOOKUP(V283,SystemTableId,3,FALSE)</f>
        <v>sysModule</v>
      </c>
      <c r="X283" s="7"/>
      <c r="Z283" s="7"/>
      <c r="AC283" s="7"/>
      <c r="AD283" s="15"/>
      <c r="AE283" s="7"/>
      <c r="AK283" t="str">
        <f>"SELECT (SELECT '"&amp;C283&amp;"' ColumnName from "&amp;E283&amp;" where "&amp;F283&amp;" is null and exists (select from "&amp;E283&amp;") limit 1) a union all"</f>
        <v>SELECT (SELECT 'sysModuleComponentReducer.sysModuleID' ColumnName from sysModuleComponentReducer where sysModuleID is null and exists (select from sysModuleComponentReducer) limit 1) a union all</v>
      </c>
      <c r="AP283" t="e">
        <f t="shared" si="29"/>
        <v>#NAME?</v>
      </c>
    </row>
    <row r="284" spans="1:42">
      <c r="A284">
        <v>20720</v>
      </c>
      <c r="B284" t="s">
        <v>1475</v>
      </c>
      <c r="C284" s="3" t="str">
        <f t="shared" si="26"/>
        <v>sysModuleComponentReducer.sysReducerID</v>
      </c>
      <c r="D284">
        <v>35</v>
      </c>
      <c r="E284" s="3" t="str">
        <f t="shared" si="27"/>
        <v>sysModuleComponentReducer</v>
      </c>
      <c r="F284" t="str">
        <f>VLOOKUP(V284,SystemTableId,3,FALSE)&amp;"ID"&amp;X284</f>
        <v>sysReducerID</v>
      </c>
      <c r="G284" t="s">
        <v>1999</v>
      </c>
      <c r="H284" s="3" t="str">
        <f t="shared" si="28"/>
        <v>System.ModuleComponentReducer</v>
      </c>
      <c r="K284" t="s">
        <v>2000</v>
      </c>
      <c r="M284" t="s">
        <v>6007</v>
      </c>
      <c r="Q284" t="s">
        <v>92</v>
      </c>
      <c r="U284" t="s">
        <v>96</v>
      </c>
      <c r="V284" s="7">
        <v>62</v>
      </c>
      <c r="W284" s="3" t="str">
        <f>VLOOKUP(V284,SystemTableId,3,FALSE)</f>
        <v>sysReducer</v>
      </c>
      <c r="X284" s="7"/>
      <c r="Z284" s="7"/>
      <c r="AC284" s="7"/>
      <c r="AD284" s="15"/>
      <c r="AE284" s="7"/>
      <c r="AK284" t="str">
        <f>"SELECT (SELECT '"&amp;C284&amp;"' ColumnName from "&amp;E284&amp;" where "&amp;F284&amp;" is null and exists (select from "&amp;E284&amp;") limit 1) a union all"</f>
        <v>SELECT (SELECT 'sysModuleComponentReducer.sysReducerID' ColumnName from sysModuleComponentReducer where sysReducerID is null and exists (select from sysModuleComponentReducer) limit 1) a union all</v>
      </c>
      <c r="AP284" t="e">
        <f t="shared" si="29"/>
        <v>#NAME?</v>
      </c>
    </row>
    <row r="285" spans="1:42">
      <c r="A285">
        <v>20800</v>
      </c>
      <c r="B285" t="s">
        <v>1475</v>
      </c>
      <c r="C285" s="3" t="str">
        <f t="shared" si="26"/>
        <v>sysModuleComponentState.Command</v>
      </c>
      <c r="D285">
        <v>36</v>
      </c>
      <c r="E285" s="3" t="str">
        <f t="shared" si="27"/>
        <v>sysModuleComponentState</v>
      </c>
      <c r="F285" s="7" t="s">
        <v>35</v>
      </c>
      <c r="G285" t="s">
        <v>35</v>
      </c>
      <c r="H285" s="3" t="str">
        <f t="shared" si="28"/>
        <v>System.ModuleComponentState</v>
      </c>
      <c r="K285" t="s">
        <v>35</v>
      </c>
      <c r="M285" t="s">
        <v>1073</v>
      </c>
      <c r="Q285" t="s">
        <v>92</v>
      </c>
      <c r="U285" t="s">
        <v>93</v>
      </c>
      <c r="AC285" s="7"/>
      <c r="AD285" s="15"/>
      <c r="AE285" s="7"/>
      <c r="AJ285" t="str">
        <f>"SELECT (SELECT '"&amp;C285&amp;"' ColumnName from "&amp;E285&amp;" where "&amp;F285&amp;" is null and exists (select from "&amp;E285&amp;") limit 1) ColumnName union all"</f>
        <v>SELECT (SELECT 'sysModuleComponentState.Command' ColumnName from sysModuleComponentState where Command is null and exists (select from sysModuleComponentState) limit 1) ColumnName union all</v>
      </c>
      <c r="AL285" t="str">
        <f>"ALTER TABLE "&amp;E285&amp;" ALTER COLUMN "&amp;F285&amp;" DROP NOT NULL"</f>
        <v>ALTER TABLE sysModuleComponentState ALTER COLUMN Command DROP NOT NULL</v>
      </c>
      <c r="AP285" t="e">
        <f t="shared" si="29"/>
        <v>#NAME?</v>
      </c>
    </row>
    <row r="286" spans="1:42">
      <c r="A286">
        <v>20760</v>
      </c>
      <c r="B286" t="s">
        <v>1475</v>
      </c>
      <c r="C286" s="3" t="str">
        <f t="shared" si="26"/>
        <v>sysModuleComponentState.Id</v>
      </c>
      <c r="D286">
        <v>36</v>
      </c>
      <c r="E286" s="3" t="str">
        <f t="shared" si="27"/>
        <v>sysModuleComponentState</v>
      </c>
      <c r="F286" t="s">
        <v>1539</v>
      </c>
      <c r="G286" s="3" t="s">
        <v>6814</v>
      </c>
      <c r="H286" s="3" t="str">
        <f t="shared" si="28"/>
        <v>System.ModuleComponentState</v>
      </c>
      <c r="K286" t="s">
        <v>1539</v>
      </c>
      <c r="M286" t="s">
        <v>6007</v>
      </c>
      <c r="Q286" t="s">
        <v>919</v>
      </c>
      <c r="U286" t="s">
        <v>95</v>
      </c>
      <c r="V286" s="7"/>
      <c r="W286" s="7"/>
      <c r="X286" s="7"/>
      <c r="Z286" s="7"/>
      <c r="AC286" s="7"/>
      <c r="AD286" s="15"/>
      <c r="AE286" s="7"/>
      <c r="AJ286" t="str">
        <f>"SELECT (SELECT '"&amp;C286&amp;"' ColumnName from "&amp;E286&amp;" where "&amp;F286&amp;" is null and exists (select from "&amp;E286&amp;") limit 1) ColumnName union all"</f>
        <v>SELECT (SELECT 'sysModuleComponentState.Id' ColumnName from sysModuleComponentState where Id is null and exists (select from sysModuleComponentState) limit 1) ColumnName union all</v>
      </c>
      <c r="AL286" t="str">
        <f>"ALTER TABLE "&amp;E286&amp;" ALTER COLUMN "&amp;F286&amp;" DROP NOT NULL"</f>
        <v>ALTER TABLE sysModuleComponentState ALTER COLUMN Id DROP NOT NULL</v>
      </c>
      <c r="AP286" t="e">
        <f t="shared" si="29"/>
        <v>#NAME?</v>
      </c>
    </row>
    <row r="287" spans="1:42">
      <c r="A287">
        <v>20810</v>
      </c>
      <c r="B287" t="s">
        <v>1475</v>
      </c>
      <c r="C287" s="3" t="str">
        <f t="shared" si="26"/>
        <v>sysModuleComponentState.RowStatus</v>
      </c>
      <c r="D287">
        <v>36</v>
      </c>
      <c r="E287" s="3" t="str">
        <f t="shared" si="27"/>
        <v>sysModuleComponentState</v>
      </c>
      <c r="F287" t="s">
        <v>1445</v>
      </c>
      <c r="G287" s="3" t="s">
        <v>6411</v>
      </c>
      <c r="H287" s="3" t="str">
        <f t="shared" si="28"/>
        <v>System.ModuleComponentState</v>
      </c>
      <c r="K287" s="3" t="s">
        <v>2471</v>
      </c>
      <c r="M287" t="s">
        <v>976</v>
      </c>
      <c r="N287">
        <v>1</v>
      </c>
      <c r="Q287" t="s">
        <v>919</v>
      </c>
      <c r="S287" s="14"/>
      <c r="U287" t="s">
        <v>94</v>
      </c>
      <c r="V287" s="7"/>
      <c r="W287" s="7"/>
      <c r="X287" s="7"/>
      <c r="Z287" s="7"/>
      <c r="AC287" s="7"/>
      <c r="AD287" s="15"/>
      <c r="AE287" s="7"/>
      <c r="AJ287" t="str">
        <f>"SELECT (SELECT '"&amp;C287&amp;"' ColumnName from "&amp;E287&amp;" where "&amp;F287&amp;" is null and exists (select from "&amp;E287&amp;") limit 1) ColumnName union all"</f>
        <v>SELECT (SELECT 'sysModuleComponentState.RowStatus' ColumnName from sysModuleComponentState where RowStatus is null and exists (select from sysModuleComponentState) limit 1) ColumnName union all</v>
      </c>
      <c r="AL287" t="str">
        <f>"ALTER TABLE "&amp;E287&amp;" ALTER COLUMN "&amp;F287&amp;" DROP NOT NULL"</f>
        <v>ALTER TABLE sysModuleComponentState ALTER COLUMN RowStatus DROP NOT NULL</v>
      </c>
      <c r="AP287" t="e">
        <f t="shared" si="29"/>
        <v>#NAME?</v>
      </c>
    </row>
    <row r="288" spans="1:42">
      <c r="A288">
        <v>20820</v>
      </c>
      <c r="B288" t="s">
        <v>1475</v>
      </c>
      <c r="C288" s="3" t="str">
        <f t="shared" si="26"/>
        <v>sysModuleComponentState.sysChangeHistoryID</v>
      </c>
      <c r="D288" s="7">
        <v>36</v>
      </c>
      <c r="E288" s="3" t="str">
        <f t="shared" si="27"/>
        <v>sysModuleComponentState</v>
      </c>
      <c r="F288" t="s">
        <v>2497</v>
      </c>
      <c r="G288" s="3" t="s">
        <v>6403</v>
      </c>
      <c r="H288" s="3" t="str">
        <f t="shared" si="28"/>
        <v>System.ModuleComponentState</v>
      </c>
      <c r="K288" t="s">
        <v>1210</v>
      </c>
      <c r="M288" t="s">
        <v>6007</v>
      </c>
      <c r="N288" s="7"/>
      <c r="O288" s="7"/>
      <c r="P288" s="7"/>
      <c r="Q288" t="s">
        <v>919</v>
      </c>
      <c r="R288" s="7"/>
      <c r="S288" s="7"/>
      <c r="T288" s="8"/>
      <c r="U288" t="s">
        <v>1429</v>
      </c>
      <c r="AK288" t="str">
        <f>"SELECT (SELECT '"&amp;C288&amp;"' ColumnName from "&amp;E288&amp;" where "&amp;F288&amp;" is null and exists (select from "&amp;E288&amp;") limit 1) a union all"</f>
        <v>SELECT (SELECT 'sysModuleComponentState.sysChangeHistoryID' ColumnName from sysModuleComponentState where sysChangeHistoryID is null and exists (select from sysModuleComponentState) limit 1) a union all</v>
      </c>
      <c r="AP288" t="e">
        <f t="shared" si="29"/>
        <v>#NAME?</v>
      </c>
    </row>
    <row r="289" spans="1:42">
      <c r="A289">
        <v>20770</v>
      </c>
      <c r="B289" t="s">
        <v>1475</v>
      </c>
      <c r="C289" s="3" t="str">
        <f t="shared" si="26"/>
        <v>sysModuleComponentState.sysInitialStateID</v>
      </c>
      <c r="D289">
        <v>36</v>
      </c>
      <c r="E289" s="3" t="str">
        <f t="shared" si="27"/>
        <v>sysModuleComponentState</v>
      </c>
      <c r="F289" t="str">
        <f>VLOOKUP(V289,SystemTableId,3,FALSE)&amp;"ID"&amp;X289</f>
        <v>sysInitialStateID</v>
      </c>
      <c r="G289" t="s">
        <v>2001</v>
      </c>
      <c r="H289" s="3" t="str">
        <f t="shared" si="28"/>
        <v>System.ModuleComponentState</v>
      </c>
      <c r="K289" t="s">
        <v>2002</v>
      </c>
      <c r="M289" t="s">
        <v>6007</v>
      </c>
      <c r="Q289" t="s">
        <v>92</v>
      </c>
      <c r="U289" t="s">
        <v>96</v>
      </c>
      <c r="V289" s="7">
        <v>27</v>
      </c>
      <c r="W289" s="3" t="str">
        <f>VLOOKUP(V289,SystemTableId,3,FALSE)</f>
        <v>sysInitialState</v>
      </c>
      <c r="AC289" s="7"/>
      <c r="AD289" s="15"/>
      <c r="AE289" s="7"/>
      <c r="AK289" t="str">
        <f>"SELECT (SELECT '"&amp;C289&amp;"' ColumnName from "&amp;E289&amp;" where "&amp;F289&amp;" is null and exists (select from "&amp;E289&amp;") limit 1) a union all"</f>
        <v>SELECT (SELECT 'sysModuleComponentState.sysInitialStateID' ColumnName from sysModuleComponentState where sysInitialStateID is null and exists (select from sysModuleComponentState) limit 1) a union all</v>
      </c>
      <c r="AP289" t="e">
        <f t="shared" si="29"/>
        <v>#NAME?</v>
      </c>
    </row>
    <row r="290" spans="1:42">
      <c r="A290">
        <v>20780</v>
      </c>
      <c r="B290" t="s">
        <v>1475</v>
      </c>
      <c r="C290" s="3" t="str">
        <f t="shared" si="26"/>
        <v>sysModuleComponentState.sysModuleComponentID</v>
      </c>
      <c r="D290">
        <v>36</v>
      </c>
      <c r="E290" s="3" t="str">
        <f t="shared" si="27"/>
        <v>sysModuleComponentState</v>
      </c>
      <c r="F290" t="str">
        <f>VLOOKUP(V290,SystemTableId,3,FALSE)&amp;"ID"&amp;X290</f>
        <v>sysModuleComponentID</v>
      </c>
      <c r="G290" t="s">
        <v>1967</v>
      </c>
      <c r="H290" s="3" t="str">
        <f t="shared" si="28"/>
        <v>System.ModuleComponentState</v>
      </c>
      <c r="K290" t="s">
        <v>1968</v>
      </c>
      <c r="M290" t="s">
        <v>6007</v>
      </c>
      <c r="Q290" t="s">
        <v>92</v>
      </c>
      <c r="U290" t="s">
        <v>96</v>
      </c>
      <c r="V290" s="7">
        <v>32</v>
      </c>
      <c r="W290" s="3" t="str">
        <f>VLOOKUP(V290,SystemTableId,3,FALSE)</f>
        <v>sysModuleComponent</v>
      </c>
      <c r="X290" s="7"/>
      <c r="Z290" s="7"/>
      <c r="AC290" s="7"/>
      <c r="AD290" s="15"/>
      <c r="AE290" s="7"/>
      <c r="AK290" t="str">
        <f>"SELECT (SELECT '"&amp;C290&amp;"' ColumnName from "&amp;E290&amp;" where "&amp;F290&amp;" is null and exists (select from "&amp;E290&amp;") limit 1) a union all"</f>
        <v>SELECT (SELECT 'sysModuleComponentState.sysModuleComponentID' ColumnName from sysModuleComponentState where sysModuleComponentID is null and exists (select from sysModuleComponentState) limit 1) a union all</v>
      </c>
      <c r="AP290" t="e">
        <f t="shared" si="29"/>
        <v>#NAME?</v>
      </c>
    </row>
    <row r="291" spans="1:42">
      <c r="A291">
        <v>20790</v>
      </c>
      <c r="B291" t="s">
        <v>1475</v>
      </c>
      <c r="C291" s="3" t="str">
        <f t="shared" si="26"/>
        <v>sysModuleComponentState.sysModuleID</v>
      </c>
      <c r="D291">
        <v>36</v>
      </c>
      <c r="E291" s="3" t="str">
        <f t="shared" si="27"/>
        <v>sysModuleComponentState</v>
      </c>
      <c r="F291" t="str">
        <f>VLOOKUP(V291,SystemTableId,3,FALSE)&amp;"ID"&amp;X291</f>
        <v>sysModuleID</v>
      </c>
      <c r="G291" t="s">
        <v>1933</v>
      </c>
      <c r="H291" s="3" t="str">
        <f t="shared" si="28"/>
        <v>System.ModuleComponentState</v>
      </c>
      <c r="K291" t="s">
        <v>1171</v>
      </c>
      <c r="M291" t="s">
        <v>6007</v>
      </c>
      <c r="Q291" t="s">
        <v>92</v>
      </c>
      <c r="U291" t="s">
        <v>96</v>
      </c>
      <c r="V291" s="7">
        <v>31</v>
      </c>
      <c r="W291" s="3" t="str">
        <f>VLOOKUP(V291,SystemTableId,3,FALSE)</f>
        <v>sysModule</v>
      </c>
      <c r="X291" s="7"/>
      <c r="Z291" s="7"/>
      <c r="AC291" s="7"/>
      <c r="AD291" s="15"/>
      <c r="AE291" s="7"/>
      <c r="AK291" t="str">
        <f>"SELECT (SELECT '"&amp;C291&amp;"' ColumnName from "&amp;E291&amp;" where "&amp;F291&amp;" is null and exists (select from "&amp;E291&amp;") limit 1) a union all"</f>
        <v>SELECT (SELECT 'sysModuleComponentState.sysModuleID' ColumnName from sysModuleComponentState where sysModuleID is null and exists (select from sysModuleComponentState) limit 1) a union all</v>
      </c>
      <c r="AP291" t="e">
        <f t="shared" si="29"/>
        <v>#NAME?</v>
      </c>
    </row>
    <row r="292" spans="1:42">
      <c r="A292">
        <v>20870</v>
      </c>
      <c r="B292" t="s">
        <v>1475</v>
      </c>
      <c r="C292" s="3" t="str">
        <f t="shared" si="26"/>
        <v>sysModuleLogic.Command</v>
      </c>
      <c r="D292" s="7">
        <v>37</v>
      </c>
      <c r="E292" s="3" t="str">
        <f t="shared" si="27"/>
        <v>sysModuleLogic</v>
      </c>
      <c r="F292" s="7" t="s">
        <v>35</v>
      </c>
      <c r="G292" t="s">
        <v>35</v>
      </c>
      <c r="H292" s="3" t="str">
        <f t="shared" si="28"/>
        <v>System.ModuleLogic</v>
      </c>
      <c r="K292" s="7" t="s">
        <v>35</v>
      </c>
      <c r="M292" t="s">
        <v>1073</v>
      </c>
      <c r="O292" s="7"/>
      <c r="Q292" t="s">
        <v>92</v>
      </c>
      <c r="U292" s="7" t="s">
        <v>93</v>
      </c>
      <c r="AC292" s="7"/>
      <c r="AD292" s="15"/>
      <c r="AE292" s="7"/>
      <c r="AJ292" t="str">
        <f>"SELECT (SELECT '"&amp;C292&amp;"' ColumnName from "&amp;E292&amp;" where "&amp;F292&amp;" is null and exists (select from "&amp;E292&amp;") limit 1) ColumnName union all"</f>
        <v>SELECT (SELECT 'sysModuleLogic.Command' ColumnName from sysModuleLogic where Command is null and exists (select from sysModuleLogic) limit 1) ColumnName union all</v>
      </c>
      <c r="AL292" t="str">
        <f>"ALTER TABLE "&amp;E292&amp;" ALTER COLUMN "&amp;F292&amp;" DROP NOT NULL"</f>
        <v>ALTER TABLE sysModuleLogic ALTER COLUMN Command DROP NOT NULL</v>
      </c>
      <c r="AP292" t="e">
        <f t="shared" si="29"/>
        <v>#NAME?</v>
      </c>
    </row>
    <row r="293" spans="1:42">
      <c r="A293">
        <v>20830</v>
      </c>
      <c r="B293" t="s">
        <v>1475</v>
      </c>
      <c r="C293" s="3" t="str">
        <f t="shared" si="26"/>
        <v>sysModuleLogic.Id</v>
      </c>
      <c r="D293" s="7">
        <v>37</v>
      </c>
      <c r="E293" s="3" t="str">
        <f t="shared" si="27"/>
        <v>sysModuleLogic</v>
      </c>
      <c r="F293" t="s">
        <v>1539</v>
      </c>
      <c r="G293" s="3" t="s">
        <v>6815</v>
      </c>
      <c r="H293" s="3" t="str">
        <f t="shared" si="28"/>
        <v>System.ModuleLogic</v>
      </c>
      <c r="K293" s="7" t="s">
        <v>0</v>
      </c>
      <c r="M293" t="s">
        <v>6007</v>
      </c>
      <c r="N293" s="7"/>
      <c r="O293" s="7"/>
      <c r="Q293" t="s">
        <v>919</v>
      </c>
      <c r="U293" s="7" t="s">
        <v>95</v>
      </c>
      <c r="V293" s="7"/>
      <c r="W293" s="7"/>
      <c r="X293" s="7"/>
      <c r="Z293" s="7"/>
      <c r="AC293" s="7"/>
      <c r="AD293" s="15"/>
      <c r="AE293" s="7"/>
      <c r="AJ293" t="str">
        <f>"SELECT (SELECT '"&amp;C293&amp;"' ColumnName from "&amp;E293&amp;" where "&amp;F293&amp;" is null and exists (select from "&amp;E293&amp;") limit 1) ColumnName union all"</f>
        <v>SELECT (SELECT 'sysModuleLogic.Id' ColumnName from sysModuleLogic where Id is null and exists (select from sysModuleLogic) limit 1) ColumnName union all</v>
      </c>
      <c r="AL293" t="str">
        <f>"ALTER TABLE "&amp;E293&amp;" ALTER COLUMN "&amp;F293&amp;" DROP NOT NULL"</f>
        <v>ALTER TABLE sysModuleLogic ALTER COLUMN Id DROP NOT NULL</v>
      </c>
      <c r="AP293" t="e">
        <f t="shared" si="29"/>
        <v>#NAME?</v>
      </c>
    </row>
    <row r="294" spans="1:42">
      <c r="A294">
        <v>20880</v>
      </c>
      <c r="B294" t="s">
        <v>1475</v>
      </c>
      <c r="C294" s="3" t="str">
        <f t="shared" si="26"/>
        <v>sysModuleLogic.RowStatus</v>
      </c>
      <c r="D294" s="7">
        <v>37</v>
      </c>
      <c r="E294" s="3" t="str">
        <f t="shared" si="27"/>
        <v>sysModuleLogic</v>
      </c>
      <c r="F294" t="s">
        <v>1445</v>
      </c>
      <c r="G294" s="3" t="s">
        <v>6411</v>
      </c>
      <c r="H294" s="3" t="str">
        <f t="shared" si="28"/>
        <v>System.ModuleLogic</v>
      </c>
      <c r="K294" s="3" t="s">
        <v>2471</v>
      </c>
      <c r="M294" t="s">
        <v>976</v>
      </c>
      <c r="N294">
        <v>1</v>
      </c>
      <c r="O294" s="7"/>
      <c r="Q294" t="s">
        <v>919</v>
      </c>
      <c r="U294" s="7" t="s">
        <v>94</v>
      </c>
      <c r="V294" s="7"/>
      <c r="W294" s="7"/>
      <c r="X294" s="7"/>
      <c r="Z294" s="7"/>
      <c r="AC294" s="7"/>
      <c r="AD294" s="15"/>
      <c r="AE294" s="7"/>
      <c r="AJ294" t="str">
        <f>"SELECT (SELECT '"&amp;C294&amp;"' ColumnName from "&amp;E294&amp;" where "&amp;F294&amp;" is null and exists (select from "&amp;E294&amp;") limit 1) ColumnName union all"</f>
        <v>SELECT (SELECT 'sysModuleLogic.RowStatus' ColumnName from sysModuleLogic where RowStatus is null and exists (select from sysModuleLogic) limit 1) ColumnName union all</v>
      </c>
      <c r="AL294" t="str">
        <f>"ALTER TABLE "&amp;E294&amp;" ALTER COLUMN "&amp;F294&amp;" DROP NOT NULL"</f>
        <v>ALTER TABLE sysModuleLogic ALTER COLUMN RowStatus DROP NOT NULL</v>
      </c>
      <c r="AP294" t="e">
        <f t="shared" si="29"/>
        <v>#NAME?</v>
      </c>
    </row>
    <row r="295" spans="1:42">
      <c r="A295">
        <v>20890</v>
      </c>
      <c r="B295" t="s">
        <v>1475</v>
      </c>
      <c r="C295" s="3" t="str">
        <f t="shared" si="26"/>
        <v>sysModuleLogic.sysChangeHistoryID</v>
      </c>
      <c r="D295" s="7">
        <v>37</v>
      </c>
      <c r="E295" s="3" t="str">
        <f t="shared" si="27"/>
        <v>sysModuleLogic</v>
      </c>
      <c r="F295" t="s">
        <v>2497</v>
      </c>
      <c r="G295" s="3" t="s">
        <v>6403</v>
      </c>
      <c r="H295" s="3" t="str">
        <f t="shared" si="28"/>
        <v>System.ModuleLogic</v>
      </c>
      <c r="K295" t="s">
        <v>1210</v>
      </c>
      <c r="M295" t="s">
        <v>6007</v>
      </c>
      <c r="N295" s="7"/>
      <c r="O295" s="7"/>
      <c r="P295" s="7"/>
      <c r="Q295" t="s">
        <v>919</v>
      </c>
      <c r="R295" s="7"/>
      <c r="S295" s="7"/>
      <c r="T295" s="8"/>
      <c r="U295" t="s">
        <v>1429</v>
      </c>
      <c r="AK295" t="str">
        <f>"SELECT (SELECT '"&amp;C295&amp;"' ColumnName from "&amp;E295&amp;" where "&amp;F295&amp;" is null and exists (select from "&amp;E295&amp;") limit 1) a union all"</f>
        <v>SELECT (SELECT 'sysModuleLogic.sysChangeHistoryID' ColumnName from sysModuleLogic where sysChangeHistoryID is null and exists (select from sysModuleLogic) limit 1) a union all</v>
      </c>
      <c r="AP295" t="e">
        <f t="shared" si="29"/>
        <v>#NAME?</v>
      </c>
    </row>
    <row r="296" spans="1:42">
      <c r="A296">
        <v>20840</v>
      </c>
      <c r="B296" t="s">
        <v>1475</v>
      </c>
      <c r="C296" s="3" t="str">
        <f t="shared" si="26"/>
        <v>sysModuleLogic.sysInitialStateID</v>
      </c>
      <c r="D296">
        <v>37</v>
      </c>
      <c r="E296" s="3" t="str">
        <f t="shared" si="27"/>
        <v>sysModuleLogic</v>
      </c>
      <c r="F296" t="str">
        <f>VLOOKUP(V296,SystemTableId,3,FALSE)&amp;"ID"&amp;X296</f>
        <v>sysInitialStateID</v>
      </c>
      <c r="G296" t="s">
        <v>2001</v>
      </c>
      <c r="H296" s="3" t="str">
        <f t="shared" si="28"/>
        <v>System.ModuleLogic</v>
      </c>
      <c r="K296" t="s">
        <v>2002</v>
      </c>
      <c r="M296" t="s">
        <v>6007</v>
      </c>
      <c r="Q296" t="s">
        <v>92</v>
      </c>
      <c r="U296" t="s">
        <v>96</v>
      </c>
      <c r="V296" s="7">
        <v>27</v>
      </c>
      <c r="W296" s="3" t="str">
        <f>VLOOKUP(V296,SystemTableId,3,FALSE)</f>
        <v>sysInitialState</v>
      </c>
      <c r="AC296" s="7"/>
      <c r="AD296" s="15"/>
      <c r="AE296" s="7"/>
      <c r="AK296" t="str">
        <f>"SELECT (SELECT '"&amp;C296&amp;"' ColumnName from "&amp;E296&amp;" where "&amp;F296&amp;" is null and exists (select from "&amp;E296&amp;") limit 1) a union all"</f>
        <v>SELECT (SELECT 'sysModuleLogic.sysInitialStateID' ColumnName from sysModuleLogic where sysInitialStateID is null and exists (select from sysModuleLogic) limit 1) a union all</v>
      </c>
      <c r="AP296" t="e">
        <f t="shared" si="29"/>
        <v>#NAME?</v>
      </c>
    </row>
    <row r="297" spans="1:42">
      <c r="A297">
        <v>20850</v>
      </c>
      <c r="B297" t="s">
        <v>1475</v>
      </c>
      <c r="C297" s="3" t="str">
        <f t="shared" si="26"/>
        <v>sysModuleLogic.sysLogicID</v>
      </c>
      <c r="D297" s="7">
        <v>37</v>
      </c>
      <c r="E297" s="3" t="str">
        <f t="shared" si="27"/>
        <v>sysModuleLogic</v>
      </c>
      <c r="F297" t="str">
        <f>VLOOKUP(V297,SystemTableId,3,FALSE)&amp;"ID"&amp;X297</f>
        <v>sysLogicID</v>
      </c>
      <c r="G297" t="s">
        <v>1934</v>
      </c>
      <c r="H297" s="3" t="str">
        <f t="shared" si="28"/>
        <v>System.ModuleLogic</v>
      </c>
      <c r="K297" s="7" t="s">
        <v>1935</v>
      </c>
      <c r="M297" t="s">
        <v>6007</v>
      </c>
      <c r="Q297" t="s">
        <v>92</v>
      </c>
      <c r="U297" t="s">
        <v>96</v>
      </c>
      <c r="V297" s="7">
        <v>30</v>
      </c>
      <c r="W297" s="3" t="str">
        <f>VLOOKUP(V297,SystemTableId,3,FALSE)</f>
        <v>sysLogic</v>
      </c>
      <c r="X297" s="7"/>
      <c r="Z297" s="7"/>
      <c r="AC297" s="7"/>
      <c r="AD297" s="15"/>
      <c r="AE297" s="7"/>
      <c r="AK297" t="str">
        <f>"SELECT (SELECT '"&amp;C297&amp;"' ColumnName from "&amp;E297&amp;" where "&amp;F297&amp;" is null and exists (select from "&amp;E297&amp;") limit 1) a union all"</f>
        <v>SELECT (SELECT 'sysModuleLogic.sysLogicID' ColumnName from sysModuleLogic where sysLogicID is null and exists (select from sysModuleLogic) limit 1) a union all</v>
      </c>
      <c r="AP297" t="e">
        <f t="shared" si="29"/>
        <v>#NAME?</v>
      </c>
    </row>
    <row r="298" spans="1:42">
      <c r="A298">
        <v>20860</v>
      </c>
      <c r="B298" t="s">
        <v>1475</v>
      </c>
      <c r="C298" s="3" t="str">
        <f t="shared" si="26"/>
        <v>sysModuleLogic.sysModuleID</v>
      </c>
      <c r="D298" s="7">
        <v>37</v>
      </c>
      <c r="E298" s="3" t="str">
        <f t="shared" si="27"/>
        <v>sysModuleLogic</v>
      </c>
      <c r="F298" t="str">
        <f>VLOOKUP(V298,SystemTableId,3,FALSE)&amp;"ID"&amp;X298</f>
        <v>sysModuleID</v>
      </c>
      <c r="G298" t="s">
        <v>1933</v>
      </c>
      <c r="H298" s="3" t="str">
        <f t="shared" si="28"/>
        <v>System.ModuleLogic</v>
      </c>
      <c r="K298" s="7" t="s">
        <v>1171</v>
      </c>
      <c r="M298" t="s">
        <v>6007</v>
      </c>
      <c r="Q298" t="s">
        <v>92</v>
      </c>
      <c r="U298" t="s">
        <v>96</v>
      </c>
      <c r="V298" s="7">
        <v>31</v>
      </c>
      <c r="W298" s="3" t="str">
        <f>VLOOKUP(V298,SystemTableId,3,FALSE)</f>
        <v>sysModule</v>
      </c>
      <c r="X298" s="7"/>
      <c r="Z298" s="7"/>
      <c r="AC298" s="7"/>
      <c r="AD298" s="15"/>
      <c r="AE298" s="7"/>
      <c r="AK298" t="str">
        <f>"SELECT (SELECT '"&amp;C298&amp;"' ColumnName from "&amp;E298&amp;" where "&amp;F298&amp;" is null and exists (select from "&amp;E298&amp;") limit 1) a union all"</f>
        <v>SELECT (SELECT 'sysModuleLogic.sysModuleID' ColumnName from sysModuleLogic where sysModuleID is null and exists (select from sysModuleLogic) limit 1) a union all</v>
      </c>
      <c r="AP298" t="e">
        <f t="shared" si="29"/>
        <v>#NAME?</v>
      </c>
    </row>
    <row r="299" spans="1:42">
      <c r="A299">
        <v>20930</v>
      </c>
      <c r="B299" t="s">
        <v>1475</v>
      </c>
      <c r="C299" s="3" t="str">
        <f t="shared" si="26"/>
        <v>sysModuleReducer.Command</v>
      </c>
      <c r="D299">
        <v>38</v>
      </c>
      <c r="E299" s="3" t="str">
        <f t="shared" si="27"/>
        <v>sysModuleReducer</v>
      </c>
      <c r="F299" s="7" t="s">
        <v>35</v>
      </c>
      <c r="G299" t="s">
        <v>35</v>
      </c>
      <c r="H299" s="3" t="str">
        <f t="shared" si="28"/>
        <v>System.ModuleReducer</v>
      </c>
      <c r="K299" t="s">
        <v>35</v>
      </c>
      <c r="M299" t="s">
        <v>1073</v>
      </c>
      <c r="Q299" t="s">
        <v>92</v>
      </c>
      <c r="U299" t="s">
        <v>93</v>
      </c>
      <c r="AC299" s="7"/>
      <c r="AD299" s="15"/>
      <c r="AE299" s="7"/>
      <c r="AJ299" t="str">
        <f>"SELECT (SELECT '"&amp;C299&amp;"' ColumnName from "&amp;E299&amp;" where "&amp;F299&amp;" is null and exists (select from "&amp;E299&amp;") limit 1) ColumnName union all"</f>
        <v>SELECT (SELECT 'sysModuleReducer.Command' ColumnName from sysModuleReducer where Command is null and exists (select from sysModuleReducer) limit 1) ColumnName union all</v>
      </c>
      <c r="AL299" t="str">
        <f>"ALTER TABLE "&amp;E299&amp;" ALTER COLUMN "&amp;F299&amp;" DROP NOT NULL"</f>
        <v>ALTER TABLE sysModuleReducer ALTER COLUMN Command DROP NOT NULL</v>
      </c>
      <c r="AP299" t="e">
        <f t="shared" si="29"/>
        <v>#NAME?</v>
      </c>
    </row>
    <row r="300" spans="1:42">
      <c r="A300">
        <v>20900</v>
      </c>
      <c r="B300" t="s">
        <v>1475</v>
      </c>
      <c r="C300" s="3" t="str">
        <f t="shared" si="26"/>
        <v>sysModuleReducer.Id</v>
      </c>
      <c r="D300">
        <v>38</v>
      </c>
      <c r="E300" s="3" t="str">
        <f t="shared" si="27"/>
        <v>sysModuleReducer</v>
      </c>
      <c r="F300" t="s">
        <v>1539</v>
      </c>
      <c r="G300" s="3" t="s">
        <v>6816</v>
      </c>
      <c r="H300" s="3" t="str">
        <f t="shared" si="28"/>
        <v>System.ModuleReducer</v>
      </c>
      <c r="K300" t="s">
        <v>1539</v>
      </c>
      <c r="M300" t="s">
        <v>6007</v>
      </c>
      <c r="Q300" t="s">
        <v>919</v>
      </c>
      <c r="U300" t="s">
        <v>95</v>
      </c>
      <c r="V300" s="7"/>
      <c r="W300" s="7"/>
      <c r="X300" s="7"/>
      <c r="Z300" s="7"/>
      <c r="AC300" s="7"/>
      <c r="AD300" s="15"/>
      <c r="AE300" s="7"/>
      <c r="AJ300" t="str">
        <f>"SELECT (SELECT '"&amp;C300&amp;"' ColumnName from "&amp;E300&amp;" where "&amp;F300&amp;" is null and exists (select from "&amp;E300&amp;") limit 1) ColumnName union all"</f>
        <v>SELECT (SELECT 'sysModuleReducer.Id' ColumnName from sysModuleReducer where Id is null and exists (select from sysModuleReducer) limit 1) ColumnName union all</v>
      </c>
      <c r="AL300" t="str">
        <f>"ALTER TABLE "&amp;E300&amp;" ALTER COLUMN "&amp;F300&amp;" DROP NOT NULL"</f>
        <v>ALTER TABLE sysModuleReducer ALTER COLUMN Id DROP NOT NULL</v>
      </c>
      <c r="AP300" t="e">
        <f t="shared" si="29"/>
        <v>#NAME?</v>
      </c>
    </row>
    <row r="301" spans="1:42">
      <c r="A301">
        <v>20940</v>
      </c>
      <c r="B301" t="s">
        <v>1475</v>
      </c>
      <c r="C301" s="3" t="str">
        <f t="shared" si="26"/>
        <v>sysModuleReducer.RowStatus</v>
      </c>
      <c r="D301">
        <v>38</v>
      </c>
      <c r="E301" s="3" t="str">
        <f t="shared" si="27"/>
        <v>sysModuleReducer</v>
      </c>
      <c r="F301" t="s">
        <v>1445</v>
      </c>
      <c r="G301" s="3" t="s">
        <v>6411</v>
      </c>
      <c r="H301" s="3" t="str">
        <f t="shared" si="28"/>
        <v>System.ModuleReducer</v>
      </c>
      <c r="K301" s="3" t="s">
        <v>2471</v>
      </c>
      <c r="M301" t="s">
        <v>976</v>
      </c>
      <c r="N301">
        <v>1</v>
      </c>
      <c r="Q301" t="s">
        <v>919</v>
      </c>
      <c r="S301" s="14"/>
      <c r="U301" t="s">
        <v>94</v>
      </c>
      <c r="V301" s="7"/>
      <c r="W301" s="7"/>
      <c r="X301" s="7"/>
      <c r="Z301" s="7"/>
      <c r="AC301" s="7"/>
      <c r="AD301" s="15"/>
      <c r="AE301" s="7"/>
      <c r="AJ301" t="str">
        <f>"SELECT (SELECT '"&amp;C301&amp;"' ColumnName from "&amp;E301&amp;" where "&amp;F301&amp;" is null and exists (select from "&amp;E301&amp;") limit 1) ColumnName union all"</f>
        <v>SELECT (SELECT 'sysModuleReducer.RowStatus' ColumnName from sysModuleReducer where RowStatus is null and exists (select from sysModuleReducer) limit 1) ColumnName union all</v>
      </c>
      <c r="AL301" t="str">
        <f>"ALTER TABLE "&amp;E301&amp;" ALTER COLUMN "&amp;F301&amp;" DROP NOT NULL"</f>
        <v>ALTER TABLE sysModuleReducer ALTER COLUMN RowStatus DROP NOT NULL</v>
      </c>
      <c r="AP301" t="e">
        <f t="shared" si="29"/>
        <v>#NAME?</v>
      </c>
    </row>
    <row r="302" spans="1:42">
      <c r="A302">
        <v>20950</v>
      </c>
      <c r="B302" t="s">
        <v>1475</v>
      </c>
      <c r="C302" s="3" t="str">
        <f t="shared" si="26"/>
        <v>sysModuleReducer.sysChangeHistoryID</v>
      </c>
      <c r="D302" s="7">
        <v>38</v>
      </c>
      <c r="E302" s="3" t="str">
        <f t="shared" si="27"/>
        <v>sysModuleReducer</v>
      </c>
      <c r="F302" t="s">
        <v>2497</v>
      </c>
      <c r="G302" s="3" t="s">
        <v>6403</v>
      </c>
      <c r="H302" s="3" t="str">
        <f t="shared" si="28"/>
        <v>System.ModuleReducer</v>
      </c>
      <c r="K302" t="s">
        <v>1210</v>
      </c>
      <c r="M302" t="s">
        <v>6007</v>
      </c>
      <c r="N302" s="7"/>
      <c r="O302" s="7"/>
      <c r="P302" s="7"/>
      <c r="Q302" t="s">
        <v>919</v>
      </c>
      <c r="R302" s="7"/>
      <c r="S302" s="7"/>
      <c r="T302" s="8"/>
      <c r="U302" t="s">
        <v>1429</v>
      </c>
      <c r="AK302" t="str">
        <f>"SELECT (SELECT '"&amp;C302&amp;"' ColumnName from "&amp;E302&amp;" where "&amp;F302&amp;" is null and exists (select from "&amp;E302&amp;") limit 1) a union all"</f>
        <v>SELECT (SELECT 'sysModuleReducer.sysChangeHistoryID' ColumnName from sysModuleReducer where sysChangeHistoryID is null and exists (select from sysModuleReducer) limit 1) a union all</v>
      </c>
      <c r="AP302" t="e">
        <f t="shared" si="29"/>
        <v>#NAME?</v>
      </c>
    </row>
    <row r="303" spans="1:42">
      <c r="A303">
        <v>20910</v>
      </c>
      <c r="B303" t="s">
        <v>1475</v>
      </c>
      <c r="C303" s="3" t="str">
        <f t="shared" si="26"/>
        <v>sysModuleReducer.sysModuleID</v>
      </c>
      <c r="D303">
        <v>38</v>
      </c>
      <c r="E303" s="3" t="str">
        <f t="shared" si="27"/>
        <v>sysModuleReducer</v>
      </c>
      <c r="F303" t="str">
        <f>VLOOKUP(V303,SystemTableId,3,FALSE)&amp;"ID"&amp;X303</f>
        <v>sysModuleID</v>
      </c>
      <c r="G303" t="s">
        <v>1933</v>
      </c>
      <c r="H303" s="3" t="str">
        <f t="shared" si="28"/>
        <v>System.ModuleReducer</v>
      </c>
      <c r="K303" t="s">
        <v>1171</v>
      </c>
      <c r="M303" t="s">
        <v>6007</v>
      </c>
      <c r="Q303" t="s">
        <v>92</v>
      </c>
      <c r="U303" t="s">
        <v>96</v>
      </c>
      <c r="V303" s="7">
        <v>31</v>
      </c>
      <c r="W303" s="3" t="str">
        <f>VLOOKUP(V303,SystemTableId,3,FALSE)</f>
        <v>sysModule</v>
      </c>
      <c r="X303" s="7"/>
      <c r="Z303" s="7"/>
      <c r="AC303" s="7"/>
      <c r="AD303" s="15"/>
      <c r="AE303" s="7"/>
      <c r="AK303" t="str">
        <f>"SELECT (SELECT '"&amp;C303&amp;"' ColumnName from "&amp;E303&amp;" where "&amp;F303&amp;" is null and exists (select from "&amp;E303&amp;") limit 1) a union all"</f>
        <v>SELECT (SELECT 'sysModuleReducer.sysModuleID' ColumnName from sysModuleReducer where sysModuleID is null and exists (select from sysModuleReducer) limit 1) a union all</v>
      </c>
      <c r="AP303" t="e">
        <f t="shared" si="29"/>
        <v>#NAME?</v>
      </c>
    </row>
    <row r="304" spans="1:42">
      <c r="A304">
        <v>20920</v>
      </c>
      <c r="B304" t="s">
        <v>1475</v>
      </c>
      <c r="C304" s="3" t="str">
        <f t="shared" si="26"/>
        <v>sysModuleReducer.sysReducerID</v>
      </c>
      <c r="D304">
        <v>38</v>
      </c>
      <c r="E304" s="3" t="str">
        <f t="shared" si="27"/>
        <v>sysModuleReducer</v>
      </c>
      <c r="F304" t="str">
        <f>VLOOKUP(V304,SystemTableId,3,FALSE)&amp;"ID"&amp;X304</f>
        <v>sysReducerID</v>
      </c>
      <c r="G304" t="s">
        <v>1999</v>
      </c>
      <c r="H304" s="3" t="str">
        <f t="shared" si="28"/>
        <v>System.ModuleReducer</v>
      </c>
      <c r="K304" t="s">
        <v>2000</v>
      </c>
      <c r="M304" t="s">
        <v>6007</v>
      </c>
      <c r="Q304" t="s">
        <v>92</v>
      </c>
      <c r="U304" t="s">
        <v>96</v>
      </c>
      <c r="V304" s="7">
        <v>62</v>
      </c>
      <c r="W304" s="3" t="str">
        <f>VLOOKUP(V304,SystemTableId,3,FALSE)</f>
        <v>sysReducer</v>
      </c>
      <c r="X304" s="7"/>
      <c r="Z304" s="7"/>
      <c r="AC304" s="7"/>
      <c r="AD304" s="15"/>
      <c r="AE304" s="7"/>
      <c r="AK304" t="str">
        <f>"SELECT (SELECT '"&amp;C304&amp;"' ColumnName from "&amp;E304&amp;" where "&amp;F304&amp;" is null and exists (select from "&amp;E304&amp;") limit 1) a union all"</f>
        <v>SELECT (SELECT 'sysModuleReducer.sysReducerID' ColumnName from sysModuleReducer where sysReducerID is null and exists (select from sysModuleReducer) limit 1) a union all</v>
      </c>
      <c r="AP304" t="e">
        <f t="shared" si="29"/>
        <v>#NAME?</v>
      </c>
    </row>
    <row r="305" spans="1:42">
      <c r="A305">
        <v>20990</v>
      </c>
      <c r="B305" t="s">
        <v>1475</v>
      </c>
      <c r="C305" s="3" t="str">
        <f t="shared" si="26"/>
        <v>sysModuleRule.Command</v>
      </c>
      <c r="D305">
        <v>39</v>
      </c>
      <c r="E305" s="3" t="str">
        <f t="shared" si="27"/>
        <v>sysModuleRule</v>
      </c>
      <c r="F305" s="7" t="s">
        <v>35</v>
      </c>
      <c r="G305" t="s">
        <v>35</v>
      </c>
      <c r="H305" s="3" t="str">
        <f t="shared" si="28"/>
        <v>System.ModuleRule</v>
      </c>
      <c r="K305" t="s">
        <v>35</v>
      </c>
      <c r="M305" t="s">
        <v>1073</v>
      </c>
      <c r="Q305" t="s">
        <v>92</v>
      </c>
      <c r="U305" t="s">
        <v>93</v>
      </c>
      <c r="AC305" s="7"/>
      <c r="AD305" s="15"/>
      <c r="AE305" s="7"/>
      <c r="AJ305" t="str">
        <f>"SELECT (SELECT '"&amp;C305&amp;"' ColumnName from "&amp;E305&amp;" where "&amp;F305&amp;" is null and exists (select from "&amp;E305&amp;") limit 1) ColumnName union all"</f>
        <v>SELECT (SELECT 'sysModuleRule.Command' ColumnName from sysModuleRule where Command is null and exists (select from sysModuleRule) limit 1) ColumnName union all</v>
      </c>
      <c r="AL305" t="str">
        <f>"ALTER TABLE "&amp;E305&amp;" ALTER COLUMN "&amp;F305&amp;" DROP NOT NULL"</f>
        <v>ALTER TABLE sysModuleRule ALTER COLUMN Command DROP NOT NULL</v>
      </c>
      <c r="AP305" t="e">
        <f t="shared" si="29"/>
        <v>#NAME?</v>
      </c>
    </row>
    <row r="306" spans="1:42">
      <c r="A306">
        <v>20960</v>
      </c>
      <c r="B306" t="s">
        <v>1475</v>
      </c>
      <c r="C306" s="3" t="str">
        <f t="shared" si="26"/>
        <v>sysModuleRule.Id</v>
      </c>
      <c r="D306">
        <v>39</v>
      </c>
      <c r="E306" s="3" t="str">
        <f t="shared" si="27"/>
        <v>sysModuleRule</v>
      </c>
      <c r="F306" t="s">
        <v>1539</v>
      </c>
      <c r="G306" s="3" t="s">
        <v>6817</v>
      </c>
      <c r="H306" s="3" t="str">
        <f t="shared" si="28"/>
        <v>System.ModuleRule</v>
      </c>
      <c r="K306" t="s">
        <v>1539</v>
      </c>
      <c r="M306" t="s">
        <v>6007</v>
      </c>
      <c r="Q306" t="s">
        <v>919</v>
      </c>
      <c r="U306" t="s">
        <v>95</v>
      </c>
      <c r="V306" s="7"/>
      <c r="W306" s="7"/>
      <c r="X306" s="7"/>
      <c r="Z306" s="7"/>
      <c r="AC306" s="7"/>
      <c r="AD306" s="15"/>
      <c r="AE306" s="7"/>
      <c r="AJ306" t="str">
        <f>"SELECT (SELECT '"&amp;C306&amp;"' ColumnName from "&amp;E306&amp;" where "&amp;F306&amp;" is null and exists (select from "&amp;E306&amp;") limit 1) ColumnName union all"</f>
        <v>SELECT (SELECT 'sysModuleRule.Id' ColumnName from sysModuleRule where Id is null and exists (select from sysModuleRule) limit 1) ColumnName union all</v>
      </c>
      <c r="AL306" t="str">
        <f>"ALTER TABLE "&amp;E306&amp;" ALTER COLUMN "&amp;F306&amp;" DROP NOT NULL"</f>
        <v>ALTER TABLE sysModuleRule ALTER COLUMN Id DROP NOT NULL</v>
      </c>
      <c r="AP306" t="e">
        <f t="shared" si="29"/>
        <v>#NAME?</v>
      </c>
    </row>
    <row r="307" spans="1:42">
      <c r="A307">
        <v>21000</v>
      </c>
      <c r="B307" t="s">
        <v>1475</v>
      </c>
      <c r="C307" s="3" t="str">
        <f t="shared" si="26"/>
        <v>sysModuleRule.RowStatus</v>
      </c>
      <c r="D307">
        <v>39</v>
      </c>
      <c r="E307" s="3" t="str">
        <f t="shared" si="27"/>
        <v>sysModuleRule</v>
      </c>
      <c r="F307" t="s">
        <v>1445</v>
      </c>
      <c r="G307" s="3" t="s">
        <v>6411</v>
      </c>
      <c r="H307" s="3" t="str">
        <f t="shared" si="28"/>
        <v>System.ModuleRule</v>
      </c>
      <c r="K307" s="3" t="s">
        <v>2471</v>
      </c>
      <c r="M307" t="s">
        <v>976</v>
      </c>
      <c r="N307">
        <v>1</v>
      </c>
      <c r="Q307" t="s">
        <v>919</v>
      </c>
      <c r="S307" s="14"/>
      <c r="U307" t="s">
        <v>94</v>
      </c>
      <c r="V307" s="7"/>
      <c r="W307" s="7"/>
      <c r="X307" s="7"/>
      <c r="Z307" s="7"/>
      <c r="AC307" s="7"/>
      <c r="AD307" s="15"/>
      <c r="AE307" s="7"/>
      <c r="AJ307" t="str">
        <f>"SELECT (SELECT '"&amp;C307&amp;"' ColumnName from "&amp;E307&amp;" where "&amp;F307&amp;" is null and exists (select from "&amp;E307&amp;") limit 1) ColumnName union all"</f>
        <v>SELECT (SELECT 'sysModuleRule.RowStatus' ColumnName from sysModuleRule where RowStatus is null and exists (select from sysModuleRule) limit 1) ColumnName union all</v>
      </c>
      <c r="AL307" t="str">
        <f>"ALTER TABLE "&amp;E307&amp;" ALTER COLUMN "&amp;F307&amp;" DROP NOT NULL"</f>
        <v>ALTER TABLE sysModuleRule ALTER COLUMN RowStatus DROP NOT NULL</v>
      </c>
      <c r="AP307" t="e">
        <f t="shared" si="29"/>
        <v>#NAME?</v>
      </c>
    </row>
    <row r="308" spans="1:42">
      <c r="A308">
        <v>21010</v>
      </c>
      <c r="B308" t="s">
        <v>1475</v>
      </c>
      <c r="C308" s="3" t="str">
        <f t="shared" si="26"/>
        <v>sysModuleRule.sysChangeHistoryID</v>
      </c>
      <c r="D308" s="7">
        <v>39</v>
      </c>
      <c r="E308" s="3" t="str">
        <f t="shared" si="27"/>
        <v>sysModuleRule</v>
      </c>
      <c r="F308" t="s">
        <v>2497</v>
      </c>
      <c r="G308" s="3" t="s">
        <v>6403</v>
      </c>
      <c r="H308" s="3" t="str">
        <f t="shared" si="28"/>
        <v>System.ModuleRule</v>
      </c>
      <c r="K308" t="s">
        <v>1210</v>
      </c>
      <c r="M308" t="s">
        <v>6007</v>
      </c>
      <c r="N308" s="7"/>
      <c r="O308" s="7"/>
      <c r="P308" s="7"/>
      <c r="Q308" t="s">
        <v>919</v>
      </c>
      <c r="R308" s="7"/>
      <c r="S308" s="7"/>
      <c r="T308" s="8"/>
      <c r="U308" t="s">
        <v>1429</v>
      </c>
      <c r="AK308" t="str">
        <f>"SELECT (SELECT '"&amp;C308&amp;"' ColumnName from "&amp;E308&amp;" where "&amp;F308&amp;" is null and exists (select from "&amp;E308&amp;") limit 1) a union all"</f>
        <v>SELECT (SELECT 'sysModuleRule.sysChangeHistoryID' ColumnName from sysModuleRule where sysChangeHistoryID is null and exists (select from sysModuleRule) limit 1) a union all</v>
      </c>
      <c r="AP308" t="e">
        <f t="shared" si="29"/>
        <v>#NAME?</v>
      </c>
    </row>
    <row r="309" spans="1:42">
      <c r="A309">
        <v>20970</v>
      </c>
      <c r="B309" t="s">
        <v>1475</v>
      </c>
      <c r="C309" s="3" t="str">
        <f t="shared" si="26"/>
        <v>sysModuleRule.sysModuleID</v>
      </c>
      <c r="D309">
        <v>39</v>
      </c>
      <c r="E309" s="3" t="str">
        <f t="shared" si="27"/>
        <v>sysModuleRule</v>
      </c>
      <c r="F309" t="str">
        <f>VLOOKUP(V309,SystemTableId,3,FALSE)&amp;"ID"&amp;X309</f>
        <v>sysModuleID</v>
      </c>
      <c r="G309" t="s">
        <v>1933</v>
      </c>
      <c r="H309" s="3" t="str">
        <f t="shared" si="28"/>
        <v>System.ModuleRule</v>
      </c>
      <c r="K309" t="s">
        <v>1171</v>
      </c>
      <c r="M309" t="s">
        <v>6007</v>
      </c>
      <c r="Q309" t="s">
        <v>92</v>
      </c>
      <c r="U309" t="s">
        <v>96</v>
      </c>
      <c r="V309" s="7">
        <v>31</v>
      </c>
      <c r="W309" s="3" t="str">
        <f>VLOOKUP(V309,SystemTableId,3,FALSE)</f>
        <v>sysModule</v>
      </c>
      <c r="X309" s="7"/>
      <c r="Z309" s="7"/>
      <c r="AC309" s="7"/>
      <c r="AD309" s="15"/>
      <c r="AE309" s="7"/>
      <c r="AK309" t="str">
        <f>"SELECT (SELECT '"&amp;C309&amp;"' ColumnName from "&amp;E309&amp;" where "&amp;F309&amp;" is null and exists (select from "&amp;E309&amp;") limit 1) a union all"</f>
        <v>SELECT (SELECT 'sysModuleRule.sysModuleID' ColumnName from sysModuleRule where sysModuleID is null and exists (select from sysModuleRule) limit 1) a union all</v>
      </c>
      <c r="AP309" t="e">
        <f t="shared" si="29"/>
        <v>#NAME?</v>
      </c>
    </row>
    <row r="310" spans="1:42">
      <c r="A310">
        <v>20980</v>
      </c>
      <c r="B310" t="s">
        <v>1475</v>
      </c>
      <c r="C310" s="3" t="str">
        <f t="shared" si="26"/>
        <v>sysModuleRule.sysRuleID</v>
      </c>
      <c r="D310">
        <v>39</v>
      </c>
      <c r="E310" s="3" t="str">
        <f t="shared" si="27"/>
        <v>sysModuleRule</v>
      </c>
      <c r="F310" t="str">
        <f>VLOOKUP(V310,SystemTableId,3,FALSE)&amp;"ID"&amp;X310</f>
        <v>sysRuleID</v>
      </c>
      <c r="G310" t="s">
        <v>2005</v>
      </c>
      <c r="H310" s="3" t="str">
        <f t="shared" si="28"/>
        <v>System.ModuleRule</v>
      </c>
      <c r="K310" t="s">
        <v>2006</v>
      </c>
      <c r="M310" t="s">
        <v>6007</v>
      </c>
      <c r="Q310" t="s">
        <v>92</v>
      </c>
      <c r="U310" t="s">
        <v>96</v>
      </c>
      <c r="V310">
        <v>66</v>
      </c>
      <c r="W310" s="3" t="str">
        <f>VLOOKUP(V310,SystemTableId,3,FALSE)</f>
        <v>sysRule</v>
      </c>
      <c r="AC310" s="7"/>
      <c r="AD310" s="15"/>
      <c r="AE310" s="7"/>
      <c r="AK310" t="str">
        <f>"SELECT (SELECT '"&amp;C310&amp;"' ColumnName from "&amp;E310&amp;" where "&amp;F310&amp;" is null and exists (select from "&amp;E310&amp;") limit 1) a union all"</f>
        <v>SELECT (SELECT 'sysModuleRule.sysRuleID' ColumnName from sysModuleRule where sysRuleID is null and exists (select from sysModuleRule) limit 1) a union all</v>
      </c>
      <c r="AP310" t="e">
        <f t="shared" si="29"/>
        <v>#NAME?</v>
      </c>
    </row>
    <row r="311" spans="1:42">
      <c r="A311">
        <v>21050</v>
      </c>
      <c r="B311" t="s">
        <v>1475</v>
      </c>
      <c r="C311" s="3" t="str">
        <f t="shared" si="26"/>
        <v>sysModuleState.Command</v>
      </c>
      <c r="D311">
        <v>40</v>
      </c>
      <c r="E311" s="3" t="str">
        <f t="shared" si="27"/>
        <v>sysModuleState</v>
      </c>
      <c r="F311" s="7" t="s">
        <v>35</v>
      </c>
      <c r="G311" t="s">
        <v>35</v>
      </c>
      <c r="H311" s="3" t="str">
        <f t="shared" si="28"/>
        <v>System.ModuleState</v>
      </c>
      <c r="K311" t="s">
        <v>35</v>
      </c>
      <c r="M311" t="s">
        <v>1073</v>
      </c>
      <c r="Q311" t="s">
        <v>92</v>
      </c>
      <c r="U311" t="s">
        <v>93</v>
      </c>
      <c r="AC311" s="7"/>
      <c r="AD311" s="15"/>
      <c r="AE311" s="7"/>
      <c r="AJ311" t="str">
        <f>"SELECT (SELECT '"&amp;C311&amp;"' ColumnName from "&amp;E311&amp;" where "&amp;F311&amp;" is null and exists (select from "&amp;E311&amp;") limit 1) ColumnName union all"</f>
        <v>SELECT (SELECT 'sysModuleState.Command' ColumnName from sysModuleState where Command is null and exists (select from sysModuleState) limit 1) ColumnName union all</v>
      </c>
      <c r="AL311" t="str">
        <f>"ALTER TABLE "&amp;E311&amp;" ALTER COLUMN "&amp;F311&amp;" DROP NOT NULL"</f>
        <v>ALTER TABLE sysModuleState ALTER COLUMN Command DROP NOT NULL</v>
      </c>
      <c r="AP311" t="e">
        <f t="shared" si="29"/>
        <v>#NAME?</v>
      </c>
    </row>
    <row r="312" spans="1:42">
      <c r="A312">
        <v>21020</v>
      </c>
      <c r="B312" t="s">
        <v>1475</v>
      </c>
      <c r="C312" s="3" t="str">
        <f t="shared" si="26"/>
        <v>sysModuleState.Id</v>
      </c>
      <c r="D312">
        <v>40</v>
      </c>
      <c r="E312" s="3" t="str">
        <f t="shared" si="27"/>
        <v>sysModuleState</v>
      </c>
      <c r="F312" t="s">
        <v>1539</v>
      </c>
      <c r="G312" s="3" t="s">
        <v>6818</v>
      </c>
      <c r="H312" s="3" t="str">
        <f t="shared" si="28"/>
        <v>System.ModuleState</v>
      </c>
      <c r="K312" t="s">
        <v>1539</v>
      </c>
      <c r="M312" t="s">
        <v>6007</v>
      </c>
      <c r="Q312" t="s">
        <v>919</v>
      </c>
      <c r="U312" t="s">
        <v>95</v>
      </c>
      <c r="V312" s="7"/>
      <c r="W312" s="7"/>
      <c r="X312" s="7"/>
      <c r="Z312" s="7"/>
      <c r="AC312" s="7"/>
      <c r="AD312" s="15"/>
      <c r="AE312" s="7"/>
      <c r="AJ312" t="str">
        <f>"SELECT (SELECT '"&amp;C312&amp;"' ColumnName from "&amp;E312&amp;" where "&amp;F312&amp;" is null and exists (select from "&amp;E312&amp;") limit 1) ColumnName union all"</f>
        <v>SELECT (SELECT 'sysModuleState.Id' ColumnName from sysModuleState where Id is null and exists (select from sysModuleState) limit 1) ColumnName union all</v>
      </c>
      <c r="AL312" t="str">
        <f>"ALTER TABLE "&amp;E312&amp;" ALTER COLUMN "&amp;F312&amp;" DROP NOT NULL"</f>
        <v>ALTER TABLE sysModuleState ALTER COLUMN Id DROP NOT NULL</v>
      </c>
      <c r="AP312" t="e">
        <f t="shared" si="29"/>
        <v>#NAME?</v>
      </c>
    </row>
    <row r="313" spans="1:42">
      <c r="A313">
        <v>21060</v>
      </c>
      <c r="B313" t="s">
        <v>1475</v>
      </c>
      <c r="C313" s="3" t="str">
        <f t="shared" si="26"/>
        <v>sysModuleState.RowStatus</v>
      </c>
      <c r="D313">
        <v>40</v>
      </c>
      <c r="E313" s="3" t="str">
        <f t="shared" si="27"/>
        <v>sysModuleState</v>
      </c>
      <c r="F313" t="s">
        <v>1445</v>
      </c>
      <c r="G313" s="3" t="s">
        <v>6411</v>
      </c>
      <c r="H313" s="3" t="str">
        <f t="shared" si="28"/>
        <v>System.ModuleState</v>
      </c>
      <c r="K313" s="3" t="s">
        <v>2471</v>
      </c>
      <c r="M313" t="s">
        <v>976</v>
      </c>
      <c r="N313">
        <v>1</v>
      </c>
      <c r="Q313" t="s">
        <v>919</v>
      </c>
      <c r="S313" s="14"/>
      <c r="U313" t="s">
        <v>94</v>
      </c>
      <c r="V313" s="7"/>
      <c r="W313" s="7"/>
      <c r="X313" s="7"/>
      <c r="Z313" s="7"/>
      <c r="AC313" s="7"/>
      <c r="AD313" s="15"/>
      <c r="AE313" s="7"/>
      <c r="AJ313" t="str">
        <f>"SELECT (SELECT '"&amp;C313&amp;"' ColumnName from "&amp;E313&amp;" where "&amp;F313&amp;" is null and exists (select from "&amp;E313&amp;") limit 1) ColumnName union all"</f>
        <v>SELECT (SELECT 'sysModuleState.RowStatus' ColumnName from sysModuleState where RowStatus is null and exists (select from sysModuleState) limit 1) ColumnName union all</v>
      </c>
      <c r="AL313" t="str">
        <f>"ALTER TABLE "&amp;E313&amp;" ALTER COLUMN "&amp;F313&amp;" DROP NOT NULL"</f>
        <v>ALTER TABLE sysModuleState ALTER COLUMN RowStatus DROP NOT NULL</v>
      </c>
      <c r="AP313" t="e">
        <f t="shared" si="29"/>
        <v>#NAME?</v>
      </c>
    </row>
    <row r="314" spans="1:42">
      <c r="A314">
        <v>21070</v>
      </c>
      <c r="B314" t="s">
        <v>1475</v>
      </c>
      <c r="C314" s="3" t="str">
        <f t="shared" si="26"/>
        <v>sysModuleState.sysChangeHistoryID</v>
      </c>
      <c r="D314" s="7">
        <v>40</v>
      </c>
      <c r="E314" s="3" t="str">
        <f t="shared" si="27"/>
        <v>sysModuleState</v>
      </c>
      <c r="F314" t="s">
        <v>2497</v>
      </c>
      <c r="G314" s="3" t="s">
        <v>6403</v>
      </c>
      <c r="H314" s="3" t="str">
        <f t="shared" si="28"/>
        <v>System.ModuleState</v>
      </c>
      <c r="K314" t="s">
        <v>1210</v>
      </c>
      <c r="M314" t="s">
        <v>6007</v>
      </c>
      <c r="N314" s="7"/>
      <c r="O314" s="7"/>
      <c r="P314" s="7"/>
      <c r="Q314" t="s">
        <v>919</v>
      </c>
      <c r="R314" s="7"/>
      <c r="S314" s="7"/>
      <c r="T314" s="8"/>
      <c r="U314" t="s">
        <v>1429</v>
      </c>
      <c r="AK314" t="str">
        <f>"SELECT (SELECT '"&amp;C314&amp;"' ColumnName from "&amp;E314&amp;" where "&amp;F314&amp;" is null and exists (select from "&amp;E314&amp;") limit 1) a union all"</f>
        <v>SELECT (SELECT 'sysModuleState.sysChangeHistoryID' ColumnName from sysModuleState where sysChangeHistoryID is null and exists (select from sysModuleState) limit 1) a union all</v>
      </c>
      <c r="AP314" t="e">
        <f t="shared" si="29"/>
        <v>#NAME?</v>
      </c>
    </row>
    <row r="315" spans="1:42">
      <c r="A315">
        <v>21030</v>
      </c>
      <c r="B315" t="s">
        <v>1475</v>
      </c>
      <c r="C315" s="3" t="str">
        <f t="shared" si="26"/>
        <v>sysModuleState.sysInitialStateID</v>
      </c>
      <c r="D315">
        <v>40</v>
      </c>
      <c r="E315" s="3" t="str">
        <f t="shared" si="27"/>
        <v>sysModuleState</v>
      </c>
      <c r="F315" t="str">
        <f>VLOOKUP(V315,SystemTableId,3,FALSE)&amp;"ID"&amp;X315</f>
        <v>sysInitialStateID</v>
      </c>
      <c r="G315" t="s">
        <v>2001</v>
      </c>
      <c r="H315" s="3" t="str">
        <f t="shared" si="28"/>
        <v>System.ModuleState</v>
      </c>
      <c r="K315" t="s">
        <v>2002</v>
      </c>
      <c r="M315" t="s">
        <v>6007</v>
      </c>
      <c r="Q315" t="s">
        <v>92</v>
      </c>
      <c r="U315" t="s">
        <v>96</v>
      </c>
      <c r="V315" s="7">
        <v>27</v>
      </c>
      <c r="W315" s="3" t="str">
        <f>VLOOKUP(V315,SystemTableId,3,FALSE)</f>
        <v>sysInitialState</v>
      </c>
      <c r="AC315" s="7"/>
      <c r="AD315" s="15"/>
      <c r="AE315" s="7"/>
      <c r="AK315" t="str">
        <f>"SELECT (SELECT '"&amp;C315&amp;"' ColumnName from "&amp;E315&amp;" where "&amp;F315&amp;" is null and exists (select from "&amp;E315&amp;") limit 1) a union all"</f>
        <v>SELECT (SELECT 'sysModuleState.sysInitialStateID' ColumnName from sysModuleState where sysInitialStateID is null and exists (select from sysModuleState) limit 1) a union all</v>
      </c>
      <c r="AP315" t="e">
        <f t="shared" si="29"/>
        <v>#NAME?</v>
      </c>
    </row>
    <row r="316" spans="1:42">
      <c r="A316">
        <v>21040</v>
      </c>
      <c r="B316" t="s">
        <v>1475</v>
      </c>
      <c r="C316" s="3" t="str">
        <f t="shared" si="26"/>
        <v>sysModuleState.sysModuleID</v>
      </c>
      <c r="D316">
        <v>40</v>
      </c>
      <c r="E316" s="3" t="str">
        <f t="shared" si="27"/>
        <v>sysModuleState</v>
      </c>
      <c r="F316" t="str">
        <f>VLOOKUP(V316,SystemTableId,3,FALSE)&amp;"ID"&amp;X316</f>
        <v>sysModuleID</v>
      </c>
      <c r="G316" t="s">
        <v>1933</v>
      </c>
      <c r="H316" s="3" t="str">
        <f t="shared" si="28"/>
        <v>System.ModuleState</v>
      </c>
      <c r="K316" t="s">
        <v>1171</v>
      </c>
      <c r="M316" t="s">
        <v>6007</v>
      </c>
      <c r="Q316" t="s">
        <v>92</v>
      </c>
      <c r="U316" t="s">
        <v>96</v>
      </c>
      <c r="V316" s="7">
        <v>31</v>
      </c>
      <c r="W316" s="3" t="str">
        <f>VLOOKUP(V316,SystemTableId,3,FALSE)</f>
        <v>sysModule</v>
      </c>
      <c r="X316" s="7"/>
      <c r="Z316" s="7"/>
      <c r="AC316" s="7"/>
      <c r="AD316" s="15"/>
      <c r="AE316" s="7"/>
      <c r="AK316" t="str">
        <f>"SELECT (SELECT '"&amp;C316&amp;"' ColumnName from "&amp;E316&amp;" where "&amp;F316&amp;" is null and exists (select from "&amp;E316&amp;") limit 1) a union all"</f>
        <v>SELECT (SELECT 'sysModuleState.sysModuleID' ColumnName from sysModuleState where sysModuleID is null and exists (select from sysModuleState) limit 1) a union all</v>
      </c>
      <c r="AP316" t="e">
        <f t="shared" si="29"/>
        <v>#NAME?</v>
      </c>
    </row>
    <row r="317" spans="1:42">
      <c r="A317">
        <v>21180</v>
      </c>
      <c r="B317" t="s">
        <v>1475</v>
      </c>
      <c r="C317" s="3" t="str">
        <f t="shared" si="26"/>
        <v>sysNavigation.Caption</v>
      </c>
      <c r="D317">
        <v>44</v>
      </c>
      <c r="E317" s="3" t="str">
        <f t="shared" si="27"/>
        <v>sysNavigation</v>
      </c>
      <c r="F317" s="7" t="s">
        <v>1129</v>
      </c>
      <c r="G317" t="s">
        <v>1129</v>
      </c>
      <c r="H317" s="3" t="str">
        <f t="shared" si="28"/>
        <v>System.Navigation</v>
      </c>
      <c r="K317" t="s">
        <v>1129</v>
      </c>
      <c r="M317" t="s">
        <v>1073</v>
      </c>
      <c r="Q317" t="s">
        <v>92</v>
      </c>
      <c r="U317" t="s">
        <v>93</v>
      </c>
      <c r="AC317" s="7"/>
      <c r="AD317" s="15"/>
      <c r="AE317" s="7"/>
      <c r="AJ317" t="str">
        <f>"SELECT (SELECT '"&amp;C317&amp;"' ColumnName from "&amp;E317&amp;" where "&amp;F317&amp;" is null and exists (select from "&amp;E317&amp;") limit 1) ColumnName union all"</f>
        <v>SELECT (SELECT 'sysNavigation.Caption' ColumnName from sysNavigation where Caption is null and exists (select from sysNavigation) limit 1) ColumnName union all</v>
      </c>
      <c r="AL317" t="str">
        <f>"ALTER TABLE "&amp;E317&amp;" ALTER COLUMN "&amp;F317&amp;" DROP NOT NULL"</f>
        <v>ALTER TABLE sysNavigation ALTER COLUMN Caption DROP NOT NULL</v>
      </c>
      <c r="AP317" t="e">
        <f t="shared" si="29"/>
        <v>#NAME?</v>
      </c>
    </row>
    <row r="318" spans="1:42">
      <c r="A318">
        <v>21190</v>
      </c>
      <c r="B318" t="s">
        <v>1475</v>
      </c>
      <c r="C318" s="3" t="str">
        <f t="shared" si="26"/>
        <v>sysNavigation.Command</v>
      </c>
      <c r="D318">
        <v>44</v>
      </c>
      <c r="E318" s="3" t="str">
        <f t="shared" si="27"/>
        <v>sysNavigation</v>
      </c>
      <c r="F318" s="7" t="s">
        <v>35</v>
      </c>
      <c r="G318" t="s">
        <v>35</v>
      </c>
      <c r="H318" s="3" t="str">
        <f t="shared" si="28"/>
        <v>System.Navigation</v>
      </c>
      <c r="K318" t="s">
        <v>35</v>
      </c>
      <c r="M318" t="s">
        <v>1073</v>
      </c>
      <c r="Q318" t="s">
        <v>92</v>
      </c>
      <c r="U318" t="s">
        <v>93</v>
      </c>
      <c r="AC318" s="7"/>
      <c r="AD318" s="15"/>
      <c r="AE318" s="7"/>
      <c r="AJ318" t="str">
        <f>"SELECT (SELECT '"&amp;C318&amp;"' ColumnName from "&amp;E318&amp;" where "&amp;F318&amp;" is null and exists (select from "&amp;E318&amp;") limit 1) ColumnName union all"</f>
        <v>SELECT (SELECT 'sysNavigation.Command' ColumnName from sysNavigation where Command is null and exists (select from sysNavigation) limit 1) ColumnName union all</v>
      </c>
      <c r="AL318" t="str">
        <f>"ALTER TABLE "&amp;E318&amp;" ALTER COLUMN "&amp;F318&amp;" DROP NOT NULL"</f>
        <v>ALTER TABLE sysNavigation ALTER COLUMN Command DROP NOT NULL</v>
      </c>
      <c r="AP318" t="e">
        <f t="shared" si="29"/>
        <v>#NAME?</v>
      </c>
    </row>
    <row r="319" spans="1:42">
      <c r="A319">
        <v>21200</v>
      </c>
      <c r="B319" t="s">
        <v>1475</v>
      </c>
      <c r="C319" s="3" t="str">
        <f t="shared" si="26"/>
        <v>sysNavigation.Description</v>
      </c>
      <c r="D319">
        <v>44</v>
      </c>
      <c r="E319" s="3" t="str">
        <f t="shared" si="27"/>
        <v>sysNavigation</v>
      </c>
      <c r="F319" s="7" t="s">
        <v>12</v>
      </c>
      <c r="G319" t="s">
        <v>12</v>
      </c>
      <c r="H319" s="3" t="str">
        <f t="shared" si="28"/>
        <v>System.Navigation</v>
      </c>
      <c r="K319" t="s">
        <v>12</v>
      </c>
      <c r="M319" t="s">
        <v>1073</v>
      </c>
      <c r="Q319" t="s">
        <v>92</v>
      </c>
      <c r="U319" t="s">
        <v>93</v>
      </c>
      <c r="AC319" s="7"/>
      <c r="AD319" s="15"/>
      <c r="AE319" s="7"/>
      <c r="AH319" t="s">
        <v>92</v>
      </c>
      <c r="AJ319" t="str">
        <f>"SELECT (SELECT '"&amp;C319&amp;"' ColumnName from "&amp;E319&amp;" where "&amp;F319&amp;" is null and exists (select from "&amp;E319&amp;") limit 1) ColumnName union all"</f>
        <v>SELECT (SELECT 'sysNavigation.Description' ColumnName from sysNavigation where Description is null and exists (select from sysNavigation) limit 1) ColumnName union all</v>
      </c>
      <c r="AL319" t="str">
        <f>"ALTER TABLE "&amp;E319&amp;" ALTER COLUMN "&amp;F319&amp;" DROP NOT NULL"</f>
        <v>ALTER TABLE sysNavigation ALTER COLUMN Description DROP NOT NULL</v>
      </c>
      <c r="AP319" t="e">
        <f t="shared" si="29"/>
        <v>#NAME?</v>
      </c>
    </row>
    <row r="320" spans="1:42">
      <c r="A320">
        <v>21230</v>
      </c>
      <c r="B320" t="s">
        <v>1475</v>
      </c>
      <c r="C320" s="3" t="str">
        <f t="shared" si="26"/>
        <v>sysNavigation.DisplaySequence</v>
      </c>
      <c r="D320">
        <v>44</v>
      </c>
      <c r="E320" s="3" t="str">
        <f t="shared" si="27"/>
        <v>sysNavigation</v>
      </c>
      <c r="F320" t="s">
        <v>6055</v>
      </c>
      <c r="G320" s="3" t="s">
        <v>6432</v>
      </c>
      <c r="H320" s="3" t="str">
        <f t="shared" si="28"/>
        <v>System.Navigation</v>
      </c>
      <c r="K320" s="3" t="s">
        <v>6297</v>
      </c>
      <c r="M320" t="s">
        <v>195</v>
      </c>
      <c r="Q320" t="s">
        <v>92</v>
      </c>
      <c r="U320" t="s">
        <v>93</v>
      </c>
      <c r="AC320" s="7"/>
      <c r="AD320" s="15"/>
      <c r="AE320" s="7"/>
      <c r="AK320" t="str">
        <f t="shared" ref="AK320:AK328" si="31">"SELECT (SELECT '"&amp;C320&amp;"' ColumnName from "&amp;E320&amp;" where "&amp;F320&amp;" is null and exists (select from "&amp;E320&amp;") limit 1) a union all"</f>
        <v>SELECT (SELECT 'sysNavigation.DisplaySequence' ColumnName from sysNavigation where DisplaySequence is null and exists (select from sysNavigation) limit 1) a union all</v>
      </c>
      <c r="AP320" t="e">
        <f t="shared" si="29"/>
        <v>#NAME?</v>
      </c>
    </row>
    <row r="321" spans="1:42">
      <c r="A321">
        <v>21160</v>
      </c>
      <c r="B321" t="s">
        <v>1475</v>
      </c>
      <c r="C321" s="3" t="str">
        <f t="shared" si="26"/>
        <v>sysNavigation.Id</v>
      </c>
      <c r="D321">
        <v>44</v>
      </c>
      <c r="E321" s="3" t="str">
        <f t="shared" si="27"/>
        <v>sysNavigation</v>
      </c>
      <c r="F321" t="s">
        <v>1539</v>
      </c>
      <c r="G321" s="3" t="s">
        <v>6823</v>
      </c>
      <c r="H321" s="3" t="str">
        <f t="shared" si="28"/>
        <v>System.Navigation</v>
      </c>
      <c r="K321" t="s">
        <v>1539</v>
      </c>
      <c r="M321" t="s">
        <v>6007</v>
      </c>
      <c r="Q321" t="s">
        <v>919</v>
      </c>
      <c r="U321" t="s">
        <v>95</v>
      </c>
      <c r="V321" s="7"/>
      <c r="W321" s="7"/>
      <c r="X321" s="7"/>
      <c r="Z321" s="7"/>
      <c r="AC321" s="7"/>
      <c r="AD321" s="15"/>
      <c r="AE321" s="7"/>
      <c r="AK321" t="str">
        <f t="shared" si="31"/>
        <v>SELECT (SELECT 'sysNavigation.Id' ColumnName from sysNavigation where Id is null and exists (select from sysNavigation) limit 1) a union all</v>
      </c>
      <c r="AP321" t="e">
        <f t="shared" si="29"/>
        <v>#NAME?</v>
      </c>
    </row>
    <row r="322" spans="1:42">
      <c r="A322">
        <v>21210</v>
      </c>
      <c r="B322" t="s">
        <v>1475</v>
      </c>
      <c r="C322" s="3" t="str">
        <f t="shared" ref="C322:C385" si="32">CONCATENATE(E322,".",F322)</f>
        <v>sysNavigation.IsRouted</v>
      </c>
      <c r="D322">
        <v>44</v>
      </c>
      <c r="E322" s="3" t="str">
        <f t="shared" ref="E322:E385" si="33">VLOOKUP(D322,SystemTableId,3,FALSE)</f>
        <v>sysNavigation</v>
      </c>
      <c r="F322" s="7" t="s">
        <v>2008</v>
      </c>
      <c r="G322" t="s">
        <v>2008</v>
      </c>
      <c r="H322" s="3" t="str">
        <f t="shared" ref="H322:H385" si="34">VLOOKUP(E322,SystemTables,14,FALSE)</f>
        <v>System.Navigation</v>
      </c>
      <c r="K322" t="s">
        <v>2009</v>
      </c>
      <c r="M322" t="s">
        <v>1073</v>
      </c>
      <c r="Q322" t="s">
        <v>92</v>
      </c>
      <c r="U322" t="s">
        <v>93</v>
      </c>
      <c r="V322" s="7"/>
      <c r="W322" s="7"/>
      <c r="X322" s="7"/>
      <c r="Z322" s="7"/>
      <c r="AC322" s="7"/>
      <c r="AD322" s="15"/>
      <c r="AE322" s="7"/>
      <c r="AK322" t="str">
        <f t="shared" si="31"/>
        <v>SELECT (SELECT 'sysNavigation.IsRouted' ColumnName from sysNavigation where IsRouted is null and exists (select from sysNavigation) limit 1) a union all</v>
      </c>
      <c r="AP322" t="e">
        <f t="shared" ref="AP322:AP385" si="35">VLOOKUP(E322,temp6,1,FALSE)</f>
        <v>#NAME?</v>
      </c>
    </row>
    <row r="323" spans="1:42">
      <c r="A323">
        <v>21220</v>
      </c>
      <c r="B323" t="s">
        <v>1475</v>
      </c>
      <c r="C323" s="3" t="str">
        <f t="shared" si="32"/>
        <v>sysNavigation.Name</v>
      </c>
      <c r="D323">
        <v>44</v>
      </c>
      <c r="E323" s="3" t="str">
        <f t="shared" si="33"/>
        <v>sysNavigation</v>
      </c>
      <c r="F323" s="7" t="s">
        <v>22</v>
      </c>
      <c r="G323" s="3" t="s">
        <v>6980</v>
      </c>
      <c r="H323" s="3" t="str">
        <f t="shared" si="34"/>
        <v>System.Navigation</v>
      </c>
      <c r="K323" t="s">
        <v>22</v>
      </c>
      <c r="M323" t="s">
        <v>1073</v>
      </c>
      <c r="Q323" t="s">
        <v>92</v>
      </c>
      <c r="U323" t="s">
        <v>93</v>
      </c>
      <c r="V323" s="7"/>
      <c r="W323" s="7"/>
      <c r="X323" s="7"/>
      <c r="Z323" s="7"/>
      <c r="AC323" s="7"/>
      <c r="AD323" s="15"/>
      <c r="AE323" s="7"/>
      <c r="AH323" t="s">
        <v>92</v>
      </c>
      <c r="AK323" t="str">
        <f t="shared" si="31"/>
        <v>SELECT (SELECT 'sysNavigation.Name' ColumnName from sysNavigation where Name is null and exists (select from sysNavigation) limit 1) a union all</v>
      </c>
      <c r="AP323" t="e">
        <f t="shared" si="35"/>
        <v>#NAME?</v>
      </c>
    </row>
    <row r="324" spans="1:42">
      <c r="A324">
        <v>21260</v>
      </c>
      <c r="B324" t="s">
        <v>1475</v>
      </c>
      <c r="C324" s="3" t="str">
        <f t="shared" si="32"/>
        <v>sysNavigation.RowStatus</v>
      </c>
      <c r="D324">
        <v>44</v>
      </c>
      <c r="E324" s="3" t="str">
        <f t="shared" si="33"/>
        <v>sysNavigation</v>
      </c>
      <c r="F324" t="s">
        <v>1445</v>
      </c>
      <c r="G324" s="3" t="s">
        <v>6411</v>
      </c>
      <c r="H324" s="3" t="str">
        <f t="shared" si="34"/>
        <v>System.Navigation</v>
      </c>
      <c r="K324" s="3" t="s">
        <v>2471</v>
      </c>
      <c r="M324" t="s">
        <v>976</v>
      </c>
      <c r="N324">
        <v>1</v>
      </c>
      <c r="Q324" t="s">
        <v>919</v>
      </c>
      <c r="U324" t="s">
        <v>94</v>
      </c>
      <c r="V324" s="7"/>
      <c r="W324" s="7"/>
      <c r="X324" s="7"/>
      <c r="Z324" s="7"/>
      <c r="AC324" s="7"/>
      <c r="AD324" s="15"/>
      <c r="AE324" s="7"/>
      <c r="AK324" t="str">
        <f t="shared" si="31"/>
        <v>SELECT (SELECT 'sysNavigation.RowStatus' ColumnName from sysNavigation where RowStatus is null and exists (select from sysNavigation) limit 1) a union all</v>
      </c>
      <c r="AP324" t="e">
        <f t="shared" si="35"/>
        <v>#NAME?</v>
      </c>
    </row>
    <row r="325" spans="1:42">
      <c r="A325">
        <v>21270</v>
      </c>
      <c r="B325" t="s">
        <v>1475</v>
      </c>
      <c r="C325" s="3" t="str">
        <f t="shared" si="32"/>
        <v>sysNavigation.sysChangeHistoryID</v>
      </c>
      <c r="D325" s="7">
        <v>44</v>
      </c>
      <c r="E325" s="3" t="str">
        <f t="shared" si="33"/>
        <v>sysNavigation</v>
      </c>
      <c r="F325" t="s">
        <v>2497</v>
      </c>
      <c r="G325" s="3" t="s">
        <v>6403</v>
      </c>
      <c r="H325" s="3" t="str">
        <f t="shared" si="34"/>
        <v>System.Navigation</v>
      </c>
      <c r="K325" t="s">
        <v>1210</v>
      </c>
      <c r="M325" t="s">
        <v>6007</v>
      </c>
      <c r="N325" s="7"/>
      <c r="O325" s="7"/>
      <c r="P325" s="7"/>
      <c r="Q325" t="s">
        <v>919</v>
      </c>
      <c r="R325" s="7"/>
      <c r="S325" s="7"/>
      <c r="T325" s="8"/>
      <c r="U325" t="s">
        <v>1429</v>
      </c>
      <c r="AK325" t="str">
        <f t="shared" si="31"/>
        <v>SELECT (SELECT 'sysNavigation.sysChangeHistoryID' ColumnName from sysNavigation where sysChangeHistoryID is null and exists (select from sysNavigation) limit 1) a union all</v>
      </c>
      <c r="AP325" t="e">
        <f t="shared" si="35"/>
        <v>#NAME?</v>
      </c>
    </row>
    <row r="326" spans="1:42">
      <c r="A326">
        <v>21170</v>
      </c>
      <c r="B326" t="s">
        <v>1475</v>
      </c>
      <c r="C326" s="3" t="str">
        <f t="shared" si="32"/>
        <v>sysNavigation.sysNavigationIDParent</v>
      </c>
      <c r="D326">
        <v>44</v>
      </c>
      <c r="E326" s="3" t="str">
        <f t="shared" si="33"/>
        <v>sysNavigation</v>
      </c>
      <c r="F326" t="str">
        <f>VLOOKUP(V326,SystemTableId,3,FALSE)&amp;"ID"&amp;X326</f>
        <v>sysNavigationIDParent</v>
      </c>
      <c r="G326" t="s">
        <v>1938</v>
      </c>
      <c r="H326" s="3" t="str">
        <f t="shared" si="34"/>
        <v>System.Navigation</v>
      </c>
      <c r="K326" t="s">
        <v>1220</v>
      </c>
      <c r="M326" t="s">
        <v>6007</v>
      </c>
      <c r="Q326" t="s">
        <v>92</v>
      </c>
      <c r="U326" t="s">
        <v>96</v>
      </c>
      <c r="V326" s="7">
        <v>44</v>
      </c>
      <c r="W326" s="3" t="str">
        <f>VLOOKUP(V326,SystemTableId,3,FALSE)</f>
        <v>sysNavigation</v>
      </c>
      <c r="X326" s="3" t="s">
        <v>1220</v>
      </c>
      <c r="Z326" s="7"/>
      <c r="AC326" s="7"/>
      <c r="AD326" s="15"/>
      <c r="AE326" s="7"/>
      <c r="AK326" t="str">
        <f t="shared" si="31"/>
        <v>SELECT (SELECT 'sysNavigation.sysNavigationIDParent' ColumnName from sysNavigation where sysNavigationIDParent is null and exists (select from sysNavigation) limit 1) a union all</v>
      </c>
      <c r="AP326" t="e">
        <f t="shared" si="35"/>
        <v>#NAME?</v>
      </c>
    </row>
    <row r="327" spans="1:42">
      <c r="A327">
        <v>21240</v>
      </c>
      <c r="B327" t="s">
        <v>1475</v>
      </c>
      <c r="C327" s="3" t="str">
        <f t="shared" si="32"/>
        <v>sysNavigation.Type</v>
      </c>
      <c r="D327">
        <v>44</v>
      </c>
      <c r="E327" s="3" t="str">
        <f t="shared" si="33"/>
        <v>sysNavigation</v>
      </c>
      <c r="F327" s="7" t="s">
        <v>40</v>
      </c>
      <c r="G327" t="s">
        <v>40</v>
      </c>
      <c r="H327" s="3" t="str">
        <f t="shared" si="34"/>
        <v>System.Navigation</v>
      </c>
      <c r="K327" t="s">
        <v>40</v>
      </c>
      <c r="M327" t="s">
        <v>1073</v>
      </c>
      <c r="Q327" t="s">
        <v>92</v>
      </c>
      <c r="U327" t="s">
        <v>93</v>
      </c>
      <c r="AC327" s="7"/>
      <c r="AD327" s="15"/>
      <c r="AE327" s="7"/>
      <c r="AK327" t="str">
        <f t="shared" si="31"/>
        <v>SELECT (SELECT 'sysNavigation.Type' ColumnName from sysNavigation where Type is null and exists (select from sysNavigation) limit 1) a union all</v>
      </c>
      <c r="AP327" t="e">
        <f t="shared" si="35"/>
        <v>#NAME?</v>
      </c>
    </row>
    <row r="328" spans="1:42">
      <c r="A328">
        <v>21250</v>
      </c>
      <c r="B328" t="s">
        <v>1475</v>
      </c>
      <c r="C328" s="3" t="str">
        <f t="shared" si="32"/>
        <v>sysNavigation.URL</v>
      </c>
      <c r="D328">
        <v>44</v>
      </c>
      <c r="E328" s="3" t="str">
        <f t="shared" si="33"/>
        <v>sysNavigation</v>
      </c>
      <c r="F328" s="7" t="s">
        <v>2007</v>
      </c>
      <c r="G328" t="s">
        <v>2007</v>
      </c>
      <c r="H328" s="3" t="str">
        <f t="shared" si="34"/>
        <v>System.Navigation</v>
      </c>
      <c r="K328" t="s">
        <v>2007</v>
      </c>
      <c r="M328" t="s">
        <v>1073</v>
      </c>
      <c r="Q328" t="s">
        <v>92</v>
      </c>
      <c r="U328" t="s">
        <v>93</v>
      </c>
      <c r="AC328" s="7"/>
      <c r="AD328" s="15"/>
      <c r="AE328" s="7"/>
      <c r="AK328" t="str">
        <f t="shared" si="31"/>
        <v>SELECT (SELECT 'sysNavigation.URL' ColumnName from sysNavigation where URL is null and exists (select from sysNavigation) limit 1) a union all</v>
      </c>
      <c r="AP328" t="e">
        <f t="shared" si="35"/>
        <v>#NAME?</v>
      </c>
    </row>
    <row r="329" spans="1:42">
      <c r="A329">
        <v>21350</v>
      </c>
      <c r="B329" t="s">
        <v>1475</v>
      </c>
      <c r="C329" s="3" t="str">
        <f t="shared" si="32"/>
        <v>sysProcess.Caption</v>
      </c>
      <c r="D329" s="7">
        <v>50</v>
      </c>
      <c r="E329" s="3" t="str">
        <f t="shared" si="33"/>
        <v>sysProcess</v>
      </c>
      <c r="F329" s="7" t="s">
        <v>1129</v>
      </c>
      <c r="G329" t="s">
        <v>1129</v>
      </c>
      <c r="H329" s="3" t="str">
        <f t="shared" si="34"/>
        <v>System.Process</v>
      </c>
      <c r="K329" s="7" t="s">
        <v>1129</v>
      </c>
      <c r="M329" s="7" t="s">
        <v>1073</v>
      </c>
      <c r="O329" s="7"/>
      <c r="Q329" t="s">
        <v>92</v>
      </c>
      <c r="U329" s="7" t="s">
        <v>93</v>
      </c>
      <c r="AC329" s="7"/>
      <c r="AD329" s="15"/>
      <c r="AE329" s="7"/>
      <c r="AJ329" t="str">
        <f>"SELECT (SELECT '"&amp;C329&amp;"' ColumnName from "&amp;E329&amp;" where "&amp;F329&amp;" is null and exists (select from "&amp;E329&amp;") limit 1) ColumnName union all"</f>
        <v>SELECT (SELECT 'sysProcess.Caption' ColumnName from sysProcess where Caption is null and exists (select from sysProcess) limit 1) ColumnName union all</v>
      </c>
      <c r="AL329" t="str">
        <f>"ALTER TABLE "&amp;E329&amp;" ALTER COLUMN "&amp;F329&amp;" DROP NOT NULL"</f>
        <v>ALTER TABLE sysProcess ALTER COLUMN Caption DROP NOT NULL</v>
      </c>
      <c r="AP329" t="e">
        <f t="shared" si="35"/>
        <v>#NAME?</v>
      </c>
    </row>
    <row r="330" spans="1:42">
      <c r="A330">
        <v>21290</v>
      </c>
      <c r="B330" t="s">
        <v>1475</v>
      </c>
      <c r="C330" s="3" t="str">
        <f t="shared" si="32"/>
        <v>sysProcess.crmContactIDTeam</v>
      </c>
      <c r="D330" s="7">
        <v>50</v>
      </c>
      <c r="E330" s="3" t="str">
        <f t="shared" si="33"/>
        <v>sysProcess</v>
      </c>
      <c r="F330" t="str">
        <f>VLOOKUP(V330,DictionaryTableID,3,FALSE)&amp;"ID"&amp;X330</f>
        <v>crmContactIDTeam</v>
      </c>
      <c r="G330" t="s">
        <v>1918</v>
      </c>
      <c r="H330" s="3" t="str">
        <f t="shared" si="34"/>
        <v>System.Process</v>
      </c>
      <c r="K330" s="7" t="s">
        <v>1919</v>
      </c>
      <c r="M330" t="s">
        <v>6007</v>
      </c>
      <c r="Q330" t="s">
        <v>92</v>
      </c>
      <c r="U330" t="s">
        <v>96</v>
      </c>
      <c r="V330">
        <v>100</v>
      </c>
      <c r="W330" s="3" t="str">
        <f>VLOOKUP(V330,DictionaryTableID,3,FALSE)</f>
        <v>crmContact</v>
      </c>
      <c r="X330" t="s">
        <v>1919</v>
      </c>
      <c r="AC330" s="7"/>
      <c r="AD330" s="15"/>
      <c r="AE330" s="7"/>
      <c r="AJ330" t="str">
        <f>"SELECT (SELECT '"&amp;C330&amp;"' ColumnName from "&amp;E330&amp;" where "&amp;F330&amp;" is null and exists (select from "&amp;E330&amp;") limit 1) ColumnName union all"</f>
        <v>SELECT (SELECT 'sysProcess.crmContactIDTeam' ColumnName from sysProcess where crmContactIDTeam is null and exists (select from sysProcess) limit 1) ColumnName union all</v>
      </c>
      <c r="AL330" t="str">
        <f>"ALTER TABLE "&amp;E330&amp;" ALTER COLUMN "&amp;F330&amp;" DROP NOT NULL"</f>
        <v>ALTER TABLE sysProcess ALTER COLUMN crmContactIDTeam DROP NOT NULL</v>
      </c>
      <c r="AP330" t="e">
        <f t="shared" si="35"/>
        <v>#NAME?</v>
      </c>
    </row>
    <row r="331" spans="1:42">
      <c r="A331">
        <v>21300</v>
      </c>
      <c r="B331" t="s">
        <v>1475</v>
      </c>
      <c r="C331" s="3" t="str">
        <f t="shared" si="32"/>
        <v>sysProcess.crmRelationshipTypeID</v>
      </c>
      <c r="D331" s="7">
        <v>50</v>
      </c>
      <c r="E331" s="3" t="str">
        <f t="shared" si="33"/>
        <v>sysProcess</v>
      </c>
      <c r="F331" t="str">
        <f>VLOOKUP(V331,DictionaryTableID,3,FALSE)&amp;"ID"&amp;X331</f>
        <v>crmRelationshipTypeID</v>
      </c>
      <c r="G331" t="s">
        <v>1915</v>
      </c>
      <c r="H331" s="3" t="str">
        <f t="shared" si="34"/>
        <v>System.Process</v>
      </c>
      <c r="K331" s="7" t="s">
        <v>1916</v>
      </c>
      <c r="M331" t="s">
        <v>6007</v>
      </c>
      <c r="Q331" t="s">
        <v>92</v>
      </c>
      <c r="U331" t="s">
        <v>96</v>
      </c>
      <c r="V331" s="7">
        <v>121</v>
      </c>
      <c r="W331" s="3" t="str">
        <f>VLOOKUP(V331,DictionaryTableID,3,FALSE)</f>
        <v>crmRelationshipType</v>
      </c>
      <c r="X331" s="7"/>
      <c r="Z331" s="7" t="s">
        <v>1917</v>
      </c>
      <c r="AC331" s="7"/>
      <c r="AD331" s="15"/>
      <c r="AE331" s="7"/>
      <c r="AJ331" t="str">
        <f>"SELECT (SELECT '"&amp;C331&amp;"' ColumnName from "&amp;E331&amp;" where "&amp;F331&amp;" is null and exists (select from "&amp;E331&amp;") limit 1) ColumnName union all"</f>
        <v>SELECT (SELECT 'sysProcess.crmRelationshipTypeID' ColumnName from sysProcess where crmRelationshipTypeID is null and exists (select from sysProcess) limit 1) ColumnName union all</v>
      </c>
      <c r="AL331" t="str">
        <f>"ALTER TABLE "&amp;E331&amp;" ALTER COLUMN "&amp;F331&amp;" DROP NOT NULL"</f>
        <v>ALTER TABLE sysProcess ALTER COLUMN crmRelationshipTypeID DROP NOT NULL</v>
      </c>
      <c r="AP331" t="e">
        <f t="shared" si="35"/>
        <v>#NAME?</v>
      </c>
    </row>
    <row r="332" spans="1:42">
      <c r="A332">
        <v>21360</v>
      </c>
      <c r="B332" t="s">
        <v>1475</v>
      </c>
      <c r="C332" s="3" t="str">
        <f t="shared" si="32"/>
        <v>sysProcess.Description</v>
      </c>
      <c r="D332" s="7">
        <v>50</v>
      </c>
      <c r="E332" s="3" t="str">
        <f t="shared" si="33"/>
        <v>sysProcess</v>
      </c>
      <c r="F332" s="7" t="s">
        <v>12</v>
      </c>
      <c r="G332" t="s">
        <v>12</v>
      </c>
      <c r="H332" s="3" t="str">
        <f t="shared" si="34"/>
        <v>System.Process</v>
      </c>
      <c r="K332" s="7" t="s">
        <v>12</v>
      </c>
      <c r="M332" s="7" t="s">
        <v>1073</v>
      </c>
      <c r="O332" s="7"/>
      <c r="Q332" t="s">
        <v>92</v>
      </c>
      <c r="U332" s="7" t="s">
        <v>93</v>
      </c>
      <c r="AC332" s="7"/>
      <c r="AD332" s="15"/>
      <c r="AE332" s="7"/>
      <c r="AH332" t="s">
        <v>92</v>
      </c>
      <c r="AK332" t="str">
        <f t="shared" ref="AK332:AK346" si="36">"SELECT (SELECT '"&amp;C332&amp;"' ColumnName from "&amp;E332&amp;" where "&amp;F332&amp;" is null and exists (select from "&amp;E332&amp;") limit 1) a union all"</f>
        <v>SELECT (SELECT 'sysProcess.Description' ColumnName from sysProcess where Description is null and exists (select from sysProcess) limit 1) a union all</v>
      </c>
      <c r="AP332" t="e">
        <f t="shared" si="35"/>
        <v>#NAME?</v>
      </c>
    </row>
    <row r="333" spans="1:42">
      <c r="A333">
        <v>21420</v>
      </c>
      <c r="B333" t="s">
        <v>1475</v>
      </c>
      <c r="C333" s="3" t="str">
        <f t="shared" si="32"/>
        <v>sysProcess.DisplaySequence</v>
      </c>
      <c r="D333">
        <v>50</v>
      </c>
      <c r="E333" s="3" t="str">
        <f t="shared" si="33"/>
        <v>sysProcess</v>
      </c>
      <c r="F333" t="s">
        <v>6055</v>
      </c>
      <c r="G333" s="3" t="s">
        <v>6432</v>
      </c>
      <c r="H333" s="3" t="str">
        <f t="shared" si="34"/>
        <v>System.Process</v>
      </c>
      <c r="K333" s="3" t="s">
        <v>6297</v>
      </c>
      <c r="M333" t="s">
        <v>195</v>
      </c>
      <c r="Q333" t="s">
        <v>92</v>
      </c>
      <c r="U333" t="s">
        <v>93</v>
      </c>
      <c r="AC333" s="7"/>
      <c r="AD333" s="15"/>
      <c r="AE333" s="7"/>
      <c r="AK333" t="str">
        <f t="shared" si="36"/>
        <v>SELECT (SELECT 'sysProcess.DisplaySequence' ColumnName from sysProcess where DisplaySequence is null and exists (select from sysProcess) limit 1) a union all</v>
      </c>
      <c r="AP333" t="e">
        <f t="shared" si="35"/>
        <v>#NAME?</v>
      </c>
    </row>
    <row r="334" spans="1:42">
      <c r="A334">
        <v>21370</v>
      </c>
      <c r="B334" t="s">
        <v>1475</v>
      </c>
      <c r="C334" s="3" t="str">
        <f t="shared" si="32"/>
        <v>sysProcess.EndRule</v>
      </c>
      <c r="D334">
        <v>50</v>
      </c>
      <c r="E334" s="3" t="str">
        <f t="shared" si="33"/>
        <v>sysProcess</v>
      </c>
      <c r="F334" s="7" t="s">
        <v>2012</v>
      </c>
      <c r="G334" t="s">
        <v>2012</v>
      </c>
      <c r="H334" s="3" t="str">
        <f t="shared" si="34"/>
        <v>System.Process</v>
      </c>
      <c r="K334" t="s">
        <v>2013</v>
      </c>
      <c r="M334" t="s">
        <v>1073</v>
      </c>
      <c r="Q334" t="s">
        <v>92</v>
      </c>
      <c r="U334" t="s">
        <v>93</v>
      </c>
      <c r="AC334" s="7"/>
      <c r="AD334" s="15"/>
      <c r="AE334" s="7"/>
      <c r="AK334" t="str">
        <f t="shared" si="36"/>
        <v>SELECT (SELECT 'sysProcess.EndRule' ColumnName from sysProcess where EndRule is null and exists (select from sysProcess) limit 1) a union all</v>
      </c>
      <c r="AP334" t="e">
        <f t="shared" si="35"/>
        <v>#NAME?</v>
      </c>
    </row>
    <row r="335" spans="1:42">
      <c r="A335">
        <v>21310</v>
      </c>
      <c r="B335" t="s">
        <v>1475</v>
      </c>
      <c r="C335" s="3" t="str">
        <f t="shared" si="32"/>
        <v>sysProcess.glAccountCostCentreID</v>
      </c>
      <c r="D335" s="7">
        <v>50</v>
      </c>
      <c r="E335" s="3" t="str">
        <f t="shared" si="33"/>
        <v>sysProcess</v>
      </c>
      <c r="F335" t="str">
        <f>VLOOKUP(V335,DictionaryTableID,3,FALSE)&amp;"ID"&amp;X335</f>
        <v>glAccountCostCentreID</v>
      </c>
      <c r="G335" t="s">
        <v>1914</v>
      </c>
      <c r="H335" s="3" t="str">
        <f t="shared" si="34"/>
        <v>System.Process</v>
      </c>
      <c r="K335" s="7" t="s">
        <v>1039</v>
      </c>
      <c r="M335" t="s">
        <v>6007</v>
      </c>
      <c r="Q335" t="s">
        <v>92</v>
      </c>
      <c r="U335" t="s">
        <v>96</v>
      </c>
      <c r="V335">
        <v>302</v>
      </c>
      <c r="W335" s="3" t="str">
        <f>VLOOKUP(V335,DictionaryTableID,3,FALSE)</f>
        <v>glAccountCostCentre</v>
      </c>
      <c r="X335" s="7"/>
      <c r="Z335" s="7" t="s">
        <v>1039</v>
      </c>
      <c r="AC335" s="7"/>
      <c r="AD335" s="15"/>
      <c r="AE335" s="7"/>
      <c r="AK335" t="str">
        <f t="shared" si="36"/>
        <v>SELECT (SELECT 'sysProcess.glAccountCostCentreID' ColumnName from sysProcess where glAccountCostCentreID is null and exists (select from sysProcess) limit 1) a union all</v>
      </c>
      <c r="AP335" t="e">
        <f t="shared" si="35"/>
        <v>#NAME?</v>
      </c>
    </row>
    <row r="336" spans="1:42">
      <c r="A336">
        <v>21280</v>
      </c>
      <c r="B336" t="s">
        <v>1475</v>
      </c>
      <c r="C336" s="3" t="str">
        <f t="shared" si="32"/>
        <v>sysProcess.Id</v>
      </c>
      <c r="D336" s="7">
        <v>50</v>
      </c>
      <c r="E336" s="3" t="str">
        <f t="shared" si="33"/>
        <v>sysProcess</v>
      </c>
      <c r="F336" t="s">
        <v>1539</v>
      </c>
      <c r="G336" s="3" t="s">
        <v>6824</v>
      </c>
      <c r="H336" s="3" t="str">
        <f t="shared" si="34"/>
        <v>System.Process</v>
      </c>
      <c r="K336" s="7" t="s">
        <v>0</v>
      </c>
      <c r="M336" t="s">
        <v>6007</v>
      </c>
      <c r="N336" s="7"/>
      <c r="O336" s="7"/>
      <c r="Q336" t="s">
        <v>919</v>
      </c>
      <c r="U336" s="7" t="s">
        <v>95</v>
      </c>
      <c r="V336" s="7"/>
      <c r="W336" s="7"/>
      <c r="X336" s="7"/>
      <c r="Z336" s="7"/>
      <c r="AC336" s="7"/>
      <c r="AD336" s="15"/>
      <c r="AE336" s="7"/>
      <c r="AK336" t="str">
        <f t="shared" si="36"/>
        <v>SELECT (SELECT 'sysProcess.Id' ColumnName from sysProcess where Id is null and exists (select from sysProcess) limit 1) a union all</v>
      </c>
      <c r="AP336" t="e">
        <f t="shared" si="35"/>
        <v>#NAME?</v>
      </c>
    </row>
    <row r="337" spans="1:42">
      <c r="A337">
        <v>21380</v>
      </c>
      <c r="B337" t="s">
        <v>1475</v>
      </c>
      <c r="C337" s="3" t="str">
        <f t="shared" si="32"/>
        <v>sysProcess.IsAdministrative</v>
      </c>
      <c r="D337">
        <v>50</v>
      </c>
      <c r="E337" s="3" t="str">
        <f t="shared" si="33"/>
        <v>sysProcess</v>
      </c>
      <c r="F337" s="7" t="s">
        <v>2396</v>
      </c>
      <c r="G337" s="3" t="s">
        <v>6825</v>
      </c>
      <c r="H337" s="3" t="str">
        <f t="shared" si="34"/>
        <v>System.Process</v>
      </c>
      <c r="K337" t="s">
        <v>2022</v>
      </c>
      <c r="M337" s="3" t="s">
        <v>2402</v>
      </c>
      <c r="Q337" t="s">
        <v>92</v>
      </c>
      <c r="U337" t="s">
        <v>93</v>
      </c>
      <c r="AC337" s="7"/>
      <c r="AD337" s="15"/>
      <c r="AE337" s="7"/>
      <c r="AK337" t="str">
        <f t="shared" si="36"/>
        <v>SELECT (SELECT 'sysProcess.IsAdministrative' ColumnName from sysProcess where IsAdministrative is null and exists (select from sysProcess) limit 1) a union all</v>
      </c>
      <c r="AP337" t="e">
        <f t="shared" si="35"/>
        <v>#NAME?</v>
      </c>
    </row>
    <row r="338" spans="1:42">
      <c r="A338">
        <v>21390</v>
      </c>
      <c r="B338" t="s">
        <v>1475</v>
      </c>
      <c r="C338" s="3" t="str">
        <f t="shared" si="32"/>
        <v>sysProcess.Module</v>
      </c>
      <c r="D338">
        <v>50</v>
      </c>
      <c r="E338" s="3" t="str">
        <f t="shared" si="33"/>
        <v>sysProcess</v>
      </c>
      <c r="F338" s="7" t="s">
        <v>1171</v>
      </c>
      <c r="G338" t="s">
        <v>1171</v>
      </c>
      <c r="H338" s="3" t="str">
        <f t="shared" si="34"/>
        <v>System.Process</v>
      </c>
      <c r="K338" t="s">
        <v>1171</v>
      </c>
      <c r="M338" t="s">
        <v>1073</v>
      </c>
      <c r="Q338" t="s">
        <v>92</v>
      </c>
      <c r="U338" t="s">
        <v>93</v>
      </c>
      <c r="V338" s="7"/>
      <c r="W338" s="7"/>
      <c r="X338" s="7"/>
      <c r="Z338" s="7"/>
      <c r="AC338" s="7"/>
      <c r="AD338" s="15"/>
      <c r="AE338" s="7"/>
      <c r="AK338" t="str">
        <f t="shared" si="36"/>
        <v>SELECT (SELECT 'sysProcess.Module' ColumnName from sysProcess where Module is null and exists (select from sysProcess) limit 1) a union all</v>
      </c>
      <c r="AP338" t="e">
        <f t="shared" si="35"/>
        <v>#NAME?</v>
      </c>
    </row>
    <row r="339" spans="1:42">
      <c r="A339">
        <v>21400</v>
      </c>
      <c r="B339" t="s">
        <v>1475</v>
      </c>
      <c r="C339" s="3" t="str">
        <f t="shared" si="32"/>
        <v>sysProcess.Name</v>
      </c>
      <c r="D339" s="7">
        <v>50</v>
      </c>
      <c r="E339" s="3" t="str">
        <f t="shared" si="33"/>
        <v>sysProcess</v>
      </c>
      <c r="F339" s="7" t="s">
        <v>22</v>
      </c>
      <c r="G339" s="3" t="s">
        <v>6981</v>
      </c>
      <c r="H339" s="3" t="str">
        <f t="shared" si="34"/>
        <v>System.Process</v>
      </c>
      <c r="K339" s="7" t="s">
        <v>22</v>
      </c>
      <c r="M339" s="7" t="s">
        <v>1073</v>
      </c>
      <c r="N339" s="7"/>
      <c r="O339" s="7"/>
      <c r="Q339" t="s">
        <v>92</v>
      </c>
      <c r="U339" s="7" t="s">
        <v>93</v>
      </c>
      <c r="V339" s="7"/>
      <c r="W339" s="7"/>
      <c r="X339" s="7"/>
      <c r="Z339" s="7"/>
      <c r="AC339" s="7"/>
      <c r="AD339" s="15"/>
      <c r="AE339" s="7"/>
      <c r="AH339" t="s">
        <v>92</v>
      </c>
      <c r="AK339" t="str">
        <f t="shared" si="36"/>
        <v>SELECT (SELECT 'sysProcess.Name' ColumnName from sysProcess where Name is null and exists (select from sysProcess) limit 1) a union all</v>
      </c>
      <c r="AP339" t="e">
        <f t="shared" si="35"/>
        <v>#NAME?</v>
      </c>
    </row>
    <row r="340" spans="1:42">
      <c r="A340">
        <v>21410</v>
      </c>
      <c r="B340" t="s">
        <v>1475</v>
      </c>
      <c r="C340" s="3" t="str">
        <f t="shared" si="32"/>
        <v>sysProcess.ProgressonStart</v>
      </c>
      <c r="D340">
        <v>50</v>
      </c>
      <c r="E340" s="3" t="str">
        <f t="shared" si="33"/>
        <v>sysProcess</v>
      </c>
      <c r="F340" s="7" t="s">
        <v>2020</v>
      </c>
      <c r="G340" t="s">
        <v>2020</v>
      </c>
      <c r="H340" s="3" t="str">
        <f t="shared" si="34"/>
        <v>System.Process</v>
      </c>
      <c r="K340" t="s">
        <v>2021</v>
      </c>
      <c r="M340" t="s">
        <v>195</v>
      </c>
      <c r="Q340" t="s">
        <v>92</v>
      </c>
      <c r="U340" t="s">
        <v>93</v>
      </c>
      <c r="V340" s="7"/>
      <c r="W340" s="7"/>
      <c r="X340" s="7"/>
      <c r="Z340" s="7"/>
      <c r="AC340" s="7"/>
      <c r="AD340" s="15"/>
      <c r="AE340" s="7"/>
      <c r="AK340" t="str">
        <f t="shared" si="36"/>
        <v>SELECT (SELECT 'sysProcess.ProgressonStart' ColumnName from sysProcess where ProgressonStart is null and exists (select from sysProcess) limit 1) a union all</v>
      </c>
      <c r="AP340" t="e">
        <f t="shared" si="35"/>
        <v>#NAME?</v>
      </c>
    </row>
    <row r="341" spans="1:42">
      <c r="A341">
        <v>21440</v>
      </c>
      <c r="B341" t="s">
        <v>1475</v>
      </c>
      <c r="C341" s="3" t="str">
        <f t="shared" si="32"/>
        <v>sysProcess.RowStatus</v>
      </c>
      <c r="D341">
        <v>50</v>
      </c>
      <c r="E341" s="3" t="str">
        <f t="shared" si="33"/>
        <v>sysProcess</v>
      </c>
      <c r="F341" t="s">
        <v>1445</v>
      </c>
      <c r="G341" s="3" t="s">
        <v>6411</v>
      </c>
      <c r="H341" s="3" t="str">
        <f t="shared" si="34"/>
        <v>System.Process</v>
      </c>
      <c r="K341" s="3" t="s">
        <v>2471</v>
      </c>
      <c r="M341" t="s">
        <v>976</v>
      </c>
      <c r="N341">
        <v>1</v>
      </c>
      <c r="Q341" t="s">
        <v>919</v>
      </c>
      <c r="U341" t="s">
        <v>94</v>
      </c>
      <c r="V341" s="7"/>
      <c r="W341" s="7"/>
      <c r="X341" s="7"/>
      <c r="Z341" s="7"/>
      <c r="AC341" s="7"/>
      <c r="AD341" s="15"/>
      <c r="AE341" s="7"/>
      <c r="AK341" t="str">
        <f t="shared" si="36"/>
        <v>SELECT (SELECT 'sysProcess.RowStatus' ColumnName from sysProcess where RowStatus is null and exists (select from sysProcess) limit 1) a union all</v>
      </c>
      <c r="AP341" t="e">
        <f t="shared" si="35"/>
        <v>#NAME?</v>
      </c>
    </row>
    <row r="342" spans="1:42">
      <c r="A342">
        <v>21430</v>
      </c>
      <c r="B342" t="s">
        <v>1475</v>
      </c>
      <c r="C342" s="3" t="str">
        <f t="shared" si="32"/>
        <v>sysProcess.StartRule</v>
      </c>
      <c r="D342">
        <v>50</v>
      </c>
      <c r="E342" s="3" t="str">
        <f t="shared" si="33"/>
        <v>sysProcess</v>
      </c>
      <c r="F342" s="7" t="s">
        <v>2010</v>
      </c>
      <c r="G342" t="s">
        <v>2010</v>
      </c>
      <c r="H342" s="3" t="str">
        <f t="shared" si="34"/>
        <v>System.Process</v>
      </c>
      <c r="K342" t="s">
        <v>2011</v>
      </c>
      <c r="M342" t="s">
        <v>1073</v>
      </c>
      <c r="Q342" t="s">
        <v>92</v>
      </c>
      <c r="U342" t="s">
        <v>93</v>
      </c>
      <c r="AC342" s="7"/>
      <c r="AD342" s="15"/>
      <c r="AE342" s="7"/>
      <c r="AK342" t="str">
        <f t="shared" si="36"/>
        <v>SELECT (SELECT 'sysProcess.StartRule' ColumnName from sysProcess where StartRule is null and exists (select from sysProcess) limit 1) a union all</v>
      </c>
      <c r="AP342" t="e">
        <f t="shared" si="35"/>
        <v>#NAME?</v>
      </c>
    </row>
    <row r="343" spans="1:42">
      <c r="A343">
        <v>21450</v>
      </c>
      <c r="B343" t="s">
        <v>1475</v>
      </c>
      <c r="C343" s="3" t="str">
        <f t="shared" si="32"/>
        <v>sysProcess.sysChangeHistoryID</v>
      </c>
      <c r="D343" s="7">
        <v>50</v>
      </c>
      <c r="E343" s="3" t="str">
        <f t="shared" si="33"/>
        <v>sysProcess</v>
      </c>
      <c r="F343" t="s">
        <v>2497</v>
      </c>
      <c r="G343" s="3" t="s">
        <v>6403</v>
      </c>
      <c r="H343" s="3" t="str">
        <f t="shared" si="34"/>
        <v>System.Process</v>
      </c>
      <c r="K343" t="s">
        <v>1210</v>
      </c>
      <c r="M343" t="s">
        <v>6007</v>
      </c>
      <c r="N343" s="7"/>
      <c r="O343" s="7"/>
      <c r="P343" s="7"/>
      <c r="Q343" t="s">
        <v>919</v>
      </c>
      <c r="R343" s="7"/>
      <c r="S343" s="7"/>
      <c r="T343" s="8"/>
      <c r="U343" t="s">
        <v>1429</v>
      </c>
      <c r="AK343" t="str">
        <f t="shared" si="36"/>
        <v>SELECT (SELECT 'sysProcess.sysChangeHistoryID' ColumnName from sysProcess where sysChangeHistoryID is null and exists (select from sysProcess) limit 1) a union all</v>
      </c>
      <c r="AP343" t="e">
        <f t="shared" si="35"/>
        <v>#NAME?</v>
      </c>
    </row>
    <row r="344" spans="1:42">
      <c r="A344">
        <v>21320</v>
      </c>
      <c r="B344" t="s">
        <v>1475</v>
      </c>
      <c r="C344" s="3" t="str">
        <f t="shared" si="32"/>
        <v>sysProcess.sysProcessIDParent</v>
      </c>
      <c r="D344">
        <v>50</v>
      </c>
      <c r="E344" s="3" t="str">
        <f t="shared" si="33"/>
        <v>sysProcess</v>
      </c>
      <c r="F344" t="str">
        <f>VLOOKUP(V344,SystemTableId,3,FALSE)&amp;"ID"&amp;X344</f>
        <v>sysProcessIDParent</v>
      </c>
      <c r="G344" t="s">
        <v>1938</v>
      </c>
      <c r="H344" s="3" t="str">
        <f t="shared" si="34"/>
        <v>System.Process</v>
      </c>
      <c r="K344" t="s">
        <v>1220</v>
      </c>
      <c r="M344" t="s">
        <v>6007</v>
      </c>
      <c r="Q344" t="s">
        <v>92</v>
      </c>
      <c r="U344" t="s">
        <v>96</v>
      </c>
      <c r="V344" s="7">
        <v>50</v>
      </c>
      <c r="W344" s="3" t="str">
        <f>VLOOKUP(V344,SystemTableId,3,FALSE)</f>
        <v>sysProcess</v>
      </c>
      <c r="X344" s="3" t="s">
        <v>1220</v>
      </c>
      <c r="Z344" s="7"/>
      <c r="AC344" s="7"/>
      <c r="AD344" s="15"/>
      <c r="AE344" s="7"/>
      <c r="AK344" t="str">
        <f t="shared" si="36"/>
        <v>SELECT (SELECT 'sysProcess.sysProcessIDParent' ColumnName from sysProcess where sysProcessIDParent is null and exists (select from sysProcess) limit 1) a union all</v>
      </c>
      <c r="AP344" t="e">
        <f t="shared" si="35"/>
        <v>#NAME?</v>
      </c>
    </row>
    <row r="345" spans="1:42">
      <c r="A345">
        <v>21330</v>
      </c>
      <c r="B345" t="s">
        <v>1475</v>
      </c>
      <c r="C345" s="3" t="str">
        <f t="shared" si="32"/>
        <v>sysProcess.sysProcessStatusID</v>
      </c>
      <c r="D345">
        <v>50</v>
      </c>
      <c r="E345" s="3" t="str">
        <f t="shared" si="33"/>
        <v>sysProcess</v>
      </c>
      <c r="F345" t="str">
        <f>VLOOKUP(V345,SystemTableId,3,FALSE)&amp;"ID"&amp;X345</f>
        <v>sysProcessStatusID</v>
      </c>
      <c r="G345" t="s">
        <v>2017</v>
      </c>
      <c r="H345" s="3" t="str">
        <f t="shared" si="34"/>
        <v>System.Process</v>
      </c>
      <c r="K345" t="s">
        <v>2018</v>
      </c>
      <c r="M345" t="s">
        <v>6007</v>
      </c>
      <c r="Q345" t="s">
        <v>92</v>
      </c>
      <c r="U345" t="s">
        <v>96</v>
      </c>
      <c r="V345" s="7">
        <v>52</v>
      </c>
      <c r="W345" s="3" t="str">
        <f>VLOOKUP(V345,SystemTableId,3,FALSE)</f>
        <v>sysProcessStatus</v>
      </c>
      <c r="Z345" t="s">
        <v>2019</v>
      </c>
      <c r="AC345" s="7"/>
      <c r="AD345" s="15"/>
      <c r="AE345" s="7"/>
      <c r="AK345" t="str">
        <f t="shared" si="36"/>
        <v>SELECT (SELECT 'sysProcess.sysProcessStatusID' ColumnName from sysProcess where sysProcessStatusID is null and exists (select from sysProcess) limit 1) a union all</v>
      </c>
      <c r="AP345" t="e">
        <f t="shared" si="35"/>
        <v>#NAME?</v>
      </c>
    </row>
    <row r="346" spans="1:42">
      <c r="A346">
        <v>21340</v>
      </c>
      <c r="B346" t="s">
        <v>1475</v>
      </c>
      <c r="C346" s="3" t="str">
        <f t="shared" si="32"/>
        <v>sysProcess.sysProcessTypeID</v>
      </c>
      <c r="D346">
        <v>50</v>
      </c>
      <c r="E346" s="3" t="str">
        <f t="shared" si="33"/>
        <v>sysProcess</v>
      </c>
      <c r="F346" t="str">
        <f>VLOOKUP(V346,SystemTableId,3,FALSE)&amp;"ID"&amp;X346</f>
        <v>sysProcessTypeID</v>
      </c>
      <c r="G346" t="s">
        <v>2014</v>
      </c>
      <c r="H346" s="3" t="str">
        <f t="shared" si="34"/>
        <v>System.Process</v>
      </c>
      <c r="K346" t="s">
        <v>2015</v>
      </c>
      <c r="M346" t="s">
        <v>6007</v>
      </c>
      <c r="Q346" t="s">
        <v>92</v>
      </c>
      <c r="U346" t="s">
        <v>96</v>
      </c>
      <c r="V346" s="7">
        <v>54</v>
      </c>
      <c r="W346" s="3" t="str">
        <f>VLOOKUP(V346,SystemTableId,3,FALSE)</f>
        <v>sysProcessType</v>
      </c>
      <c r="Z346" t="s">
        <v>2016</v>
      </c>
      <c r="AC346" s="7"/>
      <c r="AD346" s="15"/>
      <c r="AE346" s="7"/>
      <c r="AK346" t="str">
        <f t="shared" si="36"/>
        <v>SELECT (SELECT 'sysProcess.sysProcessTypeID' ColumnName from sysProcess where sysProcessTypeID is null and exists (select from sysProcess) limit 1) a union all</v>
      </c>
      <c r="AP346" t="e">
        <f t="shared" si="35"/>
        <v>#NAME?</v>
      </c>
    </row>
    <row r="347" spans="1:42">
      <c r="A347">
        <v>21470</v>
      </c>
      <c r="B347" s="3" t="s">
        <v>1475</v>
      </c>
      <c r="C347" s="3" t="str">
        <f t="shared" si="32"/>
        <v>sysProcessStatus.Description</v>
      </c>
      <c r="D347" s="7">
        <v>52</v>
      </c>
      <c r="E347" s="3" t="str">
        <f t="shared" si="33"/>
        <v>sysProcessStatus</v>
      </c>
      <c r="F347" t="s">
        <v>12</v>
      </c>
      <c r="G347" s="3" t="s">
        <v>6423</v>
      </c>
      <c r="H347" s="3" t="str">
        <f t="shared" si="34"/>
        <v>System.ProcessStatus</v>
      </c>
      <c r="J347" s="3"/>
      <c r="K347" s="3" t="s">
        <v>12</v>
      </c>
      <c r="L347" s="3"/>
      <c r="M347" t="s">
        <v>196</v>
      </c>
      <c r="P347" s="3"/>
      <c r="Q347" s="3" t="s">
        <v>919</v>
      </c>
      <c r="R347" s="3"/>
      <c r="S347" s="3"/>
      <c r="T347" s="3"/>
      <c r="U347" t="s">
        <v>93</v>
      </c>
      <c r="AJ347" t="str">
        <f>"SELECT (SELECT '"&amp;C347&amp;"' ColumnName from "&amp;E347&amp;" where "&amp;F347&amp;" is null and exists (select from "&amp;E347&amp;") limit 1) ColumnName union all"</f>
        <v>SELECT (SELECT 'sysProcessStatus.Description' ColumnName from sysProcessStatus where Description is null and exists (select from sysProcessStatus) limit 1) ColumnName union all</v>
      </c>
      <c r="AL347" t="str">
        <f>"ALTER TABLE "&amp;E347&amp;" ALTER COLUMN "&amp;F347&amp;" DROP NOT NULL"</f>
        <v>ALTER TABLE sysProcessStatus ALTER COLUMN Description DROP NOT NULL</v>
      </c>
      <c r="AP347" t="e">
        <f t="shared" si="35"/>
        <v>#NAME?</v>
      </c>
    </row>
    <row r="348" spans="1:42">
      <c r="A348">
        <v>21480</v>
      </c>
      <c r="B348" s="3" t="s">
        <v>1475</v>
      </c>
      <c r="C348" s="3" t="str">
        <f t="shared" si="32"/>
        <v>sysProcessStatus.DisplaySequence</v>
      </c>
      <c r="D348" s="7">
        <v>52</v>
      </c>
      <c r="E348" s="3" t="str">
        <f t="shared" si="33"/>
        <v>sysProcessStatus</v>
      </c>
      <c r="F348" t="s">
        <v>6055</v>
      </c>
      <c r="G348" s="3" t="s">
        <v>6432</v>
      </c>
      <c r="H348" s="3" t="str">
        <f t="shared" si="34"/>
        <v>System.ProcessStatus</v>
      </c>
      <c r="J348" s="3"/>
      <c r="K348" s="3" t="s">
        <v>6297</v>
      </c>
      <c r="L348" s="3"/>
      <c r="M348" t="s">
        <v>195</v>
      </c>
      <c r="P348" s="3"/>
      <c r="Q348" s="3" t="s">
        <v>92</v>
      </c>
      <c r="R348" s="3"/>
      <c r="S348" s="3"/>
      <c r="T348" s="3"/>
      <c r="U348" t="s">
        <v>93</v>
      </c>
      <c r="AJ348" t="str">
        <f>"SELECT (SELECT '"&amp;C348&amp;"' ColumnName from "&amp;E348&amp;" where "&amp;F348&amp;" is null and exists (select from "&amp;E348&amp;") limit 1) ColumnName union all"</f>
        <v>SELECT (SELECT 'sysProcessStatus.DisplaySequence' ColumnName from sysProcessStatus where DisplaySequence is null and exists (select from sysProcessStatus) limit 1) ColumnName union all</v>
      </c>
      <c r="AL348" t="str">
        <f>"ALTER TABLE "&amp;E348&amp;" ALTER COLUMN "&amp;F348&amp;" DROP NOT NULL"</f>
        <v>ALTER TABLE sysProcessStatus ALTER COLUMN DisplaySequence DROP NOT NULL</v>
      </c>
      <c r="AP348" t="e">
        <f t="shared" si="35"/>
        <v>#NAME?</v>
      </c>
    </row>
    <row r="349" spans="1:42">
      <c r="A349">
        <v>21460</v>
      </c>
      <c r="B349" s="3" t="s">
        <v>1475</v>
      </c>
      <c r="C349" s="3" t="str">
        <f t="shared" si="32"/>
        <v>sysProcessStatus.ID</v>
      </c>
      <c r="D349" s="7">
        <v>52</v>
      </c>
      <c r="E349" s="3" t="str">
        <f t="shared" si="33"/>
        <v>sysProcessStatus</v>
      </c>
      <c r="F349" t="s">
        <v>0</v>
      </c>
      <c r="G349" s="3" t="s">
        <v>6826</v>
      </c>
      <c r="H349" s="3" t="str">
        <f t="shared" si="34"/>
        <v>System.ProcessStatus</v>
      </c>
      <c r="J349" s="3"/>
      <c r="K349" s="3" t="s">
        <v>0</v>
      </c>
      <c r="L349" s="3"/>
      <c r="M349" t="s">
        <v>6007</v>
      </c>
      <c r="P349" s="3"/>
      <c r="Q349" s="3" t="s">
        <v>919</v>
      </c>
      <c r="R349" s="3"/>
      <c r="S349" s="3"/>
      <c r="T349" s="3"/>
      <c r="U349" s="3" t="s">
        <v>95</v>
      </c>
      <c r="AJ349" t="str">
        <f>"SELECT (SELECT '"&amp;C349&amp;"' ColumnName from "&amp;E349&amp;" where "&amp;F349&amp;" is null and exists (select from "&amp;E349&amp;") limit 1) ColumnName union all"</f>
        <v>SELECT (SELECT 'sysProcessStatus.ID' ColumnName from sysProcessStatus where ID is null and exists (select from sysProcessStatus) limit 1) ColumnName union all</v>
      </c>
      <c r="AL349" t="str">
        <f>"ALTER TABLE "&amp;E349&amp;" ALTER COLUMN "&amp;F349&amp;" DROP NOT NULL"</f>
        <v>ALTER TABLE sysProcessStatus ALTER COLUMN ID DROP NOT NULL</v>
      </c>
      <c r="AP349" t="e">
        <f t="shared" si="35"/>
        <v>#NAME?</v>
      </c>
    </row>
    <row r="350" spans="1:42">
      <c r="A350">
        <v>21500</v>
      </c>
      <c r="B350" s="3" t="s">
        <v>1475</v>
      </c>
      <c r="C350" s="3" t="str">
        <f t="shared" si="32"/>
        <v>sysProcessStatus.RowStatus</v>
      </c>
      <c r="D350" s="7">
        <v>52</v>
      </c>
      <c r="E350" s="3" t="str">
        <f t="shared" si="33"/>
        <v>sysProcessStatus</v>
      </c>
      <c r="F350" t="s">
        <v>1445</v>
      </c>
      <c r="G350" s="3" t="s">
        <v>6411</v>
      </c>
      <c r="H350" s="3" t="str">
        <f t="shared" si="34"/>
        <v>System.ProcessStatus</v>
      </c>
      <c r="J350" s="3"/>
      <c r="K350" s="3" t="s">
        <v>2471</v>
      </c>
      <c r="L350" s="3"/>
      <c r="M350" t="s">
        <v>976</v>
      </c>
      <c r="N350">
        <v>1</v>
      </c>
      <c r="P350" s="3"/>
      <c r="Q350" t="s">
        <v>919</v>
      </c>
      <c r="R350" s="3"/>
      <c r="S350" s="3"/>
      <c r="T350" s="3"/>
      <c r="U350" t="s">
        <v>94</v>
      </c>
      <c r="AJ350" t="str">
        <f>"SELECT (SELECT '"&amp;C350&amp;"' ColumnName from "&amp;E350&amp;" where "&amp;F350&amp;" is null and exists (select from "&amp;E350&amp;") limit 1) ColumnName union all"</f>
        <v>SELECT (SELECT 'sysProcessStatus.RowStatus' ColumnName from sysProcessStatus where RowStatus is null and exists (select from sysProcessStatus) limit 1) ColumnName union all</v>
      </c>
      <c r="AL350" t="str">
        <f>"ALTER TABLE "&amp;E350&amp;" ALTER COLUMN "&amp;F350&amp;" DROP NOT NULL"</f>
        <v>ALTER TABLE sysProcessStatus ALTER COLUMN RowStatus DROP NOT NULL</v>
      </c>
      <c r="AP350" t="e">
        <f t="shared" si="35"/>
        <v>#NAME?</v>
      </c>
    </row>
    <row r="351" spans="1:42">
      <c r="A351">
        <v>21490</v>
      </c>
      <c r="B351" s="3" t="s">
        <v>1475</v>
      </c>
      <c r="C351" s="3" t="str">
        <f t="shared" si="32"/>
        <v>sysProcessStatus.ShortCode</v>
      </c>
      <c r="D351" s="7">
        <v>52</v>
      </c>
      <c r="E351" s="3" t="str">
        <f t="shared" si="33"/>
        <v>sysProcessStatus</v>
      </c>
      <c r="F351" t="s">
        <v>16</v>
      </c>
      <c r="G351" s="3" t="s">
        <v>6434</v>
      </c>
      <c r="H351" s="3" t="str">
        <f t="shared" si="34"/>
        <v>System.ProcessStatus</v>
      </c>
      <c r="J351" s="3"/>
      <c r="K351" s="3" t="s">
        <v>117</v>
      </c>
      <c r="L351" s="3"/>
      <c r="M351" t="s">
        <v>196</v>
      </c>
      <c r="P351" s="3"/>
      <c r="Q351" s="3" t="s">
        <v>92</v>
      </c>
      <c r="R351" s="3"/>
      <c r="S351" s="3"/>
      <c r="T351" s="3"/>
      <c r="U351" t="s">
        <v>93</v>
      </c>
      <c r="AJ351" t="str">
        <f>"SELECT (SELECT '"&amp;C351&amp;"' ColumnName from "&amp;E351&amp;" where "&amp;F351&amp;" is null and exists (select from "&amp;E351&amp;") limit 1) a union all"</f>
        <v>SELECT (SELECT 'sysProcessStatus.ShortCode' ColumnName from sysProcessStatus where ShortCode is null and exists (select from sysProcessStatus) limit 1) a union all</v>
      </c>
      <c r="AK351" t="str">
        <f>"SELECT (SELECT '"&amp;C351&amp;"' ColumnName from "&amp;E351&amp;" where "&amp;F351&amp;" is null and exists (select from "&amp;E351&amp;") limit 1) a union all"</f>
        <v>SELECT (SELECT 'sysProcessStatus.ShortCode' ColumnName from sysProcessStatus where ShortCode is null and exists (select from sysProcessStatus) limit 1) a union all</v>
      </c>
      <c r="AP351" t="e">
        <f t="shared" si="35"/>
        <v>#NAME?</v>
      </c>
    </row>
    <row r="352" spans="1:42">
      <c r="A352">
        <v>21510</v>
      </c>
      <c r="B352" t="s">
        <v>1475</v>
      </c>
      <c r="C352" s="3" t="str">
        <f t="shared" si="32"/>
        <v>sysProcessStatus.sysChangeHistoryID</v>
      </c>
      <c r="D352" s="7">
        <v>52</v>
      </c>
      <c r="E352" s="3" t="str">
        <f t="shared" si="33"/>
        <v>sysProcessStatus</v>
      </c>
      <c r="F352" t="s">
        <v>2497</v>
      </c>
      <c r="G352" s="3" t="s">
        <v>6403</v>
      </c>
      <c r="H352" s="3" t="str">
        <f t="shared" si="34"/>
        <v>System.ProcessStatus</v>
      </c>
      <c r="J352" s="3"/>
      <c r="K352" t="s">
        <v>1210</v>
      </c>
      <c r="M352" t="s">
        <v>6007</v>
      </c>
      <c r="Q352" t="s">
        <v>92</v>
      </c>
      <c r="T352" s="3"/>
      <c r="U352" t="s">
        <v>1429</v>
      </c>
      <c r="W352" s="3"/>
      <c r="X352" s="3"/>
      <c r="AJ352" t="str">
        <f>"SELECT (SELECT '"&amp;C352&amp;"' ColumnName from "&amp;E352&amp;" where "&amp;F352&amp;" is null and exists (select from "&amp;E352&amp;") limit 1) a union all"</f>
        <v>SELECT (SELECT 'sysProcessStatus.sysChangeHistoryID' ColumnName from sysProcessStatus where sysChangeHistoryID is null and exists (select from sysProcessStatus) limit 1) a union all</v>
      </c>
      <c r="AK352" t="str">
        <f>"SELECT (SELECT '"&amp;C352&amp;"' ColumnName from "&amp;E352&amp;" where "&amp;F352&amp;" is null and exists (select from "&amp;E352&amp;") limit 1) a union all"</f>
        <v>SELECT (SELECT 'sysProcessStatus.sysChangeHistoryID' ColumnName from sysProcessStatus where sysChangeHistoryID is null and exists (select from sysProcessStatus) limit 1) a union all</v>
      </c>
      <c r="AP352" t="e">
        <f t="shared" si="35"/>
        <v>#NAME?</v>
      </c>
    </row>
    <row r="353" spans="1:42">
      <c r="A353">
        <v>21530</v>
      </c>
      <c r="B353" s="3" t="s">
        <v>1475</v>
      </c>
      <c r="C353" s="3" t="str">
        <f t="shared" si="32"/>
        <v>sysProcessType.Description</v>
      </c>
      <c r="D353" s="7">
        <v>54</v>
      </c>
      <c r="E353" s="3" t="str">
        <f t="shared" si="33"/>
        <v>sysProcessType</v>
      </c>
      <c r="F353" t="s">
        <v>12</v>
      </c>
      <c r="G353" s="3" t="s">
        <v>6423</v>
      </c>
      <c r="H353" s="3" t="str">
        <f t="shared" si="34"/>
        <v>System.ProcessType</v>
      </c>
      <c r="J353" s="3"/>
      <c r="K353" s="3" t="s">
        <v>12</v>
      </c>
      <c r="L353" s="3"/>
      <c r="M353" t="s">
        <v>196</v>
      </c>
      <c r="P353" s="3"/>
      <c r="Q353" s="3" t="s">
        <v>919</v>
      </c>
      <c r="R353" s="3"/>
      <c r="S353" s="3"/>
      <c r="T353" s="3"/>
      <c r="U353" t="s">
        <v>93</v>
      </c>
      <c r="AJ353" t="str">
        <f>"SELECT (SELECT '"&amp;C353&amp;"' ColumnName from "&amp;E353&amp;" where "&amp;F353&amp;" is null and exists (select from "&amp;E353&amp;") limit 1) ColumnName union all"</f>
        <v>SELECT (SELECT 'sysProcessType.Description' ColumnName from sysProcessType where Description is null and exists (select from sysProcessType) limit 1) ColumnName union all</v>
      </c>
      <c r="AL353" t="str">
        <f>"ALTER TABLE "&amp;E353&amp;" ALTER COLUMN "&amp;F353&amp;" DROP NOT NULL"</f>
        <v>ALTER TABLE sysProcessType ALTER COLUMN Description DROP NOT NULL</v>
      </c>
      <c r="AP353" t="e">
        <f t="shared" si="35"/>
        <v>#NAME?</v>
      </c>
    </row>
    <row r="354" spans="1:42">
      <c r="A354">
        <v>21540</v>
      </c>
      <c r="B354" s="3" t="s">
        <v>1475</v>
      </c>
      <c r="C354" s="3" t="str">
        <f t="shared" si="32"/>
        <v>sysProcessType.DisplaySequence</v>
      </c>
      <c r="D354" s="7">
        <v>54</v>
      </c>
      <c r="E354" s="3" t="str">
        <f t="shared" si="33"/>
        <v>sysProcessType</v>
      </c>
      <c r="F354" t="s">
        <v>6055</v>
      </c>
      <c r="G354" s="3" t="s">
        <v>6432</v>
      </c>
      <c r="H354" s="3" t="str">
        <f t="shared" si="34"/>
        <v>System.ProcessType</v>
      </c>
      <c r="J354" s="3"/>
      <c r="K354" s="3" t="s">
        <v>6297</v>
      </c>
      <c r="L354" s="3"/>
      <c r="M354" t="s">
        <v>195</v>
      </c>
      <c r="P354" s="3"/>
      <c r="Q354" s="3" t="s">
        <v>92</v>
      </c>
      <c r="R354" s="3"/>
      <c r="S354" s="3"/>
      <c r="T354" s="3"/>
      <c r="U354" t="s">
        <v>93</v>
      </c>
      <c r="AK354" t="str">
        <f>"SELECT (SELECT '"&amp;C354&amp;"' ColumnName from "&amp;E354&amp;" where "&amp;F354&amp;" is null and exists (select from "&amp;E354&amp;") limit 1) a union all"</f>
        <v>SELECT (SELECT 'sysProcessType.DisplaySequence' ColumnName from sysProcessType where DisplaySequence is null and exists (select from sysProcessType) limit 1) a union all</v>
      </c>
      <c r="AP354" t="e">
        <f t="shared" si="35"/>
        <v>#NAME?</v>
      </c>
    </row>
    <row r="355" spans="1:42">
      <c r="A355">
        <v>21520</v>
      </c>
      <c r="B355" s="3" t="s">
        <v>1475</v>
      </c>
      <c r="C355" s="3" t="str">
        <f t="shared" si="32"/>
        <v>sysProcessType.ID</v>
      </c>
      <c r="D355" s="7">
        <v>54</v>
      </c>
      <c r="E355" s="3" t="str">
        <f t="shared" si="33"/>
        <v>sysProcessType</v>
      </c>
      <c r="F355" t="s">
        <v>0</v>
      </c>
      <c r="G355" s="3" t="s">
        <v>6827</v>
      </c>
      <c r="H355" s="3" t="str">
        <f t="shared" si="34"/>
        <v>System.ProcessType</v>
      </c>
      <c r="J355" s="3"/>
      <c r="K355" s="3" t="s">
        <v>0</v>
      </c>
      <c r="L355" s="3"/>
      <c r="M355" t="s">
        <v>6007</v>
      </c>
      <c r="P355" s="3"/>
      <c r="Q355" s="3" t="s">
        <v>919</v>
      </c>
      <c r="R355" s="3"/>
      <c r="S355" s="3"/>
      <c r="T355" s="3"/>
      <c r="U355" s="3" t="s">
        <v>95</v>
      </c>
      <c r="AJ355" t="str">
        <f>"SELECT (SELECT '"&amp;C355&amp;"' ColumnName from "&amp;E355&amp;" where "&amp;F355&amp;" is null and exists (select from "&amp;E355&amp;") limit 1) ColumnName union all"</f>
        <v>SELECT (SELECT 'sysProcessType.ID' ColumnName from sysProcessType where ID is null and exists (select from sysProcessType) limit 1) ColumnName union all</v>
      </c>
      <c r="AL355" t="str">
        <f>"ALTER TABLE "&amp;E355&amp;" ALTER COLUMN "&amp;F355&amp;" DROP NOT NULL"</f>
        <v>ALTER TABLE sysProcessType ALTER COLUMN ID DROP NOT NULL</v>
      </c>
      <c r="AP355" t="e">
        <f t="shared" si="35"/>
        <v>#NAME?</v>
      </c>
    </row>
    <row r="356" spans="1:42">
      <c r="A356">
        <v>21560</v>
      </c>
      <c r="B356" s="3" t="s">
        <v>1475</v>
      </c>
      <c r="C356" s="3" t="str">
        <f t="shared" si="32"/>
        <v>sysProcessType.RowStatus</v>
      </c>
      <c r="D356" s="7">
        <v>54</v>
      </c>
      <c r="E356" s="3" t="str">
        <f t="shared" si="33"/>
        <v>sysProcessType</v>
      </c>
      <c r="F356" t="s">
        <v>1445</v>
      </c>
      <c r="G356" s="3" t="s">
        <v>6411</v>
      </c>
      <c r="H356" s="3" t="str">
        <f t="shared" si="34"/>
        <v>System.ProcessType</v>
      </c>
      <c r="J356" s="3"/>
      <c r="K356" s="3" t="s">
        <v>2471</v>
      </c>
      <c r="L356" s="3"/>
      <c r="M356" t="s">
        <v>976</v>
      </c>
      <c r="N356">
        <v>1</v>
      </c>
      <c r="P356" s="3"/>
      <c r="Q356" t="s">
        <v>919</v>
      </c>
      <c r="R356" s="3"/>
      <c r="S356" s="3"/>
      <c r="T356" s="3"/>
      <c r="U356" t="s">
        <v>94</v>
      </c>
      <c r="AJ356" t="str">
        <f>"SELECT (SELECT '"&amp;C356&amp;"' ColumnName from "&amp;E356&amp;" where "&amp;F356&amp;" is null and exists (select from "&amp;E356&amp;") limit 1) ColumnName union all"</f>
        <v>SELECT (SELECT 'sysProcessType.RowStatus' ColumnName from sysProcessType where RowStatus is null and exists (select from sysProcessType) limit 1) ColumnName union all</v>
      </c>
      <c r="AL356" t="str">
        <f>"ALTER TABLE "&amp;E356&amp;" ALTER COLUMN "&amp;F356&amp;" DROP NOT NULL"</f>
        <v>ALTER TABLE sysProcessType ALTER COLUMN RowStatus DROP NOT NULL</v>
      </c>
      <c r="AP356" t="e">
        <f t="shared" si="35"/>
        <v>#NAME?</v>
      </c>
    </row>
    <row r="357" spans="1:42">
      <c r="A357">
        <v>21550</v>
      </c>
      <c r="B357" s="3" t="s">
        <v>1475</v>
      </c>
      <c r="C357" s="3" t="str">
        <f t="shared" si="32"/>
        <v>sysProcessType.ShortCode</v>
      </c>
      <c r="D357" s="7">
        <v>54</v>
      </c>
      <c r="E357" s="3" t="str">
        <f t="shared" si="33"/>
        <v>sysProcessType</v>
      </c>
      <c r="F357" t="s">
        <v>16</v>
      </c>
      <c r="G357" s="3" t="s">
        <v>6434</v>
      </c>
      <c r="H357" s="3" t="str">
        <f t="shared" si="34"/>
        <v>System.ProcessType</v>
      </c>
      <c r="J357" s="3"/>
      <c r="K357" s="3" t="s">
        <v>117</v>
      </c>
      <c r="L357" s="3"/>
      <c r="M357" t="s">
        <v>196</v>
      </c>
      <c r="P357" s="3"/>
      <c r="Q357" s="3" t="s">
        <v>92</v>
      </c>
      <c r="R357" s="3"/>
      <c r="S357" s="3"/>
      <c r="T357" s="3"/>
      <c r="U357" t="s">
        <v>93</v>
      </c>
      <c r="AJ357" t="str">
        <f>"SELECT (SELECT '"&amp;C357&amp;"' ColumnName from "&amp;E357&amp;" where "&amp;F357&amp;" is null and exists (select from "&amp;E357&amp;") limit 1) a union all"</f>
        <v>SELECT (SELECT 'sysProcessType.ShortCode' ColumnName from sysProcessType where ShortCode is null and exists (select from sysProcessType) limit 1) a union all</v>
      </c>
      <c r="AK357" t="str">
        <f>"SELECT (SELECT '"&amp;C357&amp;"' ColumnName from "&amp;E357&amp;" where "&amp;F357&amp;" is null and exists (select from "&amp;E357&amp;") limit 1) a union all"</f>
        <v>SELECT (SELECT 'sysProcessType.ShortCode' ColumnName from sysProcessType where ShortCode is null and exists (select from sysProcessType) limit 1) a union all</v>
      </c>
      <c r="AP357" t="e">
        <f t="shared" si="35"/>
        <v>#NAME?</v>
      </c>
    </row>
    <row r="358" spans="1:42">
      <c r="A358">
        <v>21570</v>
      </c>
      <c r="B358" t="s">
        <v>1475</v>
      </c>
      <c r="C358" s="3" t="str">
        <f t="shared" si="32"/>
        <v>sysProcessType.sysChangeHistoryID</v>
      </c>
      <c r="D358" s="7">
        <v>54</v>
      </c>
      <c r="E358" s="3" t="str">
        <f t="shared" si="33"/>
        <v>sysProcessType</v>
      </c>
      <c r="F358" t="s">
        <v>2497</v>
      </c>
      <c r="G358" s="3" t="s">
        <v>6403</v>
      </c>
      <c r="H358" s="3" t="str">
        <f t="shared" si="34"/>
        <v>System.ProcessType</v>
      </c>
      <c r="J358" s="3"/>
      <c r="K358" t="s">
        <v>1210</v>
      </c>
      <c r="M358" t="s">
        <v>6007</v>
      </c>
      <c r="Q358" t="s">
        <v>92</v>
      </c>
      <c r="T358" s="3"/>
      <c r="U358" t="s">
        <v>1429</v>
      </c>
      <c r="W358" s="3"/>
      <c r="X358" s="3"/>
      <c r="AJ358" t="str">
        <f>"SELECT (SELECT '"&amp;C358&amp;"' ColumnName from "&amp;E358&amp;" where "&amp;F358&amp;" is null and exists (select from "&amp;E358&amp;") limit 1) a union all"</f>
        <v>SELECT (SELECT 'sysProcessType.sysChangeHistoryID' ColumnName from sysProcessType where sysChangeHistoryID is null and exists (select from sysProcessType) limit 1) a union all</v>
      </c>
      <c r="AK358" t="str">
        <f>"SELECT (SELECT '"&amp;C358&amp;"' ColumnName from "&amp;E358&amp;" where "&amp;F358&amp;" is null and exists (select from "&amp;E358&amp;") limit 1) a union all"</f>
        <v>SELECT (SELECT 'sysProcessType.sysChangeHistoryID' ColumnName from sysProcessType where sysChangeHistoryID is null and exists (select from sysProcessType) limit 1) a union all</v>
      </c>
      <c r="AP358" t="e">
        <f t="shared" si="35"/>
        <v>#NAME?</v>
      </c>
    </row>
    <row r="359" spans="1:42">
      <c r="A359">
        <v>21590</v>
      </c>
      <c r="B359" t="s">
        <v>1475</v>
      </c>
      <c r="C359" s="3" t="str">
        <f t="shared" si="32"/>
        <v>sysQuestionGroup.Description</v>
      </c>
      <c r="D359">
        <v>56</v>
      </c>
      <c r="E359" s="3" t="str">
        <f t="shared" si="33"/>
        <v>sysQuestionGroup</v>
      </c>
      <c r="F359" s="7" t="s">
        <v>12</v>
      </c>
      <c r="G359" t="s">
        <v>12</v>
      </c>
      <c r="H359" s="3" t="str">
        <f t="shared" si="34"/>
        <v>System.QuestionGroup</v>
      </c>
      <c r="K359" t="s">
        <v>12</v>
      </c>
      <c r="M359" t="s">
        <v>1073</v>
      </c>
      <c r="Q359" t="s">
        <v>92</v>
      </c>
      <c r="U359" t="s">
        <v>93</v>
      </c>
      <c r="AC359" s="7"/>
      <c r="AD359" s="15"/>
      <c r="AE359" s="7"/>
      <c r="AH359" t="s">
        <v>92</v>
      </c>
      <c r="AJ359" t="str">
        <f>"SELECT (SELECT '"&amp;C359&amp;"' ColumnName from "&amp;E359&amp;" where "&amp;F359&amp;" is null and exists (select from "&amp;E359&amp;") limit 1) ColumnName union all"</f>
        <v>SELECT (SELECT 'sysQuestionGroup.Description' ColumnName from sysQuestionGroup where Description is null and exists (select from sysQuestionGroup) limit 1) ColumnName union all</v>
      </c>
      <c r="AL359" t="str">
        <f>"ALTER TABLE "&amp;E359&amp;" ALTER COLUMN "&amp;F359&amp;" DROP NOT NULL"</f>
        <v>ALTER TABLE sysQuestionGroup ALTER COLUMN Description DROP NOT NULL</v>
      </c>
      <c r="AP359" t="e">
        <f t="shared" si="35"/>
        <v>#NAME?</v>
      </c>
    </row>
    <row r="360" spans="1:42">
      <c r="A360">
        <v>21580</v>
      </c>
      <c r="B360" t="s">
        <v>1475</v>
      </c>
      <c r="C360" s="3" t="str">
        <f t="shared" si="32"/>
        <v>sysQuestionGroup.Id</v>
      </c>
      <c r="D360">
        <v>56</v>
      </c>
      <c r="E360" s="3" t="str">
        <f t="shared" si="33"/>
        <v>sysQuestionGroup</v>
      </c>
      <c r="F360" t="s">
        <v>1539</v>
      </c>
      <c r="G360" s="3" t="s">
        <v>6828</v>
      </c>
      <c r="H360" s="3" t="str">
        <f t="shared" si="34"/>
        <v>System.QuestionGroup</v>
      </c>
      <c r="K360" t="s">
        <v>1539</v>
      </c>
      <c r="M360" t="s">
        <v>6007</v>
      </c>
      <c r="Q360" t="s">
        <v>919</v>
      </c>
      <c r="U360" t="s">
        <v>95</v>
      </c>
      <c r="V360" s="7"/>
      <c r="W360" s="7"/>
      <c r="X360" s="7"/>
      <c r="Z360" s="7"/>
      <c r="AC360" s="7"/>
      <c r="AD360" s="15"/>
      <c r="AE360" s="7"/>
      <c r="AK360" t="str">
        <f>"SELECT (SELECT '"&amp;C360&amp;"' ColumnName from "&amp;E360&amp;" where "&amp;F360&amp;" is null and exists (select from "&amp;E360&amp;") limit 1) a union all"</f>
        <v>SELECT (SELECT 'sysQuestionGroup.Id' ColumnName from sysQuestionGroup where Id is null and exists (select from sysQuestionGroup) limit 1) a union all</v>
      </c>
      <c r="AP360" t="e">
        <f t="shared" si="35"/>
        <v>#NAME?</v>
      </c>
    </row>
    <row r="361" spans="1:42">
      <c r="A361">
        <v>21600</v>
      </c>
      <c r="B361" t="s">
        <v>1475</v>
      </c>
      <c r="C361" s="3" t="str">
        <f t="shared" si="32"/>
        <v>sysQuestionGroup.Name</v>
      </c>
      <c r="D361">
        <v>56</v>
      </c>
      <c r="E361" s="3" t="str">
        <f t="shared" si="33"/>
        <v>sysQuestionGroup</v>
      </c>
      <c r="F361" s="7" t="s">
        <v>22</v>
      </c>
      <c r="G361" s="3" t="s">
        <v>6982</v>
      </c>
      <c r="H361" s="3" t="str">
        <f t="shared" si="34"/>
        <v>System.QuestionGroup</v>
      </c>
      <c r="K361" t="s">
        <v>22</v>
      </c>
      <c r="M361" t="s">
        <v>1073</v>
      </c>
      <c r="Q361" t="s">
        <v>92</v>
      </c>
      <c r="U361" t="s">
        <v>93</v>
      </c>
      <c r="V361" s="7"/>
      <c r="W361" s="7"/>
      <c r="X361" s="7"/>
      <c r="Z361" s="7"/>
      <c r="AC361" s="7"/>
      <c r="AD361" s="15"/>
      <c r="AE361" s="7"/>
      <c r="AH361" t="s">
        <v>92</v>
      </c>
      <c r="AJ361" t="str">
        <f>"SELECT (SELECT '"&amp;C361&amp;"' ColumnName from "&amp;E361&amp;" where "&amp;F361&amp;" is null and exists (select from "&amp;E361&amp;") limit 1) ColumnName union all"</f>
        <v>SELECT (SELECT 'sysQuestionGroup.Name' ColumnName from sysQuestionGroup where Name is null and exists (select from sysQuestionGroup) limit 1) ColumnName union all</v>
      </c>
      <c r="AL361" t="str">
        <f>"ALTER TABLE "&amp;E361&amp;" ALTER COLUMN "&amp;F361&amp;" DROP NOT NULL"</f>
        <v>ALTER TABLE sysQuestionGroup ALTER COLUMN Name DROP NOT NULL</v>
      </c>
      <c r="AP361" t="e">
        <f t="shared" si="35"/>
        <v>#NAME?</v>
      </c>
    </row>
    <row r="362" spans="1:42">
      <c r="A362">
        <v>21610</v>
      </c>
      <c r="B362" t="s">
        <v>1475</v>
      </c>
      <c r="C362" s="3" t="str">
        <f t="shared" si="32"/>
        <v>sysQuestionGroup.RowStatus</v>
      </c>
      <c r="D362">
        <v>56</v>
      </c>
      <c r="E362" s="3" t="str">
        <f t="shared" si="33"/>
        <v>sysQuestionGroup</v>
      </c>
      <c r="F362" t="s">
        <v>1445</v>
      </c>
      <c r="G362" s="3" t="s">
        <v>6411</v>
      </c>
      <c r="H362" s="3" t="str">
        <f t="shared" si="34"/>
        <v>System.QuestionGroup</v>
      </c>
      <c r="K362" s="3" t="s">
        <v>2471</v>
      </c>
      <c r="M362" t="s">
        <v>976</v>
      </c>
      <c r="N362">
        <v>1</v>
      </c>
      <c r="Q362" t="s">
        <v>919</v>
      </c>
      <c r="U362" t="s">
        <v>94</v>
      </c>
      <c r="V362" s="7"/>
      <c r="W362" s="7"/>
      <c r="X362" s="7"/>
      <c r="Z362" s="7"/>
      <c r="AC362" s="7"/>
      <c r="AD362" s="15"/>
      <c r="AE362" s="7"/>
      <c r="AK362" t="str">
        <f>"SELECT (SELECT '"&amp;C362&amp;"' ColumnName from "&amp;E362&amp;" where "&amp;F362&amp;" is null and exists (select from "&amp;E362&amp;") limit 1) a union all"</f>
        <v>SELECT (SELECT 'sysQuestionGroup.RowStatus' ColumnName from sysQuestionGroup where RowStatus is null and exists (select from sysQuestionGroup) limit 1) a union all</v>
      </c>
      <c r="AP362" t="e">
        <f t="shared" si="35"/>
        <v>#NAME?</v>
      </c>
    </row>
    <row r="363" spans="1:42">
      <c r="A363">
        <v>21620</v>
      </c>
      <c r="B363" t="s">
        <v>1475</v>
      </c>
      <c r="C363" s="3" t="str">
        <f t="shared" si="32"/>
        <v>sysQuestionGroup.sysChangeHistoryID</v>
      </c>
      <c r="D363" s="7">
        <v>56</v>
      </c>
      <c r="E363" s="3" t="str">
        <f t="shared" si="33"/>
        <v>sysQuestionGroup</v>
      </c>
      <c r="F363" t="s">
        <v>2497</v>
      </c>
      <c r="G363" s="3" t="s">
        <v>6403</v>
      </c>
      <c r="H363" s="3" t="str">
        <f t="shared" si="34"/>
        <v>System.QuestionGroup</v>
      </c>
      <c r="K363" t="s">
        <v>1210</v>
      </c>
      <c r="M363" t="s">
        <v>6007</v>
      </c>
      <c r="N363" s="7"/>
      <c r="O363" s="7"/>
      <c r="P363" s="7"/>
      <c r="Q363" t="s">
        <v>919</v>
      </c>
      <c r="R363" s="7"/>
      <c r="S363" s="7"/>
      <c r="T363" s="8"/>
      <c r="U363" t="s">
        <v>1429</v>
      </c>
      <c r="AK363" t="str">
        <f>"SELECT (SELECT '"&amp;C363&amp;"' ColumnName from "&amp;E363&amp;" where "&amp;F363&amp;" is null and exists (select from "&amp;E363&amp;") limit 1) a union all"</f>
        <v>SELECT (SELECT 'sysQuestionGroup.sysChangeHistoryID' ColumnName from sysQuestionGroup where sysChangeHistoryID is null and exists (select from sysQuestionGroup) limit 1) a union all</v>
      </c>
      <c r="AP363" t="e">
        <f t="shared" si="35"/>
        <v>#NAME?</v>
      </c>
    </row>
    <row r="364" spans="1:42">
      <c r="A364">
        <v>21660</v>
      </c>
      <c r="B364" t="s">
        <v>1475</v>
      </c>
      <c r="C364" s="3" t="str">
        <f t="shared" si="32"/>
        <v>sysQuestionGroupItem.AnswerType</v>
      </c>
      <c r="D364">
        <v>58</v>
      </c>
      <c r="E364" s="3" t="str">
        <f t="shared" si="33"/>
        <v>sysQuestionGroupItem</v>
      </c>
      <c r="F364" s="7" t="s">
        <v>2025</v>
      </c>
      <c r="G364" t="s">
        <v>2025</v>
      </c>
      <c r="H364" s="3" t="str">
        <f t="shared" si="34"/>
        <v>System.QuestionGroupItem</v>
      </c>
      <c r="K364" t="s">
        <v>2026</v>
      </c>
      <c r="M364" t="s">
        <v>1073</v>
      </c>
      <c r="Q364" t="s">
        <v>92</v>
      </c>
      <c r="U364" t="s">
        <v>93</v>
      </c>
      <c r="AC364" s="7"/>
      <c r="AD364" s="15"/>
      <c r="AE364" s="7"/>
      <c r="AJ364" t="str">
        <f>"SELECT (SELECT '"&amp;C364&amp;"' ColumnName from "&amp;E364&amp;" where "&amp;F364&amp;" is null and exists (select from "&amp;E364&amp;") limit 1) ColumnName union all"</f>
        <v>SELECT (SELECT 'sysQuestionGroupItem.AnswerType' ColumnName from sysQuestionGroupItem where AnswerType is null and exists (select from sysQuestionGroupItem) limit 1) ColumnName union all</v>
      </c>
      <c r="AL364" t="str">
        <f>"ALTER TABLE "&amp;E364&amp;" ALTER COLUMN "&amp;F364&amp;" DROP NOT NULL"</f>
        <v>ALTER TABLE sysQuestionGroupItem ALTER COLUMN AnswerType DROP NOT NULL</v>
      </c>
      <c r="AP364" t="e">
        <f t="shared" si="35"/>
        <v>#NAME?</v>
      </c>
    </row>
    <row r="365" spans="1:42">
      <c r="A365">
        <v>21710</v>
      </c>
      <c r="B365" t="s">
        <v>1475</v>
      </c>
      <c r="C365" s="3" t="str">
        <f t="shared" si="32"/>
        <v>sysQuestionGroupItem.DisplaySequence</v>
      </c>
      <c r="D365">
        <v>58</v>
      </c>
      <c r="E365" s="3" t="str">
        <f t="shared" si="33"/>
        <v>sysQuestionGroupItem</v>
      </c>
      <c r="F365" t="s">
        <v>6055</v>
      </c>
      <c r="G365" s="3" t="s">
        <v>6432</v>
      </c>
      <c r="H365" s="3" t="str">
        <f t="shared" si="34"/>
        <v>System.QuestionGroupItem</v>
      </c>
      <c r="K365" s="3" t="s">
        <v>6297</v>
      </c>
      <c r="M365" t="s">
        <v>195</v>
      </c>
      <c r="Q365" t="s">
        <v>92</v>
      </c>
      <c r="U365" t="s">
        <v>93</v>
      </c>
      <c r="AC365" s="7"/>
      <c r="AD365" s="15"/>
      <c r="AE365" s="7"/>
      <c r="AJ365" t="str">
        <f>"SELECT (SELECT '"&amp;C365&amp;"' ColumnName from "&amp;E365&amp;" where "&amp;F365&amp;" is null and exists (select from "&amp;E365&amp;") limit 1) ColumnName union all"</f>
        <v>SELECT (SELECT 'sysQuestionGroupItem.DisplaySequence' ColumnName from sysQuestionGroupItem where DisplaySequence is null and exists (select from sysQuestionGroupItem) limit 1) ColumnName union all</v>
      </c>
      <c r="AL365" t="str">
        <f>"ALTER TABLE "&amp;E365&amp;" ALTER COLUMN "&amp;F365&amp;" DROP NOT NULL"</f>
        <v>ALTER TABLE sysQuestionGroupItem ALTER COLUMN DisplaySequence DROP NOT NULL</v>
      </c>
      <c r="AP365" t="e">
        <f t="shared" si="35"/>
        <v>#NAME?</v>
      </c>
    </row>
    <row r="366" spans="1:42">
      <c r="A366">
        <v>21630</v>
      </c>
      <c r="B366" t="s">
        <v>1475</v>
      </c>
      <c r="C366" s="3" t="str">
        <f t="shared" si="32"/>
        <v>sysQuestionGroupItem.Id</v>
      </c>
      <c r="D366">
        <v>58</v>
      </c>
      <c r="E366" s="3" t="str">
        <f t="shared" si="33"/>
        <v>sysQuestionGroupItem</v>
      </c>
      <c r="F366" t="s">
        <v>1539</v>
      </c>
      <c r="G366" s="3" t="s">
        <v>6829</v>
      </c>
      <c r="H366" s="3" t="str">
        <f t="shared" si="34"/>
        <v>System.QuestionGroupItem</v>
      </c>
      <c r="K366" t="s">
        <v>1539</v>
      </c>
      <c r="M366" t="s">
        <v>6007</v>
      </c>
      <c r="Q366" t="s">
        <v>919</v>
      </c>
      <c r="U366" t="s">
        <v>95</v>
      </c>
      <c r="V366" s="7"/>
      <c r="W366" s="7"/>
      <c r="X366" s="7"/>
      <c r="Z366" s="7"/>
      <c r="AC366" s="7"/>
      <c r="AD366" s="15"/>
      <c r="AE366" s="7"/>
      <c r="AJ366" t="str">
        <f>"SELECT (SELECT '"&amp;C366&amp;"' ColumnName from "&amp;E366&amp;" where "&amp;F366&amp;" is null and exists (select from "&amp;E366&amp;") limit 1) ColumnName union all"</f>
        <v>SELECT (SELECT 'sysQuestionGroupItem.Id' ColumnName from sysQuestionGroupItem where Id is null and exists (select from sysQuestionGroupItem) limit 1) ColumnName union all</v>
      </c>
      <c r="AL366" t="str">
        <f>"ALTER TABLE "&amp;E366&amp;" ALTER COLUMN "&amp;F366&amp;" DROP NOT NULL"</f>
        <v>ALTER TABLE sysQuestionGroupItem ALTER COLUMN Id DROP NOT NULL</v>
      </c>
      <c r="AP366" t="e">
        <f t="shared" si="35"/>
        <v>#NAME?</v>
      </c>
    </row>
    <row r="367" spans="1:42">
      <c r="A367">
        <v>21670</v>
      </c>
      <c r="B367" t="s">
        <v>1475</v>
      </c>
      <c r="C367" s="3" t="str">
        <f t="shared" si="32"/>
        <v>sysQuestionGroupItem.LinkText</v>
      </c>
      <c r="D367">
        <v>58</v>
      </c>
      <c r="E367" s="3" t="str">
        <f t="shared" si="33"/>
        <v>sysQuestionGroupItem</v>
      </c>
      <c r="F367" s="7" t="s">
        <v>2030</v>
      </c>
      <c r="G367" t="s">
        <v>2030</v>
      </c>
      <c r="H367" s="3" t="str">
        <f t="shared" si="34"/>
        <v>System.QuestionGroupItem</v>
      </c>
      <c r="K367" t="s">
        <v>2031</v>
      </c>
      <c r="M367" t="s">
        <v>1073</v>
      </c>
      <c r="Q367" t="s">
        <v>92</v>
      </c>
      <c r="U367" t="s">
        <v>93</v>
      </c>
      <c r="V367" s="7"/>
      <c r="W367" s="7"/>
      <c r="X367" s="7"/>
      <c r="Z367" s="7"/>
      <c r="AC367" s="7"/>
      <c r="AD367" s="15"/>
      <c r="AE367" s="7"/>
      <c r="AK367" t="str">
        <f t="shared" ref="AK367:AK374" si="37">"SELECT (SELECT '"&amp;C367&amp;"' ColumnName from "&amp;E367&amp;" where "&amp;F367&amp;" is null and exists (select from "&amp;E367&amp;") limit 1) a union all"</f>
        <v>SELECT (SELECT 'sysQuestionGroupItem.LinkText' ColumnName from sysQuestionGroupItem where LinkText is null and exists (select from sysQuestionGroupItem) limit 1) a union all</v>
      </c>
      <c r="AP367" t="e">
        <f t="shared" si="35"/>
        <v>#NAME?</v>
      </c>
    </row>
    <row r="368" spans="1:42">
      <c r="A368">
        <v>21680</v>
      </c>
      <c r="B368" t="s">
        <v>1475</v>
      </c>
      <c r="C368" s="3" t="str">
        <f t="shared" si="32"/>
        <v>sysQuestionGroupItem.Prefix</v>
      </c>
      <c r="D368">
        <v>58</v>
      </c>
      <c r="E368" s="3" t="str">
        <f t="shared" si="33"/>
        <v>sysQuestionGroupItem</v>
      </c>
      <c r="F368" s="7" t="s">
        <v>2029</v>
      </c>
      <c r="G368" t="s">
        <v>2029</v>
      </c>
      <c r="H368" s="3" t="str">
        <f t="shared" si="34"/>
        <v>System.QuestionGroupItem</v>
      </c>
      <c r="K368" t="s">
        <v>2029</v>
      </c>
      <c r="M368" t="s">
        <v>1073</v>
      </c>
      <c r="Q368" t="s">
        <v>92</v>
      </c>
      <c r="U368" t="s">
        <v>93</v>
      </c>
      <c r="V368" s="7"/>
      <c r="W368" s="7"/>
      <c r="X368" s="7"/>
      <c r="Z368" s="7"/>
      <c r="AC368" s="7"/>
      <c r="AD368" s="15"/>
      <c r="AE368" s="7"/>
      <c r="AK368" t="str">
        <f t="shared" si="37"/>
        <v>SELECT (SELECT 'sysQuestionGroupItem.Prefix' ColumnName from sysQuestionGroupItem where Prefix is null and exists (select from sysQuestionGroupItem) limit 1) a union all</v>
      </c>
      <c r="AP368" t="e">
        <f t="shared" si="35"/>
        <v>#NAME?</v>
      </c>
    </row>
    <row r="369" spans="1:42">
      <c r="A369">
        <v>21690</v>
      </c>
      <c r="B369" t="s">
        <v>1475</v>
      </c>
      <c r="C369" s="3" t="str">
        <f t="shared" si="32"/>
        <v>sysQuestionGroupItem.QuestionText</v>
      </c>
      <c r="D369">
        <v>58</v>
      </c>
      <c r="E369" s="3" t="str">
        <f t="shared" si="33"/>
        <v>sysQuestionGroupItem</v>
      </c>
      <c r="F369" s="7" t="s">
        <v>1908</v>
      </c>
      <c r="G369" t="s">
        <v>1908</v>
      </c>
      <c r="H369" s="3" t="str">
        <f t="shared" si="34"/>
        <v>System.QuestionGroupItem</v>
      </c>
      <c r="K369" t="s">
        <v>1909</v>
      </c>
      <c r="M369" t="s">
        <v>1073</v>
      </c>
      <c r="Q369" t="s">
        <v>92</v>
      </c>
      <c r="U369" t="s">
        <v>93</v>
      </c>
      <c r="V369" s="7"/>
      <c r="W369" s="7"/>
      <c r="X369" s="7"/>
      <c r="Z369" s="7"/>
      <c r="AC369" s="7"/>
      <c r="AD369" s="15"/>
      <c r="AE369" s="7"/>
      <c r="AK369" t="str">
        <f t="shared" si="37"/>
        <v>SELECT (SELECT 'sysQuestionGroupItem.QuestionText' ColumnName from sysQuestionGroupItem where QuestionText is null and exists (select from sysQuestionGroupItem) limit 1) a union all</v>
      </c>
      <c r="AP369" t="e">
        <f t="shared" si="35"/>
        <v>#NAME?</v>
      </c>
    </row>
    <row r="370" spans="1:42">
      <c r="A370">
        <v>21700</v>
      </c>
      <c r="B370" t="s">
        <v>1475</v>
      </c>
      <c r="C370" s="3" t="str">
        <f t="shared" si="32"/>
        <v>sysQuestionGroupItem.ReasonText</v>
      </c>
      <c r="D370">
        <v>58</v>
      </c>
      <c r="E370" s="3" t="str">
        <f t="shared" si="33"/>
        <v>sysQuestionGroupItem</v>
      </c>
      <c r="F370" s="7" t="s">
        <v>2027</v>
      </c>
      <c r="G370" t="s">
        <v>2027</v>
      </c>
      <c r="H370" s="3" t="str">
        <f t="shared" si="34"/>
        <v>System.QuestionGroupItem</v>
      </c>
      <c r="K370" t="s">
        <v>2028</v>
      </c>
      <c r="M370" t="s">
        <v>1073</v>
      </c>
      <c r="Q370" t="s">
        <v>92</v>
      </c>
      <c r="U370" t="s">
        <v>93</v>
      </c>
      <c r="V370" s="7"/>
      <c r="W370" s="7"/>
      <c r="X370" s="7"/>
      <c r="Z370" s="7"/>
      <c r="AC370" s="7"/>
      <c r="AD370" s="15"/>
      <c r="AE370" s="7"/>
      <c r="AK370" t="str">
        <f t="shared" si="37"/>
        <v>SELECT (SELECT 'sysQuestionGroupItem.ReasonText' ColumnName from sysQuestionGroupItem where ReasonText is null and exists (select from sysQuestionGroupItem) limit 1) a union all</v>
      </c>
      <c r="AP370" t="e">
        <f t="shared" si="35"/>
        <v>#NAME?</v>
      </c>
    </row>
    <row r="371" spans="1:42">
      <c r="A371">
        <v>21720</v>
      </c>
      <c r="B371" t="s">
        <v>1475</v>
      </c>
      <c r="C371" s="3" t="str">
        <f t="shared" si="32"/>
        <v>sysQuestionGroupItem.RowStatus</v>
      </c>
      <c r="D371">
        <v>58</v>
      </c>
      <c r="E371" s="3" t="str">
        <f t="shared" si="33"/>
        <v>sysQuestionGroupItem</v>
      </c>
      <c r="F371" t="s">
        <v>1445</v>
      </c>
      <c r="G371" s="3" t="s">
        <v>6411</v>
      </c>
      <c r="H371" s="3" t="str">
        <f t="shared" si="34"/>
        <v>System.QuestionGroupItem</v>
      </c>
      <c r="K371" s="3" t="s">
        <v>2471</v>
      </c>
      <c r="M371" t="s">
        <v>976</v>
      </c>
      <c r="N371">
        <v>1</v>
      </c>
      <c r="Q371" t="s">
        <v>919</v>
      </c>
      <c r="U371" t="s">
        <v>94</v>
      </c>
      <c r="V371" s="7"/>
      <c r="W371" s="7"/>
      <c r="X371" s="7"/>
      <c r="Z371" s="7"/>
      <c r="AC371" s="7"/>
      <c r="AD371" s="15"/>
      <c r="AE371" s="7"/>
      <c r="AK371" t="str">
        <f t="shared" si="37"/>
        <v>SELECT (SELECT 'sysQuestionGroupItem.RowStatus' ColumnName from sysQuestionGroupItem where RowStatus is null and exists (select from sysQuestionGroupItem) limit 1) a union all</v>
      </c>
      <c r="AP371" t="e">
        <f t="shared" si="35"/>
        <v>#NAME?</v>
      </c>
    </row>
    <row r="372" spans="1:42">
      <c r="A372">
        <v>21730</v>
      </c>
      <c r="B372" t="s">
        <v>1475</v>
      </c>
      <c r="C372" s="3" t="str">
        <f t="shared" si="32"/>
        <v>sysQuestionGroupItem.sysChangeHistoryID</v>
      </c>
      <c r="D372" s="7">
        <v>58</v>
      </c>
      <c r="E372" s="3" t="str">
        <f t="shared" si="33"/>
        <v>sysQuestionGroupItem</v>
      </c>
      <c r="F372" t="s">
        <v>2497</v>
      </c>
      <c r="G372" s="3" t="s">
        <v>6403</v>
      </c>
      <c r="H372" s="3" t="str">
        <f t="shared" si="34"/>
        <v>System.QuestionGroupItem</v>
      </c>
      <c r="K372" t="s">
        <v>1210</v>
      </c>
      <c r="M372" t="s">
        <v>6007</v>
      </c>
      <c r="N372" s="7"/>
      <c r="O372" s="7"/>
      <c r="P372" s="7"/>
      <c r="Q372" t="s">
        <v>919</v>
      </c>
      <c r="R372" s="7"/>
      <c r="S372" s="7"/>
      <c r="T372" s="8"/>
      <c r="U372" t="s">
        <v>1429</v>
      </c>
      <c r="AK372" t="str">
        <f t="shared" si="37"/>
        <v>SELECT (SELECT 'sysQuestionGroupItem.sysChangeHistoryID' ColumnName from sysQuestionGroupItem where sysChangeHistoryID is null and exists (select from sysQuestionGroupItem) limit 1) a union all</v>
      </c>
      <c r="AP372" t="e">
        <f t="shared" si="35"/>
        <v>#NAME?</v>
      </c>
    </row>
    <row r="373" spans="1:42">
      <c r="A373">
        <v>21640</v>
      </c>
      <c r="B373" t="s">
        <v>1475</v>
      </c>
      <c r="C373" s="3" t="str">
        <f t="shared" si="32"/>
        <v>sysQuestionGroupItem.sysQuestionGroupID</v>
      </c>
      <c r="D373">
        <v>58</v>
      </c>
      <c r="E373" s="3" t="str">
        <f t="shared" si="33"/>
        <v>sysQuestionGroupItem</v>
      </c>
      <c r="F373" t="str">
        <f>VLOOKUP(V373,SystemTableId,3,FALSE)&amp;"ID"&amp;X373</f>
        <v>sysQuestionGroupID</v>
      </c>
      <c r="G373" t="s">
        <v>2023</v>
      </c>
      <c r="H373" s="3" t="str">
        <f t="shared" si="34"/>
        <v>System.QuestionGroupItem</v>
      </c>
      <c r="K373" t="s">
        <v>2024</v>
      </c>
      <c r="M373" t="s">
        <v>6007</v>
      </c>
      <c r="Q373" t="s">
        <v>92</v>
      </c>
      <c r="U373" t="s">
        <v>96</v>
      </c>
      <c r="V373" s="7">
        <v>56</v>
      </c>
      <c r="W373" s="3" t="str">
        <f>VLOOKUP(V373,SystemTableId,3,FALSE)</f>
        <v>sysQuestionGroup</v>
      </c>
      <c r="X373" s="7"/>
      <c r="Z373" s="7"/>
      <c r="AC373" s="7"/>
      <c r="AD373" s="15"/>
      <c r="AE373" s="7"/>
      <c r="AK373" t="str">
        <f t="shared" si="37"/>
        <v>SELECT (SELECT 'sysQuestionGroupItem.sysQuestionGroupID' ColumnName from sysQuestionGroupItem where sysQuestionGroupID is null and exists (select from sysQuestionGroupItem) limit 1) a union all</v>
      </c>
      <c r="AP373" t="e">
        <f t="shared" si="35"/>
        <v>#NAME?</v>
      </c>
    </row>
    <row r="374" spans="1:42">
      <c r="A374">
        <v>21650</v>
      </c>
      <c r="B374" t="s">
        <v>1475</v>
      </c>
      <c r="C374" s="3" t="str">
        <f t="shared" si="32"/>
        <v>sysQuestionGroupItem.sysQuestionGroupItemIDParent</v>
      </c>
      <c r="D374">
        <v>58</v>
      </c>
      <c r="E374" s="3" t="str">
        <f t="shared" si="33"/>
        <v>sysQuestionGroupItem</v>
      </c>
      <c r="F374" t="str">
        <f>VLOOKUP(V374,SystemTableId,3,FALSE)&amp;"ID"&amp;X374</f>
        <v>sysQuestionGroupItemIDParent</v>
      </c>
      <c r="G374" t="s">
        <v>1938</v>
      </c>
      <c r="H374" s="3" t="str">
        <f t="shared" si="34"/>
        <v>System.QuestionGroupItem</v>
      </c>
      <c r="K374" t="s">
        <v>1220</v>
      </c>
      <c r="M374" t="s">
        <v>6007</v>
      </c>
      <c r="Q374" t="s">
        <v>92</v>
      </c>
      <c r="U374" t="s">
        <v>96</v>
      </c>
      <c r="V374">
        <v>58</v>
      </c>
      <c r="W374" s="3" t="str">
        <f>VLOOKUP(V374,SystemTableId,3,FALSE)</f>
        <v>sysQuestionGroupItem</v>
      </c>
      <c r="X374" s="3" t="s">
        <v>1220</v>
      </c>
      <c r="Z374" s="7"/>
      <c r="AC374" s="7"/>
      <c r="AD374" s="15"/>
      <c r="AE374" s="7"/>
      <c r="AK374" t="str">
        <f t="shared" si="37"/>
        <v>SELECT (SELECT 'sysQuestionGroupItem.sysQuestionGroupItemIDParent' ColumnName from sysQuestionGroupItem where sysQuestionGroupItemIDParent is null and exists (select from sysQuestionGroupItem) limit 1) a union all</v>
      </c>
      <c r="AP374" t="e">
        <f t="shared" si="35"/>
        <v>#NAME?</v>
      </c>
    </row>
    <row r="375" spans="1:42">
      <c r="A375">
        <v>21740</v>
      </c>
      <c r="B375" t="s">
        <v>1475</v>
      </c>
      <c r="C375" s="3" t="str">
        <f t="shared" si="32"/>
        <v>sysRaci.Id</v>
      </c>
      <c r="D375">
        <v>60</v>
      </c>
      <c r="E375" s="3" t="str">
        <f t="shared" si="33"/>
        <v>sysRaci</v>
      </c>
      <c r="F375" t="s">
        <v>1539</v>
      </c>
      <c r="G375" s="3" t="s">
        <v>6830</v>
      </c>
      <c r="H375" s="3" t="str">
        <f t="shared" si="34"/>
        <v>System.Raci</v>
      </c>
      <c r="K375" t="s">
        <v>1539</v>
      </c>
      <c r="M375" t="s">
        <v>6007</v>
      </c>
      <c r="Q375" t="s">
        <v>919</v>
      </c>
      <c r="U375" t="s">
        <v>95</v>
      </c>
      <c r="V375" s="7"/>
      <c r="W375" s="7"/>
      <c r="X375" s="7"/>
      <c r="Z375" s="7"/>
      <c r="AC375" s="7"/>
      <c r="AD375" s="15"/>
      <c r="AE375" s="7"/>
      <c r="AJ375" t="str">
        <f>"SELECT (SELECT '"&amp;C375&amp;"' ColumnName from "&amp;E375&amp;" where "&amp;F375&amp;" is null and exists (select from "&amp;E375&amp;") limit 1) ColumnName union all"</f>
        <v>SELECT (SELECT 'sysRaci.Id' ColumnName from sysRaci where Id is null and exists (select from sysRaci) limit 1) ColumnName union all</v>
      </c>
      <c r="AL375" t="str">
        <f>"ALTER TABLE "&amp;E375&amp;" ALTER COLUMN "&amp;F375&amp;" DROP NOT NULL"</f>
        <v>ALTER TABLE sysRaci ALTER COLUMN Id DROP NOT NULL</v>
      </c>
      <c r="AP375" t="e">
        <f t="shared" si="35"/>
        <v>#NAME?</v>
      </c>
    </row>
    <row r="376" spans="1:42">
      <c r="A376">
        <v>21750</v>
      </c>
      <c r="B376" t="s">
        <v>1475</v>
      </c>
      <c r="C376" s="3" t="str">
        <f t="shared" si="32"/>
        <v>sysRaci.Name</v>
      </c>
      <c r="D376">
        <v>60</v>
      </c>
      <c r="E376" s="3" t="str">
        <f t="shared" si="33"/>
        <v>sysRaci</v>
      </c>
      <c r="F376" s="7" t="s">
        <v>22</v>
      </c>
      <c r="G376" s="3" t="s">
        <v>6983</v>
      </c>
      <c r="H376" s="3" t="str">
        <f t="shared" si="34"/>
        <v>System.Raci</v>
      </c>
      <c r="K376" t="s">
        <v>22</v>
      </c>
      <c r="M376" t="s">
        <v>1073</v>
      </c>
      <c r="Q376" t="s">
        <v>92</v>
      </c>
      <c r="U376" t="s">
        <v>93</v>
      </c>
      <c r="V376" s="7"/>
      <c r="W376" s="7"/>
      <c r="X376" s="7"/>
      <c r="Z376" s="7"/>
      <c r="AC376" s="7"/>
      <c r="AD376" s="15"/>
      <c r="AE376" s="7"/>
      <c r="AH376" t="s">
        <v>92</v>
      </c>
      <c r="AJ376" t="str">
        <f>"SELECT (SELECT '"&amp;C376&amp;"' ColumnName from "&amp;E376&amp;" where "&amp;F376&amp;" is null and exists (select from "&amp;E376&amp;") limit 1) ColumnName union all"</f>
        <v>SELECT (SELECT 'sysRaci.Name' ColumnName from sysRaci where Name is null and exists (select from sysRaci) limit 1) ColumnName union all</v>
      </c>
      <c r="AL376" t="str">
        <f>"ALTER TABLE "&amp;E376&amp;" ALTER COLUMN "&amp;F376&amp;" DROP NOT NULL"</f>
        <v>ALTER TABLE sysRaci ALTER COLUMN Name DROP NOT NULL</v>
      </c>
      <c r="AP376" t="e">
        <f t="shared" si="35"/>
        <v>#NAME?</v>
      </c>
    </row>
    <row r="377" spans="1:42">
      <c r="A377">
        <v>21760</v>
      </c>
      <c r="B377" t="s">
        <v>1475</v>
      </c>
      <c r="C377" s="3" t="str">
        <f t="shared" si="32"/>
        <v>sysRaci.RecordCount</v>
      </c>
      <c r="D377">
        <v>60</v>
      </c>
      <c r="E377" s="3" t="str">
        <f t="shared" si="33"/>
        <v>sysRaci</v>
      </c>
      <c r="F377" s="7" t="s">
        <v>876</v>
      </c>
      <c r="G377" t="s">
        <v>876</v>
      </c>
      <c r="H377" s="3" t="str">
        <f t="shared" si="34"/>
        <v>System.Raci</v>
      </c>
      <c r="K377" t="s">
        <v>1982</v>
      </c>
      <c r="M377" t="s">
        <v>195</v>
      </c>
      <c r="Q377" t="s">
        <v>92</v>
      </c>
      <c r="U377" t="s">
        <v>93</v>
      </c>
      <c r="V377" s="7"/>
      <c r="W377" s="7"/>
      <c r="X377" s="7"/>
      <c r="Z377" s="7"/>
      <c r="AC377" s="7"/>
      <c r="AD377" s="15"/>
      <c r="AE377" s="7"/>
      <c r="AJ377" t="str">
        <f>"SELECT (SELECT '"&amp;C377&amp;"' ColumnName from "&amp;E377&amp;" where "&amp;F377&amp;" is null and exists (select from "&amp;E377&amp;") limit 1) ColumnName union all"</f>
        <v>SELECT (SELECT 'sysRaci.RecordCount' ColumnName from sysRaci where RecordCount is null and exists (select from sysRaci) limit 1) ColumnName union all</v>
      </c>
      <c r="AL377" t="str">
        <f>"ALTER TABLE "&amp;E377&amp;" ALTER COLUMN "&amp;F377&amp;" DROP NOT NULL"</f>
        <v>ALTER TABLE sysRaci ALTER COLUMN RecordCount DROP NOT NULL</v>
      </c>
      <c r="AP377" t="e">
        <f t="shared" si="35"/>
        <v>#NAME?</v>
      </c>
    </row>
    <row r="378" spans="1:42">
      <c r="A378">
        <v>21770</v>
      </c>
      <c r="B378" t="s">
        <v>1475</v>
      </c>
      <c r="C378" s="3" t="str">
        <f t="shared" si="32"/>
        <v>sysRaci.RowStatus</v>
      </c>
      <c r="D378">
        <v>60</v>
      </c>
      <c r="E378" s="3" t="str">
        <f t="shared" si="33"/>
        <v>sysRaci</v>
      </c>
      <c r="F378" t="s">
        <v>1445</v>
      </c>
      <c r="G378" s="3" t="s">
        <v>6411</v>
      </c>
      <c r="H378" s="3" t="str">
        <f t="shared" si="34"/>
        <v>System.Raci</v>
      </c>
      <c r="K378" s="3" t="s">
        <v>2471</v>
      </c>
      <c r="M378" t="s">
        <v>976</v>
      </c>
      <c r="N378">
        <v>1</v>
      </c>
      <c r="Q378" t="s">
        <v>919</v>
      </c>
      <c r="U378" t="s">
        <v>94</v>
      </c>
      <c r="V378" s="7"/>
      <c r="W378" s="7"/>
      <c r="X378" s="7"/>
      <c r="Z378" s="7"/>
      <c r="AC378" s="7"/>
      <c r="AD378" s="15"/>
      <c r="AE378" s="7"/>
      <c r="AK378" t="str">
        <f>"SELECT (SELECT '"&amp;C378&amp;"' ColumnName from "&amp;E378&amp;" where "&amp;F378&amp;" is null and exists (select from "&amp;E378&amp;") limit 1) a union all"</f>
        <v>SELECT (SELECT 'sysRaci.RowStatus' ColumnName from sysRaci where RowStatus is null and exists (select from sysRaci) limit 1) a union all</v>
      </c>
      <c r="AP378" t="e">
        <f t="shared" si="35"/>
        <v>#NAME?</v>
      </c>
    </row>
    <row r="379" spans="1:42">
      <c r="A379">
        <v>21790</v>
      </c>
      <c r="B379" t="s">
        <v>1475</v>
      </c>
      <c r="C379" s="3" t="str">
        <f t="shared" si="32"/>
        <v>sysReducer.ActionType</v>
      </c>
      <c r="D379">
        <v>62</v>
      </c>
      <c r="E379" s="3" t="str">
        <f t="shared" si="33"/>
        <v>sysReducer</v>
      </c>
      <c r="F379" s="7" t="s">
        <v>1118</v>
      </c>
      <c r="G379" t="s">
        <v>1118</v>
      </c>
      <c r="H379" s="3" t="str">
        <f t="shared" si="34"/>
        <v>System.Reducer</v>
      </c>
      <c r="K379" t="s">
        <v>1978</v>
      </c>
      <c r="M379" t="s">
        <v>1073</v>
      </c>
      <c r="Q379" t="s">
        <v>92</v>
      </c>
      <c r="U379" t="s">
        <v>93</v>
      </c>
      <c r="AC379" s="7"/>
      <c r="AD379" s="15"/>
      <c r="AE379" s="7"/>
      <c r="AK379" t="str">
        <f>"SELECT (SELECT '"&amp;C379&amp;"' ColumnName from "&amp;E379&amp;" where "&amp;F379&amp;" is null and exists (select from "&amp;E379&amp;") limit 1) a union all"</f>
        <v>SELECT (SELECT 'sysReducer.ActionType' ColumnName from sysReducer where ActionType is null and exists (select from sysReducer) limit 1) a union all</v>
      </c>
      <c r="AP379" t="e">
        <f t="shared" si="35"/>
        <v>#NAME?</v>
      </c>
    </row>
    <row r="380" spans="1:42">
      <c r="A380">
        <v>21800</v>
      </c>
      <c r="B380" t="s">
        <v>1475</v>
      </c>
      <c r="C380" s="3" t="str">
        <f t="shared" si="32"/>
        <v>sysReducer.Code</v>
      </c>
      <c r="D380">
        <v>62</v>
      </c>
      <c r="E380" s="3" t="str">
        <f t="shared" si="33"/>
        <v>sysReducer</v>
      </c>
      <c r="F380" s="7" t="s">
        <v>1979</v>
      </c>
      <c r="G380" t="s">
        <v>1979</v>
      </c>
      <c r="H380" s="3" t="str">
        <f t="shared" si="34"/>
        <v>System.Reducer</v>
      </c>
      <c r="K380" t="s">
        <v>1979</v>
      </c>
      <c r="M380" t="s">
        <v>196</v>
      </c>
      <c r="Q380" t="s">
        <v>92</v>
      </c>
      <c r="U380" t="s">
        <v>93</v>
      </c>
      <c r="AC380" s="7"/>
      <c r="AD380" s="15"/>
      <c r="AE380" s="7"/>
      <c r="AJ380" t="str">
        <f>"SELECT (SELECT '"&amp;C380&amp;"' ColumnName from "&amp;E380&amp;" where "&amp;F380&amp;" is null and exists (select from "&amp;E380&amp;") limit 1) ColumnName union all"</f>
        <v>SELECT (SELECT 'sysReducer.Code' ColumnName from sysReducer where Code is null and exists (select from sysReducer) limit 1) ColumnName union all</v>
      </c>
      <c r="AL380" t="str">
        <f>"ALTER TABLE "&amp;E380&amp;" ALTER COLUMN "&amp;F380&amp;" DROP NOT NULL"</f>
        <v>ALTER TABLE sysReducer ALTER COLUMN Code DROP NOT NULL</v>
      </c>
      <c r="AP380" t="e">
        <f t="shared" si="35"/>
        <v>#NAME?</v>
      </c>
    </row>
    <row r="381" spans="1:42">
      <c r="A381">
        <v>21780</v>
      </c>
      <c r="B381" t="s">
        <v>1475</v>
      </c>
      <c r="C381" s="3" t="str">
        <f t="shared" si="32"/>
        <v>sysReducer.Id</v>
      </c>
      <c r="D381">
        <v>62</v>
      </c>
      <c r="E381" s="3" t="str">
        <f t="shared" si="33"/>
        <v>sysReducer</v>
      </c>
      <c r="F381" t="s">
        <v>1539</v>
      </c>
      <c r="G381" s="3" t="s">
        <v>6831</v>
      </c>
      <c r="H381" s="3" t="str">
        <f t="shared" si="34"/>
        <v>System.Reducer</v>
      </c>
      <c r="K381" t="s">
        <v>1539</v>
      </c>
      <c r="M381" t="s">
        <v>6007</v>
      </c>
      <c r="Q381" t="s">
        <v>919</v>
      </c>
      <c r="U381" t="s">
        <v>95</v>
      </c>
      <c r="V381" s="7"/>
      <c r="W381" s="7"/>
      <c r="X381" s="7"/>
      <c r="Z381" s="7"/>
      <c r="AC381" s="7"/>
      <c r="AD381" s="15"/>
      <c r="AE381" s="7"/>
      <c r="AJ381" t="str">
        <f>"SELECT (SELECT '"&amp;C381&amp;"' ColumnName from "&amp;E381&amp;" where "&amp;F381&amp;" is null and exists (select from "&amp;E381&amp;") limit 1) ColumnName union all"</f>
        <v>SELECT (SELECT 'sysReducer.Id' ColumnName from sysReducer where Id is null and exists (select from sysReducer) limit 1) ColumnName union all</v>
      </c>
      <c r="AL381" t="str">
        <f>"ALTER TABLE "&amp;E381&amp;" ALTER COLUMN "&amp;F381&amp;" DROP NOT NULL"</f>
        <v>ALTER TABLE sysReducer ALTER COLUMN Id DROP NOT NULL</v>
      </c>
      <c r="AP381" t="e">
        <f t="shared" si="35"/>
        <v>#NAME?</v>
      </c>
    </row>
    <row r="382" spans="1:42">
      <c r="A382">
        <v>21810</v>
      </c>
      <c r="B382" t="s">
        <v>1475</v>
      </c>
      <c r="C382" s="3" t="str">
        <f t="shared" si="32"/>
        <v>sysReducer.Name</v>
      </c>
      <c r="D382">
        <v>62</v>
      </c>
      <c r="E382" s="3" t="str">
        <f t="shared" si="33"/>
        <v>sysReducer</v>
      </c>
      <c r="F382" s="7" t="s">
        <v>22</v>
      </c>
      <c r="G382" s="3" t="s">
        <v>6984</v>
      </c>
      <c r="H382" s="3" t="str">
        <f t="shared" si="34"/>
        <v>System.Reducer</v>
      </c>
      <c r="K382" t="s">
        <v>22</v>
      </c>
      <c r="M382" t="s">
        <v>1073</v>
      </c>
      <c r="Q382" t="s">
        <v>92</v>
      </c>
      <c r="U382" t="s">
        <v>93</v>
      </c>
      <c r="V382" s="7"/>
      <c r="W382" s="7"/>
      <c r="X382" s="7"/>
      <c r="Z382" s="7"/>
      <c r="AC382" s="7"/>
      <c r="AD382" s="15"/>
      <c r="AE382" s="7"/>
      <c r="AH382" t="s">
        <v>92</v>
      </c>
      <c r="AK382" t="str">
        <f>"SELECT (SELECT '"&amp;C382&amp;"' ColumnName from "&amp;E382&amp;" where "&amp;F382&amp;" is null and exists (select from "&amp;E382&amp;") limit 1) a union all"</f>
        <v>SELECT (SELECT 'sysReducer.Name' ColumnName from sysReducer where Name is null and exists (select from sysReducer) limit 1) a union all</v>
      </c>
      <c r="AP382" t="e">
        <f t="shared" si="35"/>
        <v>#NAME?</v>
      </c>
    </row>
    <row r="383" spans="1:42">
      <c r="A383">
        <v>21820</v>
      </c>
      <c r="B383" t="s">
        <v>1475</v>
      </c>
      <c r="C383" s="3" t="str">
        <f t="shared" si="32"/>
        <v>sysReducer.RowStatus</v>
      </c>
      <c r="D383">
        <v>62</v>
      </c>
      <c r="E383" s="3" t="str">
        <f t="shared" si="33"/>
        <v>sysReducer</v>
      </c>
      <c r="F383" t="s">
        <v>1445</v>
      </c>
      <c r="G383" s="3" t="s">
        <v>6411</v>
      </c>
      <c r="H383" s="3" t="str">
        <f t="shared" si="34"/>
        <v>System.Reducer</v>
      </c>
      <c r="K383" s="3" t="s">
        <v>2471</v>
      </c>
      <c r="M383" t="s">
        <v>976</v>
      </c>
      <c r="N383">
        <v>1</v>
      </c>
      <c r="Q383" t="s">
        <v>919</v>
      </c>
      <c r="U383" t="s">
        <v>94</v>
      </c>
      <c r="V383" s="7"/>
      <c r="W383" s="7"/>
      <c r="X383" s="7"/>
      <c r="Z383" s="7"/>
      <c r="AC383" s="7"/>
      <c r="AD383" s="15"/>
      <c r="AE383" s="7"/>
      <c r="AK383" t="str">
        <f>"SELECT (SELECT '"&amp;C383&amp;"' ColumnName from "&amp;E383&amp;" where "&amp;F383&amp;" is null and exists (select from "&amp;E383&amp;") limit 1) a union all"</f>
        <v>SELECT (SELECT 'sysReducer.RowStatus' ColumnName from sysReducer where RowStatus is null and exists (select from sysReducer) limit 1) a union all</v>
      </c>
      <c r="AP383" t="e">
        <f t="shared" si="35"/>
        <v>#NAME?</v>
      </c>
    </row>
    <row r="384" spans="1:42">
      <c r="A384">
        <v>21840</v>
      </c>
      <c r="B384" t="s">
        <v>1475</v>
      </c>
      <c r="C384" s="3" t="str">
        <f t="shared" si="32"/>
        <v>sysRule.Code</v>
      </c>
      <c r="D384" s="7">
        <v>66</v>
      </c>
      <c r="E384" s="3" t="str">
        <f t="shared" si="33"/>
        <v>sysRule</v>
      </c>
      <c r="F384" s="7" t="s">
        <v>1979</v>
      </c>
      <c r="G384" t="s">
        <v>1979</v>
      </c>
      <c r="H384" s="3" t="str">
        <f t="shared" si="34"/>
        <v>System.Rule</v>
      </c>
      <c r="K384" s="7" t="s">
        <v>1979</v>
      </c>
      <c r="M384" t="s">
        <v>196</v>
      </c>
      <c r="N384" s="7"/>
      <c r="O384" s="7"/>
      <c r="Q384" t="s">
        <v>92</v>
      </c>
      <c r="U384" s="7" t="s">
        <v>93</v>
      </c>
      <c r="AC384" s="7"/>
      <c r="AD384" s="15"/>
      <c r="AE384" s="7"/>
      <c r="AK384" t="str">
        <f>"SELECT (SELECT '"&amp;C384&amp;"' ColumnName from "&amp;E384&amp;" where "&amp;F384&amp;" is null and exists (select from "&amp;E384&amp;") limit 1) a union all"</f>
        <v>SELECT (SELECT 'sysRule.Code' ColumnName from sysRule where Code is null and exists (select from sysRule) limit 1) a union all</v>
      </c>
      <c r="AP384" t="e">
        <f t="shared" si="35"/>
        <v>#NAME?</v>
      </c>
    </row>
    <row r="385" spans="1:42" ht="15" customHeight="1">
      <c r="A385">
        <v>21850</v>
      </c>
      <c r="B385" t="s">
        <v>1475</v>
      </c>
      <c r="C385" s="3" t="str">
        <f t="shared" si="32"/>
        <v>sysRule.Comments</v>
      </c>
      <c r="D385" s="7">
        <v>66</v>
      </c>
      <c r="E385" s="3" t="str">
        <f t="shared" si="33"/>
        <v>sysRule</v>
      </c>
      <c r="F385" s="7" t="s">
        <v>14</v>
      </c>
      <c r="G385" t="s">
        <v>14</v>
      </c>
      <c r="H385" s="3" t="str">
        <f t="shared" si="34"/>
        <v>System.Rule</v>
      </c>
      <c r="K385" s="7" t="s">
        <v>14</v>
      </c>
      <c r="M385" s="7" t="s">
        <v>1073</v>
      </c>
      <c r="N385" s="7"/>
      <c r="O385" s="7"/>
      <c r="Q385" t="s">
        <v>92</v>
      </c>
      <c r="U385" s="7" t="s">
        <v>93</v>
      </c>
      <c r="AC385" s="7"/>
      <c r="AD385" s="15"/>
      <c r="AE385" s="7"/>
      <c r="AJ385" t="str">
        <f>"SELECT (SELECT '"&amp;C385&amp;"' ColumnName from "&amp;E385&amp;" where "&amp;F385&amp;" is null and exists (select from "&amp;E385&amp;") limit 1) ColumnName union all"</f>
        <v>SELECT (SELECT 'sysRule.Comments' ColumnName from sysRule where Comments is null and exists (select from sysRule) limit 1) ColumnName union all</v>
      </c>
      <c r="AL385" t="str">
        <f>"ALTER TABLE "&amp;E385&amp;" ALTER COLUMN "&amp;F385&amp;" DROP NOT NULL"</f>
        <v>ALTER TABLE sysRule ALTER COLUMN Comments DROP NOT NULL</v>
      </c>
      <c r="AP385" t="e">
        <f t="shared" si="35"/>
        <v>#NAME?</v>
      </c>
    </row>
    <row r="386" spans="1:42" ht="15" customHeight="1">
      <c r="A386">
        <v>21830</v>
      </c>
      <c r="B386" t="s">
        <v>1475</v>
      </c>
      <c r="C386" s="3" t="str">
        <f t="shared" ref="C386:C449" si="38">CONCATENATE(E386,".",F386)</f>
        <v>sysRule.Id</v>
      </c>
      <c r="D386" s="7">
        <v>66</v>
      </c>
      <c r="E386" s="3" t="str">
        <f t="shared" ref="E386:E449" si="39">VLOOKUP(D386,SystemTableId,3,FALSE)</f>
        <v>sysRule</v>
      </c>
      <c r="F386" t="s">
        <v>1539</v>
      </c>
      <c r="G386" s="3" t="s">
        <v>6832</v>
      </c>
      <c r="H386" s="3" t="str">
        <f t="shared" ref="H386:H449" si="40">VLOOKUP(E386,SystemTables,14,FALSE)</f>
        <v>System.Rule</v>
      </c>
      <c r="K386" s="7" t="s">
        <v>0</v>
      </c>
      <c r="M386" t="s">
        <v>6007</v>
      </c>
      <c r="N386" s="7"/>
      <c r="O386" s="7"/>
      <c r="Q386" t="s">
        <v>919</v>
      </c>
      <c r="U386" s="7" t="s">
        <v>95</v>
      </c>
      <c r="V386" s="7"/>
      <c r="W386" s="7"/>
      <c r="X386" s="7"/>
      <c r="Z386" s="7"/>
      <c r="AC386" s="7"/>
      <c r="AD386" s="15"/>
      <c r="AE386" s="7"/>
      <c r="AJ386" t="str">
        <f>"SELECT (SELECT '"&amp;C386&amp;"' ColumnName from "&amp;E386&amp;" where "&amp;F386&amp;" is null and exists (select from "&amp;E386&amp;") limit 1) ColumnName union all"</f>
        <v>SELECT (SELECT 'sysRule.Id' ColumnName from sysRule where Id is null and exists (select from sysRule) limit 1) ColumnName union all</v>
      </c>
      <c r="AL386" t="str">
        <f>"ALTER TABLE "&amp;E386&amp;" ALTER COLUMN "&amp;F386&amp;" DROP NOT NULL"</f>
        <v>ALTER TABLE sysRule ALTER COLUMN Id DROP NOT NULL</v>
      </c>
      <c r="AP386" t="e">
        <f t="shared" ref="AP386:AP449" si="41">VLOOKUP(E386,temp6,1,FALSE)</f>
        <v>#NAME?</v>
      </c>
    </row>
    <row r="387" spans="1:42" ht="15" customHeight="1">
      <c r="A387">
        <v>21860</v>
      </c>
      <c r="B387" t="s">
        <v>1475</v>
      </c>
      <c r="C387" s="3" t="str">
        <f t="shared" si="38"/>
        <v>sysRule.Imports</v>
      </c>
      <c r="D387" s="7">
        <v>66</v>
      </c>
      <c r="E387" s="3" t="str">
        <f t="shared" si="39"/>
        <v>sysRule</v>
      </c>
      <c r="F387" s="7" t="s">
        <v>1980</v>
      </c>
      <c r="G387" t="s">
        <v>1980</v>
      </c>
      <c r="H387" s="3" t="str">
        <f t="shared" si="40"/>
        <v>System.Rule</v>
      </c>
      <c r="K387" s="7" t="s">
        <v>1980</v>
      </c>
      <c r="M387" t="s">
        <v>196</v>
      </c>
      <c r="N387" s="7"/>
      <c r="O387" s="7"/>
      <c r="Q387" t="s">
        <v>92</v>
      </c>
      <c r="U387" s="7" t="s">
        <v>93</v>
      </c>
      <c r="V387" s="7"/>
      <c r="W387" s="7"/>
      <c r="X387" s="7"/>
      <c r="Z387" s="7"/>
      <c r="AC387" s="7"/>
      <c r="AD387" s="15"/>
      <c r="AE387" s="7"/>
      <c r="AK387" t="str">
        <f>"SELECT (SELECT '"&amp;C387&amp;"' ColumnName from "&amp;E387&amp;" where "&amp;F387&amp;" is null and exists (select from "&amp;E387&amp;") limit 1) a union all"</f>
        <v>SELECT (SELECT 'sysRule.Imports' ColumnName from sysRule where Imports is null and exists (select from sysRule) limit 1) a union all</v>
      </c>
      <c r="AP387" t="e">
        <f t="shared" si="41"/>
        <v>#NAME?</v>
      </c>
    </row>
    <row r="388" spans="1:42" ht="15" customHeight="1">
      <c r="A388">
        <v>21870</v>
      </c>
      <c r="B388" t="s">
        <v>1475</v>
      </c>
      <c r="C388" s="3" t="str">
        <f t="shared" si="38"/>
        <v>sysRule.Name</v>
      </c>
      <c r="D388" s="7">
        <v>66</v>
      </c>
      <c r="E388" s="3" t="str">
        <f t="shared" si="39"/>
        <v>sysRule</v>
      </c>
      <c r="F388" s="7" t="s">
        <v>22</v>
      </c>
      <c r="G388" s="3" t="s">
        <v>6985</v>
      </c>
      <c r="H388" s="3" t="str">
        <f t="shared" si="40"/>
        <v>System.Rule</v>
      </c>
      <c r="K388" s="7" t="s">
        <v>22</v>
      </c>
      <c r="M388" t="s">
        <v>1073</v>
      </c>
      <c r="O388" s="7"/>
      <c r="Q388" t="s">
        <v>92</v>
      </c>
      <c r="U388" s="7" t="s">
        <v>93</v>
      </c>
      <c r="V388" s="7"/>
      <c r="W388" s="7"/>
      <c r="X388" s="7"/>
      <c r="Z388" s="7"/>
      <c r="AC388" s="7"/>
      <c r="AD388" s="15"/>
      <c r="AE388" s="7"/>
      <c r="AH388" t="s">
        <v>92</v>
      </c>
      <c r="AK388" t="str">
        <f>"SELECT (SELECT '"&amp;C388&amp;"' ColumnName from "&amp;E388&amp;" where "&amp;F388&amp;" is null and exists (select from "&amp;E388&amp;") limit 1) a union all"</f>
        <v>SELECT (SELECT 'sysRule.Name' ColumnName from sysRule where Name is null and exists (select from sysRule) limit 1) a union all</v>
      </c>
      <c r="AP388" t="e">
        <f t="shared" si="41"/>
        <v>#NAME?</v>
      </c>
    </row>
    <row r="389" spans="1:42" ht="15" customHeight="1">
      <c r="A389">
        <v>21890</v>
      </c>
      <c r="B389" t="s">
        <v>1475</v>
      </c>
      <c r="C389" s="3" t="str">
        <f t="shared" si="38"/>
        <v>sysRule.RowStatus</v>
      </c>
      <c r="D389" s="7">
        <v>66</v>
      </c>
      <c r="E389" s="3" t="str">
        <f t="shared" si="39"/>
        <v>sysRule</v>
      </c>
      <c r="F389" t="s">
        <v>1445</v>
      </c>
      <c r="G389" s="3" t="s">
        <v>6411</v>
      </c>
      <c r="H389" s="3" t="str">
        <f t="shared" si="40"/>
        <v>System.Rule</v>
      </c>
      <c r="K389" s="3" t="s">
        <v>2471</v>
      </c>
      <c r="M389" t="s">
        <v>976</v>
      </c>
      <c r="N389">
        <v>1</v>
      </c>
      <c r="O389" s="7"/>
      <c r="Q389" t="s">
        <v>919</v>
      </c>
      <c r="U389" s="7" t="s">
        <v>94</v>
      </c>
      <c r="V389" s="7"/>
      <c r="W389" s="7"/>
      <c r="X389" s="7"/>
      <c r="Z389" s="7"/>
      <c r="AC389" s="7"/>
      <c r="AD389" s="15"/>
      <c r="AE389" s="7"/>
      <c r="AK389" t="str">
        <f>"SELECT (SELECT '"&amp;C389&amp;"' ColumnName from "&amp;E389&amp;" where "&amp;F389&amp;" is null and exists (select from "&amp;E389&amp;") limit 1) a union all"</f>
        <v>SELECT (SELECT 'sysRule.RowStatus' ColumnName from sysRule where RowStatus is null and exists (select from sysRule) limit 1) a union all</v>
      </c>
      <c r="AP389" t="e">
        <f t="shared" si="41"/>
        <v>#NAME?</v>
      </c>
    </row>
    <row r="390" spans="1:42" ht="15" customHeight="1">
      <c r="A390">
        <v>21880</v>
      </c>
      <c r="B390" t="s">
        <v>1475</v>
      </c>
      <c r="C390" s="3" t="str">
        <f t="shared" si="38"/>
        <v>sysRule.Tests</v>
      </c>
      <c r="D390" s="7">
        <v>66</v>
      </c>
      <c r="E390" s="3" t="str">
        <f t="shared" si="39"/>
        <v>sysRule</v>
      </c>
      <c r="F390" s="7" t="s">
        <v>1981</v>
      </c>
      <c r="G390" t="s">
        <v>1981</v>
      </c>
      <c r="H390" s="3" t="str">
        <f t="shared" si="40"/>
        <v>System.Rule</v>
      </c>
      <c r="K390" s="7" t="s">
        <v>1981</v>
      </c>
      <c r="M390" t="s">
        <v>196</v>
      </c>
      <c r="N390" s="7"/>
      <c r="O390" s="7"/>
      <c r="Q390" t="s">
        <v>92</v>
      </c>
      <c r="U390" s="7" t="s">
        <v>93</v>
      </c>
      <c r="AC390" s="7"/>
      <c r="AD390" s="15"/>
      <c r="AE390" s="7"/>
      <c r="AK390" t="str">
        <f>"SELECT (SELECT '"&amp;C390&amp;"' ColumnName from "&amp;E390&amp;" where "&amp;F390&amp;" is null and exists (select from "&amp;E390&amp;") limit 1) a union all"</f>
        <v>SELECT (SELECT 'sysRule.Tests' ColumnName from sysRule where Tests is null and exists (select from sysRule) limit 1) a union all</v>
      </c>
      <c r="AP390" t="e">
        <f t="shared" si="41"/>
        <v>#NAME?</v>
      </c>
    </row>
    <row r="391" spans="1:42" ht="15" customHeight="1">
      <c r="A391">
        <v>21920</v>
      </c>
      <c r="B391" t="s">
        <v>1475</v>
      </c>
      <c r="C391" s="3" t="str">
        <f t="shared" si="38"/>
        <v>sysScheduler.Action</v>
      </c>
      <c r="D391">
        <v>68</v>
      </c>
      <c r="E391" s="3" t="str">
        <f t="shared" si="39"/>
        <v>sysScheduler</v>
      </c>
      <c r="F391" s="7" t="s">
        <v>2052</v>
      </c>
      <c r="G391" t="s">
        <v>2052</v>
      </c>
      <c r="H391" s="3" t="str">
        <f t="shared" si="40"/>
        <v>System.Scheduler</v>
      </c>
      <c r="K391" t="s">
        <v>2052</v>
      </c>
      <c r="M391" t="s">
        <v>1073</v>
      </c>
      <c r="Q391" t="s">
        <v>92</v>
      </c>
      <c r="U391" t="s">
        <v>93</v>
      </c>
      <c r="AB391" s="7"/>
      <c r="AC391" s="7"/>
      <c r="AD391" s="15"/>
      <c r="AE391" s="7"/>
      <c r="AK391" t="str">
        <f>"SELECT (SELECT '"&amp;C391&amp;"' ColumnName from "&amp;E391&amp;" where "&amp;F391&amp;" is null and exists (select from "&amp;E391&amp;") limit 1) a union all"</f>
        <v>SELECT (SELECT 'sysScheduler.Action' ColumnName from sysScheduler where Action is null and exists (select from sysScheduler) limit 1) a union all</v>
      </c>
      <c r="AP391" t="e">
        <f t="shared" si="41"/>
        <v>#NAME?</v>
      </c>
    </row>
    <row r="392" spans="1:42" ht="15" customHeight="1">
      <c r="A392">
        <v>21930</v>
      </c>
      <c r="B392" t="s">
        <v>1475</v>
      </c>
      <c r="C392" s="3" t="str">
        <f t="shared" si="38"/>
        <v>sysScheduler.Content</v>
      </c>
      <c r="D392">
        <v>68</v>
      </c>
      <c r="E392" s="3" t="str">
        <f t="shared" si="39"/>
        <v>sysScheduler</v>
      </c>
      <c r="F392" s="7" t="s">
        <v>2053</v>
      </c>
      <c r="G392" t="s">
        <v>2053</v>
      </c>
      <c r="H392" s="3" t="str">
        <f t="shared" si="40"/>
        <v>System.Scheduler</v>
      </c>
      <c r="K392" t="s">
        <v>2053</v>
      </c>
      <c r="M392" t="s">
        <v>1073</v>
      </c>
      <c r="Q392" t="s">
        <v>92</v>
      </c>
      <c r="U392" t="s">
        <v>93</v>
      </c>
      <c r="AB392" s="7"/>
      <c r="AC392" s="7"/>
      <c r="AD392" s="15"/>
      <c r="AE392" s="7"/>
      <c r="AJ392" t="str">
        <f>"SELECT (SELECT '"&amp;C392&amp;"' ColumnName from "&amp;E392&amp;" where "&amp;F392&amp;" is null and exists (select from "&amp;E392&amp;") limit 1) ColumnName union all"</f>
        <v>SELECT (SELECT 'sysScheduler.Content' ColumnName from sysScheduler where Content is null and exists (select from sysScheduler) limit 1) ColumnName union all</v>
      </c>
      <c r="AL392" t="str">
        <f>"ALTER TABLE "&amp;E392&amp;" ALTER COLUMN "&amp;F392&amp;" DROP NOT NULL"</f>
        <v>ALTER TABLE sysScheduler ALTER COLUMN Content DROP NOT NULL</v>
      </c>
      <c r="AP392" t="e">
        <f t="shared" si="41"/>
        <v>#NAME?</v>
      </c>
    </row>
    <row r="393" spans="1:42" ht="15" customHeight="1">
      <c r="A393">
        <v>21940</v>
      </c>
      <c r="B393" t="s">
        <v>1475</v>
      </c>
      <c r="C393" s="3" t="str">
        <f t="shared" si="38"/>
        <v>sysScheduler.Days</v>
      </c>
      <c r="D393">
        <v>68</v>
      </c>
      <c r="E393" s="3" t="str">
        <f t="shared" si="39"/>
        <v>sysScheduler</v>
      </c>
      <c r="F393" s="7" t="s">
        <v>2049</v>
      </c>
      <c r="G393" t="s">
        <v>2049</v>
      </c>
      <c r="H393" s="3" t="str">
        <f t="shared" si="40"/>
        <v>System.Scheduler</v>
      </c>
      <c r="K393" t="s">
        <v>2049</v>
      </c>
      <c r="M393" t="s">
        <v>1073</v>
      </c>
      <c r="Q393" t="s">
        <v>92</v>
      </c>
      <c r="U393" t="s">
        <v>93</v>
      </c>
      <c r="AB393" s="7"/>
      <c r="AC393" s="7"/>
      <c r="AD393" s="15"/>
      <c r="AE393" s="7"/>
      <c r="AJ393" t="str">
        <f>"SELECT (SELECT '"&amp;C393&amp;"' ColumnName from "&amp;E393&amp;" where "&amp;F393&amp;" is null and exists (select from "&amp;E393&amp;") limit 1) ColumnName union all"</f>
        <v>SELECT (SELECT 'sysScheduler.Days' ColumnName from sysScheduler where Days is null and exists (select from sysScheduler) limit 1) ColumnName union all</v>
      </c>
      <c r="AL393" t="str">
        <f>"ALTER TABLE "&amp;E393&amp;" ALTER COLUMN "&amp;F393&amp;" DROP NOT NULL"</f>
        <v>ALTER TABLE sysScheduler ALTER COLUMN Days DROP NOT NULL</v>
      </c>
      <c r="AP393" t="e">
        <f t="shared" si="41"/>
        <v>#NAME?</v>
      </c>
    </row>
    <row r="394" spans="1:42" ht="15" customHeight="1">
      <c r="A394">
        <v>21950</v>
      </c>
      <c r="B394" t="s">
        <v>1475</v>
      </c>
      <c r="C394" s="3" t="str">
        <f t="shared" si="38"/>
        <v>sysScheduler.ExpiryDate</v>
      </c>
      <c r="D394">
        <v>68</v>
      </c>
      <c r="E394" s="3" t="str">
        <f t="shared" si="39"/>
        <v>sysScheduler</v>
      </c>
      <c r="F394" s="7" t="s">
        <v>48</v>
      </c>
      <c r="G394" t="s">
        <v>48</v>
      </c>
      <c r="H394" s="3" t="str">
        <f t="shared" si="40"/>
        <v>System.Scheduler</v>
      </c>
      <c r="K394" t="s">
        <v>100</v>
      </c>
      <c r="M394" t="s">
        <v>329</v>
      </c>
      <c r="Q394" t="s">
        <v>92</v>
      </c>
      <c r="U394" t="s">
        <v>93</v>
      </c>
      <c r="AB394" s="7"/>
      <c r="AC394" s="7"/>
      <c r="AD394" s="15"/>
      <c r="AE394" s="7"/>
      <c r="AJ394" t="str">
        <f>"SELECT (SELECT '"&amp;C394&amp;"' ColumnName from "&amp;E394&amp;" where "&amp;F394&amp;" is null and exists (select from "&amp;E394&amp;") limit 1) ColumnName union all"</f>
        <v>SELECT (SELECT 'sysScheduler.ExpiryDate' ColumnName from sysScheduler where ExpiryDate is null and exists (select from sysScheduler) limit 1) ColumnName union all</v>
      </c>
      <c r="AL394" t="str">
        <f>"ALTER TABLE "&amp;E394&amp;" ALTER COLUMN "&amp;F394&amp;" DROP NOT NULL"</f>
        <v>ALTER TABLE sysScheduler ALTER COLUMN ExpiryDate DROP NOT NULL</v>
      </c>
      <c r="AP394" t="e">
        <f t="shared" si="41"/>
        <v>#NAME?</v>
      </c>
    </row>
    <row r="395" spans="1:42" ht="15" customHeight="1">
      <c r="A395">
        <v>21900</v>
      </c>
      <c r="B395" t="s">
        <v>1475</v>
      </c>
      <c r="C395" s="3" t="str">
        <f t="shared" si="38"/>
        <v>sysScheduler.Id</v>
      </c>
      <c r="D395">
        <v>68</v>
      </c>
      <c r="E395" s="3" t="str">
        <f t="shared" si="39"/>
        <v>sysScheduler</v>
      </c>
      <c r="F395" t="s">
        <v>1539</v>
      </c>
      <c r="G395" s="3" t="s">
        <v>6833</v>
      </c>
      <c r="H395" s="3" t="str">
        <f t="shared" si="40"/>
        <v>System.Scheduler</v>
      </c>
      <c r="K395" t="s">
        <v>1539</v>
      </c>
      <c r="M395" t="s">
        <v>6007</v>
      </c>
      <c r="Q395" t="s">
        <v>919</v>
      </c>
      <c r="U395" t="s">
        <v>95</v>
      </c>
      <c r="V395" s="7"/>
      <c r="W395" s="7"/>
      <c r="X395" s="7"/>
      <c r="Z395" s="7"/>
      <c r="AC395" s="7"/>
      <c r="AD395" s="15"/>
      <c r="AE395" s="7"/>
      <c r="AK395" t="str">
        <f t="shared" ref="AK395:AK404" si="42">"SELECT (SELECT '"&amp;C395&amp;"' ColumnName from "&amp;E395&amp;" where "&amp;F395&amp;" is null and exists (select from "&amp;E395&amp;") limit 1) a union all"</f>
        <v>SELECT (SELECT 'sysScheduler.Id' ColumnName from sysScheduler where Id is null and exists (select from sysScheduler) limit 1) a union all</v>
      </c>
      <c r="AP395" t="e">
        <f t="shared" si="41"/>
        <v>#NAME?</v>
      </c>
    </row>
    <row r="396" spans="1:42" ht="15" customHeight="1">
      <c r="A396">
        <v>21960</v>
      </c>
      <c r="B396" t="s">
        <v>1475</v>
      </c>
      <c r="C396" s="3" t="str">
        <f t="shared" si="38"/>
        <v>sysScheduler.IsCron</v>
      </c>
      <c r="D396">
        <v>68</v>
      </c>
      <c r="E396" s="3" t="str">
        <f t="shared" si="39"/>
        <v>sysScheduler</v>
      </c>
      <c r="F396" s="7" t="s">
        <v>2397</v>
      </c>
      <c r="G396" s="3" t="s">
        <v>6834</v>
      </c>
      <c r="H396" s="3" t="str">
        <f t="shared" si="40"/>
        <v>System.Scheduler</v>
      </c>
      <c r="K396" t="s">
        <v>2054</v>
      </c>
      <c r="M396" s="3" t="s">
        <v>2402</v>
      </c>
      <c r="Q396" t="s">
        <v>92</v>
      </c>
      <c r="U396" t="s">
        <v>93</v>
      </c>
      <c r="AB396" s="7"/>
      <c r="AC396" s="7"/>
      <c r="AD396" s="15"/>
      <c r="AE396" s="7"/>
      <c r="AK396" t="str">
        <f t="shared" si="42"/>
        <v>SELECT (SELECT 'sysScheduler.IsCron' ColumnName from sysScheduler where IsCron is null and exists (select from sysScheduler) limit 1) a union all</v>
      </c>
      <c r="AP396" t="e">
        <f t="shared" si="41"/>
        <v>#NAME?</v>
      </c>
    </row>
    <row r="397" spans="1:42">
      <c r="A397">
        <v>21970</v>
      </c>
      <c r="B397" t="s">
        <v>1475</v>
      </c>
      <c r="C397" s="3" t="str">
        <f t="shared" si="38"/>
        <v>sysScheduler.IsDaily</v>
      </c>
      <c r="D397">
        <v>68</v>
      </c>
      <c r="E397" s="3" t="str">
        <f t="shared" si="39"/>
        <v>sysScheduler</v>
      </c>
      <c r="F397" s="7" t="s">
        <v>2398</v>
      </c>
      <c r="G397" s="3" t="s">
        <v>6835</v>
      </c>
      <c r="H397" s="3" t="str">
        <f t="shared" si="40"/>
        <v>System.Scheduler</v>
      </c>
      <c r="K397" t="s">
        <v>2046</v>
      </c>
      <c r="M397" s="3" t="s">
        <v>2402</v>
      </c>
      <c r="Q397" t="s">
        <v>92</v>
      </c>
      <c r="U397" t="s">
        <v>93</v>
      </c>
      <c r="AB397" s="7"/>
      <c r="AC397" s="7"/>
      <c r="AD397" s="15"/>
      <c r="AE397" s="7"/>
      <c r="AK397" t="str">
        <f t="shared" si="42"/>
        <v>SELECT (SELECT 'sysScheduler.IsDaily' ColumnName from sysScheduler where IsDaily is null and exists (select from sysScheduler) limit 1) a union all</v>
      </c>
      <c r="AP397" t="e">
        <f t="shared" si="41"/>
        <v>#NAME?</v>
      </c>
    </row>
    <row r="398" spans="1:42">
      <c r="A398">
        <v>21980</v>
      </c>
      <c r="B398" t="s">
        <v>1475</v>
      </c>
      <c r="C398" s="3" t="str">
        <f t="shared" si="38"/>
        <v>sysScheduler.IsEnabled</v>
      </c>
      <c r="D398">
        <v>68</v>
      </c>
      <c r="E398" s="3" t="str">
        <f t="shared" si="39"/>
        <v>sysScheduler</v>
      </c>
      <c r="F398" s="7" t="s">
        <v>2399</v>
      </c>
      <c r="G398" s="3" t="s">
        <v>6836</v>
      </c>
      <c r="H398" s="3" t="str">
        <f t="shared" si="40"/>
        <v>System.Scheduler</v>
      </c>
      <c r="K398" t="s">
        <v>2051</v>
      </c>
      <c r="M398" s="3" t="s">
        <v>2402</v>
      </c>
      <c r="Q398" t="s">
        <v>92</v>
      </c>
      <c r="U398" t="s">
        <v>93</v>
      </c>
      <c r="AB398" s="7"/>
      <c r="AC398" s="7"/>
      <c r="AD398" s="15"/>
      <c r="AE398" s="7"/>
      <c r="AK398" t="str">
        <f t="shared" si="42"/>
        <v>SELECT (SELECT 'sysScheduler.IsEnabled' ColumnName from sysScheduler where IsEnabled is null and exists (select from sysScheduler) limit 1) a union all</v>
      </c>
      <c r="AP398" t="e">
        <f t="shared" si="41"/>
        <v>#NAME?</v>
      </c>
    </row>
    <row r="399" spans="1:42">
      <c r="A399">
        <v>21990</v>
      </c>
      <c r="B399" t="s">
        <v>1475</v>
      </c>
      <c r="C399" s="3" t="str">
        <f t="shared" si="38"/>
        <v>sysScheduler.IsMonthly</v>
      </c>
      <c r="D399">
        <v>68</v>
      </c>
      <c r="E399" s="3" t="str">
        <f t="shared" si="39"/>
        <v>sysScheduler</v>
      </c>
      <c r="F399" s="7" t="s">
        <v>2400</v>
      </c>
      <c r="G399" s="3" t="s">
        <v>6837</v>
      </c>
      <c r="H399" s="3" t="str">
        <f t="shared" si="40"/>
        <v>System.Scheduler</v>
      </c>
      <c r="K399" t="s">
        <v>2048</v>
      </c>
      <c r="M399" s="3" t="s">
        <v>2402</v>
      </c>
      <c r="Q399" t="s">
        <v>92</v>
      </c>
      <c r="U399" t="s">
        <v>93</v>
      </c>
      <c r="V399" s="7"/>
      <c r="W399" s="7"/>
      <c r="X399" s="7"/>
      <c r="Z399" s="7"/>
      <c r="AB399" s="7"/>
      <c r="AC399" s="7"/>
      <c r="AD399" s="15"/>
      <c r="AE399" s="7"/>
      <c r="AK399" t="str">
        <f t="shared" si="42"/>
        <v>SELECT (SELECT 'sysScheduler.IsMonthly' ColumnName from sysScheduler where IsMonthly is null and exists (select from sysScheduler) limit 1) a union all</v>
      </c>
      <c r="AP399" t="e">
        <f t="shared" si="41"/>
        <v>#NAME?</v>
      </c>
    </row>
    <row r="400" spans="1:42">
      <c r="A400">
        <v>22000</v>
      </c>
      <c r="B400" t="s">
        <v>1475</v>
      </c>
      <c r="C400" s="3" t="str">
        <f t="shared" si="38"/>
        <v>sysScheduler.IsWeekly</v>
      </c>
      <c r="D400">
        <v>68</v>
      </c>
      <c r="E400" s="3" t="str">
        <f t="shared" si="39"/>
        <v>sysScheduler</v>
      </c>
      <c r="F400" s="7" t="s">
        <v>2401</v>
      </c>
      <c r="G400" s="3" t="s">
        <v>6838</v>
      </c>
      <c r="H400" s="3" t="str">
        <f t="shared" si="40"/>
        <v>System.Scheduler</v>
      </c>
      <c r="K400" t="s">
        <v>2047</v>
      </c>
      <c r="M400" s="3" t="s">
        <v>2402</v>
      </c>
      <c r="Q400" t="s">
        <v>92</v>
      </c>
      <c r="U400" t="s">
        <v>93</v>
      </c>
      <c r="AB400" s="7"/>
      <c r="AC400" s="7"/>
      <c r="AD400" s="15"/>
      <c r="AE400" s="7"/>
      <c r="AK400" t="str">
        <f t="shared" si="42"/>
        <v>SELECT (SELECT 'sysScheduler.IsWeekly' ColumnName from sysScheduler where IsWeekly is null and exists (select from sysScheduler) limit 1) a union all</v>
      </c>
      <c r="AP400" t="e">
        <f t="shared" si="41"/>
        <v>#NAME?</v>
      </c>
    </row>
    <row r="401" spans="1:42">
      <c r="A401">
        <v>22010</v>
      </c>
      <c r="B401" t="s">
        <v>1475</v>
      </c>
      <c r="C401" s="3" t="str">
        <f t="shared" si="38"/>
        <v>sysScheduler.Months</v>
      </c>
      <c r="D401">
        <v>68</v>
      </c>
      <c r="E401" s="3" t="str">
        <f t="shared" si="39"/>
        <v>sysScheduler</v>
      </c>
      <c r="F401" s="7" t="s">
        <v>2050</v>
      </c>
      <c r="G401" t="s">
        <v>2050</v>
      </c>
      <c r="H401" s="3" t="str">
        <f t="shared" si="40"/>
        <v>System.Scheduler</v>
      </c>
      <c r="K401" t="s">
        <v>2050</v>
      </c>
      <c r="M401" t="s">
        <v>1073</v>
      </c>
      <c r="Q401" t="s">
        <v>92</v>
      </c>
      <c r="U401" t="s">
        <v>93</v>
      </c>
      <c r="V401" s="7"/>
      <c r="W401" s="7"/>
      <c r="X401" s="7"/>
      <c r="Z401" s="7"/>
      <c r="AB401" s="7"/>
      <c r="AC401" s="7"/>
      <c r="AD401" s="15"/>
      <c r="AE401" s="7"/>
      <c r="AK401" t="str">
        <f t="shared" si="42"/>
        <v>SELECT (SELECT 'sysScheduler.Months' ColumnName from sysScheduler where Months is null and exists (select from sysScheduler) limit 1) a union all</v>
      </c>
      <c r="AP401" t="e">
        <f t="shared" si="41"/>
        <v>#NAME?</v>
      </c>
    </row>
    <row r="402" spans="1:42">
      <c r="A402">
        <v>22020</v>
      </c>
      <c r="B402" t="s">
        <v>1475</v>
      </c>
      <c r="C402" s="3" t="str">
        <f t="shared" si="38"/>
        <v>sysScheduler.Name</v>
      </c>
      <c r="D402">
        <v>68</v>
      </c>
      <c r="E402" s="3" t="str">
        <f t="shared" si="39"/>
        <v>sysScheduler</v>
      </c>
      <c r="F402" s="7" t="s">
        <v>22</v>
      </c>
      <c r="G402" s="3" t="s">
        <v>6986</v>
      </c>
      <c r="H402" s="3" t="str">
        <f t="shared" si="40"/>
        <v>System.Scheduler</v>
      </c>
      <c r="K402" t="s">
        <v>22</v>
      </c>
      <c r="M402" t="s">
        <v>1073</v>
      </c>
      <c r="Q402" t="s">
        <v>919</v>
      </c>
      <c r="U402" t="s">
        <v>93</v>
      </c>
      <c r="V402" s="7"/>
      <c r="W402" s="7"/>
      <c r="X402" s="7"/>
      <c r="Z402" s="7"/>
      <c r="AB402" s="7"/>
      <c r="AC402" s="7"/>
      <c r="AD402" s="15"/>
      <c r="AE402" s="7"/>
      <c r="AK402" t="str">
        <f t="shared" si="42"/>
        <v>SELECT (SELECT 'sysScheduler.Name' ColumnName from sysScheduler where Name is null and exists (select from sysScheduler) limit 1) a union all</v>
      </c>
      <c r="AP402" t="e">
        <f t="shared" si="41"/>
        <v>#NAME?</v>
      </c>
    </row>
    <row r="403" spans="1:42">
      <c r="A403">
        <v>22090</v>
      </c>
      <c r="B403" t="s">
        <v>1475</v>
      </c>
      <c r="C403" s="3" t="str">
        <f t="shared" si="38"/>
        <v>sysScheduler.RowStatus</v>
      </c>
      <c r="D403">
        <v>68</v>
      </c>
      <c r="E403" s="3" t="str">
        <f t="shared" si="39"/>
        <v>sysScheduler</v>
      </c>
      <c r="F403" t="s">
        <v>1445</v>
      </c>
      <c r="G403" s="3" t="s">
        <v>6411</v>
      </c>
      <c r="H403" s="3" t="str">
        <f t="shared" si="40"/>
        <v>System.Scheduler</v>
      </c>
      <c r="K403" s="3" t="s">
        <v>2471</v>
      </c>
      <c r="M403" t="s">
        <v>976</v>
      </c>
      <c r="N403">
        <v>1</v>
      </c>
      <c r="Q403" t="s">
        <v>919</v>
      </c>
      <c r="U403" t="s">
        <v>94</v>
      </c>
      <c r="V403" s="7"/>
      <c r="W403" s="7"/>
      <c r="X403" s="7"/>
      <c r="Z403" s="7"/>
      <c r="AC403" s="7"/>
      <c r="AD403" s="15"/>
      <c r="AE403" s="7"/>
      <c r="AK403" t="str">
        <f t="shared" si="42"/>
        <v>SELECT (SELECT 'sysScheduler.RowStatus' ColumnName from sysScheduler where RowStatus is null and exists (select from sysScheduler) limit 1) a union all</v>
      </c>
      <c r="AP403" t="e">
        <f t="shared" si="41"/>
        <v>#NAME?</v>
      </c>
    </row>
    <row r="404" spans="1:42">
      <c r="A404">
        <v>22030</v>
      </c>
      <c r="B404" t="s">
        <v>1475</v>
      </c>
      <c r="C404" s="3" t="str">
        <f t="shared" si="38"/>
        <v>sysScheduler.ScheduledDay</v>
      </c>
      <c r="D404">
        <v>68</v>
      </c>
      <c r="E404" s="3" t="str">
        <f t="shared" si="39"/>
        <v>sysScheduler</v>
      </c>
      <c r="F404" s="7" t="s">
        <v>2036</v>
      </c>
      <c r="G404" t="s">
        <v>2036</v>
      </c>
      <c r="H404" s="3" t="str">
        <f t="shared" si="40"/>
        <v>System.Scheduler</v>
      </c>
      <c r="K404" t="s">
        <v>2037</v>
      </c>
      <c r="M404" t="s">
        <v>195</v>
      </c>
      <c r="Q404" t="s">
        <v>92</v>
      </c>
      <c r="U404" t="s">
        <v>93</v>
      </c>
      <c r="AB404" s="7"/>
      <c r="AC404" s="7"/>
      <c r="AD404" s="15"/>
      <c r="AE404" s="7"/>
      <c r="AK404" t="str">
        <f t="shared" si="42"/>
        <v>SELECT (SELECT 'sysScheduler.ScheduledDay' ColumnName from sysScheduler where ScheduledDay is null and exists (select from sysScheduler) limit 1) a union all</v>
      </c>
      <c r="AP404" t="e">
        <f t="shared" si="41"/>
        <v>#NAME?</v>
      </c>
    </row>
    <row r="405" spans="1:42">
      <c r="A405">
        <v>22040</v>
      </c>
      <c r="B405" t="s">
        <v>1475</v>
      </c>
      <c r="C405" s="3" t="str">
        <f t="shared" si="38"/>
        <v>sysScheduler.ScheduledHour</v>
      </c>
      <c r="D405">
        <v>68</v>
      </c>
      <c r="E405" s="3" t="str">
        <f t="shared" si="39"/>
        <v>sysScheduler</v>
      </c>
      <c r="F405" s="7" t="s">
        <v>2040</v>
      </c>
      <c r="G405" t="s">
        <v>2040</v>
      </c>
      <c r="H405" s="3" t="str">
        <f t="shared" si="40"/>
        <v>System.Scheduler</v>
      </c>
      <c r="K405" t="s">
        <v>2041</v>
      </c>
      <c r="M405" t="s">
        <v>195</v>
      </c>
      <c r="Q405" t="s">
        <v>92</v>
      </c>
      <c r="U405" t="s">
        <v>93</v>
      </c>
      <c r="AB405" s="7"/>
      <c r="AC405" s="7"/>
      <c r="AD405" s="15"/>
      <c r="AE405" s="7"/>
      <c r="AJ405" t="str">
        <f>"SELECT (SELECT '"&amp;C405&amp;"' ColumnName from "&amp;E405&amp;" where "&amp;F405&amp;" is null and exists (select from "&amp;E405&amp;") limit 1) ColumnName union all"</f>
        <v>SELECT (SELECT 'sysScheduler.ScheduledHour' ColumnName from sysScheduler where ScheduledHour is null and exists (select from sysScheduler) limit 1) ColumnName union all</v>
      </c>
      <c r="AL405" t="str">
        <f>"ALTER TABLE "&amp;E405&amp;" ALTER COLUMN "&amp;F405&amp;" DROP NOT NULL"</f>
        <v>ALTER TABLE sysScheduler ALTER COLUMN ScheduledHour DROP NOT NULL</v>
      </c>
      <c r="AP405" t="e">
        <f t="shared" si="41"/>
        <v>#NAME?</v>
      </c>
    </row>
    <row r="406" spans="1:42">
      <c r="A406">
        <v>22050</v>
      </c>
      <c r="B406" t="s">
        <v>1475</v>
      </c>
      <c r="C406" s="3" t="str">
        <f t="shared" si="38"/>
        <v>sysScheduler.ScheduledMinute</v>
      </c>
      <c r="D406">
        <v>68</v>
      </c>
      <c r="E406" s="3" t="str">
        <f t="shared" si="39"/>
        <v>sysScheduler</v>
      </c>
      <c r="F406" s="7" t="s">
        <v>2042</v>
      </c>
      <c r="G406" t="s">
        <v>2042</v>
      </c>
      <c r="H406" s="3" t="str">
        <f t="shared" si="40"/>
        <v>System.Scheduler</v>
      </c>
      <c r="K406" t="s">
        <v>2043</v>
      </c>
      <c r="M406" t="s">
        <v>195</v>
      </c>
      <c r="Q406" t="s">
        <v>92</v>
      </c>
      <c r="U406" t="s">
        <v>93</v>
      </c>
      <c r="AB406" s="7"/>
      <c r="AC406" s="7"/>
      <c r="AD406" s="15"/>
      <c r="AE406" s="7"/>
      <c r="AK406" t="str">
        <f t="shared" ref="AK406:AK411" si="43">"SELECT (SELECT '"&amp;C406&amp;"' ColumnName from "&amp;E406&amp;" where "&amp;F406&amp;" is null and exists (select from "&amp;E406&amp;") limit 1) a union all"</f>
        <v>SELECT (SELECT 'sysScheduler.ScheduledMinute' ColumnName from sysScheduler where ScheduledMinute is null and exists (select from sysScheduler) limit 1) a union all</v>
      </c>
      <c r="AP406" t="e">
        <f t="shared" si="41"/>
        <v>#NAME?</v>
      </c>
    </row>
    <row r="407" spans="1:42">
      <c r="A407">
        <v>22060</v>
      </c>
      <c r="B407" t="s">
        <v>1475</v>
      </c>
      <c r="C407" s="3" t="str">
        <f t="shared" si="38"/>
        <v>sysScheduler.ScheduledMonth</v>
      </c>
      <c r="D407">
        <v>68</v>
      </c>
      <c r="E407" s="3" t="str">
        <f t="shared" si="39"/>
        <v>sysScheduler</v>
      </c>
      <c r="F407" s="7" t="s">
        <v>2034</v>
      </c>
      <c r="G407" t="s">
        <v>2034</v>
      </c>
      <c r="H407" s="3" t="str">
        <f t="shared" si="40"/>
        <v>System.Scheduler</v>
      </c>
      <c r="K407" t="s">
        <v>2035</v>
      </c>
      <c r="M407" t="s">
        <v>195</v>
      </c>
      <c r="Q407" t="s">
        <v>92</v>
      </c>
      <c r="U407" t="s">
        <v>93</v>
      </c>
      <c r="AB407" s="7"/>
      <c r="AC407" s="7"/>
      <c r="AD407" s="15"/>
      <c r="AE407" s="7"/>
      <c r="AK407" t="str">
        <f t="shared" si="43"/>
        <v>SELECT (SELECT 'sysScheduler.ScheduledMonth' ColumnName from sysScheduler where ScheduledMonth is null and exists (select from sysScheduler) limit 1) a union all</v>
      </c>
      <c r="AP407" t="e">
        <f t="shared" si="41"/>
        <v>#NAME?</v>
      </c>
    </row>
    <row r="408" spans="1:42">
      <c r="A408">
        <v>22070</v>
      </c>
      <c r="B408" t="s">
        <v>1475</v>
      </c>
      <c r="C408" s="3" t="str">
        <f t="shared" si="38"/>
        <v>sysScheduler.ScheduledSecond</v>
      </c>
      <c r="D408">
        <v>68</v>
      </c>
      <c r="E408" s="3" t="str">
        <f t="shared" si="39"/>
        <v>sysScheduler</v>
      </c>
      <c r="F408" s="7" t="s">
        <v>2044</v>
      </c>
      <c r="G408" t="s">
        <v>2044</v>
      </c>
      <c r="H408" s="3" t="str">
        <f t="shared" si="40"/>
        <v>System.Scheduler</v>
      </c>
      <c r="K408" t="s">
        <v>2045</v>
      </c>
      <c r="M408" t="s">
        <v>195</v>
      </c>
      <c r="Q408" t="s">
        <v>92</v>
      </c>
      <c r="U408" t="s">
        <v>93</v>
      </c>
      <c r="AB408" s="7"/>
      <c r="AC408" s="7"/>
      <c r="AD408" s="15"/>
      <c r="AE408" s="7"/>
      <c r="AK408" t="str">
        <f t="shared" si="43"/>
        <v>SELECT (SELECT 'sysScheduler.ScheduledSecond' ColumnName from sysScheduler where ScheduledSecond is null and exists (select from sysScheduler) limit 1) a union all</v>
      </c>
      <c r="AP408" t="e">
        <f t="shared" si="41"/>
        <v>#NAME?</v>
      </c>
    </row>
    <row r="409" spans="1:42">
      <c r="A409">
        <v>22080</v>
      </c>
      <c r="B409" t="s">
        <v>1475</v>
      </c>
      <c r="C409" s="3" t="str">
        <f t="shared" si="38"/>
        <v>sysScheduler.ScheduledYear</v>
      </c>
      <c r="D409">
        <v>68</v>
      </c>
      <c r="E409" s="3" t="str">
        <f t="shared" si="39"/>
        <v>sysScheduler</v>
      </c>
      <c r="F409" s="7" t="s">
        <v>2038</v>
      </c>
      <c r="G409" t="s">
        <v>2038</v>
      </c>
      <c r="H409" s="3" t="str">
        <f t="shared" si="40"/>
        <v>System.Scheduler</v>
      </c>
      <c r="K409" t="s">
        <v>2039</v>
      </c>
      <c r="M409" t="s">
        <v>195</v>
      </c>
      <c r="Q409" t="s">
        <v>92</v>
      </c>
      <c r="U409" t="s">
        <v>93</v>
      </c>
      <c r="AB409" s="7"/>
      <c r="AC409" s="7"/>
      <c r="AD409" s="15"/>
      <c r="AE409" s="7"/>
      <c r="AK409" t="str">
        <f t="shared" si="43"/>
        <v>SELECT (SELECT 'sysScheduler.ScheduledYear' ColumnName from sysScheduler where ScheduledYear is null and exists (select from sysScheduler) limit 1) a union all</v>
      </c>
      <c r="AP409" t="e">
        <f t="shared" si="41"/>
        <v>#NAME?</v>
      </c>
    </row>
    <row r="410" spans="1:42">
      <c r="A410">
        <v>22100</v>
      </c>
      <c r="B410" t="s">
        <v>1475</v>
      </c>
      <c r="C410" s="3" t="str">
        <f t="shared" si="38"/>
        <v>sysScheduler.sysChangeHistoryID</v>
      </c>
      <c r="D410">
        <v>68</v>
      </c>
      <c r="E410" s="3" t="str">
        <f t="shared" si="39"/>
        <v>sysScheduler</v>
      </c>
      <c r="F410" t="s">
        <v>2497</v>
      </c>
      <c r="G410" s="3" t="s">
        <v>6403</v>
      </c>
      <c r="H410" s="3" t="str">
        <f t="shared" si="40"/>
        <v>System.Scheduler</v>
      </c>
      <c r="K410" t="s">
        <v>1210</v>
      </c>
      <c r="M410" t="s">
        <v>6007</v>
      </c>
      <c r="Q410" t="s">
        <v>92</v>
      </c>
      <c r="U410" t="s">
        <v>1429</v>
      </c>
      <c r="AC410" s="7"/>
      <c r="AD410" s="15"/>
      <c r="AE410" s="7"/>
      <c r="AK410" t="str">
        <f t="shared" si="43"/>
        <v>SELECT (SELECT 'sysScheduler.sysChangeHistoryID' ColumnName from sysScheduler where sysChangeHistoryID is null and exists (select from sysScheduler) limit 1) a union all</v>
      </c>
      <c r="AP410" t="e">
        <f t="shared" si="41"/>
        <v>#NAME?</v>
      </c>
    </row>
    <row r="411" spans="1:42">
      <c r="A411">
        <v>21910</v>
      </c>
      <c r="B411" t="s">
        <v>1475</v>
      </c>
      <c r="C411" s="3" t="str">
        <f t="shared" si="38"/>
        <v>sysScheduler.sysSchedulerTypeID</v>
      </c>
      <c r="D411">
        <v>68</v>
      </c>
      <c r="E411" s="3" t="str">
        <f t="shared" si="39"/>
        <v>sysScheduler</v>
      </c>
      <c r="F411" t="str">
        <f>VLOOKUP(V411,SystemTableId,3,FALSE)&amp;"ID"&amp;X411</f>
        <v>sysSchedulerTypeID</v>
      </c>
      <c r="G411" t="s">
        <v>2032</v>
      </c>
      <c r="H411" s="3" t="str">
        <f t="shared" si="40"/>
        <v>System.Scheduler</v>
      </c>
      <c r="K411" t="s">
        <v>2033</v>
      </c>
      <c r="M411" t="s">
        <v>6007</v>
      </c>
      <c r="Q411" t="s">
        <v>919</v>
      </c>
      <c r="U411" t="s">
        <v>96</v>
      </c>
      <c r="V411">
        <v>70</v>
      </c>
      <c r="W411" s="3" t="str">
        <f>VLOOKUP(V411,SystemTableId,3,FALSE)</f>
        <v>sysSchedulerType</v>
      </c>
      <c r="AB411" s="7"/>
      <c r="AC411" s="7"/>
      <c r="AD411" s="15"/>
      <c r="AE411" s="7"/>
      <c r="AK411" t="str">
        <f t="shared" si="43"/>
        <v>SELECT (SELECT 'sysScheduler.sysSchedulerTypeID' ColumnName from sysScheduler where sysSchedulerTypeID is null and exists (select from sysScheduler) limit 1) a union all</v>
      </c>
      <c r="AP411" t="e">
        <f t="shared" si="41"/>
        <v>#NAME?</v>
      </c>
    </row>
    <row r="412" spans="1:42">
      <c r="A412">
        <v>22110</v>
      </c>
      <c r="B412" t="s">
        <v>1475</v>
      </c>
      <c r="C412" s="3" t="str">
        <f t="shared" si="38"/>
        <v>sysSchedulerType.Id</v>
      </c>
      <c r="D412">
        <v>70</v>
      </c>
      <c r="E412" s="3" t="str">
        <f t="shared" si="39"/>
        <v>sysSchedulerType</v>
      </c>
      <c r="F412" t="s">
        <v>1539</v>
      </c>
      <c r="G412" s="3" t="s">
        <v>6839</v>
      </c>
      <c r="H412" s="3" t="str">
        <f t="shared" si="40"/>
        <v>System.SchedulerType</v>
      </c>
      <c r="K412" t="s">
        <v>1539</v>
      </c>
      <c r="M412" t="s">
        <v>6007</v>
      </c>
      <c r="Q412" t="s">
        <v>919</v>
      </c>
      <c r="U412" t="s">
        <v>95</v>
      </c>
      <c r="V412" s="7"/>
      <c r="W412" s="7"/>
      <c r="X412" s="7"/>
      <c r="Z412" s="7"/>
      <c r="AC412" s="7"/>
      <c r="AD412" s="15"/>
      <c r="AE412" s="7"/>
      <c r="AJ412" t="str">
        <f>"SELECT (SELECT '"&amp;C412&amp;"' ColumnName from "&amp;E412&amp;" where "&amp;F412&amp;" is null and exists (select from "&amp;E412&amp;") limit 1) ColumnName union all"</f>
        <v>SELECT (SELECT 'sysSchedulerType.Id' ColumnName from sysSchedulerType where Id is null and exists (select from sysSchedulerType) limit 1) ColumnName union all</v>
      </c>
      <c r="AL412" t="str">
        <f>"ALTER TABLE "&amp;E412&amp;" ALTER COLUMN "&amp;F412&amp;" DROP NOT NULL"</f>
        <v>ALTER TABLE sysSchedulerType ALTER COLUMN Id DROP NOT NULL</v>
      </c>
      <c r="AP412" t="e">
        <f t="shared" si="41"/>
        <v>#NAME?</v>
      </c>
    </row>
    <row r="413" spans="1:42">
      <c r="A413">
        <v>22120</v>
      </c>
      <c r="B413" t="s">
        <v>1475</v>
      </c>
      <c r="C413" s="3" t="str">
        <f t="shared" si="38"/>
        <v>sysSchedulerType.Name</v>
      </c>
      <c r="D413">
        <v>70</v>
      </c>
      <c r="E413" s="3" t="str">
        <f t="shared" si="39"/>
        <v>sysSchedulerType</v>
      </c>
      <c r="F413" s="7" t="s">
        <v>22</v>
      </c>
      <c r="G413" s="3" t="s">
        <v>6987</v>
      </c>
      <c r="H413" s="3" t="str">
        <f t="shared" si="40"/>
        <v>System.SchedulerType</v>
      </c>
      <c r="K413" t="s">
        <v>22</v>
      </c>
      <c r="M413" t="s">
        <v>1073</v>
      </c>
      <c r="Q413" t="s">
        <v>919</v>
      </c>
      <c r="U413" t="s">
        <v>93</v>
      </c>
      <c r="V413" s="7"/>
      <c r="W413" s="7"/>
      <c r="X413" s="7"/>
      <c r="Z413" s="7"/>
      <c r="AC413" s="7"/>
      <c r="AD413" s="15"/>
      <c r="AE413" s="7"/>
      <c r="AK413" t="str">
        <f>"SELECT (SELECT '"&amp;C413&amp;"' ColumnName from "&amp;E413&amp;" where "&amp;F413&amp;" is null and exists (select from "&amp;E413&amp;") limit 1) a union all"</f>
        <v>SELECT (SELECT 'sysSchedulerType.Name' ColumnName from sysSchedulerType where Name is null and exists (select from sysSchedulerType) limit 1) a union all</v>
      </c>
      <c r="AP413" t="e">
        <f t="shared" si="41"/>
        <v>#NAME?</v>
      </c>
    </row>
    <row r="414" spans="1:42">
      <c r="A414">
        <v>22130</v>
      </c>
      <c r="B414" t="s">
        <v>1475</v>
      </c>
      <c r="C414" s="3" t="str">
        <f t="shared" si="38"/>
        <v>sysSchedulerType.sysChangeHistoryID</v>
      </c>
      <c r="D414" s="7">
        <v>70</v>
      </c>
      <c r="E414" s="3" t="str">
        <f t="shared" si="39"/>
        <v>sysSchedulerType</v>
      </c>
      <c r="F414" t="s">
        <v>2497</v>
      </c>
      <c r="G414" s="3" t="s">
        <v>6403</v>
      </c>
      <c r="H414" s="3" t="str">
        <f t="shared" si="40"/>
        <v>System.SchedulerType</v>
      </c>
      <c r="K414" t="s">
        <v>1210</v>
      </c>
      <c r="M414" t="s">
        <v>6007</v>
      </c>
      <c r="N414" s="7"/>
      <c r="O414" s="7"/>
      <c r="P414" s="7"/>
      <c r="Q414" t="s">
        <v>919</v>
      </c>
      <c r="R414" s="7"/>
      <c r="S414" s="7"/>
      <c r="T414" s="8"/>
      <c r="U414" t="s">
        <v>1429</v>
      </c>
      <c r="AJ414" t="str">
        <f>"SELECT (SELECT '"&amp;C414&amp;"' ColumnName from "&amp;E414&amp;" where "&amp;F414&amp;" is null and exists (select from "&amp;E414&amp;") limit 1) ColumnName union all"</f>
        <v>SELECT (SELECT 'sysSchedulerType.sysChangeHistoryID' ColumnName from sysSchedulerType where sysChangeHistoryID is null and exists (select from sysSchedulerType) limit 1) ColumnName union all</v>
      </c>
      <c r="AL414" t="str">
        <f>"ALTER TABLE "&amp;E414&amp;" ALTER COLUMN "&amp;F414&amp;" DROP NOT NULL"</f>
        <v>ALTER TABLE sysSchedulerType ALTER COLUMN sysChangeHistoryID DROP NOT NULL</v>
      </c>
      <c r="AP414" t="e">
        <f t="shared" si="41"/>
        <v>#NAME?</v>
      </c>
    </row>
    <row r="415" spans="1:42" ht="15" customHeight="1">
      <c r="A415">
        <v>22150</v>
      </c>
      <c r="B415" t="s">
        <v>1475</v>
      </c>
      <c r="C415" s="3" t="str">
        <f t="shared" si="38"/>
        <v>sysSecurityGroup.Description</v>
      </c>
      <c r="D415">
        <v>72</v>
      </c>
      <c r="E415" s="3" t="str">
        <f t="shared" si="39"/>
        <v>sysSecurityGroup</v>
      </c>
      <c r="F415" t="s">
        <v>12</v>
      </c>
      <c r="G415" s="3" t="s">
        <v>6423</v>
      </c>
      <c r="H415" s="3" t="str">
        <f t="shared" si="40"/>
        <v>system.SecurityGroup</v>
      </c>
      <c r="J415" s="3"/>
      <c r="K415" t="s">
        <v>12</v>
      </c>
      <c r="M415" t="s">
        <v>196</v>
      </c>
      <c r="Q415" t="s">
        <v>92</v>
      </c>
      <c r="T415" s="3"/>
      <c r="U415" t="s">
        <v>93</v>
      </c>
      <c r="AH415" t="s">
        <v>92</v>
      </c>
      <c r="AJ415" t="str">
        <f>"SELECT (SELECT '"&amp;C415&amp;"' ColumnName from "&amp;E415&amp;" where "&amp;F415&amp;" is null and exists (select from "&amp;E415&amp;") limit 1) ColumnName union all"</f>
        <v>SELECT (SELECT 'sysSecurityGroup.Description' ColumnName from sysSecurityGroup where Description is null and exists (select from sysSecurityGroup) limit 1) ColumnName union all</v>
      </c>
      <c r="AL415" t="str">
        <f>"ALTER TABLE "&amp;E415&amp;" ALTER COLUMN "&amp;F415&amp;" DROP NOT NULL"</f>
        <v>ALTER TABLE sysSecurityGroup ALTER COLUMN Description DROP NOT NULL</v>
      </c>
      <c r="AP415" t="e">
        <f t="shared" si="41"/>
        <v>#NAME?</v>
      </c>
    </row>
    <row r="416" spans="1:42" ht="15" customHeight="1">
      <c r="A416">
        <v>22140</v>
      </c>
      <c r="B416" t="s">
        <v>1475</v>
      </c>
      <c r="C416" s="3" t="str">
        <f t="shared" si="38"/>
        <v>sysSecurityGroup.ID</v>
      </c>
      <c r="D416">
        <v>72</v>
      </c>
      <c r="E416" s="3" t="str">
        <f t="shared" si="39"/>
        <v>sysSecurityGroup</v>
      </c>
      <c r="F416" t="s">
        <v>0</v>
      </c>
      <c r="G416" s="3" t="s">
        <v>6840</v>
      </c>
      <c r="H416" s="3" t="str">
        <f t="shared" si="40"/>
        <v>system.SecurityGroup</v>
      </c>
      <c r="J416" s="3"/>
      <c r="K416" t="s">
        <v>1194</v>
      </c>
      <c r="M416" t="s">
        <v>6007</v>
      </c>
      <c r="Q416" s="3" t="s">
        <v>919</v>
      </c>
      <c r="T416" s="3"/>
      <c r="U416" s="3" t="s">
        <v>95</v>
      </c>
      <c r="AC416" t="s">
        <v>92</v>
      </c>
      <c r="AJ416" t="str">
        <f>"SELECT (SELECT '"&amp;C416&amp;"' ColumnName from "&amp;E416&amp;" where "&amp;F416&amp;" is null and exists (select from "&amp;E416&amp;") limit 1) ColumnName union all"</f>
        <v>SELECT (SELECT 'sysSecurityGroup.ID' ColumnName from sysSecurityGroup where ID is null and exists (select from sysSecurityGroup) limit 1) ColumnName union all</v>
      </c>
      <c r="AL416" t="str">
        <f>"ALTER TABLE "&amp;E416&amp;" ALTER COLUMN "&amp;F416&amp;" DROP NOT NULL"</f>
        <v>ALTER TABLE sysSecurityGroup ALTER COLUMN ID DROP NOT NULL</v>
      </c>
      <c r="AP416" t="e">
        <f t="shared" si="41"/>
        <v>#NAME?</v>
      </c>
    </row>
    <row r="417" spans="1:42" ht="15" customHeight="1">
      <c r="A417">
        <v>22160</v>
      </c>
      <c r="B417" t="s">
        <v>1475</v>
      </c>
      <c r="C417" s="3" t="str">
        <f t="shared" si="38"/>
        <v>sysSecurityGroup.Name</v>
      </c>
      <c r="D417">
        <v>72</v>
      </c>
      <c r="E417" s="3" t="str">
        <f t="shared" si="39"/>
        <v>sysSecurityGroup</v>
      </c>
      <c r="F417" t="s">
        <v>22</v>
      </c>
      <c r="G417" s="3" t="s">
        <v>6988</v>
      </c>
      <c r="H417" s="3" t="str">
        <f t="shared" si="40"/>
        <v>system.SecurityGroup</v>
      </c>
      <c r="J417" s="3"/>
      <c r="K417" t="s">
        <v>22</v>
      </c>
      <c r="M417" t="s">
        <v>196</v>
      </c>
      <c r="N417" s="3"/>
      <c r="Q417" t="s">
        <v>92</v>
      </c>
      <c r="T417" s="3"/>
      <c r="U417" t="s">
        <v>93</v>
      </c>
      <c r="AH417" t="s">
        <v>92</v>
      </c>
      <c r="AJ417" t="str">
        <f>"SELECT (SELECT '"&amp;C417&amp;"' ColumnName from "&amp;E417&amp;" where "&amp;F417&amp;" is null and exists (select from "&amp;E417&amp;") limit 1) ColumnName union all"</f>
        <v>SELECT (SELECT 'sysSecurityGroup.Name' ColumnName from sysSecurityGroup where Name is null and exists (select from sysSecurityGroup) limit 1) ColumnName union all</v>
      </c>
      <c r="AL417" t="str">
        <f>"ALTER TABLE "&amp;E417&amp;" ALTER COLUMN "&amp;F417&amp;" DROP NOT NULL"</f>
        <v>ALTER TABLE sysSecurityGroup ALTER COLUMN Name DROP NOT NULL</v>
      </c>
      <c r="AP417" t="e">
        <f t="shared" si="41"/>
        <v>#NAME?</v>
      </c>
    </row>
    <row r="418" spans="1:42" ht="15" customHeight="1">
      <c r="A418">
        <v>22170</v>
      </c>
      <c r="B418" t="s">
        <v>1475</v>
      </c>
      <c r="C418" s="3" t="str">
        <f t="shared" si="38"/>
        <v>sysSecurityGroup.RowStatus</v>
      </c>
      <c r="D418">
        <v>72</v>
      </c>
      <c r="E418" s="3" t="str">
        <f t="shared" si="39"/>
        <v>sysSecurityGroup</v>
      </c>
      <c r="F418" t="s">
        <v>1445</v>
      </c>
      <c r="G418" s="3" t="s">
        <v>6411</v>
      </c>
      <c r="H418" s="3" t="str">
        <f t="shared" si="40"/>
        <v>system.SecurityGroup</v>
      </c>
      <c r="J418" s="3"/>
      <c r="K418" s="3" t="s">
        <v>2471</v>
      </c>
      <c r="M418" t="s">
        <v>976</v>
      </c>
      <c r="N418">
        <v>1</v>
      </c>
      <c r="Q418" t="s">
        <v>919</v>
      </c>
      <c r="S418" s="14"/>
      <c r="T418" s="3"/>
      <c r="U418" t="s">
        <v>94</v>
      </c>
      <c r="AK418" t="str">
        <f>"SELECT (SELECT '"&amp;C418&amp;"' ColumnName from "&amp;E418&amp;" where "&amp;F418&amp;" is null and exists (select from "&amp;E418&amp;") limit 1) a union all"</f>
        <v>SELECT (SELECT 'sysSecurityGroup.RowStatus' ColumnName from sysSecurityGroup where RowStatus is null and exists (select from sysSecurityGroup) limit 1) a union all</v>
      </c>
      <c r="AP418" t="e">
        <f t="shared" si="41"/>
        <v>#NAME?</v>
      </c>
    </row>
    <row r="419" spans="1:42" ht="15" customHeight="1">
      <c r="A419">
        <v>22180</v>
      </c>
      <c r="B419" t="s">
        <v>1475</v>
      </c>
      <c r="C419" s="3" t="str">
        <f t="shared" si="38"/>
        <v>sysSecurityGroup.sysChangeHistoryID</v>
      </c>
      <c r="D419">
        <v>72</v>
      </c>
      <c r="E419" s="3" t="str">
        <f t="shared" si="39"/>
        <v>sysSecurityGroup</v>
      </c>
      <c r="F419" t="s">
        <v>2497</v>
      </c>
      <c r="G419" s="3" t="s">
        <v>6403</v>
      </c>
      <c r="H419" s="3" t="str">
        <f t="shared" si="40"/>
        <v>system.SecurityGroup</v>
      </c>
      <c r="J419" s="3"/>
      <c r="K419" t="s">
        <v>1210</v>
      </c>
      <c r="M419" t="s">
        <v>6007</v>
      </c>
      <c r="Q419" t="s">
        <v>92</v>
      </c>
      <c r="T419" s="3"/>
      <c r="U419" t="s">
        <v>1429</v>
      </c>
      <c r="W419" s="3"/>
      <c r="X419" s="3"/>
      <c r="AK419" t="str">
        <f>"SELECT (SELECT '"&amp;C419&amp;"' ColumnName from "&amp;E419&amp;" where "&amp;F419&amp;" is null and exists (select from "&amp;E419&amp;") limit 1) a union all"</f>
        <v>SELECT (SELECT 'sysSecurityGroup.sysChangeHistoryID' ColumnName from sysSecurityGroup where sysChangeHistoryID is null and exists (select from sysSecurityGroup) limit 1) a union all</v>
      </c>
      <c r="AP419" t="e">
        <f t="shared" si="41"/>
        <v>#NAME?</v>
      </c>
    </row>
    <row r="420" spans="1:42" ht="15" customHeight="1">
      <c r="A420">
        <v>22190</v>
      </c>
      <c r="B420" t="s">
        <v>1475</v>
      </c>
      <c r="C420" s="3" t="str">
        <f t="shared" si="38"/>
        <v>sysSecurityGroupCommand.ID</v>
      </c>
      <c r="D420">
        <v>74</v>
      </c>
      <c r="E420" s="3" t="str">
        <f t="shared" si="39"/>
        <v>sysSecurityGroupCommand</v>
      </c>
      <c r="F420" t="s">
        <v>0</v>
      </c>
      <c r="G420" s="3" t="s">
        <v>6841</v>
      </c>
      <c r="H420" s="3" t="str">
        <f t="shared" si="40"/>
        <v>system.SecurityGroupCommand</v>
      </c>
      <c r="J420" s="3"/>
      <c r="K420" t="s">
        <v>1195</v>
      </c>
      <c r="M420" t="s">
        <v>6007</v>
      </c>
      <c r="Q420" s="3" t="s">
        <v>919</v>
      </c>
      <c r="T420" s="3"/>
      <c r="U420" s="3" t="s">
        <v>95</v>
      </c>
      <c r="AC420" t="s">
        <v>92</v>
      </c>
      <c r="AJ420" t="str">
        <f>"SELECT (SELECT '"&amp;C420&amp;"' ColumnName from "&amp;E420&amp;" where "&amp;F420&amp;" is null and exists (select from "&amp;E420&amp;") limit 1) ColumnName union all"</f>
        <v>SELECT (SELECT 'sysSecurityGroupCommand.ID' ColumnName from sysSecurityGroupCommand where ID is null and exists (select from sysSecurityGroupCommand) limit 1) ColumnName union all</v>
      </c>
      <c r="AL420" t="str">
        <f>"ALTER TABLE "&amp;E420&amp;" ALTER COLUMN "&amp;F420&amp;" DROP NOT NULL"</f>
        <v>ALTER TABLE sysSecurityGroupCommand ALTER COLUMN ID DROP NOT NULL</v>
      </c>
      <c r="AP420" t="e">
        <f t="shared" si="41"/>
        <v>#NAME?</v>
      </c>
    </row>
    <row r="421" spans="1:42" ht="15" customHeight="1">
      <c r="A421">
        <v>22220</v>
      </c>
      <c r="B421" t="s">
        <v>1475</v>
      </c>
      <c r="C421" s="3" t="str">
        <f t="shared" si="38"/>
        <v>sysSecurityGroupCommand.RowStatus</v>
      </c>
      <c r="D421">
        <v>74</v>
      </c>
      <c r="E421" s="3" t="str">
        <f t="shared" si="39"/>
        <v>sysSecurityGroupCommand</v>
      </c>
      <c r="F421" t="s">
        <v>1445</v>
      </c>
      <c r="G421" s="3" t="s">
        <v>6411</v>
      </c>
      <c r="H421" s="3" t="str">
        <f t="shared" si="40"/>
        <v>system.SecurityGroupCommand</v>
      </c>
      <c r="J421" s="3"/>
      <c r="K421" s="3" t="s">
        <v>2471</v>
      </c>
      <c r="M421" t="s">
        <v>976</v>
      </c>
      <c r="N421">
        <v>1</v>
      </c>
      <c r="Q421" t="s">
        <v>919</v>
      </c>
      <c r="S421" s="14"/>
      <c r="T421" s="3"/>
      <c r="U421" t="s">
        <v>94</v>
      </c>
      <c r="AK421" t="str">
        <f>"SELECT (SELECT '"&amp;C421&amp;"' ColumnName from "&amp;E421&amp;" where "&amp;F421&amp;" is null and exists (select from "&amp;E421&amp;") limit 1) a union all"</f>
        <v>SELECT (SELECT 'sysSecurityGroupCommand.RowStatus' ColumnName from sysSecurityGroupCommand where RowStatus is null and exists (select from sysSecurityGroupCommand) limit 1) a union all</v>
      </c>
      <c r="AP421" t="e">
        <f t="shared" si="41"/>
        <v>#NAME?</v>
      </c>
    </row>
    <row r="422" spans="1:42" ht="15" customHeight="1">
      <c r="A422">
        <v>22230</v>
      </c>
      <c r="B422" t="s">
        <v>1475</v>
      </c>
      <c r="C422" s="3" t="str">
        <f t="shared" si="38"/>
        <v>sysSecurityGroupCommand.sysChangeHistoryID</v>
      </c>
      <c r="D422">
        <v>74</v>
      </c>
      <c r="E422" s="3" t="str">
        <f t="shared" si="39"/>
        <v>sysSecurityGroupCommand</v>
      </c>
      <c r="F422" t="s">
        <v>2497</v>
      </c>
      <c r="G422" s="3" t="s">
        <v>6403</v>
      </c>
      <c r="H422" s="3" t="str">
        <f t="shared" si="40"/>
        <v>system.SecurityGroupCommand</v>
      </c>
      <c r="J422" s="3"/>
      <c r="K422" t="s">
        <v>1210</v>
      </c>
      <c r="M422" t="s">
        <v>6007</v>
      </c>
      <c r="Q422" t="s">
        <v>92</v>
      </c>
      <c r="T422" s="3"/>
      <c r="U422" t="s">
        <v>1429</v>
      </c>
      <c r="W422" s="3"/>
      <c r="X422" s="3"/>
      <c r="AJ422" t="str">
        <f>"SELECT (SELECT '"&amp;C422&amp;"' ColumnName from "&amp;E422&amp;" where "&amp;F422&amp;" is null and exists (select from "&amp;E422&amp;") limit 1) ColumnName union all"</f>
        <v>SELECT (SELECT 'sysSecurityGroupCommand.sysChangeHistoryID' ColumnName from sysSecurityGroupCommand where sysChangeHistoryID is null and exists (select from sysSecurityGroupCommand) limit 1) ColumnName union all</v>
      </c>
      <c r="AL422" t="str">
        <f>"ALTER TABLE "&amp;E422&amp;" ALTER COLUMN "&amp;F422&amp;" DROP NOT NULL"</f>
        <v>ALTER TABLE sysSecurityGroupCommand ALTER COLUMN sysChangeHistoryID DROP NOT NULL</v>
      </c>
      <c r="AP422" t="e">
        <f t="shared" si="41"/>
        <v>#NAME?</v>
      </c>
    </row>
    <row r="423" spans="1:42" ht="15" customHeight="1">
      <c r="A423">
        <v>22200</v>
      </c>
      <c r="B423" t="s">
        <v>1475</v>
      </c>
      <c r="C423" s="3" t="str">
        <f t="shared" si="38"/>
        <v>sysSecurityGroupCommand.sysCommandID</v>
      </c>
      <c r="D423">
        <v>74</v>
      </c>
      <c r="E423" s="3" t="str">
        <f t="shared" si="39"/>
        <v>sysSecurityGroupCommand</v>
      </c>
      <c r="F423" t="str">
        <f>VLOOKUP(V423,SystemTableId,3,FALSE)&amp;"ID"&amp;X423</f>
        <v>sysCommandID</v>
      </c>
      <c r="G423" s="3" t="s">
        <v>6533</v>
      </c>
      <c r="H423" s="3" t="str">
        <f t="shared" si="40"/>
        <v>system.SecurityGroupCommand</v>
      </c>
      <c r="J423" s="3"/>
      <c r="K423" t="s">
        <v>35</v>
      </c>
      <c r="M423" t="s">
        <v>6007</v>
      </c>
      <c r="Q423" t="s">
        <v>919</v>
      </c>
      <c r="T423" s="3"/>
      <c r="U423" t="s">
        <v>96</v>
      </c>
      <c r="V423">
        <v>13</v>
      </c>
      <c r="W423" s="3" t="str">
        <f>VLOOKUP(V423,SystemTableId,3,FALSE)</f>
        <v>sysCommand</v>
      </c>
      <c r="X423" s="3" t="s">
        <v>1036</v>
      </c>
      <c r="AJ423" t="str">
        <f>"SELECT (SELECT '"&amp;C423&amp;"' ColumnName from "&amp;E423&amp;" where "&amp;F423&amp;" is null and exists (select from "&amp;E423&amp;") limit 1) ColumnName union all"</f>
        <v>SELECT (SELECT 'sysSecurityGroupCommand.sysCommandID' ColumnName from sysSecurityGroupCommand where sysCommandID is null and exists (select from sysSecurityGroupCommand) limit 1) ColumnName union all</v>
      </c>
      <c r="AL423" t="str">
        <f>"ALTER TABLE "&amp;E423&amp;" ALTER COLUMN "&amp;F423&amp;" DROP NOT NULL"</f>
        <v>ALTER TABLE sysSecurityGroupCommand ALTER COLUMN sysCommandID DROP NOT NULL</v>
      </c>
      <c r="AO423" t="str">
        <f>SUBSTITUTE(VLOOKUP(V423,DictionaryTableID,16,FALSE)&amp;"ID",".","")</f>
        <v>SystemCommandID</v>
      </c>
      <c r="AP423" t="e">
        <f t="shared" si="41"/>
        <v>#NAME?</v>
      </c>
    </row>
    <row r="424" spans="1:42" ht="15" customHeight="1">
      <c r="A424">
        <v>22210</v>
      </c>
      <c r="B424" t="s">
        <v>1475</v>
      </c>
      <c r="C424" s="3" t="str">
        <f t="shared" si="38"/>
        <v>sysSecurityGroupCommand.sysSecurityGroupID</v>
      </c>
      <c r="D424">
        <v>74</v>
      </c>
      <c r="E424" s="3" t="str">
        <f t="shared" si="39"/>
        <v>sysSecurityGroupCommand</v>
      </c>
      <c r="F424" t="str">
        <f>VLOOKUP(V424,SystemTableId,3,FALSE)&amp;"ID"&amp;X424</f>
        <v>sysSecurityGroupID</v>
      </c>
      <c r="G424" s="3" t="s">
        <v>6842</v>
      </c>
      <c r="H424" s="3" t="str">
        <f t="shared" si="40"/>
        <v>system.SecurityGroupCommand</v>
      </c>
      <c r="J424" s="3"/>
      <c r="K424" t="s">
        <v>1078</v>
      </c>
      <c r="M424" t="s">
        <v>6007</v>
      </c>
      <c r="Q424" t="s">
        <v>919</v>
      </c>
      <c r="T424" s="3"/>
      <c r="U424" t="s">
        <v>96</v>
      </c>
      <c r="V424">
        <v>72</v>
      </c>
      <c r="W424" s="3" t="str">
        <f>VLOOKUP(V424,SystemTableId,3,FALSE)</f>
        <v>sysSecurityGroup</v>
      </c>
      <c r="X424" s="3" t="s">
        <v>1036</v>
      </c>
      <c r="AJ424" t="str">
        <f>"SELECT (SELECT '"&amp;C424&amp;"' ColumnName from "&amp;E424&amp;" where "&amp;F424&amp;" is null and exists (select from "&amp;E424&amp;") limit 1) ColumnName union all"</f>
        <v>SELECT (SELECT 'sysSecurityGroupCommand.sysSecurityGroupID' ColumnName from sysSecurityGroupCommand where sysSecurityGroupID is null and exists (select from sysSecurityGroupCommand) limit 1) ColumnName union all</v>
      </c>
      <c r="AL424" t="str">
        <f>"ALTER TABLE "&amp;E424&amp;" ALTER COLUMN "&amp;F424&amp;" DROP NOT NULL"</f>
        <v>ALTER TABLE sysSecurityGroupCommand ALTER COLUMN sysSecurityGroupID DROP NOT NULL</v>
      </c>
      <c r="AO424" t="e">
        <f>SUBSTITUTE(VLOOKUP(V424,DictionaryTableID,16,FALSE)&amp;"ID",".","")</f>
        <v>#N/A</v>
      </c>
      <c r="AP424" t="e">
        <f t="shared" si="41"/>
        <v>#NAME?</v>
      </c>
    </row>
    <row r="425" spans="1:42" ht="15" customHeight="1">
      <c r="A425">
        <v>22250</v>
      </c>
      <c r="B425" t="s">
        <v>1475</v>
      </c>
      <c r="C425" s="3" t="str">
        <f t="shared" si="38"/>
        <v>sysSecurityGroupContact.crmContactID</v>
      </c>
      <c r="D425">
        <v>76</v>
      </c>
      <c r="E425" s="3" t="str">
        <f t="shared" si="39"/>
        <v>sysSecurityGroupContact</v>
      </c>
      <c r="F425" t="str">
        <f>VLOOKUP(V425,DictionaryTableID,3,FALSE)&amp;"ID"&amp;X425</f>
        <v>crmContactID</v>
      </c>
      <c r="G425" s="3" t="s">
        <v>6677</v>
      </c>
      <c r="H425" s="3" t="str">
        <f t="shared" si="40"/>
        <v>system.SecurityGroupContact</v>
      </c>
      <c r="J425" s="3"/>
      <c r="K425" t="s">
        <v>1135</v>
      </c>
      <c r="M425" t="s">
        <v>6007</v>
      </c>
      <c r="Q425" t="s">
        <v>919</v>
      </c>
      <c r="T425" s="3"/>
      <c r="U425" t="s">
        <v>96</v>
      </c>
      <c r="V425">
        <v>100</v>
      </c>
      <c r="W425" s="3" t="str">
        <f>VLOOKUP(V425,DictionaryTableID,3,FALSE)</f>
        <v>crmContact</v>
      </c>
      <c r="X425" s="3"/>
      <c r="AJ425" t="str">
        <f>"SELECT (SELECT '"&amp;C425&amp;"' ColumnName from "&amp;E425&amp;" where "&amp;F425&amp;" is null and exists (select from "&amp;E425&amp;") limit 1) ColumnName union all"</f>
        <v>SELECT (SELECT 'sysSecurityGroupContact.crmContactID' ColumnName from sysSecurityGroupContact where crmContactID is null and exists (select from sysSecurityGroupContact) limit 1) ColumnName union all</v>
      </c>
      <c r="AL425" t="str">
        <f>"ALTER TABLE "&amp;E425&amp;" ALTER COLUMN "&amp;F425&amp;" DROP NOT NULL"</f>
        <v>ALTER TABLE sysSecurityGroupContact ALTER COLUMN crmContactID DROP NOT NULL</v>
      </c>
      <c r="AP425" t="e">
        <f t="shared" si="41"/>
        <v>#NAME?</v>
      </c>
    </row>
    <row r="426" spans="1:42" ht="15" customHeight="1">
      <c r="A426">
        <v>22240</v>
      </c>
      <c r="B426" t="s">
        <v>1475</v>
      </c>
      <c r="C426" s="3" t="str">
        <f t="shared" si="38"/>
        <v>sysSecurityGroupContact.ID</v>
      </c>
      <c r="D426">
        <v>76</v>
      </c>
      <c r="E426" s="3" t="str">
        <f t="shared" si="39"/>
        <v>sysSecurityGroupContact</v>
      </c>
      <c r="F426" t="s">
        <v>0</v>
      </c>
      <c r="G426" s="3" t="s">
        <v>6843</v>
      </c>
      <c r="H426" s="3" t="str">
        <f t="shared" si="40"/>
        <v>system.SecurityGroupContact</v>
      </c>
      <c r="J426" s="3"/>
      <c r="K426" t="s">
        <v>1196</v>
      </c>
      <c r="M426" t="s">
        <v>6007</v>
      </c>
      <c r="Q426" s="3" t="s">
        <v>919</v>
      </c>
      <c r="T426" s="3"/>
      <c r="U426" s="3" t="s">
        <v>95</v>
      </c>
      <c r="AC426" t="s">
        <v>92</v>
      </c>
      <c r="AK426" t="str">
        <f>"SELECT (SELECT '"&amp;C426&amp;"' ColumnName from "&amp;E426&amp;" where "&amp;F426&amp;" is null and exists (select from "&amp;E426&amp;") limit 1) a union all"</f>
        <v>SELECT (SELECT 'sysSecurityGroupContact.ID' ColumnName from sysSecurityGroupContact where ID is null and exists (select from sysSecurityGroupContact) limit 1) a union all</v>
      </c>
      <c r="AP426" t="e">
        <f t="shared" si="41"/>
        <v>#NAME?</v>
      </c>
    </row>
    <row r="427" spans="1:42" ht="15" customHeight="1">
      <c r="A427">
        <v>22270</v>
      </c>
      <c r="B427" t="s">
        <v>1475</v>
      </c>
      <c r="C427" s="3" t="str">
        <f t="shared" si="38"/>
        <v>sysSecurityGroupContact.RowStatus</v>
      </c>
      <c r="D427">
        <v>76</v>
      </c>
      <c r="E427" s="3" t="str">
        <f t="shared" si="39"/>
        <v>sysSecurityGroupContact</v>
      </c>
      <c r="F427" t="s">
        <v>1445</v>
      </c>
      <c r="G427" s="3" t="s">
        <v>6411</v>
      </c>
      <c r="H427" s="3" t="str">
        <f t="shared" si="40"/>
        <v>system.SecurityGroupContact</v>
      </c>
      <c r="J427" s="3"/>
      <c r="K427" s="3" t="s">
        <v>2471</v>
      </c>
      <c r="M427" t="s">
        <v>976</v>
      </c>
      <c r="N427">
        <v>1</v>
      </c>
      <c r="Q427" t="s">
        <v>919</v>
      </c>
      <c r="S427" s="14"/>
      <c r="T427" s="3"/>
      <c r="U427" t="s">
        <v>94</v>
      </c>
      <c r="AJ427" t="str">
        <f>"SELECT (SELECT '"&amp;C427&amp;"' ColumnName from "&amp;E427&amp;" where "&amp;F427&amp;" is null and exists (select from "&amp;E427&amp;") limit 1) ColumnName union all"</f>
        <v>SELECT (SELECT 'sysSecurityGroupContact.RowStatus' ColumnName from sysSecurityGroupContact where RowStatus is null and exists (select from sysSecurityGroupContact) limit 1) ColumnName union all</v>
      </c>
      <c r="AL427" t="str">
        <f>"ALTER TABLE "&amp;E427&amp;" ALTER COLUMN "&amp;F427&amp;" DROP NOT NULL"</f>
        <v>ALTER TABLE sysSecurityGroupContact ALTER COLUMN RowStatus DROP NOT NULL</v>
      </c>
      <c r="AP427" t="e">
        <f t="shared" si="41"/>
        <v>#NAME?</v>
      </c>
    </row>
    <row r="428" spans="1:42" ht="15" customHeight="1">
      <c r="A428">
        <v>22280</v>
      </c>
      <c r="B428" t="s">
        <v>1475</v>
      </c>
      <c r="C428" s="3" t="str">
        <f t="shared" si="38"/>
        <v>sysSecurityGroupContact.sysChangeHistoryID</v>
      </c>
      <c r="D428">
        <v>76</v>
      </c>
      <c r="E428" s="3" t="str">
        <f t="shared" si="39"/>
        <v>sysSecurityGroupContact</v>
      </c>
      <c r="F428" t="s">
        <v>2497</v>
      </c>
      <c r="G428" s="3" t="s">
        <v>6403</v>
      </c>
      <c r="H428" s="3" t="str">
        <f t="shared" si="40"/>
        <v>system.SecurityGroupContact</v>
      </c>
      <c r="J428" s="3"/>
      <c r="K428" t="s">
        <v>1210</v>
      </c>
      <c r="M428" t="s">
        <v>6007</v>
      </c>
      <c r="Q428" t="s">
        <v>92</v>
      </c>
      <c r="T428" s="3"/>
      <c r="U428" t="s">
        <v>1429</v>
      </c>
      <c r="W428" s="3"/>
      <c r="X428" s="3"/>
      <c r="AJ428" t="str">
        <f>"SELECT (SELECT '"&amp;C428&amp;"' ColumnName from "&amp;E428&amp;" where "&amp;F428&amp;" is null and exists (select from "&amp;E428&amp;") limit 1) ColumnName union all"</f>
        <v>SELECT (SELECT 'sysSecurityGroupContact.sysChangeHistoryID' ColumnName from sysSecurityGroupContact where sysChangeHistoryID is null and exists (select from sysSecurityGroupContact) limit 1) ColumnName union all</v>
      </c>
      <c r="AL428" t="str">
        <f>"ALTER TABLE "&amp;E428&amp;" ALTER COLUMN "&amp;F428&amp;" DROP NOT NULL"</f>
        <v>ALTER TABLE sysSecurityGroupContact ALTER COLUMN sysChangeHistoryID DROP NOT NULL</v>
      </c>
      <c r="AO428" t="e">
        <f>SUBSTITUTE(VLOOKUP(V428,DictionaryTableID,16,FALSE)&amp;"ID",".","")</f>
        <v>#N/A</v>
      </c>
      <c r="AP428" t="e">
        <f t="shared" si="41"/>
        <v>#NAME?</v>
      </c>
    </row>
    <row r="429" spans="1:42" ht="15" customHeight="1">
      <c r="A429">
        <v>22260</v>
      </c>
      <c r="B429" t="s">
        <v>1475</v>
      </c>
      <c r="C429" s="3" t="str">
        <f t="shared" si="38"/>
        <v>sysSecurityGroupContact.sysSecurityGroupID</v>
      </c>
      <c r="D429">
        <v>76</v>
      </c>
      <c r="E429" s="3" t="str">
        <f t="shared" si="39"/>
        <v>sysSecurityGroupContact</v>
      </c>
      <c r="F429" t="str">
        <f>VLOOKUP(V429,SystemTableId,3,FALSE)&amp;"ID"&amp;X429</f>
        <v>sysSecurityGroupID</v>
      </c>
      <c r="G429" s="3" t="s">
        <v>6844</v>
      </c>
      <c r="H429" s="3" t="str">
        <f t="shared" si="40"/>
        <v>system.SecurityGroupContact</v>
      </c>
      <c r="J429" s="3"/>
      <c r="K429" t="s">
        <v>1197</v>
      </c>
      <c r="M429" t="s">
        <v>6007</v>
      </c>
      <c r="Q429" t="s">
        <v>919</v>
      </c>
      <c r="T429" s="3"/>
      <c r="U429" t="s">
        <v>96</v>
      </c>
      <c r="V429">
        <v>72</v>
      </c>
      <c r="W429" s="3" t="str">
        <f>VLOOKUP(V429,SystemTableId,3,FALSE)</f>
        <v>sysSecurityGroup</v>
      </c>
      <c r="X429" s="3" t="s">
        <v>1036</v>
      </c>
      <c r="AJ429" t="str">
        <f>"SELECT (SELECT '"&amp;C429&amp;"' ColumnName from "&amp;E429&amp;" where "&amp;F429&amp;" is null and exists (select from "&amp;E429&amp;") limit 1) ColumnName union all"</f>
        <v>SELECT (SELECT 'sysSecurityGroupContact.sysSecurityGroupID' ColumnName from sysSecurityGroupContact where sysSecurityGroupID is null and exists (select from sysSecurityGroupContact) limit 1) ColumnName union all</v>
      </c>
      <c r="AL429" t="str">
        <f>"ALTER TABLE "&amp;E429&amp;" ALTER COLUMN "&amp;F429&amp;" DROP NOT NULL"</f>
        <v>ALTER TABLE sysSecurityGroupContact ALTER COLUMN sysSecurityGroupID DROP NOT NULL</v>
      </c>
      <c r="AO429" t="e">
        <f>SUBSTITUTE(VLOOKUP(V429,DictionaryTableID,16,FALSE)&amp;"ID",".","")</f>
        <v>#N/A</v>
      </c>
      <c r="AP429" t="e">
        <f t="shared" si="41"/>
        <v>#NAME?</v>
      </c>
    </row>
    <row r="430" spans="1:42" ht="15" customHeight="1">
      <c r="A430">
        <v>22310</v>
      </c>
      <c r="B430" t="s">
        <v>1475</v>
      </c>
      <c r="C430" s="3" t="str">
        <f t="shared" si="38"/>
        <v>sysSiteAction.Command</v>
      </c>
      <c r="D430">
        <v>78</v>
      </c>
      <c r="E430" s="3" t="str">
        <f t="shared" si="39"/>
        <v>sysSiteAction</v>
      </c>
      <c r="F430" s="7" t="s">
        <v>35</v>
      </c>
      <c r="G430" t="s">
        <v>35</v>
      </c>
      <c r="H430" s="3" t="str">
        <f t="shared" si="40"/>
        <v>System.SiteAction</v>
      </c>
      <c r="K430" t="s">
        <v>35</v>
      </c>
      <c r="M430" t="s">
        <v>1073</v>
      </c>
      <c r="Q430" t="s">
        <v>92</v>
      </c>
      <c r="U430" t="s">
        <v>93</v>
      </c>
      <c r="AC430" s="7"/>
      <c r="AD430" s="15"/>
      <c r="AE430" s="7"/>
      <c r="AJ430" t="str">
        <f>"SELECT (SELECT '"&amp;C430&amp;"' ColumnName from "&amp;E430&amp;" where "&amp;F430&amp;" is null and exists (select from "&amp;E430&amp;") limit 1) ColumnName union all"</f>
        <v>SELECT (SELECT 'sysSiteAction.Command' ColumnName from sysSiteAction where Command is null and exists (select from sysSiteAction) limit 1) ColumnName union all</v>
      </c>
      <c r="AL430" t="str">
        <f>"ALTER TABLE "&amp;E430&amp;" ALTER COLUMN "&amp;F430&amp;" DROP NOT NULL"</f>
        <v>ALTER TABLE sysSiteAction ALTER COLUMN Command DROP NOT NULL</v>
      </c>
      <c r="AP430" t="e">
        <f t="shared" si="41"/>
        <v>#NAME?</v>
      </c>
    </row>
    <row r="431" spans="1:42" ht="15" customHeight="1">
      <c r="A431">
        <v>22320</v>
      </c>
      <c r="B431" t="s">
        <v>1475</v>
      </c>
      <c r="C431" s="3" t="str">
        <f t="shared" si="38"/>
        <v>sysSiteAction.Description</v>
      </c>
      <c r="D431">
        <v>78</v>
      </c>
      <c r="E431" s="3" t="str">
        <f t="shared" si="39"/>
        <v>sysSiteAction</v>
      </c>
      <c r="F431" s="7" t="s">
        <v>12</v>
      </c>
      <c r="G431" t="s">
        <v>12</v>
      </c>
      <c r="H431" s="3" t="str">
        <f t="shared" si="40"/>
        <v>System.SiteAction</v>
      </c>
      <c r="K431" t="s">
        <v>12</v>
      </c>
      <c r="M431" t="s">
        <v>1073</v>
      </c>
      <c r="Q431" t="s">
        <v>92</v>
      </c>
      <c r="U431" t="s">
        <v>93</v>
      </c>
      <c r="AC431" s="7"/>
      <c r="AD431" s="15"/>
      <c r="AE431" s="7"/>
      <c r="AH431" t="s">
        <v>92</v>
      </c>
      <c r="AK431" t="str">
        <f>"SELECT (SELECT '"&amp;C431&amp;"' ColumnName from "&amp;E431&amp;" where "&amp;F431&amp;" is null and exists (select from "&amp;E431&amp;") limit 1) a union all"</f>
        <v>SELECT (SELECT 'sysSiteAction.Description' ColumnName from sysSiteAction where Description is null and exists (select from sysSiteAction) limit 1) a union all</v>
      </c>
      <c r="AP431" t="e">
        <f t="shared" si="41"/>
        <v>#NAME?</v>
      </c>
    </row>
    <row r="432" spans="1:42" ht="15" customHeight="1">
      <c r="A432">
        <v>22350</v>
      </c>
      <c r="B432" t="s">
        <v>1475</v>
      </c>
      <c r="C432" s="3" t="str">
        <f t="shared" si="38"/>
        <v>sysSiteAction.DisplaySequence</v>
      </c>
      <c r="D432">
        <v>78</v>
      </c>
      <c r="E432" s="3" t="str">
        <f t="shared" si="39"/>
        <v>sysSiteAction</v>
      </c>
      <c r="F432" t="s">
        <v>6055</v>
      </c>
      <c r="G432" s="3" t="s">
        <v>6432</v>
      </c>
      <c r="H432" s="3" t="str">
        <f t="shared" si="40"/>
        <v>System.SiteAction</v>
      </c>
      <c r="K432" s="3" t="s">
        <v>6297</v>
      </c>
      <c r="M432" t="s">
        <v>195</v>
      </c>
      <c r="Q432" t="s">
        <v>92</v>
      </c>
      <c r="U432" t="s">
        <v>93</v>
      </c>
      <c r="AC432" s="7"/>
      <c r="AD432" s="15"/>
      <c r="AE432" s="7"/>
      <c r="AJ432" t="str">
        <f>"SELECT (SELECT '"&amp;C432&amp;"' ColumnName from "&amp;E432&amp;" where "&amp;F432&amp;" is null and exists (select from "&amp;E432&amp;") limit 1) ColumnName union all"</f>
        <v>SELECT (SELECT 'sysSiteAction.DisplaySequence' ColumnName from sysSiteAction where DisplaySequence is null and exists (select from sysSiteAction) limit 1) ColumnName union all</v>
      </c>
      <c r="AL432" t="str">
        <f>"ALTER TABLE "&amp;E432&amp;" ALTER COLUMN "&amp;F432&amp;" DROP NOT NULL"</f>
        <v>ALTER TABLE sysSiteAction ALTER COLUMN DisplaySequence DROP NOT NULL</v>
      </c>
      <c r="AP432" t="e">
        <f t="shared" si="41"/>
        <v>#NAME?</v>
      </c>
    </row>
    <row r="433" spans="1:42" ht="15" customHeight="1">
      <c r="A433">
        <v>22290</v>
      </c>
      <c r="B433" t="s">
        <v>1475</v>
      </c>
      <c r="C433" s="3" t="str">
        <f t="shared" si="38"/>
        <v>sysSiteAction.Id</v>
      </c>
      <c r="D433">
        <v>78</v>
      </c>
      <c r="E433" s="3" t="str">
        <f t="shared" si="39"/>
        <v>sysSiteAction</v>
      </c>
      <c r="F433" t="s">
        <v>1539</v>
      </c>
      <c r="G433" s="3" t="s">
        <v>6845</v>
      </c>
      <c r="H433" s="3" t="str">
        <f t="shared" si="40"/>
        <v>System.SiteAction</v>
      </c>
      <c r="K433" t="s">
        <v>1539</v>
      </c>
      <c r="M433" t="s">
        <v>6007</v>
      </c>
      <c r="Q433" t="s">
        <v>919</v>
      </c>
      <c r="U433" t="s">
        <v>95</v>
      </c>
      <c r="V433" s="7"/>
      <c r="W433" s="7"/>
      <c r="X433" s="7"/>
      <c r="Z433" s="7"/>
      <c r="AC433" s="7"/>
      <c r="AD433" s="15"/>
      <c r="AE433" s="7"/>
      <c r="AK433" t="str">
        <f t="shared" ref="AK433:AK440" si="44">"SELECT (SELECT '"&amp;C433&amp;"' ColumnName from "&amp;E433&amp;" where "&amp;F433&amp;" is null and exists (select from "&amp;E433&amp;") limit 1) a union all"</f>
        <v>SELECT (SELECT 'sysSiteAction.Id' ColumnName from sysSiteAction where Id is null and exists (select from sysSiteAction) limit 1) a union all</v>
      </c>
      <c r="AP433" t="e">
        <f t="shared" si="41"/>
        <v>#NAME?</v>
      </c>
    </row>
    <row r="434" spans="1:42" ht="15" customHeight="1">
      <c r="A434">
        <v>22330</v>
      </c>
      <c r="B434" t="s">
        <v>1475</v>
      </c>
      <c r="C434" s="3" t="str">
        <f t="shared" si="38"/>
        <v>sysSiteAction.Name</v>
      </c>
      <c r="D434">
        <v>78</v>
      </c>
      <c r="E434" s="3" t="str">
        <f t="shared" si="39"/>
        <v>sysSiteAction</v>
      </c>
      <c r="F434" s="7" t="s">
        <v>22</v>
      </c>
      <c r="G434" s="3" t="s">
        <v>6989</v>
      </c>
      <c r="H434" s="3" t="str">
        <f t="shared" si="40"/>
        <v>System.SiteAction</v>
      </c>
      <c r="K434" t="s">
        <v>22</v>
      </c>
      <c r="M434" t="s">
        <v>1073</v>
      </c>
      <c r="Q434" t="s">
        <v>92</v>
      </c>
      <c r="U434" t="s">
        <v>93</v>
      </c>
      <c r="V434" s="7"/>
      <c r="W434" s="7"/>
      <c r="X434" s="7"/>
      <c r="Z434" s="7"/>
      <c r="AC434" s="7"/>
      <c r="AD434" s="15"/>
      <c r="AE434" s="7"/>
      <c r="AH434" t="s">
        <v>92</v>
      </c>
      <c r="AK434" t="str">
        <f t="shared" si="44"/>
        <v>SELECT (SELECT 'sysSiteAction.Name' ColumnName from sysSiteAction where Name is null and exists (select from sysSiteAction) limit 1) a union all</v>
      </c>
      <c r="AP434" t="e">
        <f t="shared" si="41"/>
        <v>#NAME?</v>
      </c>
    </row>
    <row r="435" spans="1:42" ht="15" customHeight="1">
      <c r="A435">
        <v>22340</v>
      </c>
      <c r="B435" t="s">
        <v>1475</v>
      </c>
      <c r="C435" s="3" t="str">
        <f t="shared" si="38"/>
        <v>sysSiteAction.RecordCount</v>
      </c>
      <c r="D435">
        <v>78</v>
      </c>
      <c r="E435" s="3" t="str">
        <f t="shared" si="39"/>
        <v>sysSiteAction</v>
      </c>
      <c r="F435" s="7" t="s">
        <v>876</v>
      </c>
      <c r="G435" t="s">
        <v>876</v>
      </c>
      <c r="H435" s="3" t="str">
        <f t="shared" si="40"/>
        <v>System.SiteAction</v>
      </c>
      <c r="K435" t="s">
        <v>1982</v>
      </c>
      <c r="M435" t="s">
        <v>195</v>
      </c>
      <c r="Q435" t="s">
        <v>92</v>
      </c>
      <c r="U435" t="s">
        <v>93</v>
      </c>
      <c r="V435" s="7"/>
      <c r="W435" s="7"/>
      <c r="X435" s="7"/>
      <c r="Z435" s="7"/>
      <c r="AC435" s="7"/>
      <c r="AD435" s="15"/>
      <c r="AE435" s="7"/>
      <c r="AK435" t="str">
        <f t="shared" si="44"/>
        <v>SELECT (SELECT 'sysSiteAction.RecordCount' ColumnName from sysSiteAction where RecordCount is null and exists (select from sysSiteAction) limit 1) a union all</v>
      </c>
      <c r="AP435" t="e">
        <f t="shared" si="41"/>
        <v>#NAME?</v>
      </c>
    </row>
    <row r="436" spans="1:42" ht="15" customHeight="1">
      <c r="A436">
        <v>22380</v>
      </c>
      <c r="B436" t="s">
        <v>1475</v>
      </c>
      <c r="C436" s="3" t="str">
        <f t="shared" si="38"/>
        <v>sysSiteAction.RowStatus</v>
      </c>
      <c r="D436">
        <v>78</v>
      </c>
      <c r="E436" s="3" t="str">
        <f t="shared" si="39"/>
        <v>sysSiteAction</v>
      </c>
      <c r="F436" t="s">
        <v>1445</v>
      </c>
      <c r="G436" s="3" t="s">
        <v>6411</v>
      </c>
      <c r="H436" s="3" t="str">
        <f t="shared" si="40"/>
        <v>System.SiteAction</v>
      </c>
      <c r="K436" s="3" t="s">
        <v>2471</v>
      </c>
      <c r="M436" t="s">
        <v>976</v>
      </c>
      <c r="N436">
        <v>1</v>
      </c>
      <c r="Q436" t="s">
        <v>919</v>
      </c>
      <c r="U436" t="s">
        <v>94</v>
      </c>
      <c r="V436" s="7"/>
      <c r="W436" s="7"/>
      <c r="X436" s="7"/>
      <c r="Z436" s="7"/>
      <c r="AC436" s="7"/>
      <c r="AD436" s="15"/>
      <c r="AE436" s="7"/>
      <c r="AK436" t="str">
        <f t="shared" si="44"/>
        <v>SELECT (SELECT 'sysSiteAction.RowStatus' ColumnName from sysSiteAction where RowStatus is null and exists (select from sysSiteAction) limit 1) a union all</v>
      </c>
      <c r="AP436" t="e">
        <f t="shared" si="41"/>
        <v>#NAME?</v>
      </c>
    </row>
    <row r="437" spans="1:42" ht="15" customHeight="1">
      <c r="A437">
        <v>22390</v>
      </c>
      <c r="B437" t="s">
        <v>1475</v>
      </c>
      <c r="C437" s="3" t="str">
        <f t="shared" si="38"/>
        <v>sysSiteAction.sysChangeHistoryID</v>
      </c>
      <c r="D437" s="7">
        <v>78</v>
      </c>
      <c r="E437" s="3" t="str">
        <f t="shared" si="39"/>
        <v>sysSiteAction</v>
      </c>
      <c r="F437" t="s">
        <v>2497</v>
      </c>
      <c r="G437" s="3" t="s">
        <v>6403</v>
      </c>
      <c r="H437" s="3" t="str">
        <f t="shared" si="40"/>
        <v>System.SiteAction</v>
      </c>
      <c r="K437" t="s">
        <v>1210</v>
      </c>
      <c r="M437" t="s">
        <v>6007</v>
      </c>
      <c r="N437" s="7"/>
      <c r="O437" s="7"/>
      <c r="P437" s="7"/>
      <c r="Q437" t="s">
        <v>919</v>
      </c>
      <c r="R437" s="7"/>
      <c r="S437" s="7"/>
      <c r="T437" s="8"/>
      <c r="U437" t="s">
        <v>1429</v>
      </c>
      <c r="AK437" t="str">
        <f t="shared" si="44"/>
        <v>SELECT (SELECT 'sysSiteAction.sysChangeHistoryID' ColumnName from sysSiteAction where sysChangeHistoryID is null and exists (select from sysSiteAction) limit 1) a union all</v>
      </c>
      <c r="AP437" t="e">
        <f t="shared" si="41"/>
        <v>#NAME?</v>
      </c>
    </row>
    <row r="438" spans="1:42" ht="15" customHeight="1">
      <c r="A438">
        <v>22300</v>
      </c>
      <c r="B438" t="s">
        <v>1475</v>
      </c>
      <c r="C438" s="3" t="str">
        <f t="shared" si="38"/>
        <v>sysSiteAction.sysSiteActionIDParent</v>
      </c>
      <c r="D438">
        <v>78</v>
      </c>
      <c r="E438" s="3" t="str">
        <f t="shared" si="39"/>
        <v>sysSiteAction</v>
      </c>
      <c r="F438" t="str">
        <f>VLOOKUP(V438,SystemTableId,3,FALSE)&amp;"ID"&amp;X438</f>
        <v>sysSiteActionIDParent</v>
      </c>
      <c r="G438" t="s">
        <v>1938</v>
      </c>
      <c r="H438" s="3" t="str">
        <f t="shared" si="40"/>
        <v>System.SiteAction</v>
      </c>
      <c r="K438" t="s">
        <v>1220</v>
      </c>
      <c r="M438" t="s">
        <v>6007</v>
      </c>
      <c r="Q438" t="s">
        <v>92</v>
      </c>
      <c r="U438" t="s">
        <v>96</v>
      </c>
      <c r="V438" s="7">
        <v>78</v>
      </c>
      <c r="W438" s="3" t="str">
        <f>VLOOKUP(V438,SystemTableId,3,FALSE)</f>
        <v>sysSiteAction</v>
      </c>
      <c r="X438" s="3" t="s">
        <v>1220</v>
      </c>
      <c r="Z438" s="7"/>
      <c r="AC438" s="7"/>
      <c r="AD438" s="15"/>
      <c r="AE438" s="7"/>
      <c r="AK438" t="str">
        <f t="shared" si="44"/>
        <v>SELECT (SELECT 'sysSiteAction.sysSiteActionIDParent' ColumnName from sysSiteAction where sysSiteActionIDParent is null and exists (select from sysSiteAction) limit 1) a union all</v>
      </c>
      <c r="AP438" t="e">
        <f t="shared" si="41"/>
        <v>#NAME?</v>
      </c>
    </row>
    <row r="439" spans="1:42" ht="15" customHeight="1">
      <c r="A439">
        <v>22360</v>
      </c>
      <c r="B439" t="s">
        <v>1475</v>
      </c>
      <c r="C439" s="3" t="str">
        <f t="shared" si="38"/>
        <v>sysSiteAction.Type</v>
      </c>
      <c r="D439">
        <v>78</v>
      </c>
      <c r="E439" s="3" t="str">
        <f t="shared" si="39"/>
        <v>sysSiteAction</v>
      </c>
      <c r="F439" s="7" t="s">
        <v>40</v>
      </c>
      <c r="G439" t="s">
        <v>40</v>
      </c>
      <c r="H439" s="3" t="str">
        <f t="shared" si="40"/>
        <v>System.SiteAction</v>
      </c>
      <c r="K439" t="s">
        <v>40</v>
      </c>
      <c r="M439" t="s">
        <v>1073</v>
      </c>
      <c r="Q439" t="s">
        <v>92</v>
      </c>
      <c r="U439" t="s">
        <v>93</v>
      </c>
      <c r="AC439" s="7"/>
      <c r="AD439" s="15"/>
      <c r="AE439" s="7"/>
      <c r="AK439" t="str">
        <f t="shared" si="44"/>
        <v>SELECT (SELECT 'sysSiteAction.Type' ColumnName from sysSiteAction where Type is null and exists (select from sysSiteAction) limit 1) a union all</v>
      </c>
      <c r="AP439" t="e">
        <f t="shared" si="41"/>
        <v>#NAME?</v>
      </c>
    </row>
    <row r="440" spans="1:42" ht="15" customHeight="1">
      <c r="A440">
        <v>22370</v>
      </c>
      <c r="B440" t="s">
        <v>1475</v>
      </c>
      <c r="C440" s="3" t="str">
        <f t="shared" si="38"/>
        <v>sysSiteAction.URL</v>
      </c>
      <c r="D440">
        <v>78</v>
      </c>
      <c r="E440" s="3" t="str">
        <f t="shared" si="39"/>
        <v>sysSiteAction</v>
      </c>
      <c r="F440" s="7" t="s">
        <v>2007</v>
      </c>
      <c r="G440" t="s">
        <v>2007</v>
      </c>
      <c r="H440" s="3" t="str">
        <f t="shared" si="40"/>
        <v>System.SiteAction</v>
      </c>
      <c r="K440" t="s">
        <v>2007</v>
      </c>
      <c r="M440" t="s">
        <v>1073</v>
      </c>
      <c r="Q440" t="s">
        <v>92</v>
      </c>
      <c r="U440" t="s">
        <v>93</v>
      </c>
      <c r="AC440" s="7"/>
      <c r="AD440" s="15"/>
      <c r="AE440" s="7"/>
      <c r="AK440" t="str">
        <f t="shared" si="44"/>
        <v>SELECT (SELECT 'sysSiteAction.URL' ColumnName from sysSiteAction where URL is null and exists (select from sysSiteAction) limit 1) a union all</v>
      </c>
      <c r="AP440" t="e">
        <f t="shared" si="41"/>
        <v>#NAME?</v>
      </c>
    </row>
    <row r="441" spans="1:42" ht="15" customHeight="1">
      <c r="A441">
        <v>22430</v>
      </c>
      <c r="B441" t="s">
        <v>1475</v>
      </c>
      <c r="C441" s="3" t="str">
        <f t="shared" si="38"/>
        <v>sysSurveyQuestion.AdditionalInformation</v>
      </c>
      <c r="D441" s="7">
        <v>80</v>
      </c>
      <c r="E441" s="3" t="str">
        <f t="shared" si="39"/>
        <v>sysSurveyQuestion</v>
      </c>
      <c r="F441" t="s">
        <v>1265</v>
      </c>
      <c r="G441" s="3" t="s">
        <v>6849</v>
      </c>
      <c r="H441" s="3" t="str">
        <f t="shared" si="40"/>
        <v>System.SurveyQuestion</v>
      </c>
      <c r="K441" t="s">
        <v>1266</v>
      </c>
      <c r="M441" t="s">
        <v>196</v>
      </c>
      <c r="Q441" t="s">
        <v>92</v>
      </c>
      <c r="U441" t="s">
        <v>93</v>
      </c>
      <c r="AB441" s="7"/>
      <c r="AC441" s="7"/>
      <c r="AD441" s="15"/>
      <c r="AE441" s="7"/>
      <c r="AJ441" t="str">
        <f>"SELECT (SELECT '"&amp;C441&amp;"' ColumnName from "&amp;E441&amp;" where "&amp;F441&amp;" is null and exists (select from "&amp;E441&amp;") limit 1) ColumnName union all"</f>
        <v>SELECT (SELECT 'sysSurveyQuestion.AdditionalInformation' ColumnName from sysSurveyQuestion where AdditionalInformation is null and exists (select from sysSurveyQuestion) limit 1) ColumnName union all</v>
      </c>
      <c r="AL441" t="str">
        <f>"ALTER TABLE "&amp;E441&amp;" ALTER COLUMN "&amp;F441&amp;" DROP NOT NULL"</f>
        <v>ALTER TABLE sysSurveyQuestion ALTER COLUMN AdditionalInformation DROP NOT NULL</v>
      </c>
      <c r="AP441" t="e">
        <f t="shared" si="41"/>
        <v>#NAME?</v>
      </c>
    </row>
    <row r="442" spans="1:42" ht="15" customHeight="1">
      <c r="A442">
        <v>22440</v>
      </c>
      <c r="B442" t="s">
        <v>1475</v>
      </c>
      <c r="C442" s="3" t="str">
        <f t="shared" si="38"/>
        <v>sysSurveyQuestion.AnswerType</v>
      </c>
      <c r="D442">
        <v>80</v>
      </c>
      <c r="E442" s="3" t="str">
        <f t="shared" si="39"/>
        <v>sysSurveyQuestion</v>
      </c>
      <c r="F442" t="s">
        <v>2025</v>
      </c>
      <c r="G442" s="3" t="s">
        <v>6850</v>
      </c>
      <c r="H442" s="3" t="str">
        <f t="shared" si="40"/>
        <v>System.SurveyQuestion</v>
      </c>
      <c r="K442" t="s">
        <v>2026</v>
      </c>
      <c r="M442" t="s">
        <v>1073</v>
      </c>
      <c r="Q442" t="s">
        <v>92</v>
      </c>
      <c r="U442" t="s">
        <v>93</v>
      </c>
      <c r="AB442" s="7"/>
      <c r="AC442" s="7"/>
      <c r="AD442" s="15"/>
      <c r="AE442" s="7"/>
      <c r="AJ442" t="str">
        <f>"SELECT (SELECT '"&amp;C442&amp;"' ColumnName from "&amp;E442&amp;" where "&amp;F442&amp;" is null and exists (select from "&amp;E442&amp;") limit 1) ColumnName union all"</f>
        <v>SELECT (SELECT 'sysSurveyQuestion.AnswerType' ColumnName from sysSurveyQuestion where AnswerType is null and exists (select from sysSurveyQuestion) limit 1) ColumnName union all</v>
      </c>
      <c r="AL442" t="str">
        <f>"ALTER TABLE "&amp;E442&amp;" ALTER COLUMN "&amp;F442&amp;" DROP NOT NULL"</f>
        <v>ALTER TABLE sysSurveyQuestion ALTER COLUMN AnswerType DROP NOT NULL</v>
      </c>
      <c r="AP442" t="e">
        <f t="shared" si="41"/>
        <v>#NAME?</v>
      </c>
    </row>
    <row r="443" spans="1:42" ht="15" customHeight="1">
      <c r="A443">
        <v>22450</v>
      </c>
      <c r="B443" t="s">
        <v>1475</v>
      </c>
      <c r="C443" s="3" t="str">
        <f t="shared" si="38"/>
        <v>sysSurveyQuestion.DisplayOrder</v>
      </c>
      <c r="D443" s="7">
        <v>80</v>
      </c>
      <c r="E443" s="3" t="str">
        <f t="shared" si="39"/>
        <v>sysSurveyQuestion</v>
      </c>
      <c r="F443" t="s">
        <v>1896</v>
      </c>
      <c r="G443" s="3" t="s">
        <v>6851</v>
      </c>
      <c r="H443" s="3" t="str">
        <f t="shared" si="40"/>
        <v>System.SurveyQuestion</v>
      </c>
      <c r="K443" t="s">
        <v>1897</v>
      </c>
      <c r="M443" t="s">
        <v>195</v>
      </c>
      <c r="Q443" t="s">
        <v>92</v>
      </c>
      <c r="U443" s="7" t="s">
        <v>93</v>
      </c>
      <c r="AB443" s="7"/>
      <c r="AC443" s="7"/>
      <c r="AD443" s="15"/>
      <c r="AE443" s="7"/>
      <c r="AJ443" t="str">
        <f>"SELECT (SELECT '"&amp;C443&amp;"' ColumnName from "&amp;E443&amp;" where "&amp;F443&amp;" is null and exists (select from "&amp;E443&amp;") limit 1) ColumnName union all"</f>
        <v>SELECT (SELECT 'sysSurveyQuestion.DisplayOrder' ColumnName from sysSurveyQuestion where DisplayOrder is null and exists (select from sysSurveyQuestion) limit 1) ColumnName union all</v>
      </c>
      <c r="AL443" t="str">
        <f>"ALTER TABLE "&amp;E443&amp;" ALTER COLUMN "&amp;F443&amp;" DROP NOT NULL"</f>
        <v>ALTER TABLE sysSurveyQuestion ALTER COLUMN DisplayOrder DROP NOT NULL</v>
      </c>
      <c r="AP443" t="e">
        <f t="shared" si="41"/>
        <v>#NAME?</v>
      </c>
    </row>
    <row r="444" spans="1:42" ht="15" customHeight="1">
      <c r="A444">
        <v>22560</v>
      </c>
      <c r="B444" t="s">
        <v>1475</v>
      </c>
      <c r="C444" s="3" t="str">
        <f t="shared" si="38"/>
        <v>sysSurveyQuestion.DisplaySequence</v>
      </c>
      <c r="D444">
        <v>80</v>
      </c>
      <c r="E444" s="3" t="str">
        <f t="shared" si="39"/>
        <v>sysSurveyQuestion</v>
      </c>
      <c r="F444" t="s">
        <v>6055</v>
      </c>
      <c r="G444" s="3" t="s">
        <v>6432</v>
      </c>
      <c r="H444" s="3" t="str">
        <f t="shared" si="40"/>
        <v>System.SurveyQuestion</v>
      </c>
      <c r="K444" s="3" t="s">
        <v>6297</v>
      </c>
      <c r="M444" t="s">
        <v>195</v>
      </c>
      <c r="Q444" t="s">
        <v>92</v>
      </c>
      <c r="U444" t="s">
        <v>93</v>
      </c>
      <c r="AB444" s="7"/>
      <c r="AC444" s="7"/>
      <c r="AD444" s="15"/>
      <c r="AE444" s="7"/>
      <c r="AK444" t="str">
        <f t="shared" ref="AK444:AK460" si="45">"SELECT (SELECT '"&amp;C444&amp;"' ColumnName from "&amp;E444&amp;" where "&amp;F444&amp;" is null and exists (select from "&amp;E444&amp;") limit 1) a union all"</f>
        <v>SELECT (SELECT 'sysSurveyQuestion.DisplaySequence' ColumnName from sysSurveyQuestion where DisplaySequence is null and exists (select from sysSurveyQuestion) limit 1) a union all</v>
      </c>
      <c r="AP444" t="e">
        <f t="shared" si="41"/>
        <v>#NAME?</v>
      </c>
    </row>
    <row r="445" spans="1:42" ht="15" customHeight="1">
      <c r="A445">
        <v>22460</v>
      </c>
      <c r="B445" t="s">
        <v>1475</v>
      </c>
      <c r="C445" s="3" t="str">
        <f t="shared" si="38"/>
        <v>sysSurveyQuestion.FileName</v>
      </c>
      <c r="D445" s="7">
        <v>80</v>
      </c>
      <c r="E445" s="3" t="str">
        <f t="shared" si="39"/>
        <v>sysSurveyQuestion</v>
      </c>
      <c r="F445" t="s">
        <v>1912</v>
      </c>
      <c r="G445" s="3" t="s">
        <v>6990</v>
      </c>
      <c r="H445" s="3" t="str">
        <f t="shared" si="40"/>
        <v>System.SurveyQuestion</v>
      </c>
      <c r="K445" t="s">
        <v>1913</v>
      </c>
      <c r="M445" t="s">
        <v>196</v>
      </c>
      <c r="Q445" t="s">
        <v>92</v>
      </c>
      <c r="U445" t="s">
        <v>93</v>
      </c>
      <c r="AB445" s="7"/>
      <c r="AC445" s="7"/>
      <c r="AD445" s="15"/>
      <c r="AE445" s="7"/>
      <c r="AK445" t="str">
        <f t="shared" si="45"/>
        <v>SELECT (SELECT 'sysSurveyQuestion.FileName' ColumnName from sysSurveyQuestion where FileName is null and exists (select from sysSurveyQuestion) limit 1) a union all</v>
      </c>
      <c r="AP445" t="e">
        <f t="shared" si="41"/>
        <v>#NAME?</v>
      </c>
    </row>
    <row r="446" spans="1:42" ht="15" customHeight="1">
      <c r="A446" s="7">
        <v>22400</v>
      </c>
      <c r="B446" t="s">
        <v>1475</v>
      </c>
      <c r="C446" s="3" t="str">
        <f t="shared" si="38"/>
        <v>sysSurveyQuestion.Id</v>
      </c>
      <c r="D446" s="7">
        <v>80</v>
      </c>
      <c r="E446" s="3" t="str">
        <f t="shared" si="39"/>
        <v>sysSurveyQuestion</v>
      </c>
      <c r="F446" t="s">
        <v>1539</v>
      </c>
      <c r="G446" s="3" t="s">
        <v>6846</v>
      </c>
      <c r="H446" s="3" t="str">
        <f t="shared" si="40"/>
        <v>System.SurveyQuestion</v>
      </c>
      <c r="K446" t="s">
        <v>0</v>
      </c>
      <c r="M446" t="s">
        <v>6007</v>
      </c>
      <c r="N446" s="7"/>
      <c r="O446" s="7"/>
      <c r="Q446" t="s">
        <v>919</v>
      </c>
      <c r="U446" s="7" t="s">
        <v>95</v>
      </c>
      <c r="V446" s="7"/>
      <c r="W446" s="7"/>
      <c r="X446" s="7"/>
      <c r="Z446" s="7"/>
      <c r="AC446" s="7"/>
      <c r="AD446" s="15"/>
      <c r="AE446" s="7"/>
      <c r="AK446" t="str">
        <f t="shared" si="45"/>
        <v>SELECT (SELECT 'sysSurveyQuestion.Id' ColumnName from sysSurveyQuestion where Id is null and exists (select from sysSurveyQuestion) limit 1) a union all</v>
      </c>
      <c r="AP446" t="e">
        <f t="shared" si="41"/>
        <v>#NAME?</v>
      </c>
    </row>
    <row r="447" spans="1:42" ht="15" customHeight="1">
      <c r="A447">
        <v>22470</v>
      </c>
      <c r="B447" t="s">
        <v>1475</v>
      </c>
      <c r="C447" s="3" t="str">
        <f t="shared" si="38"/>
        <v>sysSurveyQuestion.IsAdditional</v>
      </c>
      <c r="D447" s="7">
        <v>80</v>
      </c>
      <c r="E447" s="3" t="str">
        <f t="shared" si="39"/>
        <v>sysSurveyQuestion</v>
      </c>
      <c r="F447" t="s">
        <v>1898</v>
      </c>
      <c r="G447" s="3" t="s">
        <v>6852</v>
      </c>
      <c r="H447" s="3" t="str">
        <f t="shared" si="40"/>
        <v>System.SurveyQuestion</v>
      </c>
      <c r="K447" t="s">
        <v>1899</v>
      </c>
      <c r="M447" s="3" t="s">
        <v>2402</v>
      </c>
      <c r="Q447" t="s">
        <v>92</v>
      </c>
      <c r="U447" t="s">
        <v>93</v>
      </c>
      <c r="V447" s="7"/>
      <c r="W447" s="7"/>
      <c r="X447" s="7"/>
      <c r="Z447" s="7"/>
      <c r="AB447" s="7"/>
      <c r="AC447" s="7"/>
      <c r="AD447" s="15"/>
      <c r="AE447" s="7"/>
      <c r="AK447" t="str">
        <f t="shared" si="45"/>
        <v>SELECT (SELECT 'sysSurveyQuestion.IsAdditional' ColumnName from sysSurveyQuestion where IsAdditional is null and exists (select from sysSurveyQuestion) limit 1) a union all</v>
      </c>
      <c r="AP447" t="e">
        <f t="shared" si="41"/>
        <v>#NAME?</v>
      </c>
    </row>
    <row r="448" spans="1:42" ht="15" customHeight="1">
      <c r="A448">
        <v>22480</v>
      </c>
      <c r="B448" t="s">
        <v>1475</v>
      </c>
      <c r="C448" s="3" t="str">
        <f t="shared" si="38"/>
        <v>sysSurveyQuestion.IsAlertOn</v>
      </c>
      <c r="D448" s="7">
        <v>80</v>
      </c>
      <c r="E448" s="3" t="str">
        <f t="shared" si="39"/>
        <v>sysSurveyQuestion</v>
      </c>
      <c r="F448" t="s">
        <v>1900</v>
      </c>
      <c r="G448" s="3" t="s">
        <v>6853</v>
      </c>
      <c r="H448" s="3" t="str">
        <f t="shared" si="40"/>
        <v>System.SurveyQuestion</v>
      </c>
      <c r="K448" t="s">
        <v>1901</v>
      </c>
      <c r="M448" s="3" t="s">
        <v>2402</v>
      </c>
      <c r="Q448" t="s">
        <v>92</v>
      </c>
      <c r="U448" t="s">
        <v>93</v>
      </c>
      <c r="V448" s="7"/>
      <c r="W448" s="7"/>
      <c r="X448" s="7"/>
      <c r="Z448" s="7"/>
      <c r="AB448" s="7"/>
      <c r="AC448" s="7"/>
      <c r="AD448" s="15"/>
      <c r="AE448" s="7"/>
      <c r="AK448" t="str">
        <f t="shared" si="45"/>
        <v>SELECT (SELECT 'sysSurveyQuestion.IsAlertOn' ColumnName from sysSurveyQuestion where IsAlertOn is null and exists (select from sysSurveyQuestion) limit 1) a union all</v>
      </c>
      <c r="AP448" t="e">
        <f t="shared" si="41"/>
        <v>#NAME?</v>
      </c>
    </row>
    <row r="449" spans="1:42" ht="15" customHeight="1">
      <c r="A449">
        <v>22490</v>
      </c>
      <c r="B449" t="s">
        <v>1475</v>
      </c>
      <c r="C449" s="3" t="str">
        <f t="shared" si="38"/>
        <v>sysSurveyQuestion.IsExplainOn</v>
      </c>
      <c r="D449" s="7">
        <v>80</v>
      </c>
      <c r="E449" s="3" t="str">
        <f t="shared" si="39"/>
        <v>sysSurveyQuestion</v>
      </c>
      <c r="F449" t="s">
        <v>1902</v>
      </c>
      <c r="G449" s="3" t="s">
        <v>6854</v>
      </c>
      <c r="H449" s="3" t="str">
        <f t="shared" si="40"/>
        <v>System.SurveyQuestion</v>
      </c>
      <c r="K449" t="s">
        <v>1903</v>
      </c>
      <c r="M449" s="3" t="s">
        <v>2402</v>
      </c>
      <c r="Q449" t="s">
        <v>92</v>
      </c>
      <c r="U449" t="s">
        <v>93</v>
      </c>
      <c r="V449" s="7"/>
      <c r="W449" s="7"/>
      <c r="X449" s="7"/>
      <c r="Z449" s="7"/>
      <c r="AB449" s="7"/>
      <c r="AC449" s="7"/>
      <c r="AD449" s="15"/>
      <c r="AE449" s="7"/>
      <c r="AK449" t="str">
        <f t="shared" si="45"/>
        <v>SELECT (SELECT 'sysSurveyQuestion.IsExplainOn' ColumnName from sysSurveyQuestion where IsExplainOn is null and exists (select from sysSurveyQuestion) limit 1) a union all</v>
      </c>
      <c r="AP449" t="e">
        <f t="shared" si="41"/>
        <v>#NAME?</v>
      </c>
    </row>
    <row r="450" spans="1:42" ht="15" customHeight="1">
      <c r="A450">
        <v>22500</v>
      </c>
      <c r="B450" t="s">
        <v>1475</v>
      </c>
      <c r="C450" s="3" t="str">
        <f t="shared" ref="C450:C460" si="46">CONCATENATE(E450,".",F450)</f>
        <v>sysSurveyQuestion.IsNewMember</v>
      </c>
      <c r="D450" s="7">
        <v>80</v>
      </c>
      <c r="E450" s="3" t="str">
        <f t="shared" ref="E450:E460" si="47">VLOOKUP(D450,SystemTableId,3,FALSE)</f>
        <v>sysSurveyQuestion</v>
      </c>
      <c r="F450" t="s">
        <v>1904</v>
      </c>
      <c r="G450" s="3" t="s">
        <v>6855</v>
      </c>
      <c r="H450" s="3" t="str">
        <f t="shared" ref="H450:H460" si="48">VLOOKUP(E450,SystemTables,14,FALSE)</f>
        <v>System.SurveyQuestion</v>
      </c>
      <c r="K450" t="s">
        <v>1905</v>
      </c>
      <c r="M450" s="3" t="s">
        <v>2402</v>
      </c>
      <c r="Q450" t="s">
        <v>92</v>
      </c>
      <c r="U450" t="s">
        <v>93</v>
      </c>
      <c r="V450" s="7"/>
      <c r="W450" s="7"/>
      <c r="X450" s="7"/>
      <c r="Z450" s="7"/>
      <c r="AB450" s="7"/>
      <c r="AC450" s="7"/>
      <c r="AD450" s="15"/>
      <c r="AE450" s="7"/>
      <c r="AK450" t="str">
        <f t="shared" si="45"/>
        <v>SELECT (SELECT 'sysSurveyQuestion.IsNewMember' ColumnName from sysSurveyQuestion where IsNewMember is null and exists (select from sysSurveyQuestion) limit 1) a union all</v>
      </c>
      <c r="AP450" t="e">
        <f t="shared" ref="AP450:AP460" si="49">VLOOKUP(E450,temp6,1,FALSE)</f>
        <v>#NAME?</v>
      </c>
    </row>
    <row r="451" spans="1:42" ht="15" customHeight="1">
      <c r="A451">
        <v>22510</v>
      </c>
      <c r="B451" t="s">
        <v>1475</v>
      </c>
      <c r="C451" s="3" t="str">
        <f t="shared" si="46"/>
        <v>sysSurveyQuestion.IsRenewal</v>
      </c>
      <c r="D451" s="7">
        <v>80</v>
      </c>
      <c r="E451" s="3" t="str">
        <f t="shared" si="47"/>
        <v>sysSurveyQuestion</v>
      </c>
      <c r="F451" t="s">
        <v>1906</v>
      </c>
      <c r="G451" s="3" t="s">
        <v>6856</v>
      </c>
      <c r="H451" s="3" t="str">
        <f t="shared" si="48"/>
        <v>System.SurveyQuestion</v>
      </c>
      <c r="K451" t="s">
        <v>1907</v>
      </c>
      <c r="M451" s="3" t="s">
        <v>2402</v>
      </c>
      <c r="Q451" t="s">
        <v>92</v>
      </c>
      <c r="U451" t="s">
        <v>93</v>
      </c>
      <c r="V451" s="7"/>
      <c r="W451" s="7"/>
      <c r="X451" s="7"/>
      <c r="Z451" s="7"/>
      <c r="AB451" s="7"/>
      <c r="AC451" s="7"/>
      <c r="AD451" s="15"/>
      <c r="AE451" s="7"/>
      <c r="AK451" t="str">
        <f t="shared" si="45"/>
        <v>SELECT (SELECT 'sysSurveyQuestion.IsRenewal' ColumnName from sysSurveyQuestion where IsRenewal is null and exists (select from sysSurveyQuestion) limit 1) a union all</v>
      </c>
      <c r="AP451" t="e">
        <f t="shared" si="49"/>
        <v>#NAME?</v>
      </c>
    </row>
    <row r="452" spans="1:42" ht="15" customHeight="1">
      <c r="A452">
        <v>22520</v>
      </c>
      <c r="B452" t="s">
        <v>1475</v>
      </c>
      <c r="C452" s="3" t="str">
        <f t="shared" si="46"/>
        <v>sysSurveyQuestion.LinkText</v>
      </c>
      <c r="D452">
        <v>80</v>
      </c>
      <c r="E452" s="3" t="str">
        <f t="shared" si="47"/>
        <v>sysSurveyQuestion</v>
      </c>
      <c r="F452" t="s">
        <v>2030</v>
      </c>
      <c r="G452" s="3" t="s">
        <v>6857</v>
      </c>
      <c r="H452" s="3" t="str">
        <f t="shared" si="48"/>
        <v>System.SurveyQuestion</v>
      </c>
      <c r="K452" t="s">
        <v>2031</v>
      </c>
      <c r="M452" t="s">
        <v>1073</v>
      </c>
      <c r="Q452" t="s">
        <v>92</v>
      </c>
      <c r="U452" t="s">
        <v>93</v>
      </c>
      <c r="V452" s="7"/>
      <c r="W452" s="7"/>
      <c r="X452" s="7"/>
      <c r="Z452" s="7"/>
      <c r="AB452" s="7"/>
      <c r="AC452" s="7"/>
      <c r="AD452" s="15"/>
      <c r="AE452" s="7"/>
      <c r="AK452" t="str">
        <f t="shared" si="45"/>
        <v>SELECT (SELECT 'sysSurveyQuestion.LinkText' ColumnName from sysSurveyQuestion where LinkText is null and exists (select from sysSurveyQuestion) limit 1) a union all</v>
      </c>
      <c r="AP452" t="e">
        <f t="shared" si="49"/>
        <v>#NAME?</v>
      </c>
    </row>
    <row r="453" spans="1:42" ht="15" customHeight="1">
      <c r="A453">
        <v>22530</v>
      </c>
      <c r="B453" t="s">
        <v>1475</v>
      </c>
      <c r="C453" s="3" t="str">
        <f t="shared" si="46"/>
        <v>sysSurveyQuestion.Prefix</v>
      </c>
      <c r="D453">
        <v>80</v>
      </c>
      <c r="E453" s="3" t="str">
        <f t="shared" si="47"/>
        <v>sysSurveyQuestion</v>
      </c>
      <c r="F453" t="s">
        <v>2029</v>
      </c>
      <c r="G453" s="3" t="s">
        <v>6858</v>
      </c>
      <c r="H453" s="3" t="str">
        <f t="shared" si="48"/>
        <v>System.SurveyQuestion</v>
      </c>
      <c r="K453" t="s">
        <v>2029</v>
      </c>
      <c r="M453" t="s">
        <v>1073</v>
      </c>
      <c r="Q453" t="s">
        <v>92</v>
      </c>
      <c r="U453" t="s">
        <v>93</v>
      </c>
      <c r="V453" s="7"/>
      <c r="W453" s="7"/>
      <c r="X453" s="7"/>
      <c r="Z453" s="7"/>
      <c r="AB453" s="7"/>
      <c r="AC453" s="7"/>
      <c r="AD453" s="15"/>
      <c r="AE453" s="7"/>
      <c r="AK453" t="str">
        <f t="shared" si="45"/>
        <v>SELECT (SELECT 'sysSurveyQuestion.Prefix' ColumnName from sysSurveyQuestion where Prefix is null and exists (select from sysSurveyQuestion) limit 1) a union all</v>
      </c>
      <c r="AP453" t="e">
        <f t="shared" si="49"/>
        <v>#NAME?</v>
      </c>
    </row>
    <row r="454" spans="1:42" ht="15" customHeight="1">
      <c r="A454">
        <v>22540</v>
      </c>
      <c r="B454" t="s">
        <v>1475</v>
      </c>
      <c r="C454" s="3" t="str">
        <f t="shared" si="46"/>
        <v>sysSurveyQuestion.QuestionText</v>
      </c>
      <c r="D454" s="7">
        <v>80</v>
      </c>
      <c r="E454" s="3" t="str">
        <f t="shared" si="47"/>
        <v>sysSurveyQuestion</v>
      </c>
      <c r="F454" t="s">
        <v>1908</v>
      </c>
      <c r="G454" s="7" t="s">
        <v>7014</v>
      </c>
      <c r="H454" s="3" t="str">
        <f t="shared" si="48"/>
        <v>System.SurveyQuestion</v>
      </c>
      <c r="K454" t="s">
        <v>1909</v>
      </c>
      <c r="M454" t="s">
        <v>196</v>
      </c>
      <c r="Q454" t="s">
        <v>92</v>
      </c>
      <c r="U454" t="s">
        <v>93</v>
      </c>
      <c r="V454" s="7"/>
      <c r="W454" s="7"/>
      <c r="X454" s="7"/>
      <c r="Z454" s="7"/>
      <c r="AB454" s="7"/>
      <c r="AC454" s="7"/>
      <c r="AD454" s="15"/>
      <c r="AE454" s="7"/>
      <c r="AK454" t="str">
        <f t="shared" si="45"/>
        <v>SELECT (SELECT 'sysSurveyQuestion.QuestionText' ColumnName from sysSurveyQuestion where QuestionText is null and exists (select from sysSurveyQuestion) limit 1) a union all</v>
      </c>
      <c r="AP454" t="e">
        <f t="shared" si="49"/>
        <v>#NAME?</v>
      </c>
    </row>
    <row r="455" spans="1:42" ht="15" customHeight="1">
      <c r="A455">
        <v>22550</v>
      </c>
      <c r="B455" t="s">
        <v>1475</v>
      </c>
      <c r="C455" s="3" t="str">
        <f t="shared" si="46"/>
        <v>sysSurveyQuestion.ReasonText</v>
      </c>
      <c r="D455">
        <v>80</v>
      </c>
      <c r="E455" s="3" t="str">
        <f t="shared" si="47"/>
        <v>sysSurveyQuestion</v>
      </c>
      <c r="F455" t="s">
        <v>2027</v>
      </c>
      <c r="G455" s="3" t="s">
        <v>6859</v>
      </c>
      <c r="H455" s="3" t="str">
        <f t="shared" si="48"/>
        <v>System.SurveyQuestion</v>
      </c>
      <c r="K455" t="s">
        <v>2028</v>
      </c>
      <c r="M455" t="s">
        <v>1073</v>
      </c>
      <c r="Q455" t="s">
        <v>92</v>
      </c>
      <c r="U455" t="s">
        <v>93</v>
      </c>
      <c r="V455" s="7"/>
      <c r="W455" s="7"/>
      <c r="X455" s="7"/>
      <c r="Z455" s="7"/>
      <c r="AB455" s="7"/>
      <c r="AC455" s="7"/>
      <c r="AD455" s="15"/>
      <c r="AE455" s="7"/>
      <c r="AK455" t="str">
        <f t="shared" si="45"/>
        <v>SELECT (SELECT 'sysSurveyQuestion.ReasonText' ColumnName from sysSurveyQuestion where ReasonText is null and exists (select from sysSurveyQuestion) limit 1) a union all</v>
      </c>
      <c r="AP455" t="e">
        <f t="shared" si="49"/>
        <v>#NAME?</v>
      </c>
    </row>
    <row r="456" spans="1:42" ht="15" customHeight="1">
      <c r="A456">
        <v>22580</v>
      </c>
      <c r="B456" t="s">
        <v>1475</v>
      </c>
      <c r="C456" s="3" t="str">
        <f t="shared" si="46"/>
        <v>sysSurveyQuestion.RowStatus</v>
      </c>
      <c r="D456">
        <v>80</v>
      </c>
      <c r="E456" s="3" t="str">
        <f t="shared" si="47"/>
        <v>sysSurveyQuestion</v>
      </c>
      <c r="F456" t="s">
        <v>1445</v>
      </c>
      <c r="G456" s="3" t="s">
        <v>6411</v>
      </c>
      <c r="H456" s="3" t="str">
        <f t="shared" si="48"/>
        <v>System.SurveyQuestion</v>
      </c>
      <c r="K456" s="3" t="s">
        <v>2471</v>
      </c>
      <c r="M456" t="s">
        <v>976</v>
      </c>
      <c r="N456">
        <v>1</v>
      </c>
      <c r="Q456" t="s">
        <v>919</v>
      </c>
      <c r="S456" s="14"/>
      <c r="U456" t="s">
        <v>94</v>
      </c>
      <c r="V456" s="7"/>
      <c r="W456" s="7"/>
      <c r="X456" s="7"/>
      <c r="Z456" s="7"/>
      <c r="AC456" s="7"/>
      <c r="AD456" s="15"/>
      <c r="AE456" s="7"/>
      <c r="AK456" t="str">
        <f t="shared" si="45"/>
        <v>SELECT (SELECT 'sysSurveyQuestion.RowStatus' ColumnName from sysSurveyQuestion where RowStatus is null and exists (select from sysSurveyQuestion) limit 1) a union all</v>
      </c>
      <c r="AP456" t="e">
        <f t="shared" si="49"/>
        <v>#NAME?</v>
      </c>
    </row>
    <row r="457" spans="1:42" ht="15" customHeight="1">
      <c r="A457">
        <v>22570</v>
      </c>
      <c r="B457" t="s">
        <v>1475</v>
      </c>
      <c r="C457" s="3" t="str">
        <f t="shared" si="46"/>
        <v>sysSurveyQuestion.ShortName</v>
      </c>
      <c r="D457" s="7">
        <v>80</v>
      </c>
      <c r="E457" s="3" t="str">
        <f t="shared" si="47"/>
        <v>sysSurveyQuestion</v>
      </c>
      <c r="F457" t="s">
        <v>1911</v>
      </c>
      <c r="G457" s="3" t="s">
        <v>6991</v>
      </c>
      <c r="H457" s="3" t="str">
        <f t="shared" si="48"/>
        <v>System.SurveyQuestion</v>
      </c>
      <c r="K457" t="s">
        <v>6299</v>
      </c>
      <c r="M457" t="s">
        <v>196</v>
      </c>
      <c r="Q457" t="s">
        <v>92</v>
      </c>
      <c r="U457" t="s">
        <v>93</v>
      </c>
      <c r="AB457" s="7"/>
      <c r="AC457" s="7"/>
      <c r="AD457" s="15"/>
      <c r="AE457" s="7"/>
      <c r="AK457" t="str">
        <f t="shared" si="45"/>
        <v>SELECT (SELECT 'sysSurveyQuestion.ShortName' ColumnName from sysSurveyQuestion where ShortName is null and exists (select from sysSurveyQuestion) limit 1) a union all</v>
      </c>
      <c r="AP457" t="e">
        <f t="shared" si="49"/>
        <v>#NAME?</v>
      </c>
    </row>
    <row r="458" spans="1:42" ht="15" customHeight="1">
      <c r="A458" s="7">
        <v>22590</v>
      </c>
      <c r="B458" t="s">
        <v>1475</v>
      </c>
      <c r="C458" s="3" t="str">
        <f t="shared" si="46"/>
        <v>sysSurveyQuestion.sysChangeHistoryID</v>
      </c>
      <c r="D458" s="7">
        <v>80</v>
      </c>
      <c r="E458" s="3" t="str">
        <f t="shared" si="47"/>
        <v>sysSurveyQuestion</v>
      </c>
      <c r="F458" t="s">
        <v>2497</v>
      </c>
      <c r="G458" s="3" t="s">
        <v>6403</v>
      </c>
      <c r="H458" s="3" t="str">
        <f t="shared" si="48"/>
        <v>System.SurveyQuestion</v>
      </c>
      <c r="K458" t="s">
        <v>1210</v>
      </c>
      <c r="L458" s="7"/>
      <c r="M458" t="s">
        <v>6007</v>
      </c>
      <c r="N458" s="7"/>
      <c r="O458" s="7"/>
      <c r="P458" s="7"/>
      <c r="Q458" t="s">
        <v>919</v>
      </c>
      <c r="R458" s="7"/>
      <c r="S458" s="7"/>
      <c r="T458" s="8"/>
      <c r="U458" t="s">
        <v>1429</v>
      </c>
      <c r="AC458" s="7"/>
      <c r="AD458" s="15"/>
      <c r="AE458" s="7"/>
      <c r="AK458" t="str">
        <f t="shared" si="45"/>
        <v>SELECT (SELECT 'sysSurveyQuestion.sysChangeHistoryID' ColumnName from sysSurveyQuestion where sysChangeHistoryID is null and exists (select from sysSurveyQuestion) limit 1) a union all</v>
      </c>
      <c r="AP458" t="e">
        <f t="shared" si="49"/>
        <v>#NAME?</v>
      </c>
    </row>
    <row r="459" spans="1:42" ht="15" customHeight="1">
      <c r="A459">
        <v>22410</v>
      </c>
      <c r="B459" t="s">
        <v>1475</v>
      </c>
      <c r="C459" s="3" t="str">
        <f t="shared" si="46"/>
        <v>sysSurveyQuestion.sysQuestionGroupID</v>
      </c>
      <c r="D459">
        <v>80</v>
      </c>
      <c r="E459" s="3" t="str">
        <f t="shared" si="47"/>
        <v>sysSurveyQuestion</v>
      </c>
      <c r="F459" t="str">
        <f>VLOOKUP(V459,SystemTableId,3,FALSE)&amp;"ID"&amp;X459</f>
        <v>sysQuestionGroupID</v>
      </c>
      <c r="G459" s="3" t="s">
        <v>6847</v>
      </c>
      <c r="H459" s="3" t="str">
        <f t="shared" si="48"/>
        <v>System.SurveyQuestion</v>
      </c>
      <c r="K459" t="s">
        <v>2024</v>
      </c>
      <c r="M459" t="s">
        <v>6007</v>
      </c>
      <c r="Q459" t="s">
        <v>92</v>
      </c>
      <c r="U459" t="s">
        <v>96</v>
      </c>
      <c r="V459" s="7">
        <v>56</v>
      </c>
      <c r="W459" s="3" t="str">
        <f>VLOOKUP(V459,SystemTableId,3,FALSE)</f>
        <v>sysQuestionGroup</v>
      </c>
      <c r="X459" s="7"/>
      <c r="Z459" s="7"/>
      <c r="AB459" s="7"/>
      <c r="AC459" s="7"/>
      <c r="AD459" s="15"/>
      <c r="AE459" s="7"/>
      <c r="AK459" t="str">
        <f t="shared" si="45"/>
        <v>SELECT (SELECT 'sysSurveyQuestion.sysQuestionGroupID' ColumnName from sysSurveyQuestion where sysQuestionGroupID is null and exists (select from sysSurveyQuestion) limit 1) a union all</v>
      </c>
      <c r="AP459" t="e">
        <f t="shared" si="49"/>
        <v>#NAME?</v>
      </c>
    </row>
    <row r="460" spans="1:42" ht="15" customHeight="1">
      <c r="A460">
        <v>22420</v>
      </c>
      <c r="B460" t="s">
        <v>1475</v>
      </c>
      <c r="C460" s="3" t="str">
        <f t="shared" si="46"/>
        <v>sysSurveyQuestion.sysSurveyQuestionIDParent</v>
      </c>
      <c r="D460">
        <v>80</v>
      </c>
      <c r="E460" s="3" t="str">
        <f t="shared" si="47"/>
        <v>sysSurveyQuestion</v>
      </c>
      <c r="F460" t="str">
        <f>VLOOKUP(V460,SystemTableId,3,FALSE)&amp;"ID"&amp;X460</f>
        <v>sysSurveyQuestionIDParent</v>
      </c>
      <c r="G460" s="3" t="s">
        <v>6848</v>
      </c>
      <c r="H460" s="3" t="str">
        <f t="shared" si="48"/>
        <v>System.SurveyQuestion</v>
      </c>
      <c r="K460" t="s">
        <v>1220</v>
      </c>
      <c r="M460" t="s">
        <v>6007</v>
      </c>
      <c r="Q460" t="s">
        <v>92</v>
      </c>
      <c r="U460" t="s">
        <v>96</v>
      </c>
      <c r="V460" s="7">
        <v>80</v>
      </c>
      <c r="W460" s="3" t="str">
        <f>VLOOKUP(V460,SystemTableId,3,FALSE)</f>
        <v>sysSurveyQuestion</v>
      </c>
      <c r="X460" s="3" t="s">
        <v>1220</v>
      </c>
      <c r="Z460" s="7"/>
      <c r="AB460" s="7"/>
      <c r="AC460" s="7"/>
      <c r="AD460" s="15"/>
      <c r="AE460" s="7"/>
      <c r="AK460" t="str">
        <f t="shared" si="45"/>
        <v>SELECT (SELECT 'sysSurveyQuestion.sysSurveyQuestionIDParent' ColumnName from sysSurveyQuestion where sysSurveyQuestionIDParent is null and exists (select from sysSurveyQuestion) limit 1) a union all</v>
      </c>
      <c r="AP460" t="e">
        <f t="shared" si="49"/>
        <v>#NAME?</v>
      </c>
    </row>
  </sheetData>
  <autoFilter ref="A1:AH462" xr:uid="{EFF06648-8B32-4CA3-B18D-AA59768F0718}">
    <sortState xmlns:xlrd2="http://schemas.microsoft.com/office/spreadsheetml/2017/richdata2" ref="A2:AH462">
      <sortCondition ref="C1:C462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A30299D0604E48A3E1BFE7B1BC26FB" ma:contentTypeVersion="13" ma:contentTypeDescription="Create a new document." ma:contentTypeScope="" ma:versionID="3bd9e4e16d0de4e5c73de2693c14e618">
  <xsd:schema xmlns:xsd="http://www.w3.org/2001/XMLSchema" xmlns:xs="http://www.w3.org/2001/XMLSchema" xmlns:p="http://schemas.microsoft.com/office/2006/metadata/properties" xmlns:ns2="19e742c7-3b1d-4a9e-8153-732e2f49ab83" xmlns:ns3="c46008af-917b-408e-93b0-481bdce55a0c" targetNamespace="http://schemas.microsoft.com/office/2006/metadata/properties" ma:root="true" ma:fieldsID="180396401c65c796e2ddd2219a0eccd0" ns2:_="" ns3:_="">
    <xsd:import namespace="19e742c7-3b1d-4a9e-8153-732e2f49ab83"/>
    <xsd:import namespace="c46008af-917b-408e-93b0-481bdce55a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EventHashCode" minOccurs="0"/>
                <xsd:element ref="ns2:MediaServiceGenerationTim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42c7-3b1d-4a9e-8153-732e2f49ab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6008af-917b-408e-93b0-481bdce55a0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D5B85E-41C6-4F2B-85AE-6B5B1C41DF4D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c46008af-917b-408e-93b0-481bdce55a0c"/>
    <ds:schemaRef ds:uri="http://purl.org/dc/terms/"/>
    <ds:schemaRef ds:uri="19e742c7-3b1d-4a9e-8153-732e2f49ab8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1966AC0-30D4-4C65-9737-72ACC3170A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e742c7-3b1d-4a9e-8153-732e2f49ab83"/>
    <ds:schemaRef ds:uri="c46008af-917b-408e-93b0-481bdce55a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E64283-5ADB-4096-B635-1A072E0A7F1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aaDictionaryColumn</vt:lpstr>
      <vt:lpstr>aaDictionaryTable</vt:lpstr>
      <vt:lpstr>aasysMessage</vt:lpstr>
      <vt:lpstr>aaMultilinkTableRule</vt:lpstr>
      <vt:lpstr>Screens</vt:lpstr>
      <vt:lpstr>xRef</vt:lpstr>
      <vt:lpstr>aaReferenceFields</vt:lpstr>
      <vt:lpstr>Changes</vt:lpstr>
      <vt:lpstr>Naming Conventions</vt:lpstr>
      <vt:lpstr>ToDo</vt:lpstr>
      <vt:lpstr>OldCol</vt:lpstr>
      <vt:lpstr>oldtbl</vt:lpstr>
      <vt:lpstr>FrameworkChanges</vt:lpstr>
      <vt:lpstr>SystemTables</vt:lpstr>
      <vt:lpstr>SystemColumns</vt:lpstr>
      <vt:lpstr>ColumnId</vt:lpstr>
      <vt:lpstr>DictionaryColumnID</vt:lpstr>
      <vt:lpstr>DictionaryColumns</vt:lpstr>
      <vt:lpstr>DictionaryTableID</vt:lpstr>
      <vt:lpstr>DictionaryTables</vt:lpstr>
      <vt:lpstr>IDConv</vt:lpstr>
      <vt:lpstr>newcol</vt:lpstr>
      <vt:lpstr>System</vt:lpstr>
      <vt:lpstr>SystemTableId</vt:lpstr>
      <vt:lpstr>SystemTables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Shamir Ramji</dc:creator>
  <cp:lastModifiedBy>Admin</cp:lastModifiedBy>
  <cp:lastPrinted>2022-12-27T18:36:12Z</cp:lastPrinted>
  <dcterms:created xsi:type="dcterms:W3CDTF">2012-03-14T22:06:19Z</dcterms:created>
  <dcterms:modified xsi:type="dcterms:W3CDTF">2023-01-05T18:50:05Z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0x0101002CA30299D0604E48A3E1BFE7B1BC26FB</vt:lpwstr>
  </property>
</Properties>
</file>